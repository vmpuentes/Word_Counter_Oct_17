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7.xml" ContentType="application/vnd.openxmlformats-officedocument.spreadsheetml.comments+xml"/>
  <Override PartName="/xl/drawings/drawing7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66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swhit\Desktop\"/>
    </mc:Choice>
  </mc:AlternateContent>
  <bookViews>
    <workbookView xWindow="29090" yWindow="180" windowWidth="24090" windowHeight="11400" tabRatio="699" activeTab="1"/>
  </bookViews>
  <sheets>
    <sheet name="index &amp; processes" sheetId="22" r:id="rId1"/>
    <sheet name="memo &amp; fs inserts" sheetId="28" r:id="rId2"/>
    <sheet name="2016 provision" sheetId="16" r:id="rId3"/>
    <sheet name="2016 def tax" sheetId="57" r:id="rId4"/>
    <sheet name="tax ac's summary" sheetId="35" r:id="rId5"/>
    <sheet name="wa taxable income" sheetId="26" r:id="rId6"/>
    <sheet name="ct &amp; wa ti 12-31-16" sheetId="46" r:id="rId7"/>
    <sheet name="ac 248000 activity " sheetId="38" r:id="rId8"/>
    <sheet name="ac 248000 activity -2015" sheetId="56" r:id="rId9"/>
    <sheet name="2015 ret to prov" sheetId="34" r:id="rId10"/>
    <sheet name="BTR - Book to Tax Recon" sheetId="54" r:id="rId11"/>
    <sheet name="fin 48 cklst" sheetId="29" r:id="rId12"/>
    <sheet name="state tax information" sheetId="27" r:id="rId13"/>
    <sheet name="cbs" sheetId="42" r:id="rId14"/>
    <sheet name="ct bs" sheetId="50" r:id="rId15"/>
    <sheet name="CT -BS for updates" sheetId="49" r:id="rId16"/>
    <sheet name="cpl" sheetId="43" r:id="rId17"/>
    <sheet name="ct pl" sheetId="53" r:id="rId18"/>
    <sheet name="CT-TB" sheetId="51" r:id="rId19"/>
    <sheet name="wa tb - 2016" sheetId="44" r:id="rId20"/>
    <sheet name="sbc" sheetId="41" r:id="rId21"/>
  </sheets>
  <externalReferences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</externalReferences>
  <definedNames>
    <definedName name="__123Graph_A" localSheetId="8" hidden="1">'[1]imp cls'!#REF!</definedName>
    <definedName name="__123Graph_A" localSheetId="17" hidden="1">'[1]imp cls'!#REF!</definedName>
    <definedName name="__123Graph_A" hidden="1">'[1]imp cls'!#REF!</definedName>
    <definedName name="__123Graph_B" localSheetId="8" hidden="1">'[2]10QCF'!#REF!</definedName>
    <definedName name="__123Graph_B" localSheetId="17" hidden="1">'[2]10QCF'!#REF!</definedName>
    <definedName name="__123Graph_B" hidden="1">'[2]10QCF'!#REF!</definedName>
    <definedName name="__123Graph_X" localSheetId="8" hidden="1">'[1]imp cls'!#REF!</definedName>
    <definedName name="__123Graph_X" localSheetId="17" hidden="1">'[1]imp cls'!#REF!</definedName>
    <definedName name="__123Graph_X" hidden="1">'[1]imp cls'!#REF!</definedName>
    <definedName name="_Fill" localSheetId="8" hidden="1">#REF!</definedName>
    <definedName name="_Fill" localSheetId="17" hidden="1">#REF!</definedName>
    <definedName name="_Fill" hidden="1">#REF!</definedName>
    <definedName name="_Key1" localSheetId="8" hidden="1">#REF!</definedName>
    <definedName name="_Key1" localSheetId="17" hidden="1">#REF!</definedName>
    <definedName name="_Key1" hidden="1">#REF!</definedName>
    <definedName name="_Order1" hidden="1">255</definedName>
    <definedName name="_Order2" hidden="1">255</definedName>
    <definedName name="_Sort" localSheetId="8" hidden="1">#REF!</definedName>
    <definedName name="_Sort" localSheetId="17" hidden="1">#REF!</definedName>
    <definedName name="_Sort" hidden="1">#REF!</definedName>
    <definedName name="AccessDatabase" hidden="1">"L:\Alltel.New\Reports\Monthly\Monthly Rec\1999\99_05\99_05REC.mdb"</definedName>
    <definedName name="ACCOUNTEDPERIODTYPE1" localSheetId="8">#REF!</definedName>
    <definedName name="ACCOUNTEDPERIODTYPE1" localSheetId="17">#REF!</definedName>
    <definedName name="ACCOUNTEDPERIODTYPE1">#REF!</definedName>
    <definedName name="ACCOUNTSEGMENT1" localSheetId="8">#REF!</definedName>
    <definedName name="ACCOUNTSEGMENT1" localSheetId="17">#REF!</definedName>
    <definedName name="ACCOUNTSEGMENT1">#REF!</definedName>
    <definedName name="APPSUSERNAME1" localSheetId="8">#REF!</definedName>
    <definedName name="APPSUSERNAME1" localSheetId="17">#REF!</definedName>
    <definedName name="APPSUSERNAME1">#REF!</definedName>
    <definedName name="autoexp" localSheetId="8">#REF!</definedName>
    <definedName name="autoexp">#REF!</definedName>
    <definedName name="autoX" localSheetId="8">#REF!</definedName>
    <definedName name="autoX">#REF!</definedName>
    <definedName name="budbeg">[3]Data!$J$1</definedName>
    <definedName name="buddata">[3]Data!$J$1:$L$155</definedName>
    <definedName name="budget">[4]Budget!$B$4:$E$82</definedName>
    <definedName name="BUDGETCURRENCYCODE1" localSheetId="8">#REF!</definedName>
    <definedName name="BUDGETCURRENCYCODE1" localSheetId="17">#REF!</definedName>
    <definedName name="BUDGETCURRENCYCODE1">#REF!</definedName>
    <definedName name="BUDGETDECIMALPLACES1" localSheetId="8">#REF!</definedName>
    <definedName name="BUDGETDECIMALPLACES1" localSheetId="17">#REF!</definedName>
    <definedName name="BUDGETDECIMALPLACES1">#REF!</definedName>
    <definedName name="BUDGETENDPERIODYEAR1" localSheetId="8">#REF!</definedName>
    <definedName name="BUDGETENDPERIODYEAR1" localSheetId="17">#REF!</definedName>
    <definedName name="BUDGETENDPERIODYEAR1">#REF!</definedName>
    <definedName name="BUDGETENTITYID1" localSheetId="8">#REF!</definedName>
    <definedName name="BUDGETENTITYID1">#REF!</definedName>
    <definedName name="BUDGETGRAPHCORRESPONDING1" localSheetId="8">#REF!</definedName>
    <definedName name="BUDGETGRAPHCORRESPONDING1">#REF!</definedName>
    <definedName name="BUDGETGRAPHINCACTUALS1" localSheetId="8">#REF!</definedName>
    <definedName name="BUDGETGRAPHINCACTUALS1">#REF!</definedName>
    <definedName name="BUDGETGRAPHINCBUDGETS1" localSheetId="8">#REF!</definedName>
    <definedName name="BUDGETGRAPHINCBUDGETS1">#REF!</definedName>
    <definedName name="BUDGETGRAPHINCTITLES1" localSheetId="8">#REF!</definedName>
    <definedName name="BUDGETGRAPHINCTITLES1">#REF!</definedName>
    <definedName name="BUDGETGRAPHINCVARIANCES1" localSheetId="8">#REF!</definedName>
    <definedName name="BUDGETGRAPHINCVARIANCES1">#REF!</definedName>
    <definedName name="BUDGETGRAPHSTYLE1" localSheetId="8">#REF!</definedName>
    <definedName name="BUDGETGRAPHSTYLE1">#REF!</definedName>
    <definedName name="BUDGETHEADINGSBACKCOLOUR1" localSheetId="8">#REF!</definedName>
    <definedName name="BUDGETHEADINGSBACKCOLOUR1">#REF!</definedName>
    <definedName name="BUDGETHEADINGSFORECOLOUR1" localSheetId="8">#REF!</definedName>
    <definedName name="BUDGETHEADINGSFORECOLOUR1">#REF!</definedName>
    <definedName name="BUDGETNAME1" localSheetId="8">#REF!</definedName>
    <definedName name="BUDGETNAME1">#REF!</definedName>
    <definedName name="BUDGETORG1" localSheetId="8">#REF!</definedName>
    <definedName name="BUDGETORG1">#REF!</definedName>
    <definedName name="BUDGETORGFROZEN1" localSheetId="8">#REF!</definedName>
    <definedName name="BUDGETORGFROZEN1">#REF!</definedName>
    <definedName name="BUDGETOUTPUTOPTION1" localSheetId="8">#REF!</definedName>
    <definedName name="BUDGETOUTPUTOPTION1">#REF!</definedName>
    <definedName name="BUDGETPASSWORDREQUIREDFLAG1" localSheetId="8">#REF!</definedName>
    <definedName name="BUDGETPASSWORDREQUIREDFLAG1">#REF!</definedName>
    <definedName name="BUDGETSHOWCRITERIASHEET1" localSheetId="8">#REF!</definedName>
    <definedName name="BUDGETSHOWCRITERIASHEET1">#REF!</definedName>
    <definedName name="BUDGETSTARTPERIODSTARTDATE1" localSheetId="8">#REF!</definedName>
    <definedName name="BUDGETSTARTPERIODSTARTDATE1">#REF!</definedName>
    <definedName name="BUDGETSTARTPERIODYEAR1" localSheetId="8">#REF!</definedName>
    <definedName name="BUDGETSTARTPERIODYEAR1">#REF!</definedName>
    <definedName name="BUDGETSTATUS1" localSheetId="8">#REF!</definedName>
    <definedName name="BUDGETSTATUS1">#REF!</definedName>
    <definedName name="BUDGETTITLEBACKCOLOUR1" localSheetId="8">#REF!</definedName>
    <definedName name="BUDGETTITLEBACKCOLOUR1">#REF!</definedName>
    <definedName name="BUDGETTITLEBORDERCOLOUR1" localSheetId="8">#REF!</definedName>
    <definedName name="BUDGETTITLEBORDERCOLOUR1">#REF!</definedName>
    <definedName name="BUDGETTITLEFORECOLOUR1" localSheetId="8">#REF!</definedName>
    <definedName name="BUDGETTITLEFORECOLOUR1">#REF!</definedName>
    <definedName name="BUDGETVALUESWIDTH1" localSheetId="8">#REF!</definedName>
    <definedName name="BUDGETVALUESWIDTH1">#REF!</definedName>
    <definedName name="BUDGETVERSIONID1" localSheetId="8">#REF!</definedName>
    <definedName name="BUDGETVERSIONID1">#REF!</definedName>
    <definedName name="Category">'[5]Drop Down List'!$E$1:$E$26</definedName>
    <definedName name="CHARTOFACCOUNTSID1" localSheetId="8">#REF!</definedName>
    <definedName name="CHARTOFACCOUNTSID1" localSheetId="17">#REF!</definedName>
    <definedName name="CHARTOFACCOUNTSID1">#REF!</definedName>
    <definedName name="cocd">[6]RunTime!$C$10</definedName>
    <definedName name="ColumnAttributes1" localSheetId="8">#REF!</definedName>
    <definedName name="ColumnAttributes1" localSheetId="17">#REF!</definedName>
    <definedName name="ColumnAttributes1">#REF!</definedName>
    <definedName name="ColumnAttributes2" localSheetId="8">#REF!</definedName>
    <definedName name="ColumnAttributes2" localSheetId="17">#REF!</definedName>
    <definedName name="ColumnAttributes2">#REF!</definedName>
    <definedName name="ColumnAttributes3" localSheetId="8">#REF!</definedName>
    <definedName name="ColumnAttributes3" localSheetId="17">#REF!</definedName>
    <definedName name="ColumnAttributes3">#REF!</definedName>
    <definedName name="ColumnAttributes4" localSheetId="8">#REF!</definedName>
    <definedName name="ColumnAttributes4">#REF!</definedName>
    <definedName name="ColumnAttributes5" localSheetId="8">#REF!</definedName>
    <definedName name="ColumnAttributes5">#REF!</definedName>
    <definedName name="ColumnHeadings1" localSheetId="8">#REF!</definedName>
    <definedName name="ColumnHeadings1">#REF!</definedName>
    <definedName name="ColumnHeadings2" localSheetId="8">#REF!</definedName>
    <definedName name="ColumnHeadings2">#REF!</definedName>
    <definedName name="ColumnHeadings3" localSheetId="8">#REF!</definedName>
    <definedName name="ColumnHeadings3">#REF!</definedName>
    <definedName name="ColumnHeadings4" localSheetId="8">#REF!</definedName>
    <definedName name="ColumnHeadings4">#REF!</definedName>
    <definedName name="ColumnHeadings5" localSheetId="8">#REF!</definedName>
    <definedName name="ColumnHeadings5">#REF!</definedName>
    <definedName name="compservsup" localSheetId="8">#REF!</definedName>
    <definedName name="compservsup">#REF!</definedName>
    <definedName name="CONNECTSTRING1" localSheetId="8">#REF!</definedName>
    <definedName name="CONNECTSTRING1">#REF!</definedName>
    <definedName name="continued" localSheetId="8">#REF!</definedName>
    <definedName name="continued">#REF!</definedName>
    <definedName name="costs" localSheetId="8">[7]Travel!#REF!</definedName>
    <definedName name="costs" localSheetId="17">[7]Travel!#REF!</definedName>
    <definedName name="costs">[7]Travel!#REF!</definedName>
    <definedName name="CREATEGRAPH1" localSheetId="8">#REF!</definedName>
    <definedName name="CREATEGRAPH1" localSheetId="17">#REF!</definedName>
    <definedName name="CREATEGRAPH1">#REF!</definedName>
    <definedName name="curmonth">[3]RunTime!$C$5</definedName>
    <definedName name="curyear">[6]RunTime!$C$8</definedName>
    <definedName name="DBNAME1" localSheetId="8">#REF!</definedName>
    <definedName name="DBNAME1" localSheetId="17">#REF!</definedName>
    <definedName name="DBNAME1">#REF!</definedName>
    <definedName name="DBUSERNAME1" localSheetId="8">#REF!</definedName>
    <definedName name="DBUSERNAME1" localSheetId="17">#REF!</definedName>
    <definedName name="DBUSERNAME1">#REF!</definedName>
    <definedName name="DELETELOGICTYPE1" localSheetId="8">#REF!</definedName>
    <definedName name="DELETELOGICTYPE1" localSheetId="17">#REF!</definedName>
    <definedName name="DELETELOGICTYPE1">#REF!</definedName>
    <definedName name="deprec" localSheetId="8">[8]Company!#REF!</definedName>
    <definedName name="deprec" localSheetId="17">[8]Company!#REF!</definedName>
    <definedName name="deprec">[8]Company!#REF!</definedName>
    <definedName name="dues" localSheetId="8">#REF!</definedName>
    <definedName name="dues" localSheetId="17">#REF!</definedName>
    <definedName name="dues">#REF!</definedName>
    <definedName name="emplrel" localSheetId="8">#REF!</definedName>
    <definedName name="emplrel" localSheetId="17">#REF!</definedName>
    <definedName name="emplrel">#REF!</definedName>
    <definedName name="end" localSheetId="8">#REF!</definedName>
    <definedName name="end" localSheetId="17">#REF!</definedName>
    <definedName name="end">#REF!</definedName>
    <definedName name="ENDPERIODNAME1" localSheetId="8">#REF!</definedName>
    <definedName name="ENDPERIODNAME1">#REF!</definedName>
    <definedName name="ENDPERIODNUM1" localSheetId="8">#REF!</definedName>
    <definedName name="ENDPERIODNUM1">#REF!</definedName>
    <definedName name="ENDPERIODYEAR1" localSheetId="8">#REF!</definedName>
    <definedName name="ENDPERIODYEAR1">#REF!</definedName>
    <definedName name="FFAPPCOLNAME1_1" localSheetId="8">#REF!</definedName>
    <definedName name="FFAPPCOLNAME1_1">#REF!</definedName>
    <definedName name="FFAPPCOLNAME2_1" localSheetId="8">#REF!</definedName>
    <definedName name="FFAPPCOLNAME2_1">#REF!</definedName>
    <definedName name="FFAPPCOLNAME3_1" localSheetId="8">#REF!</definedName>
    <definedName name="FFAPPCOLNAME3_1">#REF!</definedName>
    <definedName name="FFSEGDESC1_1" localSheetId="8">#REF!</definedName>
    <definedName name="FFSEGDESC1_1">#REF!</definedName>
    <definedName name="FFSEGDESC2_1" localSheetId="8">#REF!</definedName>
    <definedName name="FFSEGDESC2_1">#REF!</definedName>
    <definedName name="FFSEGDESC3_1" localSheetId="8">#REF!</definedName>
    <definedName name="FFSEGDESC3_1">#REF!</definedName>
    <definedName name="FFSEGMENT1_1" localSheetId="8">#REF!</definedName>
    <definedName name="FFSEGMENT1_1">#REF!</definedName>
    <definedName name="FFSEGMENT2_1" localSheetId="8">#REF!</definedName>
    <definedName name="FFSEGMENT2_1">#REF!</definedName>
    <definedName name="FFSEGMENT3_1" localSheetId="8">#REF!</definedName>
    <definedName name="FFSEGMENT3_1">#REF!</definedName>
    <definedName name="FFSEGSEPARATOR1" localSheetId="8">#REF!</definedName>
    <definedName name="FFSEGSEPARATOR1">#REF!</definedName>
    <definedName name="FNDNAM1" localSheetId="8">#REF!</definedName>
    <definedName name="FNDNAM1">#REF!</definedName>
    <definedName name="FNDUSERID1" localSheetId="8">#REF!</definedName>
    <definedName name="FNDUSERID1">#REF!</definedName>
    <definedName name="forms" localSheetId="8">#REF!</definedName>
    <definedName name="forms">#REF!</definedName>
    <definedName name="grpbeg">[9]Data!$A$1</definedName>
    <definedName name="grpdata">[9]Data!$A$1:$B$73</definedName>
    <definedName name="GWYUID1" localSheetId="8">#REF!</definedName>
    <definedName name="GWYUID1" localSheetId="17">#REF!</definedName>
    <definedName name="GWYUID1">#REF!</definedName>
    <definedName name="Head">'[5]Drop Down List'!$B$1:$B$16</definedName>
    <definedName name="HR">'[5]Drop Down List'!$A$1:$A$6</definedName>
    <definedName name="Install">'[10]Full Monty'!$D$6</definedName>
    <definedName name="IQ_FQ" hidden="1">500</definedName>
    <definedName name="IQ_FY" hidden="1">1000</definedName>
    <definedName name="IQ_LTM" hidden="1">2000</definedName>
    <definedName name="IQ_TODAY" hidden="1">0</definedName>
    <definedName name="ItemAges" localSheetId="8">#REF!</definedName>
    <definedName name="ItemAges" localSheetId="17">#REF!</definedName>
    <definedName name="ItemAges">#REF!</definedName>
    <definedName name="ItemAmounts" localSheetId="8">#REF!</definedName>
    <definedName name="ItemAmounts" localSheetId="17">#REF!</definedName>
    <definedName name="ItemAmounts">#REF!</definedName>
    <definedName name="lease" localSheetId="8">#REF!</definedName>
    <definedName name="lease" localSheetId="17">#REF!</definedName>
    <definedName name="lease">#REF!</definedName>
    <definedName name="lease2" localSheetId="8">[11]ACcostcenter!#REF!</definedName>
    <definedName name="lease2" localSheetId="17">[11]ACcostcenter!#REF!</definedName>
    <definedName name="lease2">[11]ACcostcenter!#REF!</definedName>
    <definedName name="Machine" localSheetId="8">#REF!</definedName>
    <definedName name="Machine" localSheetId="17">#REF!</definedName>
    <definedName name="Machine">#REF!</definedName>
    <definedName name="Maintain">'[10]Full Monty'!$D$5</definedName>
    <definedName name="march" localSheetId="8">#REF!</definedName>
    <definedName name="march" localSheetId="17">#REF!</definedName>
    <definedName name="march">#REF!</definedName>
    <definedName name="meals" localSheetId="8">#REF!</definedName>
    <definedName name="meals" localSheetId="17">#REF!</definedName>
    <definedName name="meals">#REF!</definedName>
    <definedName name="meetings" localSheetId="8">#REF!</definedName>
    <definedName name="meetings" localSheetId="17">#REF!</definedName>
    <definedName name="meetings">#REF!</definedName>
    <definedName name="Month" localSheetId="8">#REF!</definedName>
    <definedName name="Month">#REF!</definedName>
    <definedName name="Month2" localSheetId="8">#REF!</definedName>
    <definedName name="Month2">#REF!</definedName>
    <definedName name="NOOFFFSEGMENTS1" localSheetId="8">#REF!</definedName>
    <definedName name="NOOFFFSEGMENTS1">#REF!</definedName>
    <definedName name="NOOFPERIODS1" localSheetId="8">#REF!</definedName>
    <definedName name="NOOFPERIODS1">#REF!</definedName>
    <definedName name="OT" localSheetId="8">#REF!</definedName>
    <definedName name="OT">#REF!</definedName>
    <definedName name="otmmar" localSheetId="8">#REF!</definedName>
    <definedName name="otmmar">#REF!</definedName>
    <definedName name="outside" localSheetId="8">#REF!</definedName>
    <definedName name="outside">#REF!</definedName>
    <definedName name="outsideserv" localSheetId="8">#REF!</definedName>
    <definedName name="outsideserv">#REF!</definedName>
    <definedName name="Period_TBL1" localSheetId="8">#REF!</definedName>
    <definedName name="Period_TBL1">#REF!</definedName>
    <definedName name="Period_TBL2" localSheetId="8">#REF!</definedName>
    <definedName name="Period_TBL2">#REF!</definedName>
    <definedName name="Period_TBL3" localSheetId="8">#REF!</definedName>
    <definedName name="Period_TBL3">#REF!</definedName>
    <definedName name="Period_TBL4" localSheetId="8">#REF!</definedName>
    <definedName name="Period_TBL4">#REF!</definedName>
    <definedName name="PERIODSETNAME1" localSheetId="8">#REF!</definedName>
    <definedName name="PERIODSETNAME1">#REF!</definedName>
    <definedName name="PERIODYEAR1" localSheetId="8">#REF!</definedName>
    <definedName name="PERIODYEAR1">#REF!</definedName>
    <definedName name="PHONES" localSheetId="8">#REF!</definedName>
    <definedName name="PHONES">#REF!</definedName>
    <definedName name="postage" localSheetId="8">#REF!</definedName>
    <definedName name="postage">#REF!</definedName>
    <definedName name="_xlnm.Print_Area" localSheetId="2">'2016 provision'!$A$1:$M$86</definedName>
    <definedName name="_xlnm.Print_Area" localSheetId="7">'ac 248000 activity '!$A$1:$Z$63</definedName>
    <definedName name="_xlnm.Print_Area" localSheetId="8">'ac 248000 activity -2015'!$A$1:$Z$136</definedName>
    <definedName name="_xlnm.Print_Area" localSheetId="13">cbs!$A$1:$O$53</definedName>
    <definedName name="_xlnm.Print_Area" localSheetId="16">cpl!$A$1:$O$33</definedName>
    <definedName name="_xlnm.Print_Area" localSheetId="6">'ct &amp; wa ti 12-31-16'!$A$1:$M$42</definedName>
    <definedName name="_xlnm.Print_Area" localSheetId="14">'ct bs'!$A$1:$K$141</definedName>
    <definedName name="_xlnm.Print_Area" localSheetId="0">'index &amp; processes'!$A$1:$G$55</definedName>
    <definedName name="_xlnm.Print_Area" localSheetId="1">'memo &amp; fs inserts'!$A$1:$M$111</definedName>
    <definedName name="_xlnm.Print_Area" localSheetId="12">'state tax information'!$A$1:$AY$66</definedName>
    <definedName name="_xlnm.Print_Area" localSheetId="5">'wa taxable income'!$A$1:$W$30</definedName>
    <definedName name="READONLYBACKCOLOUR1" localSheetId="8">#REF!</definedName>
    <definedName name="READONLYBACKCOLOUR1" localSheetId="17">#REF!</definedName>
    <definedName name="READONLYBACKCOLOUR1">#REF!</definedName>
    <definedName name="READWRITEBACKCOLOUR1" localSheetId="8">#REF!</definedName>
    <definedName name="READWRITEBACKCOLOUR1">#REF!</definedName>
    <definedName name="repairs" localSheetId="8">#REF!</definedName>
    <definedName name="repairs">#REF!</definedName>
    <definedName name="ReportTitle1" localSheetId="8">#REF!</definedName>
    <definedName name="ReportTitle1">#REF!</definedName>
    <definedName name="ReportTitle2" localSheetId="8">#REF!</definedName>
    <definedName name="ReportTitle2">#REF!</definedName>
    <definedName name="ReportTitle3" localSheetId="8">#REF!</definedName>
    <definedName name="ReportTitle3">#REF!</definedName>
    <definedName name="ReportTitle4" localSheetId="8">#REF!</definedName>
    <definedName name="ReportTitle4">#REF!</definedName>
    <definedName name="ReportTitle5" localSheetId="8">#REF!</definedName>
    <definedName name="ReportTitle5">#REF!</definedName>
    <definedName name="REQUIREBUDGETJOURNALSFLAG1" localSheetId="8">#REF!</definedName>
    <definedName name="REQUIREBUDGETJOURNALSFLAG1">#REF!</definedName>
    <definedName name="RESPONSIBILITYAPPLICATIONID1" localSheetId="8">#REF!</definedName>
    <definedName name="RESPONSIBILITYAPPLICATIONID1">#REF!</definedName>
    <definedName name="RESPONSIBILITYID1" localSheetId="8">#REF!</definedName>
    <definedName name="RESPONSIBILITYID1">#REF!</definedName>
    <definedName name="RESPONSIBILITYNAME1" localSheetId="8">#REF!</definedName>
    <definedName name="RESPONSIBILITYNAME1">#REF!</definedName>
    <definedName name="Restaurant">'[5]Drop Down List'!$C$1:$C$59</definedName>
    <definedName name="RowDetails1" localSheetId="8">#REF!</definedName>
    <definedName name="RowDetails1" localSheetId="17">#REF!</definedName>
    <definedName name="RowDetails1">#REF!</definedName>
    <definedName name="RowDetails2" localSheetId="8">#REF!</definedName>
    <definedName name="RowDetails2" localSheetId="17">#REF!</definedName>
    <definedName name="RowDetails2">#REF!</definedName>
    <definedName name="RowDetails3" localSheetId="8">#REF!</definedName>
    <definedName name="RowDetails3" localSheetId="17">#REF!</definedName>
    <definedName name="RowDetails3">#REF!</definedName>
    <definedName name="RowDetails4" localSheetId="8">#REF!</definedName>
    <definedName name="RowDetails4">#REF!</definedName>
    <definedName name="RowDetails5" localSheetId="8">#REF!</definedName>
    <definedName name="RowDetails5">#REF!</definedName>
    <definedName name="ROWSTOUPLOAD1" localSheetId="8">#REF!</definedName>
    <definedName name="ROWSTOUPLOAD1">#REF!</definedName>
    <definedName name="salaries" localSheetId="8">#REF!</definedName>
    <definedName name="salaries">#REF!</definedName>
    <definedName name="salaries1" localSheetId="8">#REF!</definedName>
    <definedName name="salaries1">#REF!</definedName>
    <definedName name="salaries2" localSheetId="8">#REF!</definedName>
    <definedName name="salaries2">#REF!</definedName>
    <definedName name="Sales_Tax">'[10]Full Monty'!$D$4</definedName>
    <definedName name="sddc" localSheetId="8">#REF!</definedName>
    <definedName name="sddc" localSheetId="17">#REF!</definedName>
    <definedName name="sddc">#REF!</definedName>
    <definedName name="SEG1_DIRECTION1" localSheetId="8">#REF!</definedName>
    <definedName name="SEG1_DIRECTION1" localSheetId="17">#REF!</definedName>
    <definedName name="SEG1_DIRECTION1">#REF!</definedName>
    <definedName name="SEG1_FROM1" localSheetId="8">#REF!</definedName>
    <definedName name="SEG1_FROM1" localSheetId="17">#REF!</definedName>
    <definedName name="SEG1_FROM1">#REF!</definedName>
    <definedName name="SEG1_SORT1" localSheetId="8">#REF!</definedName>
    <definedName name="SEG1_SORT1">#REF!</definedName>
    <definedName name="SEG1_TO1" localSheetId="8">#REF!</definedName>
    <definedName name="SEG1_TO1">#REF!</definedName>
    <definedName name="SEG2_DIRECTION1" localSheetId="8">#REF!</definedName>
    <definedName name="SEG2_DIRECTION1">#REF!</definedName>
    <definedName name="SEG2_FROM1" localSheetId="8">#REF!</definedName>
    <definedName name="SEG2_FROM1">#REF!</definedName>
    <definedName name="SEG2_SORT1" localSheetId="8">#REF!</definedName>
    <definedName name="SEG2_SORT1">#REF!</definedName>
    <definedName name="SEG2_TO1" localSheetId="8">#REF!</definedName>
    <definedName name="SEG2_TO1">#REF!</definedName>
    <definedName name="SEG3_DIRECTION1" localSheetId="8">#REF!</definedName>
    <definedName name="SEG3_DIRECTION1">#REF!</definedName>
    <definedName name="SEG3_FROM1" localSheetId="8">#REF!</definedName>
    <definedName name="SEG3_FROM1">#REF!</definedName>
    <definedName name="SEG3_SORT1" localSheetId="8">#REF!</definedName>
    <definedName name="SEG3_SORT1">#REF!</definedName>
    <definedName name="SEG3_TO1" localSheetId="8">#REF!</definedName>
    <definedName name="SEG3_TO1">#REF!</definedName>
    <definedName name="seq">[6]RunTime!$C$4</definedName>
    <definedName name="SETOFBOOKSID1" localSheetId="8">#REF!</definedName>
    <definedName name="SETOFBOOKSID1" localSheetId="17">#REF!</definedName>
    <definedName name="SETOFBOOKSID1">#REF!</definedName>
    <definedName name="SETOFBOOKSNAME1" localSheetId="8">#REF!</definedName>
    <definedName name="SETOFBOOKSNAME1" localSheetId="17">#REF!</definedName>
    <definedName name="SETOFBOOKSNAME1">#REF!</definedName>
    <definedName name="STARTBUDGETPOST1" localSheetId="8">#REF!</definedName>
    <definedName name="STARTBUDGETPOST1" localSheetId="17">#REF!</definedName>
    <definedName name="STARTBUDGETPOST1">#REF!</definedName>
    <definedName name="STARTPERIODNAME1" localSheetId="8">#REF!</definedName>
    <definedName name="STARTPERIODNAME1">#REF!</definedName>
    <definedName name="STARTPERIODNUM1" localSheetId="8">#REF!</definedName>
    <definedName name="STARTPERIODNUM1">#REF!</definedName>
    <definedName name="STARTPERIODYEAR1" localSheetId="8">#REF!</definedName>
    <definedName name="STARTPERIODYEAR1">#REF!</definedName>
    <definedName name="stmtbeg">[6]Data!$D$1</definedName>
    <definedName name="stmtdata">[6]Data!$D$1:$H$67</definedName>
    <definedName name="stmtdt">[6]RunTime!$C$11</definedName>
    <definedName name="stmtdte">[6]RunTime!$C$11</definedName>
    <definedName name="storegrpcd">[6]RunTime!$C$12</definedName>
    <definedName name="supplies" localSheetId="8">#REF!</definedName>
    <definedName name="supplies" localSheetId="17">#REF!</definedName>
    <definedName name="supplies">#REF!</definedName>
    <definedName name="Tab_Ref01" localSheetId="8">#REF!</definedName>
    <definedName name="Tab_Ref01" localSheetId="17">#REF!</definedName>
    <definedName name="Tab_Ref01">#REF!</definedName>
    <definedName name="Tab_Ref02" localSheetId="8">#REF!</definedName>
    <definedName name="Tab_Ref02" localSheetId="17">#REF!</definedName>
    <definedName name="Tab_Ref02">#REF!</definedName>
    <definedName name="Tab_Ref03" localSheetId="8">#REF!</definedName>
    <definedName name="Tab_Ref03">#REF!</definedName>
    <definedName name="Tab_RefA" localSheetId="8">#REF!</definedName>
    <definedName name="Tab_RefA">#REF!</definedName>
    <definedName name="Tab_RefB" localSheetId="8">#REF!</definedName>
    <definedName name="Tab_RefB">#REF!</definedName>
    <definedName name="Tab_RefSCF09" localSheetId="8">#REF!</definedName>
    <definedName name="Tab_RefSCF09">#REF!</definedName>
    <definedName name="Tab_RefSCF10" localSheetId="8">#REF!</definedName>
    <definedName name="Tab_RefSCF10">#REF!</definedName>
    <definedName name="Tab_RefSCF11" localSheetId="8">#REF!</definedName>
    <definedName name="Tab_RefSCF11">#REF!</definedName>
    <definedName name="taxes" localSheetId="8">#REF!</definedName>
    <definedName name="taxes">#REF!</definedName>
    <definedName name="temps" localSheetId="8">#REF!</definedName>
    <definedName name="temps">#REF!</definedName>
    <definedName name="travel" localSheetId="8">#REF!</definedName>
    <definedName name="travel">#REF!</definedName>
    <definedName name="Type">'[5]Drop Down List'!$D$1:$D$7</definedName>
    <definedName name="UPDATELOGICTYPE1" localSheetId="8">#REF!</definedName>
    <definedName name="UPDATELOGICTYPE1" localSheetId="17">#REF!</definedName>
    <definedName name="UPDATELOGICTYPE1">#REF!</definedName>
    <definedName name="wages" localSheetId="8">#REF!</definedName>
    <definedName name="wages" localSheetId="17">#REF!</definedName>
    <definedName name="wages">#REF!</definedName>
    <definedName name="wrn.SEC._.XL." localSheetId="14" hidden="1">{"Balance sheet",#N/A,FALSE,"sec doc"}</definedName>
    <definedName name="wrn.SEC._.XL." localSheetId="17" hidden="1">{"Balance sheet",#N/A,FALSE,"sec doc"}</definedName>
    <definedName name="wrn.SEC._.XL." hidden="1">{"Balance sheet",#N/A,FALSE,"sec doc"}</definedName>
    <definedName name="wrn.SEC._.XLS." localSheetId="14" hidden="1">{"Income Statement",#N/A,FALSE,"sheet1"}</definedName>
    <definedName name="wrn.SEC._.XLS." localSheetId="17" hidden="1">{"Income Statement",#N/A,FALSE,"sheet1"}</definedName>
    <definedName name="wrn.SEC._.XLS." hidden="1">{"Income Statement",#N/A,FALSE,"sheet1"}</definedName>
    <definedName name="Year1" localSheetId="8">#REF!</definedName>
    <definedName name="Year1" localSheetId="17">#REF!</definedName>
    <definedName name="Year1">#REF!</definedName>
  </definedNames>
  <calcPr calcId="171027"/>
</workbook>
</file>

<file path=xl/calcChain.xml><?xml version="1.0" encoding="utf-8"?>
<calcChain xmlns="http://schemas.openxmlformats.org/spreadsheetml/2006/main">
  <c r="D84" i="16" l="1"/>
  <c r="J35" i="35"/>
  <c r="L24" i="46"/>
  <c r="D16" i="16"/>
  <c r="G49" i="42"/>
  <c r="I49" i="42" s="1"/>
  <c r="K49" i="42" s="1"/>
  <c r="E48" i="42"/>
  <c r="C48" i="42"/>
  <c r="G47" i="42"/>
  <c r="E47" i="42"/>
  <c r="C47" i="42"/>
  <c r="C46" i="42"/>
  <c r="G46" i="42" s="1"/>
  <c r="I46" i="42" s="1"/>
  <c r="K46" i="42" s="1"/>
  <c r="I45" i="42"/>
  <c r="K45" i="42" s="1"/>
  <c r="E45" i="42"/>
  <c r="C44" i="42"/>
  <c r="G44" i="42" s="1"/>
  <c r="G43" i="42"/>
  <c r="E43" i="42"/>
  <c r="E51" i="42" s="1"/>
  <c r="C43" i="42"/>
  <c r="E39" i="42"/>
  <c r="I39" i="42" s="1"/>
  <c r="K39" i="42" s="1"/>
  <c r="C38" i="42"/>
  <c r="I38" i="42" s="1"/>
  <c r="K38" i="42" s="1"/>
  <c r="E37" i="42"/>
  <c r="C37" i="42"/>
  <c r="G36" i="42"/>
  <c r="G41" i="42" s="1"/>
  <c r="E34" i="42"/>
  <c r="C34" i="42"/>
  <c r="E33" i="42"/>
  <c r="C33" i="42"/>
  <c r="C32" i="42"/>
  <c r="I32" i="42" s="1"/>
  <c r="K32" i="42" s="1"/>
  <c r="E31" i="42"/>
  <c r="C31" i="42"/>
  <c r="E30" i="42"/>
  <c r="C30" i="42"/>
  <c r="E29" i="42"/>
  <c r="C29" i="42"/>
  <c r="E28" i="42"/>
  <c r="E27" i="42"/>
  <c r="C27" i="42"/>
  <c r="E22" i="42"/>
  <c r="I22" i="42" s="1"/>
  <c r="K22" i="42" s="1"/>
  <c r="E21" i="42"/>
  <c r="E20" i="42"/>
  <c r="C20" i="42"/>
  <c r="E19" i="42"/>
  <c r="C19" i="42"/>
  <c r="I19" i="42" s="1"/>
  <c r="K19" i="42" s="1"/>
  <c r="E16" i="42"/>
  <c r="I16" i="42" s="1"/>
  <c r="K16" i="42" s="1"/>
  <c r="E15" i="42"/>
  <c r="I15" i="42" s="1"/>
  <c r="K15" i="42" s="1"/>
  <c r="E14" i="42"/>
  <c r="E11" i="42" s="1"/>
  <c r="C14" i="42"/>
  <c r="C11" i="42" s="1"/>
  <c r="E13" i="42"/>
  <c r="C13" i="42"/>
  <c r="I13" i="42" s="1"/>
  <c r="K13" i="42" s="1"/>
  <c r="E12" i="42"/>
  <c r="C12" i="42"/>
  <c r="I12" i="42" s="1"/>
  <c r="K12" i="42" s="1"/>
  <c r="G11" i="42"/>
  <c r="G18" i="42" s="1"/>
  <c r="E10" i="42"/>
  <c r="C10" i="42"/>
  <c r="D138" i="49"/>
  <c r="D139" i="49"/>
  <c r="D140" i="49"/>
  <c r="D137" i="49"/>
  <c r="D95" i="49"/>
  <c r="D96" i="49"/>
  <c r="D97" i="49"/>
  <c r="D98" i="49"/>
  <c r="D99" i="49"/>
  <c r="D100" i="49"/>
  <c r="D101" i="49"/>
  <c r="D102" i="49"/>
  <c r="D103" i="49"/>
  <c r="D104" i="49"/>
  <c r="D105" i="49"/>
  <c r="D106" i="49"/>
  <c r="D107" i="49"/>
  <c r="D108" i="49"/>
  <c r="D109" i="49"/>
  <c r="D110" i="49"/>
  <c r="D111" i="49"/>
  <c r="D112" i="49"/>
  <c r="D113" i="49"/>
  <c r="D114" i="49"/>
  <c r="D115" i="49"/>
  <c r="D116" i="49"/>
  <c r="D117" i="49"/>
  <c r="D118" i="49"/>
  <c r="D119" i="49"/>
  <c r="D120" i="49"/>
  <c r="D121" i="49"/>
  <c r="D122" i="49"/>
  <c r="D123" i="49"/>
  <c r="D124" i="49"/>
  <c r="D125" i="49"/>
  <c r="D126" i="49"/>
  <c r="D127" i="49"/>
  <c r="D128" i="49"/>
  <c r="D129" i="49"/>
  <c r="D130" i="49"/>
  <c r="D131" i="49"/>
  <c r="D132" i="49"/>
  <c r="D133" i="49"/>
  <c r="D134" i="49"/>
  <c r="D94" i="49"/>
  <c r="D14" i="49"/>
  <c r="D15" i="49"/>
  <c r="D17" i="49"/>
  <c r="D18" i="49"/>
  <c r="D19" i="49"/>
  <c r="D20" i="49"/>
  <c r="D21" i="49"/>
  <c r="D22" i="49"/>
  <c r="D23" i="49"/>
  <c r="D24" i="49"/>
  <c r="D25" i="49"/>
  <c r="D26" i="49"/>
  <c r="D27" i="49"/>
  <c r="D28" i="49"/>
  <c r="D29" i="49"/>
  <c r="D31" i="49"/>
  <c r="D32" i="49"/>
  <c r="D33" i="49"/>
  <c r="D34" i="49"/>
  <c r="D35" i="49"/>
  <c r="D36" i="49"/>
  <c r="D37" i="49"/>
  <c r="D38" i="49"/>
  <c r="D39" i="49"/>
  <c r="D40" i="49"/>
  <c r="D41" i="49"/>
  <c r="D42" i="49"/>
  <c r="D43" i="49"/>
  <c r="D44" i="49"/>
  <c r="D45" i="49"/>
  <c r="D46" i="49"/>
  <c r="D47" i="49"/>
  <c r="D48" i="49"/>
  <c r="D49" i="49"/>
  <c r="D50" i="49"/>
  <c r="D51" i="49"/>
  <c r="D52" i="49"/>
  <c r="D53" i="49"/>
  <c r="D54" i="49"/>
  <c r="D55" i="49"/>
  <c r="D56" i="49"/>
  <c r="D57" i="49"/>
  <c r="D58" i="49"/>
  <c r="D59" i="49"/>
  <c r="D60" i="49"/>
  <c r="D61" i="49"/>
  <c r="D62" i="49"/>
  <c r="D63" i="49"/>
  <c r="D64" i="49"/>
  <c r="D65" i="49"/>
  <c r="D66" i="49"/>
  <c r="D67" i="49"/>
  <c r="D68" i="49"/>
  <c r="D69" i="49"/>
  <c r="D70" i="49"/>
  <c r="D71" i="49"/>
  <c r="D72" i="49"/>
  <c r="D73" i="49"/>
  <c r="D74" i="49"/>
  <c r="D75" i="49"/>
  <c r="D76" i="49"/>
  <c r="D77" i="49"/>
  <c r="D78" i="49"/>
  <c r="D79" i="49"/>
  <c r="D80" i="49"/>
  <c r="D81" i="49"/>
  <c r="D82" i="49"/>
  <c r="D83" i="49"/>
  <c r="D84" i="49"/>
  <c r="D85" i="49"/>
  <c r="D86" i="49"/>
  <c r="D87" i="49"/>
  <c r="D88" i="49"/>
  <c r="D89" i="49"/>
  <c r="D90" i="49"/>
  <c r="D13" i="49"/>
  <c r="I34" i="42" l="1"/>
  <c r="K34" i="42" s="1"/>
  <c r="E36" i="42"/>
  <c r="E41" i="42" s="1"/>
  <c r="I29" i="42"/>
  <c r="K29" i="42" s="1"/>
  <c r="I31" i="42"/>
  <c r="K31" i="42" s="1"/>
  <c r="I37" i="42"/>
  <c r="K37" i="42" s="1"/>
  <c r="I11" i="42"/>
  <c r="K11" i="42" s="1"/>
  <c r="I14" i="42"/>
  <c r="K14" i="42" s="1"/>
  <c r="I20" i="42"/>
  <c r="K20" i="42" s="1"/>
  <c r="C36" i="42"/>
  <c r="C41" i="42" s="1"/>
  <c r="C53" i="42" s="1"/>
  <c r="C51" i="42"/>
  <c r="I47" i="42"/>
  <c r="K47" i="42" s="1"/>
  <c r="E18" i="42"/>
  <c r="E24" i="42" s="1"/>
  <c r="I33" i="42"/>
  <c r="K33" i="42" s="1"/>
  <c r="C18" i="42"/>
  <c r="C24" i="42" s="1"/>
  <c r="I30" i="42"/>
  <c r="K30" i="42" s="1"/>
  <c r="E53" i="42"/>
  <c r="G21" i="42"/>
  <c r="G24" i="42" s="1"/>
  <c r="I28" i="42"/>
  <c r="K28" i="42" s="1"/>
  <c r="I43" i="42"/>
  <c r="I44" i="42"/>
  <c r="K44" i="42" s="1"/>
  <c r="G48" i="42"/>
  <c r="G51" i="42" s="1"/>
  <c r="G53" i="42" s="1"/>
  <c r="I10" i="42"/>
  <c r="I27" i="42"/>
  <c r="K10" i="42" l="1"/>
  <c r="K18" i="42" s="1"/>
  <c r="I18" i="42"/>
  <c r="I48" i="42"/>
  <c r="K48" i="42" s="1"/>
  <c r="I21" i="42"/>
  <c r="K21" i="42" s="1"/>
  <c r="K27" i="42"/>
  <c r="K36" i="42" s="1"/>
  <c r="K41" i="42" s="1"/>
  <c r="I36" i="42"/>
  <c r="I41" i="42" s="1"/>
  <c r="I51" i="42"/>
  <c r="K43" i="42"/>
  <c r="K51" i="42" s="1"/>
  <c r="E18" i="28"/>
  <c r="I10" i="28"/>
  <c r="I24" i="42" l="1"/>
  <c r="K53" i="42"/>
  <c r="I53" i="42"/>
  <c r="K24" i="42"/>
  <c r="D39" i="35" l="1"/>
  <c r="D501" i="44" l="1"/>
  <c r="L9" i="46" s="1"/>
  <c r="S27" i="26" l="1"/>
  <c r="D135" i="49" l="1"/>
  <c r="D142" i="49" s="1"/>
  <c r="D91" i="49"/>
  <c r="D146" i="49" l="1"/>
  <c r="A3" i="43" l="1"/>
  <c r="E502" i="44"/>
  <c r="E501" i="44"/>
  <c r="C92" i="57" l="1"/>
  <c r="U90" i="57"/>
  <c r="C88" i="57"/>
  <c r="AE87" i="57"/>
  <c r="S87" i="57"/>
  <c r="U87" i="57" s="1"/>
  <c r="U86" i="57"/>
  <c r="U84" i="57"/>
  <c r="AE83" i="57"/>
  <c r="AE88" i="57" s="1"/>
  <c r="U83" i="57"/>
  <c r="S82" i="57"/>
  <c r="S88" i="57" s="1"/>
  <c r="U91" i="57" s="1"/>
  <c r="U92" i="57" s="1"/>
  <c r="U81" i="57"/>
  <c r="U80" i="57"/>
  <c r="U79" i="57"/>
  <c r="U78" i="57"/>
  <c r="AA73" i="57"/>
  <c r="O73" i="57"/>
  <c r="I73" i="57"/>
  <c r="C72" i="57"/>
  <c r="C74" i="57" s="1"/>
  <c r="A62" i="57"/>
  <c r="I50" i="57"/>
  <c r="E71" i="57" s="1"/>
  <c r="I71" i="57" s="1"/>
  <c r="C49" i="57"/>
  <c r="C51" i="57" s="1"/>
  <c r="U48" i="57"/>
  <c r="S48" i="57"/>
  <c r="E48" i="57"/>
  <c r="I48" i="57" s="1"/>
  <c r="K48" i="57" s="1"/>
  <c r="O48" i="57" s="1"/>
  <c r="W48" i="57" s="1"/>
  <c r="E46" i="57"/>
  <c r="I46" i="57" s="1"/>
  <c r="O46" i="57" s="1"/>
  <c r="C44" i="57"/>
  <c r="U43" i="57"/>
  <c r="U42" i="57"/>
  <c r="U41" i="57"/>
  <c r="U40" i="57"/>
  <c r="U39" i="57"/>
  <c r="U38" i="57"/>
  <c r="U37" i="57"/>
  <c r="U35" i="57"/>
  <c r="U34" i="57"/>
  <c r="U32" i="57"/>
  <c r="U31" i="57"/>
  <c r="U30" i="57"/>
  <c r="S25" i="57"/>
  <c r="Q25" i="57"/>
  <c r="M25" i="57"/>
  <c r="K25" i="57"/>
  <c r="G25" i="57"/>
  <c r="E25" i="57"/>
  <c r="C25" i="57"/>
  <c r="I24" i="57"/>
  <c r="E43" i="57" s="1"/>
  <c r="I22" i="57"/>
  <c r="O21" i="57"/>
  <c r="K41" i="57" s="1"/>
  <c r="I20" i="57"/>
  <c r="E40" i="57" s="1"/>
  <c r="I40" i="57" s="1"/>
  <c r="I19" i="57"/>
  <c r="I18" i="57"/>
  <c r="E38" i="57" s="1"/>
  <c r="AE17" i="57"/>
  <c r="I17" i="57"/>
  <c r="O17" i="57" s="1"/>
  <c r="AQ16" i="57"/>
  <c r="I16" i="57"/>
  <c r="G36" i="57" s="1"/>
  <c r="I15" i="57"/>
  <c r="E35" i="57" s="1"/>
  <c r="AW14" i="57"/>
  <c r="AQ14" i="57"/>
  <c r="I14" i="57"/>
  <c r="E34" i="57" s="1"/>
  <c r="AW13" i="57"/>
  <c r="AQ13" i="57"/>
  <c r="I13" i="57"/>
  <c r="AW12" i="57"/>
  <c r="AQ12" i="57"/>
  <c r="I12" i="57"/>
  <c r="O12" i="57" s="1"/>
  <c r="AW11" i="57"/>
  <c r="AQ11" i="57"/>
  <c r="I11" i="57"/>
  <c r="O11" i="57" s="1"/>
  <c r="AW10" i="57"/>
  <c r="AQ10" i="57"/>
  <c r="I10" i="57"/>
  <c r="E30" i="57" s="1"/>
  <c r="K70" i="57" l="1"/>
  <c r="K84" i="57" s="1"/>
  <c r="O84" i="57" s="1"/>
  <c r="E32" i="57"/>
  <c r="E57" i="57" s="1"/>
  <c r="I57" i="57" s="1"/>
  <c r="O24" i="57"/>
  <c r="K43" i="57" s="1"/>
  <c r="O43" i="57" s="1"/>
  <c r="AY12" i="57"/>
  <c r="O18" i="57"/>
  <c r="K38" i="57" s="1"/>
  <c r="O38" i="57" s="1"/>
  <c r="AY10" i="57"/>
  <c r="O50" i="57"/>
  <c r="K71" i="57" s="1"/>
  <c r="O71" i="57" s="1"/>
  <c r="K32" i="57"/>
  <c r="O32" i="57" s="1"/>
  <c r="U12" i="57"/>
  <c r="K37" i="57"/>
  <c r="O37" i="57" s="1"/>
  <c r="U17" i="57"/>
  <c r="AY14" i="57"/>
  <c r="U21" i="57"/>
  <c r="G60" i="57"/>
  <c r="E37" i="57"/>
  <c r="G62" i="57" s="1"/>
  <c r="G82" i="57" s="1"/>
  <c r="G48" i="57"/>
  <c r="E62" i="57" s="1"/>
  <c r="U82" i="57"/>
  <c r="U88" i="57" s="1"/>
  <c r="O10" i="57"/>
  <c r="U10" i="57" s="1"/>
  <c r="O15" i="57"/>
  <c r="O16" i="57"/>
  <c r="E65" i="57"/>
  <c r="I65" i="57" s="1"/>
  <c r="I35" i="57"/>
  <c r="M48" i="57"/>
  <c r="K62" i="57" s="1"/>
  <c r="AA48" i="57"/>
  <c r="Y48" i="57"/>
  <c r="W62" i="57" s="1"/>
  <c r="E42" i="57"/>
  <c r="O22" i="57"/>
  <c r="I25" i="57"/>
  <c r="O41" i="57"/>
  <c r="K66" i="57"/>
  <c r="O66" i="57" s="1"/>
  <c r="AY11" i="57"/>
  <c r="O14" i="57"/>
  <c r="E55" i="57"/>
  <c r="I30" i="57"/>
  <c r="G33" i="57"/>
  <c r="O13" i="57"/>
  <c r="I36" i="57"/>
  <c r="G61" i="57"/>
  <c r="I61" i="57" s="1"/>
  <c r="O20" i="57"/>
  <c r="E31" i="57"/>
  <c r="I32" i="57"/>
  <c r="E63" i="57"/>
  <c r="I38" i="57"/>
  <c r="K31" i="57"/>
  <c r="U11" i="57"/>
  <c r="E59" i="57"/>
  <c r="I34" i="57"/>
  <c r="I60" i="57"/>
  <c r="E39" i="57"/>
  <c r="O19" i="57"/>
  <c r="I43" i="57"/>
  <c r="E68" i="57"/>
  <c r="I68" i="57" s="1"/>
  <c r="E86" i="57" s="1"/>
  <c r="I86" i="57" s="1"/>
  <c r="E70" i="57"/>
  <c r="O70" i="57"/>
  <c r="P55" i="38"/>
  <c r="P54" i="38"/>
  <c r="X52" i="38"/>
  <c r="X53" i="38"/>
  <c r="X51" i="38"/>
  <c r="T50" i="38"/>
  <c r="N49" i="38"/>
  <c r="N44" i="38"/>
  <c r="X49" i="38"/>
  <c r="X48" i="38"/>
  <c r="X47" i="38"/>
  <c r="X45" i="38"/>
  <c r="T43" i="38"/>
  <c r="T42" i="38"/>
  <c r="X40" i="38"/>
  <c r="X41" i="38"/>
  <c r="X42" i="38"/>
  <c r="X38" i="38"/>
  <c r="X39" i="38"/>
  <c r="N32" i="38"/>
  <c r="X34" i="38"/>
  <c r="X35" i="38"/>
  <c r="X36" i="38"/>
  <c r="X33" i="38"/>
  <c r="T37" i="38"/>
  <c r="P31" i="38"/>
  <c r="T30" i="38"/>
  <c r="T29" i="38"/>
  <c r="N133" i="56"/>
  <c r="D26" i="35"/>
  <c r="X57" i="38"/>
  <c r="X56" i="38"/>
  <c r="X22" i="38"/>
  <c r="X23" i="38"/>
  <c r="X24" i="38"/>
  <c r="X25" i="38"/>
  <c r="X26" i="38"/>
  <c r="X27" i="38"/>
  <c r="X28" i="38"/>
  <c r="X29" i="38"/>
  <c r="X21" i="38"/>
  <c r="N15" i="38"/>
  <c r="X12" i="38"/>
  <c r="X13" i="38"/>
  <c r="X14" i="38"/>
  <c r="X11" i="38"/>
  <c r="N10" i="38"/>
  <c r="T9" i="38"/>
  <c r="X7" i="38"/>
  <c r="U24" i="57" l="1"/>
  <c r="I37" i="57"/>
  <c r="K57" i="57"/>
  <c r="O57" i="57" s="1"/>
  <c r="K68" i="57"/>
  <c r="O68" i="57" s="1"/>
  <c r="K86" i="57" s="1"/>
  <c r="O86" i="57" s="1"/>
  <c r="G87" i="57"/>
  <c r="I87" i="57" s="1"/>
  <c r="K63" i="57"/>
  <c r="U18" i="57"/>
  <c r="K30" i="57"/>
  <c r="K55" i="57" s="1"/>
  <c r="I62" i="57"/>
  <c r="M62" i="57"/>
  <c r="M82" i="57" s="1"/>
  <c r="U50" i="57"/>
  <c r="AA50" i="57" s="1"/>
  <c r="W71" i="57" s="1"/>
  <c r="AA71" i="57" s="1"/>
  <c r="K35" i="57"/>
  <c r="U15" i="57"/>
  <c r="M36" i="57"/>
  <c r="U16" i="57"/>
  <c r="S36" i="57" s="1"/>
  <c r="U36" i="57" s="1"/>
  <c r="I59" i="57"/>
  <c r="E82" i="57"/>
  <c r="I82" i="57" s="1"/>
  <c r="U14" i="57"/>
  <c r="K34" i="57"/>
  <c r="O25" i="57"/>
  <c r="U19" i="57"/>
  <c r="K39" i="57"/>
  <c r="G72" i="57"/>
  <c r="G74" i="57" s="1"/>
  <c r="I63" i="57"/>
  <c r="E79" i="57"/>
  <c r="I79" i="57" s="1"/>
  <c r="U20" i="57"/>
  <c r="K40" i="57"/>
  <c r="U13" i="57"/>
  <c r="M33" i="57"/>
  <c r="I70" i="57"/>
  <c r="E84" i="57"/>
  <c r="I84" i="57" s="1"/>
  <c r="I39" i="57"/>
  <c r="E64" i="57"/>
  <c r="K56" i="57"/>
  <c r="O31" i="57"/>
  <c r="G88" i="57"/>
  <c r="I91" i="57" s="1"/>
  <c r="E56" i="57"/>
  <c r="I31" i="57"/>
  <c r="E44" i="57"/>
  <c r="G44" i="57"/>
  <c r="G47" i="57" s="1"/>
  <c r="G49" i="57" s="1"/>
  <c r="G51" i="57" s="1"/>
  <c r="I33" i="57"/>
  <c r="E58" i="57"/>
  <c r="I58" i="57" s="1"/>
  <c r="U22" i="57"/>
  <c r="AA22" i="57" s="1"/>
  <c r="K42" i="57"/>
  <c r="O63" i="57"/>
  <c r="I55" i="57"/>
  <c r="E81" i="57"/>
  <c r="I81" i="57" s="1"/>
  <c r="I42" i="57"/>
  <c r="E67" i="57"/>
  <c r="I67" i="57" s="1"/>
  <c r="E83" i="57" s="1"/>
  <c r="I83" i="57" s="1"/>
  <c r="J46" i="38"/>
  <c r="X46" i="38" s="1"/>
  <c r="X135" i="56"/>
  <c r="V135" i="56"/>
  <c r="T135" i="56"/>
  <c r="R135" i="56"/>
  <c r="P135" i="56"/>
  <c r="N135" i="56"/>
  <c r="J135" i="56"/>
  <c r="H135" i="56"/>
  <c r="J134" i="56"/>
  <c r="H134" i="56"/>
  <c r="P133" i="56"/>
  <c r="N132" i="56"/>
  <c r="N131" i="56"/>
  <c r="N130" i="56"/>
  <c r="P129" i="56"/>
  <c r="T128" i="56"/>
  <c r="T127" i="56"/>
  <c r="T126" i="56"/>
  <c r="T125" i="56"/>
  <c r="T124" i="56"/>
  <c r="T123" i="56"/>
  <c r="T122" i="56"/>
  <c r="T121" i="56"/>
  <c r="X120" i="56"/>
  <c r="T119" i="56"/>
  <c r="X118" i="56"/>
  <c r="N117" i="56"/>
  <c r="X116" i="56"/>
  <c r="X115" i="56"/>
  <c r="T114" i="56"/>
  <c r="T113" i="56"/>
  <c r="T112" i="56"/>
  <c r="T111" i="56"/>
  <c r="T110" i="56"/>
  <c r="T109" i="56"/>
  <c r="T108" i="56"/>
  <c r="T107" i="56"/>
  <c r="T106" i="56"/>
  <c r="N105" i="56"/>
  <c r="N104" i="56"/>
  <c r="L103" i="56"/>
  <c r="L134" i="56" s="1"/>
  <c r="N102" i="56"/>
  <c r="P101" i="56"/>
  <c r="T100" i="56"/>
  <c r="T99" i="56"/>
  <c r="T98" i="56"/>
  <c r="T97" i="56"/>
  <c r="T96" i="56"/>
  <c r="T95" i="56"/>
  <c r="T94" i="56"/>
  <c r="T93" i="56"/>
  <c r="T92" i="56"/>
  <c r="T91" i="56"/>
  <c r="T90" i="56"/>
  <c r="T89" i="56"/>
  <c r="T88" i="56"/>
  <c r="T87" i="56"/>
  <c r="T86" i="56"/>
  <c r="T85" i="56"/>
  <c r="T84" i="56"/>
  <c r="T83" i="56"/>
  <c r="T82" i="56"/>
  <c r="T81" i="56"/>
  <c r="T80" i="56"/>
  <c r="N79" i="56"/>
  <c r="N78" i="56"/>
  <c r="V76" i="56"/>
  <c r="V75" i="56"/>
  <c r="V74" i="56"/>
  <c r="V73" i="56"/>
  <c r="V72" i="56"/>
  <c r="V71" i="56"/>
  <c r="V70" i="56"/>
  <c r="V69" i="56"/>
  <c r="V68" i="56"/>
  <c r="V67" i="56"/>
  <c r="V66" i="56"/>
  <c r="V65" i="56"/>
  <c r="V64" i="56"/>
  <c r="V63" i="56"/>
  <c r="V62" i="56"/>
  <c r="V61" i="56"/>
  <c r="V60" i="56"/>
  <c r="N59" i="56"/>
  <c r="R58" i="56"/>
  <c r="V57" i="56"/>
  <c r="V56" i="56"/>
  <c r="V55" i="56"/>
  <c r="V54" i="56"/>
  <c r="V53" i="56"/>
  <c r="V52" i="56"/>
  <c r="V51" i="56"/>
  <c r="V50" i="56"/>
  <c r="V49" i="56"/>
  <c r="V48" i="56"/>
  <c r="V47" i="56"/>
  <c r="V46" i="56"/>
  <c r="N45" i="56"/>
  <c r="N44" i="56"/>
  <c r="X43" i="56"/>
  <c r="N42" i="56"/>
  <c r="N41" i="56"/>
  <c r="N40" i="56"/>
  <c r="N39" i="56"/>
  <c r="N38" i="56"/>
  <c r="N134" i="56" s="1"/>
  <c r="N37" i="56"/>
  <c r="R36" i="56"/>
  <c r="V35" i="56"/>
  <c r="V34" i="56"/>
  <c r="V33" i="56"/>
  <c r="V32" i="56"/>
  <c r="V31" i="56"/>
  <c r="V30" i="56"/>
  <c r="X29" i="56"/>
  <c r="V28" i="56"/>
  <c r="V27" i="56"/>
  <c r="V26" i="56"/>
  <c r="V25" i="56"/>
  <c r="V24" i="56"/>
  <c r="V23" i="56"/>
  <c r="V22" i="56"/>
  <c r="V21" i="56"/>
  <c r="V20" i="56"/>
  <c r="V19" i="56"/>
  <c r="V18" i="56"/>
  <c r="V134" i="56" s="1"/>
  <c r="V17" i="56"/>
  <c r="V16" i="56"/>
  <c r="V15" i="56"/>
  <c r="X14" i="56"/>
  <c r="X13" i="56"/>
  <c r="N12" i="56"/>
  <c r="N11" i="56"/>
  <c r="X10" i="56"/>
  <c r="X9" i="56"/>
  <c r="X8" i="56"/>
  <c r="V7" i="56"/>
  <c r="J54" i="49"/>
  <c r="J53" i="49"/>
  <c r="X134" i="56" l="1"/>
  <c r="O30" i="57"/>
  <c r="O62" i="57"/>
  <c r="T134" i="56"/>
  <c r="M61" i="57"/>
  <c r="O61" i="57" s="1"/>
  <c r="O36" i="57"/>
  <c r="R134" i="56"/>
  <c r="P134" i="56"/>
  <c r="E134" i="56"/>
  <c r="E136" i="56" s="1"/>
  <c r="E138" i="56" s="1"/>
  <c r="G54" i="28" s="1"/>
  <c r="K44" i="57"/>
  <c r="K47" i="57" s="1"/>
  <c r="K49" i="57" s="1"/>
  <c r="K51" i="57" s="1"/>
  <c r="M60" i="57"/>
  <c r="O35" i="57"/>
  <c r="J55" i="49"/>
  <c r="U25" i="57"/>
  <c r="I64" i="57"/>
  <c r="E78" i="57"/>
  <c r="O40" i="57"/>
  <c r="K65" i="57"/>
  <c r="K81" i="57"/>
  <c r="O81" i="57" s="1"/>
  <c r="O55" i="57"/>
  <c r="I44" i="57"/>
  <c r="I47" i="57" s="1"/>
  <c r="I49" i="57" s="1"/>
  <c r="I51" i="57" s="1"/>
  <c r="E47" i="57"/>
  <c r="E49" i="57" s="1"/>
  <c r="E51" i="57" s="1"/>
  <c r="K67" i="57"/>
  <c r="O67" i="57" s="1"/>
  <c r="K83" i="57" s="1"/>
  <c r="O83" i="57" s="1"/>
  <c r="O42" i="57"/>
  <c r="O56" i="57"/>
  <c r="K58" i="57"/>
  <c r="O58" i="57" s="1"/>
  <c r="M44" i="57"/>
  <c r="M47" i="57" s="1"/>
  <c r="M49" i="57" s="1"/>
  <c r="M51" i="57" s="1"/>
  <c r="O33" i="57"/>
  <c r="O34" i="57"/>
  <c r="K59" i="57"/>
  <c r="E72" i="57"/>
  <c r="E74" i="57" s="1"/>
  <c r="I56" i="57"/>
  <c r="E80" i="57"/>
  <c r="I80" i="57" s="1"/>
  <c r="S33" i="57"/>
  <c r="AA13" i="57"/>
  <c r="O39" i="57"/>
  <c r="K64" i="57"/>
  <c r="E48" i="28"/>
  <c r="I72" i="57" l="1"/>
  <c r="I74" i="57" s="1"/>
  <c r="K80" i="57"/>
  <c r="O80" i="57" s="1"/>
  <c r="M72" i="57"/>
  <c r="M74" i="57" s="1"/>
  <c r="O60" i="57"/>
  <c r="M87" i="57"/>
  <c r="O44" i="57"/>
  <c r="O47" i="57" s="1"/>
  <c r="O49" i="57" s="1"/>
  <c r="O51" i="57" s="1"/>
  <c r="K78" i="57"/>
  <c r="O64" i="57"/>
  <c r="I78" i="57"/>
  <c r="I88" i="57" s="1"/>
  <c r="E88" i="57"/>
  <c r="I90" i="57" s="1"/>
  <c r="I92" i="57" s="1"/>
  <c r="Y33" i="57"/>
  <c r="AI13" i="57"/>
  <c r="O59" i="57"/>
  <c r="K82" i="57"/>
  <c r="O82" i="57" s="1"/>
  <c r="O65" i="57"/>
  <c r="K79" i="57"/>
  <c r="O79" i="57" s="1"/>
  <c r="S44" i="57"/>
  <c r="U33" i="57"/>
  <c r="K72" i="57"/>
  <c r="K74" i="57" s="1"/>
  <c r="H61" i="38"/>
  <c r="G41" i="28"/>
  <c r="G40" i="28"/>
  <c r="G37" i="28"/>
  <c r="I42" i="28"/>
  <c r="I39" i="28"/>
  <c r="Q17" i="26"/>
  <c r="H9" i="46"/>
  <c r="H27" i="46"/>
  <c r="H30" i="46"/>
  <c r="H31" i="46"/>
  <c r="H14" i="46"/>
  <c r="H15" i="46"/>
  <c r="J32" i="46"/>
  <c r="H16" i="46"/>
  <c r="H17" i="46"/>
  <c r="H18" i="46"/>
  <c r="H19" i="46"/>
  <c r="H20" i="46"/>
  <c r="H21" i="46"/>
  <c r="H22" i="46"/>
  <c r="H23" i="46"/>
  <c r="H24" i="46"/>
  <c r="H25" i="46"/>
  <c r="H26" i="46"/>
  <c r="H28" i="46"/>
  <c r="H29" i="46"/>
  <c r="H13" i="46"/>
  <c r="I43" i="28" l="1"/>
  <c r="G42" i="28"/>
  <c r="O72" i="57"/>
  <c r="O74" i="57" s="1"/>
  <c r="O87" i="57"/>
  <c r="M88" i="57"/>
  <c r="O91" i="57" s="1"/>
  <c r="K88" i="57"/>
  <c r="O90" i="57" s="1"/>
  <c r="O78" i="57"/>
  <c r="S47" i="57"/>
  <c r="S49" i="57" s="1"/>
  <c r="S51" i="57" s="1"/>
  <c r="U44" i="57"/>
  <c r="U47" i="57" s="1"/>
  <c r="U49" i="57" s="1"/>
  <c r="U51" i="57" s="1"/>
  <c r="AA33" i="57"/>
  <c r="W58" i="57"/>
  <c r="AG27" i="26"/>
  <c r="AG28" i="26" s="1"/>
  <c r="C27" i="26" s="1"/>
  <c r="AE27" i="26"/>
  <c r="AI27" i="26" s="1"/>
  <c r="AE26" i="26"/>
  <c r="AI26" i="26" s="1"/>
  <c r="AE25" i="26"/>
  <c r="AI25" i="26" s="1"/>
  <c r="AC15" i="26"/>
  <c r="AC17" i="26" s="1"/>
  <c r="AC21" i="26" s="1"/>
  <c r="AC24" i="26" s="1"/>
  <c r="O92" i="57" l="1"/>
  <c r="O88" i="57"/>
  <c r="AA58" i="57"/>
  <c r="AE24" i="26"/>
  <c r="AC28" i="26"/>
  <c r="P60" i="38"/>
  <c r="N60" i="38"/>
  <c r="J61" i="38"/>
  <c r="E61" i="38" s="1"/>
  <c r="E63" i="38" s="1"/>
  <c r="E54" i="28" s="1"/>
  <c r="AI24" i="26" l="1"/>
  <c r="AI28" i="26" s="1"/>
  <c r="AE28" i="26"/>
  <c r="C28" i="26" s="1"/>
  <c r="C29" i="26" s="1"/>
  <c r="C30" i="26" s="1"/>
  <c r="E33" i="34"/>
  <c r="E27" i="34"/>
  <c r="D13" i="53" l="1"/>
  <c r="D14" i="53"/>
  <c r="D15" i="53"/>
  <c r="D16" i="53"/>
  <c r="D17" i="53"/>
  <c r="D18" i="53"/>
  <c r="D20" i="53"/>
  <c r="D21" i="53"/>
  <c r="D22" i="53"/>
  <c r="D23" i="53"/>
  <c r="D24" i="53"/>
  <c r="D26" i="53"/>
  <c r="D27" i="53"/>
  <c r="D28" i="53"/>
  <c r="D29" i="53"/>
  <c r="D30" i="53"/>
  <c r="D31" i="53"/>
  <c r="D32" i="53"/>
  <c r="D34" i="53"/>
  <c r="D35" i="53"/>
  <c r="D36" i="53"/>
  <c r="D39" i="53"/>
  <c r="D40" i="53"/>
  <c r="D41" i="53"/>
  <c r="D42" i="53"/>
  <c r="D43" i="53"/>
  <c r="D44" i="53"/>
  <c r="D45" i="53"/>
  <c r="D46" i="53"/>
  <c r="D47" i="53"/>
  <c r="D48" i="53"/>
  <c r="D49" i="53"/>
  <c r="D50" i="53"/>
  <c r="D51" i="53"/>
  <c r="D52" i="53"/>
  <c r="D53" i="53"/>
  <c r="D54" i="53"/>
  <c r="D56" i="53"/>
  <c r="D57" i="53"/>
  <c r="D58" i="53"/>
  <c r="D59" i="53"/>
  <c r="D60" i="53"/>
  <c r="D61" i="53"/>
  <c r="D62" i="53"/>
  <c r="D63" i="53"/>
  <c r="D64" i="53"/>
  <c r="D65" i="53"/>
  <c r="D66" i="53"/>
  <c r="D67" i="53"/>
  <c r="D68" i="53"/>
  <c r="D70" i="53"/>
  <c r="D71" i="53"/>
  <c r="D72" i="53"/>
  <c r="D73" i="53"/>
  <c r="D74" i="53"/>
  <c r="D75" i="53"/>
  <c r="D76" i="53"/>
  <c r="D77" i="53"/>
  <c r="D78" i="53"/>
  <c r="D79" i="53"/>
  <c r="D80" i="53"/>
  <c r="D81" i="53"/>
  <c r="D82" i="53"/>
  <c r="D83" i="53"/>
  <c r="D84" i="53"/>
  <c r="D85" i="53"/>
  <c r="D86" i="53"/>
  <c r="D87" i="53"/>
  <c r="D88" i="53"/>
  <c r="D89" i="53"/>
  <c r="D90" i="53"/>
  <c r="D91" i="53"/>
  <c r="D92" i="53"/>
  <c r="D93" i="53"/>
  <c r="D94" i="53"/>
  <c r="D95" i="53"/>
  <c r="D96" i="53"/>
  <c r="D97" i="53"/>
  <c r="D98" i="53"/>
  <c r="D99" i="53"/>
  <c r="D100" i="53"/>
  <c r="D101" i="53"/>
  <c r="D102" i="53"/>
  <c r="D103" i="53"/>
  <c r="D104" i="53"/>
  <c r="D105" i="53"/>
  <c r="D106" i="53"/>
  <c r="D107" i="53"/>
  <c r="D108" i="53"/>
  <c r="D109" i="53"/>
  <c r="D110" i="53"/>
  <c r="D111" i="53"/>
  <c r="D112" i="53"/>
  <c r="D114" i="53"/>
  <c r="D115" i="53"/>
  <c r="D116" i="53"/>
  <c r="D117" i="53"/>
  <c r="D118" i="53"/>
  <c r="D119" i="53"/>
  <c r="D120" i="53"/>
  <c r="D121" i="53"/>
  <c r="D122" i="53"/>
  <c r="D123" i="53"/>
  <c r="D124" i="53"/>
  <c r="D125" i="53"/>
  <c r="D126" i="53"/>
  <c r="D127" i="53"/>
  <c r="D128" i="53"/>
  <c r="D130" i="53"/>
  <c r="D131" i="53"/>
  <c r="D132" i="53"/>
  <c r="D133" i="53"/>
  <c r="D135" i="53"/>
  <c r="D137" i="53"/>
  <c r="D138" i="53"/>
  <c r="D139" i="53"/>
  <c r="D140" i="53"/>
  <c r="D141" i="53"/>
  <c r="D142" i="53"/>
  <c r="D143" i="53"/>
  <c r="D144" i="53"/>
  <c r="D145" i="53"/>
  <c r="D147" i="53"/>
  <c r="D148" i="53"/>
  <c r="D149" i="53"/>
  <c r="D150" i="53"/>
  <c r="D151" i="53"/>
  <c r="D152" i="53"/>
  <c r="D153" i="53"/>
  <c r="D154" i="53"/>
  <c r="D155" i="53"/>
  <c r="D156" i="53"/>
  <c r="D157" i="53"/>
  <c r="D158" i="53"/>
  <c r="D159" i="53"/>
  <c r="D160" i="53"/>
  <c r="D161" i="53"/>
  <c r="D162" i="53"/>
  <c r="D163" i="53"/>
  <c r="D164" i="53"/>
  <c r="D165" i="53"/>
  <c r="D166" i="53"/>
  <c r="D167" i="53"/>
  <c r="D168" i="53"/>
  <c r="D169" i="53"/>
  <c r="D170" i="53"/>
  <c r="D171" i="53"/>
  <c r="D172" i="53"/>
  <c r="D173" i="53"/>
  <c r="D174" i="53"/>
  <c r="D175" i="53"/>
  <c r="D176" i="53"/>
  <c r="D177" i="53"/>
  <c r="D178" i="53"/>
  <c r="D179" i="53"/>
  <c r="D180" i="53"/>
  <c r="D181" i="53"/>
  <c r="D182" i="53"/>
  <c r="D183" i="53"/>
  <c r="D184" i="53"/>
  <c r="D185" i="53"/>
  <c r="D187" i="53"/>
  <c r="D188" i="53"/>
  <c r="D189" i="53"/>
  <c r="D190" i="53"/>
  <c r="D191" i="53"/>
  <c r="D192" i="53"/>
  <c r="D193" i="53"/>
  <c r="D194" i="53"/>
  <c r="D196" i="53"/>
  <c r="D197" i="53"/>
  <c r="D198" i="53"/>
  <c r="D199" i="53"/>
  <c r="D200" i="53"/>
  <c r="D202" i="53"/>
  <c r="D203" i="53"/>
  <c r="D204" i="53"/>
  <c r="D205" i="53"/>
  <c r="D206" i="53"/>
  <c r="D207" i="53"/>
  <c r="D208" i="53"/>
  <c r="D209" i="53"/>
  <c r="D210" i="53"/>
  <c r="D211" i="53"/>
  <c r="D212" i="53"/>
  <c r="D213" i="53"/>
  <c r="D214" i="53"/>
  <c r="D215" i="53"/>
  <c r="D216" i="53"/>
  <c r="D217" i="53"/>
  <c r="D218" i="53"/>
  <c r="D219" i="53"/>
  <c r="D220" i="53"/>
  <c r="D222" i="53"/>
  <c r="D223" i="53"/>
  <c r="D224" i="53"/>
  <c r="D225" i="53"/>
  <c r="D226" i="53"/>
  <c r="D227" i="53"/>
  <c r="D229" i="53"/>
  <c r="D230" i="53"/>
  <c r="D231" i="53"/>
  <c r="D232" i="53"/>
  <c r="D233" i="53"/>
  <c r="D234" i="53"/>
  <c r="D235" i="53"/>
  <c r="D236" i="53"/>
  <c r="D237" i="53"/>
  <c r="D238" i="53"/>
  <c r="D239" i="53"/>
  <c r="D240" i="53"/>
  <c r="D241" i="53"/>
  <c r="D243" i="53"/>
  <c r="D244" i="53"/>
  <c r="D245" i="53"/>
  <c r="D246" i="53"/>
  <c r="D247" i="53"/>
  <c r="D248" i="53"/>
  <c r="D249" i="53"/>
  <c r="D250" i="53"/>
  <c r="D251" i="53"/>
  <c r="D252" i="53"/>
  <c r="D253" i="53"/>
  <c r="D254" i="53"/>
  <c r="D255" i="53"/>
  <c r="D256" i="53"/>
  <c r="D257" i="53"/>
  <c r="D258" i="53"/>
  <c r="D259" i="53"/>
  <c r="D260" i="53"/>
  <c r="D261" i="53"/>
  <c r="D262" i="53"/>
  <c r="D263" i="53"/>
  <c r="D264" i="53"/>
  <c r="D265" i="53"/>
  <c r="D266" i="53"/>
  <c r="D267" i="53"/>
  <c r="D268" i="53"/>
  <c r="D269" i="53"/>
  <c r="D270" i="53"/>
  <c r="D271" i="53"/>
  <c r="D272" i="53"/>
  <c r="D273" i="53"/>
  <c r="D275" i="53"/>
  <c r="D12" i="53"/>
  <c r="D62" i="16"/>
  <c r="D81" i="16" s="1"/>
  <c r="F128" i="50"/>
  <c r="F49" i="50"/>
  <c r="R44" i="42"/>
  <c r="R45" i="42"/>
  <c r="R46" i="42"/>
  <c r="R47" i="42"/>
  <c r="R48" i="42"/>
  <c r="R49" i="42"/>
  <c r="R43" i="42"/>
  <c r="R28" i="42"/>
  <c r="R29" i="42"/>
  <c r="R30" i="42"/>
  <c r="R31" i="42"/>
  <c r="R32" i="42"/>
  <c r="R33" i="42"/>
  <c r="R34" i="42"/>
  <c r="R27" i="42"/>
  <c r="Q18" i="42"/>
  <c r="R18" i="42" s="1"/>
  <c r="R20" i="42"/>
  <c r="R21" i="42"/>
  <c r="R22" i="42"/>
  <c r="R19" i="42"/>
  <c r="R11" i="42"/>
  <c r="R12" i="42"/>
  <c r="R13" i="42"/>
  <c r="R14" i="42"/>
  <c r="R15" i="42"/>
  <c r="R16" i="42"/>
  <c r="R10" i="42"/>
  <c r="A3" i="42"/>
  <c r="E503" i="44"/>
  <c r="F269" i="53" l="1"/>
  <c r="D38" i="16"/>
  <c r="D277" i="53"/>
  <c r="G22" i="28"/>
  <c r="G21" i="28"/>
  <c r="C8" i="28"/>
  <c r="G23" i="28" l="1"/>
  <c r="D68" i="16"/>
  <c r="D10" i="16"/>
  <c r="D9" i="16"/>
  <c r="F138" i="53" l="1"/>
  <c r="F263" i="53"/>
  <c r="F272" i="53"/>
  <c r="L277" i="53"/>
  <c r="Q51" i="42" l="1"/>
  <c r="R51" i="42" s="1"/>
  <c r="Q36" i="42"/>
  <c r="Q41" i="42" s="1"/>
  <c r="Q24" i="42"/>
  <c r="R24" i="42" s="1"/>
  <c r="Q53" i="42" l="1"/>
  <c r="R53" i="42" s="1"/>
  <c r="R41" i="42"/>
  <c r="R36" i="42"/>
  <c r="L118" i="50"/>
  <c r="J81" i="50"/>
  <c r="F138" i="50"/>
  <c r="F137" i="50"/>
  <c r="F136" i="50"/>
  <c r="F135" i="50"/>
  <c r="F134" i="50"/>
  <c r="F96" i="50"/>
  <c r="F95" i="50"/>
  <c r="F93" i="50"/>
  <c r="F94" i="50"/>
  <c r="F97" i="50"/>
  <c r="F98" i="50"/>
  <c r="F99" i="50"/>
  <c r="F100" i="50"/>
  <c r="F101" i="50"/>
  <c r="F102" i="50"/>
  <c r="F103" i="50"/>
  <c r="F104" i="50"/>
  <c r="F105" i="50"/>
  <c r="F106" i="50"/>
  <c r="F107" i="50"/>
  <c r="F108" i="50"/>
  <c r="F109" i="50"/>
  <c r="F110" i="50"/>
  <c r="F111" i="50"/>
  <c r="F112" i="50"/>
  <c r="F113" i="50"/>
  <c r="F114" i="50"/>
  <c r="H114" i="50" s="1"/>
  <c r="F115" i="50"/>
  <c r="F116" i="50"/>
  <c r="F117" i="50"/>
  <c r="F118" i="50"/>
  <c r="F119" i="50"/>
  <c r="F120" i="50"/>
  <c r="F121" i="50"/>
  <c r="F122" i="50"/>
  <c r="F123" i="50"/>
  <c r="F124" i="50"/>
  <c r="F125" i="50"/>
  <c r="F126" i="50"/>
  <c r="F129" i="50"/>
  <c r="F130" i="50"/>
  <c r="F131" i="50"/>
  <c r="F132" i="50"/>
  <c r="J112" i="50" s="1"/>
  <c r="F92" i="50"/>
  <c r="F133" i="50" l="1"/>
  <c r="F139" i="50"/>
  <c r="D89" i="50"/>
  <c r="F88" i="50"/>
  <c r="F8" i="50"/>
  <c r="F9" i="50"/>
  <c r="F10" i="50"/>
  <c r="F11" i="50"/>
  <c r="F12" i="50"/>
  <c r="F13" i="50"/>
  <c r="F14" i="50"/>
  <c r="F15" i="50"/>
  <c r="F16" i="50"/>
  <c r="F17" i="50"/>
  <c r="F18" i="50"/>
  <c r="F19" i="50"/>
  <c r="F20" i="50"/>
  <c r="F21" i="50"/>
  <c r="F22" i="50"/>
  <c r="F23" i="50"/>
  <c r="F24" i="50"/>
  <c r="F25" i="50"/>
  <c r="H25" i="50" s="1"/>
  <c r="AE19" i="57" s="1"/>
  <c r="F26" i="50"/>
  <c r="H26" i="50" s="1"/>
  <c r="F27" i="50"/>
  <c r="F28" i="50"/>
  <c r="F29" i="50"/>
  <c r="F30" i="50"/>
  <c r="F31" i="50"/>
  <c r="F32" i="50"/>
  <c r="F33" i="50"/>
  <c r="H33" i="50" s="1"/>
  <c r="J33" i="50" s="1"/>
  <c r="AE11" i="57" s="1"/>
  <c r="F34" i="50"/>
  <c r="F35" i="50"/>
  <c r="F36" i="50"/>
  <c r="F37" i="50"/>
  <c r="F38" i="50"/>
  <c r="F39" i="50"/>
  <c r="F40" i="50"/>
  <c r="F41" i="50"/>
  <c r="F42" i="50"/>
  <c r="H42" i="50" s="1"/>
  <c r="AE14" i="57" s="1"/>
  <c r="F43" i="50"/>
  <c r="F44" i="50"/>
  <c r="F45" i="50"/>
  <c r="F46" i="50"/>
  <c r="F47" i="50"/>
  <c r="F51" i="50"/>
  <c r="F52" i="50"/>
  <c r="H52" i="50" s="1"/>
  <c r="F53" i="50"/>
  <c r="F54" i="50"/>
  <c r="F55" i="50"/>
  <c r="F56" i="50"/>
  <c r="F57" i="50"/>
  <c r="F58" i="50"/>
  <c r="F59" i="50"/>
  <c r="F60" i="50"/>
  <c r="F61" i="50"/>
  <c r="F62" i="50"/>
  <c r="F63" i="50"/>
  <c r="F64" i="50"/>
  <c r="F65" i="50"/>
  <c r="F66" i="50"/>
  <c r="F67" i="50"/>
  <c r="F68" i="50"/>
  <c r="F69" i="50"/>
  <c r="F70" i="50"/>
  <c r="F71" i="50"/>
  <c r="F72" i="50"/>
  <c r="F73" i="50"/>
  <c r="F74" i="50"/>
  <c r="F75" i="50"/>
  <c r="F76" i="50"/>
  <c r="F77" i="50"/>
  <c r="F78" i="50"/>
  <c r="F79" i="50"/>
  <c r="F80" i="50"/>
  <c r="F81" i="50"/>
  <c r="F82" i="50"/>
  <c r="F83" i="50"/>
  <c r="F84" i="50"/>
  <c r="F85" i="50"/>
  <c r="F86" i="50"/>
  <c r="F87" i="50"/>
  <c r="H39" i="35" s="1"/>
  <c r="H112" i="50"/>
  <c r="L112" i="50" s="1"/>
  <c r="AE20" i="57" s="1"/>
  <c r="H118" i="50"/>
  <c r="H130" i="50"/>
  <c r="AE21" i="57" s="1"/>
  <c r="D133" i="50"/>
  <c r="D139" i="50"/>
  <c r="F91" i="49"/>
  <c r="F135" i="49"/>
  <c r="F142" i="49" s="1"/>
  <c r="F89" i="50" l="1"/>
  <c r="F140" i="50"/>
  <c r="J59" i="50"/>
  <c r="J78" i="50"/>
  <c r="H34" i="50"/>
  <c r="AE12" i="57" s="1"/>
  <c r="H64" i="50"/>
  <c r="H65" i="50" s="1"/>
  <c r="F146" i="49"/>
  <c r="H27" i="50"/>
  <c r="AE10" i="57" s="1"/>
  <c r="D140" i="50"/>
  <c r="H82" i="50"/>
  <c r="AG41" i="27"/>
  <c r="K37" i="27"/>
  <c r="M10" i="27"/>
  <c r="M11" i="27"/>
  <c r="M12" i="27"/>
  <c r="M13" i="27"/>
  <c r="M14" i="27"/>
  <c r="M15" i="27"/>
  <c r="M16" i="27"/>
  <c r="M17" i="27"/>
  <c r="M18" i="27"/>
  <c r="M19" i="27"/>
  <c r="M21" i="27"/>
  <c r="M22" i="27"/>
  <c r="M23" i="27"/>
  <c r="M24" i="27"/>
  <c r="M25" i="27"/>
  <c r="M26" i="27"/>
  <c r="M27" i="27"/>
  <c r="M28" i="27"/>
  <c r="M29" i="27"/>
  <c r="M30" i="27"/>
  <c r="M32" i="27"/>
  <c r="M33" i="27"/>
  <c r="M35" i="27"/>
  <c r="M36" i="27"/>
  <c r="M37" i="27"/>
  <c r="M41" i="27"/>
  <c r="M43" i="27"/>
  <c r="M44" i="27"/>
  <c r="M45" i="27"/>
  <c r="M46" i="27"/>
  <c r="M47" i="27"/>
  <c r="M48" i="27"/>
  <c r="M49" i="27"/>
  <c r="M50" i="27"/>
  <c r="M51" i="27"/>
  <c r="M52" i="27"/>
  <c r="M53" i="27"/>
  <c r="M54" i="27"/>
  <c r="M55" i="27"/>
  <c r="M9" i="27"/>
  <c r="AE45" i="27"/>
  <c r="AA46" i="27"/>
  <c r="AE46" i="27" s="1"/>
  <c r="AG51" i="27"/>
  <c r="AG53" i="27"/>
  <c r="AG55" i="27"/>
  <c r="AE33" i="27"/>
  <c r="AE32" i="27"/>
  <c r="AA30" i="27"/>
  <c r="AE30" i="27" s="1"/>
  <c r="AG29" i="27"/>
  <c r="AE26" i="27"/>
  <c r="AE24" i="27"/>
  <c r="AE23" i="27"/>
  <c r="AA22" i="27"/>
  <c r="AE22" i="27" s="1"/>
  <c r="K21" i="27"/>
  <c r="AA21" i="27"/>
  <c r="AG21" i="27" s="1"/>
  <c r="W56" i="27"/>
  <c r="U56" i="27"/>
  <c r="AE48" i="27"/>
  <c r="AE44" i="27"/>
  <c r="AE42" i="27"/>
  <c r="K42" i="27"/>
  <c r="M42" i="27" s="1"/>
  <c r="K40" i="27"/>
  <c r="M40" i="27" s="1"/>
  <c r="AA40" i="27"/>
  <c r="AE40" i="27" s="1"/>
  <c r="K39" i="27"/>
  <c r="M39" i="27" s="1"/>
  <c r="AA39" i="27"/>
  <c r="AE39" i="27" s="1"/>
  <c r="AA38" i="27"/>
  <c r="AE38" i="27" s="1"/>
  <c r="K38" i="27"/>
  <c r="M38" i="27" s="1"/>
  <c r="K34" i="27"/>
  <c r="M34" i="27" s="1"/>
  <c r="D41" i="16" l="1"/>
  <c r="AE16" i="57"/>
  <c r="J79" i="50"/>
  <c r="AE34" i="27"/>
  <c r="K31" i="27"/>
  <c r="M31" i="27" s="1"/>
  <c r="AA31" i="27"/>
  <c r="AE31" i="27" s="1"/>
  <c r="AA28" i="27"/>
  <c r="AE28" i="27" s="1"/>
  <c r="I20" i="27"/>
  <c r="AA20" i="27"/>
  <c r="AA19" i="27"/>
  <c r="AE19" i="27" s="1"/>
  <c r="AA18" i="27"/>
  <c r="AE18" i="27" s="1"/>
  <c r="AA17" i="27"/>
  <c r="AE17" i="27" s="1"/>
  <c r="Y56" i="27"/>
  <c r="AE16" i="27"/>
  <c r="AG13" i="27"/>
  <c r="AG56" i="27" s="1"/>
  <c r="AA11" i="27"/>
  <c r="AE11" i="27" s="1"/>
  <c r="AW56" i="27"/>
  <c r="AU56" i="27"/>
  <c r="AS56" i="27"/>
  <c r="AQ56" i="27"/>
  <c r="AM56" i="27"/>
  <c r="AO48" i="27"/>
  <c r="AO46" i="27"/>
  <c r="AO45" i="27"/>
  <c r="AO41" i="27"/>
  <c r="AO38" i="27"/>
  <c r="AO34" i="27"/>
  <c r="AO33" i="27"/>
  <c r="AO32" i="27"/>
  <c r="AO31" i="27"/>
  <c r="AO30" i="27"/>
  <c r="AO28" i="27"/>
  <c r="AO26" i="27"/>
  <c r="AO23" i="27"/>
  <c r="AO22" i="27"/>
  <c r="AO21" i="27"/>
  <c r="AO20" i="27"/>
  <c r="AO17" i="27"/>
  <c r="AO14" i="27"/>
  <c r="AO13" i="27"/>
  <c r="AE20" i="27" l="1"/>
  <c r="I56" i="27"/>
  <c r="M20" i="27"/>
  <c r="M56" i="27" s="1"/>
  <c r="AO56" i="27"/>
  <c r="AA56" i="27"/>
  <c r="AE56" i="27"/>
  <c r="K56" i="27" l="1"/>
  <c r="E31" i="28"/>
  <c r="I32" i="34"/>
  <c r="O32" i="34" s="1"/>
  <c r="E10" i="34"/>
  <c r="G13" i="34"/>
  <c r="O52" i="27" l="1"/>
  <c r="O45" i="27"/>
  <c r="O41" i="27"/>
  <c r="O40" i="27"/>
  <c r="O39" i="27"/>
  <c r="O38" i="27"/>
  <c r="O37" i="27"/>
  <c r="O34" i="27"/>
  <c r="O12" i="27"/>
  <c r="O10" i="27"/>
  <c r="J61" i="16" l="1"/>
  <c r="D27" i="16"/>
  <c r="D26" i="16"/>
  <c r="I118" i="50" s="1"/>
  <c r="J118" i="50" s="1"/>
  <c r="AE18" i="57" s="1"/>
  <c r="D37" i="16"/>
  <c r="D36" i="16"/>
  <c r="D35" i="16"/>
  <c r="D34" i="16"/>
  <c r="D33" i="16"/>
  <c r="D32" i="16"/>
  <c r="D31" i="16"/>
  <c r="D30" i="16"/>
  <c r="D29" i="16"/>
  <c r="F29" i="16" s="1"/>
  <c r="D25" i="16"/>
  <c r="H25" i="16" s="1"/>
  <c r="D24" i="16"/>
  <c r="D23" i="16"/>
  <c r="D22" i="16"/>
  <c r="D20" i="16"/>
  <c r="D21" i="16"/>
  <c r="W11" i="57" l="1"/>
  <c r="AA11" i="57" s="1"/>
  <c r="AI11" i="57" s="1"/>
  <c r="F25" i="16"/>
  <c r="E110" i="28"/>
  <c r="E109" i="28"/>
  <c r="E108" i="28"/>
  <c r="E107" i="28"/>
  <c r="E106" i="28"/>
  <c r="G18" i="28"/>
  <c r="W20" i="57" l="1"/>
  <c r="AA20" i="57" s="1"/>
  <c r="W40" i="57" s="1"/>
  <c r="W31" i="57"/>
  <c r="AA31" i="57" s="1"/>
  <c r="E111" i="28"/>
  <c r="AI20" i="57" l="1"/>
  <c r="W56" i="57"/>
  <c r="AA56" i="57" s="1"/>
  <c r="W65" i="57"/>
  <c r="AA65" i="57" s="1"/>
  <c r="AA40" i="57"/>
  <c r="F62" i="35"/>
  <c r="D54" i="35"/>
  <c r="C58" i="28" s="1"/>
  <c r="F36" i="46"/>
  <c r="L32" i="46"/>
  <c r="K32" i="46"/>
  <c r="K11" i="46"/>
  <c r="J11" i="46"/>
  <c r="H11" i="46"/>
  <c r="L11" i="46"/>
  <c r="N69" i="35"/>
  <c r="J34" i="46" l="1"/>
  <c r="O25" i="26" s="1"/>
  <c r="K34" i="46"/>
  <c r="O26" i="26" s="1"/>
  <c r="H32" i="46"/>
  <c r="H34" i="46" s="1"/>
  <c r="L34" i="46"/>
  <c r="O27" i="26" s="1"/>
  <c r="H36" i="46" l="1"/>
  <c r="I52" i="28"/>
  <c r="G52" i="28"/>
  <c r="J67" i="35"/>
  <c r="J62" i="35"/>
  <c r="J63" i="35"/>
  <c r="J36" i="35"/>
  <c r="J69" i="35" l="1"/>
  <c r="N39" i="35"/>
  <c r="N59" i="38" l="1"/>
  <c r="N58" i="38"/>
  <c r="N42" i="38"/>
  <c r="N37" i="38"/>
  <c r="N40" i="38"/>
  <c r="N39" i="38"/>
  <c r="N11" i="38"/>
  <c r="F67" i="35"/>
  <c r="F66" i="35"/>
  <c r="N61" i="38" l="1"/>
  <c r="G24" i="26"/>
  <c r="P69" i="35" l="1"/>
  <c r="D67" i="35"/>
  <c r="D66" i="35"/>
  <c r="L66" i="35" l="1"/>
  <c r="E49" i="28"/>
  <c r="L67" i="35"/>
  <c r="L69" i="35" s="1"/>
  <c r="E50" i="28"/>
  <c r="D12" i="16"/>
  <c r="E52" i="28" l="1"/>
  <c r="D82" i="16"/>
  <c r="I11" i="28"/>
  <c r="D44" i="16"/>
  <c r="D19" i="16"/>
  <c r="J39" i="35" l="1"/>
  <c r="R36" i="38" l="1"/>
  <c r="R61" i="38" s="1"/>
  <c r="R62" i="38"/>
  <c r="P62" i="38"/>
  <c r="N28" i="35" l="1"/>
  <c r="P61" i="38"/>
  <c r="D14" i="16"/>
  <c r="D13" i="16"/>
  <c r="I23" i="41"/>
  <c r="K20" i="41"/>
  <c r="G20" i="41"/>
  <c r="I20" i="41" s="1"/>
  <c r="M20" i="41" s="1"/>
  <c r="K23" i="41" l="1"/>
  <c r="M23" i="41" s="1"/>
  <c r="O23" i="41" s="1"/>
  <c r="D79" i="16"/>
  <c r="D78" i="16"/>
  <c r="D15" i="16" l="1"/>
  <c r="M25" i="41"/>
  <c r="O25" i="41" s="1"/>
  <c r="M27" i="41" l="1"/>
  <c r="O27" i="41" s="1"/>
  <c r="E65" i="28"/>
  <c r="I13" i="41" l="1"/>
  <c r="K14" i="41" s="1"/>
  <c r="N33" i="35"/>
  <c r="L47" i="35" s="1"/>
  <c r="E96" i="28"/>
  <c r="E90" i="28"/>
  <c r="G38" i="28" s="1"/>
  <c r="G39" i="28" s="1"/>
  <c r="G43" i="28" s="1"/>
  <c r="E80" i="28"/>
  <c r="C65" i="28"/>
  <c r="C64" i="28"/>
  <c r="G64" i="28" s="1"/>
  <c r="G48" i="27"/>
  <c r="G41" i="27"/>
  <c r="G39" i="27"/>
  <c r="G40" i="27"/>
  <c r="G34" i="27"/>
  <c r="G31" i="27"/>
  <c r="G23" i="27" l="1"/>
  <c r="G21" i="27"/>
  <c r="G13" i="27"/>
  <c r="G17" i="27"/>
  <c r="G15" i="27"/>
  <c r="G11" i="27"/>
  <c r="G10" i="27"/>
  <c r="G56" i="27" l="1"/>
  <c r="D36" i="35"/>
  <c r="F39" i="35" l="1"/>
  <c r="O15" i="26" l="1"/>
  <c r="O18" i="26"/>
  <c r="O19" i="26"/>
  <c r="O20" i="26"/>
  <c r="G32" i="28" l="1"/>
  <c r="I32" i="28"/>
  <c r="I4" i="28" l="1"/>
  <c r="I8" i="28" s="1"/>
  <c r="G8" i="28"/>
  <c r="E8" i="28"/>
  <c r="V15" i="38" l="1"/>
  <c r="V7" i="38"/>
  <c r="X9" i="38"/>
  <c r="X8" i="38"/>
  <c r="X43" i="38"/>
  <c r="J33" i="35"/>
  <c r="J26" i="35"/>
  <c r="X62" i="38"/>
  <c r="V62" i="38"/>
  <c r="T62" i="38"/>
  <c r="N62" i="38"/>
  <c r="J62" i="38"/>
  <c r="H62" i="38"/>
  <c r="L61" i="38"/>
  <c r="V57" i="38"/>
  <c r="V56" i="38"/>
  <c r="V53" i="38"/>
  <c r="V52" i="38"/>
  <c r="V51" i="38"/>
  <c r="V48" i="38"/>
  <c r="V47" i="38"/>
  <c r="V46" i="38"/>
  <c r="J28" i="35"/>
  <c r="V35" i="38"/>
  <c r="V34" i="38"/>
  <c r="V33" i="38"/>
  <c r="V28" i="38"/>
  <c r="V27" i="38"/>
  <c r="V26" i="38"/>
  <c r="V25" i="38"/>
  <c r="V24" i="38"/>
  <c r="V23" i="38"/>
  <c r="V22" i="38"/>
  <c r="V21" i="38"/>
  <c r="T20" i="38"/>
  <c r="T19" i="38"/>
  <c r="T18" i="38"/>
  <c r="T17" i="38"/>
  <c r="T16" i="38"/>
  <c r="X61" i="38" l="1"/>
  <c r="V61" i="38"/>
  <c r="N30" i="35" s="1"/>
  <c r="J30" i="35" s="1"/>
  <c r="T61" i="38"/>
  <c r="N31" i="35" s="1"/>
  <c r="J31" i="35" s="1"/>
  <c r="N29" i="35"/>
  <c r="J29" i="35" s="1"/>
  <c r="N25" i="35" l="1"/>
  <c r="D25" i="35" s="1"/>
  <c r="H63" i="35"/>
  <c r="E69" i="28" s="1"/>
  <c r="C69" i="28"/>
  <c r="F63" i="35"/>
  <c r="N32" i="35"/>
  <c r="J32" i="35" s="1"/>
  <c r="I18" i="28"/>
  <c r="I19" i="28"/>
  <c r="Q27" i="26"/>
  <c r="U27" i="26" s="1"/>
  <c r="Q26" i="26"/>
  <c r="U26" i="26" s="1"/>
  <c r="Q25" i="26"/>
  <c r="S28" i="26"/>
  <c r="C31" i="26" s="1"/>
  <c r="G14" i="26"/>
  <c r="G18" i="26" s="1"/>
  <c r="G22" i="26" s="1"/>
  <c r="E14" i="26"/>
  <c r="E18" i="26" s="1"/>
  <c r="E22" i="26" s="1"/>
  <c r="E34" i="26" s="1"/>
  <c r="C25" i="26"/>
  <c r="C21" i="26"/>
  <c r="C17" i="26"/>
  <c r="C13" i="26"/>
  <c r="C10" i="26"/>
  <c r="E19" i="28" l="1"/>
  <c r="E20" i="28" s="1"/>
  <c r="G20" i="28"/>
  <c r="G24" i="28" s="1"/>
  <c r="G69" i="28"/>
  <c r="U25" i="26"/>
  <c r="D55" i="35"/>
  <c r="J25" i="35"/>
  <c r="D63" i="35"/>
  <c r="I20" i="28"/>
  <c r="O17" i="26"/>
  <c r="O21" i="26" s="1"/>
  <c r="O24" i="26" s="1"/>
  <c r="O28" i="26" s="1"/>
  <c r="D17" i="16" s="1"/>
  <c r="C14" i="26"/>
  <c r="C18" i="26" s="1"/>
  <c r="C22" i="26" s="1"/>
  <c r="G26" i="28" l="1"/>
  <c r="Q24" i="26"/>
  <c r="AI56" i="27"/>
  <c r="H62" i="35"/>
  <c r="AC56" i="27"/>
  <c r="H64" i="35"/>
  <c r="D64" i="35" s="1"/>
  <c r="E32" i="28"/>
  <c r="H61" i="35" l="1"/>
  <c r="D61" i="35" s="1"/>
  <c r="E67" i="28"/>
  <c r="E68" i="28"/>
  <c r="G68" i="28" s="1"/>
  <c r="D62" i="35"/>
  <c r="F17" i="16"/>
  <c r="Q28" i="26"/>
  <c r="C32" i="26" s="1"/>
  <c r="C33" i="26" s="1"/>
  <c r="C34" i="26" s="1"/>
  <c r="U24" i="26"/>
  <c r="U28" i="26" s="1"/>
  <c r="I30" i="34"/>
  <c r="O30" i="34" s="1"/>
  <c r="I22" i="34"/>
  <c r="O22" i="34" s="1"/>
  <c r="I16" i="34"/>
  <c r="O16" i="34" s="1"/>
  <c r="I31" i="34"/>
  <c r="M31" i="34" s="1"/>
  <c r="I35" i="34"/>
  <c r="Q35" i="34" s="1"/>
  <c r="I34" i="34"/>
  <c r="M34" i="34" s="1"/>
  <c r="E28" i="34"/>
  <c r="I28" i="34" s="1"/>
  <c r="O28" i="34" s="1"/>
  <c r="I27" i="34"/>
  <c r="Q27" i="34" s="1"/>
  <c r="I26" i="34"/>
  <c r="O26" i="34" s="1"/>
  <c r="I25" i="34"/>
  <c r="O25" i="34" s="1"/>
  <c r="I24" i="34"/>
  <c r="O24" i="34" s="1"/>
  <c r="I23" i="34"/>
  <c r="O23" i="34" s="1"/>
  <c r="I21" i="34"/>
  <c r="O21" i="34" s="1"/>
  <c r="I20" i="34"/>
  <c r="O20" i="34" s="1"/>
  <c r="I19" i="34"/>
  <c r="O19" i="34" s="1"/>
  <c r="I18" i="34"/>
  <c r="O18" i="34" s="1"/>
  <c r="I17" i="34"/>
  <c r="O17" i="34" s="1"/>
  <c r="I15" i="34"/>
  <c r="S15" i="34" s="1"/>
  <c r="I14" i="34"/>
  <c r="S14" i="34" s="1"/>
  <c r="I13" i="34"/>
  <c r="U13" i="34" s="1"/>
  <c r="I12" i="34"/>
  <c r="U12" i="34" s="1"/>
  <c r="I10" i="34"/>
  <c r="O10" i="34" s="1"/>
  <c r="I29" i="34"/>
  <c r="I9" i="34"/>
  <c r="O9" i="34" s="1"/>
  <c r="I23" i="28"/>
  <c r="I26" i="28" s="1"/>
  <c r="W24" i="57" l="1"/>
  <c r="AA24" i="57" s="1"/>
  <c r="G32" i="26"/>
  <c r="G34" i="26" s="1"/>
  <c r="AE24" i="57" s="1"/>
  <c r="F65" i="35"/>
  <c r="D65" i="35" s="1"/>
  <c r="I24" i="28"/>
  <c r="U36" i="34"/>
  <c r="S36" i="34"/>
  <c r="Q36" i="34"/>
  <c r="Y15" i="57" s="1"/>
  <c r="M36" i="34"/>
  <c r="E11" i="34"/>
  <c r="G11" i="34"/>
  <c r="G36" i="34" s="1"/>
  <c r="I11" i="34"/>
  <c r="Y25" i="57" l="1"/>
  <c r="N19" i="35"/>
  <c r="N18" i="35"/>
  <c r="N17" i="35"/>
  <c r="N16" i="35"/>
  <c r="N15" i="35"/>
  <c r="N14" i="35"/>
  <c r="N11" i="35"/>
  <c r="J11" i="35" s="1"/>
  <c r="P23" i="35"/>
  <c r="P37" i="35" s="1"/>
  <c r="F23" i="35"/>
  <c r="AI24" i="57" l="1"/>
  <c r="J8" i="35"/>
  <c r="J23" i="35" s="1"/>
  <c r="H23" i="35"/>
  <c r="L23" i="35"/>
  <c r="U8" i="35"/>
  <c r="D23" i="35" l="1"/>
  <c r="L34" i="35"/>
  <c r="N34" i="35" s="1"/>
  <c r="N23" i="35"/>
  <c r="L37" i="35" l="1"/>
  <c r="J34" i="35"/>
  <c r="D11" i="16" l="1"/>
  <c r="D74" i="16" s="1"/>
  <c r="J74" i="16"/>
  <c r="J72" i="16"/>
  <c r="H47" i="16"/>
  <c r="H37" i="16"/>
  <c r="H35" i="16"/>
  <c r="H49" i="16"/>
  <c r="H33" i="16"/>
  <c r="H31" i="16"/>
  <c r="H29" i="16"/>
  <c r="H27" i="16"/>
  <c r="H24" i="16"/>
  <c r="H21" i="16"/>
  <c r="L49" i="16"/>
  <c r="L47" i="16"/>
  <c r="L52" i="16" s="1"/>
  <c r="J59" i="16" s="1"/>
  <c r="F45" i="16"/>
  <c r="W17" i="57" s="1"/>
  <c r="AA17" i="57" s="1"/>
  <c r="F44" i="16"/>
  <c r="F39" i="16"/>
  <c r="F37" i="16"/>
  <c r="F35" i="16"/>
  <c r="F49" i="16"/>
  <c r="F33" i="16"/>
  <c r="F31" i="16"/>
  <c r="F27" i="16"/>
  <c r="F21" i="16"/>
  <c r="F47" i="16"/>
  <c r="F15" i="16"/>
  <c r="W46" i="57" s="1"/>
  <c r="W37" i="57" l="1"/>
  <c r="AI17" i="57"/>
  <c r="D76" i="16"/>
  <c r="F83" i="16"/>
  <c r="W21" i="57"/>
  <c r="AA21" i="57" s="1"/>
  <c r="AI21" i="57" s="1"/>
  <c r="W16" i="57"/>
  <c r="AA16" i="57" s="1"/>
  <c r="AI16" i="57" s="1"/>
  <c r="W18" i="57"/>
  <c r="AA18" i="57" s="1"/>
  <c r="W38" i="57" s="1"/>
  <c r="W19" i="57"/>
  <c r="AA19" i="57" s="1"/>
  <c r="W39" i="57" s="1"/>
  <c r="W12" i="57"/>
  <c r="AA12" i="57" s="1"/>
  <c r="W32" i="57" s="1"/>
  <c r="W14" i="57"/>
  <c r="AA14" i="57" s="1"/>
  <c r="AI14" i="57" s="1"/>
  <c r="W10" i="57"/>
  <c r="AA10" i="57" s="1"/>
  <c r="W30" i="57" s="1"/>
  <c r="W15" i="57"/>
  <c r="AY16" i="57"/>
  <c r="AE15" i="57" s="1"/>
  <c r="AA46" i="57"/>
  <c r="F82" i="16"/>
  <c r="D77" i="16"/>
  <c r="F77" i="16" s="1"/>
  <c r="D52" i="16"/>
  <c r="F52" i="16"/>
  <c r="D59" i="16" s="1"/>
  <c r="F84" i="16"/>
  <c r="F80" i="16"/>
  <c r="F78" i="16"/>
  <c r="F81" i="16"/>
  <c r="F79" i="16"/>
  <c r="L84" i="16"/>
  <c r="L80" i="16"/>
  <c r="J77" i="16"/>
  <c r="L77" i="16" s="1"/>
  <c r="L81" i="16"/>
  <c r="L79" i="16"/>
  <c r="J76" i="16"/>
  <c r="L78" i="16"/>
  <c r="J52" i="16"/>
  <c r="D57" i="16" l="1"/>
  <c r="W23" i="57"/>
  <c r="AA23" i="57" s="1"/>
  <c r="W45" i="57" s="1"/>
  <c r="W43" i="57"/>
  <c r="AI22" i="57"/>
  <c r="W42" i="57"/>
  <c r="J55" i="16"/>
  <c r="J57" i="16"/>
  <c r="Y62" i="57"/>
  <c r="AA37" i="57"/>
  <c r="D58" i="16"/>
  <c r="AI19" i="57"/>
  <c r="W34" i="57"/>
  <c r="W59" i="57" s="1"/>
  <c r="W41" i="57"/>
  <c r="W66" i="57" s="1"/>
  <c r="AA66" i="57" s="1"/>
  <c r="Y36" i="57"/>
  <c r="Y61" i="57" s="1"/>
  <c r="AA61" i="57" s="1"/>
  <c r="AI10" i="57"/>
  <c r="AI12" i="57"/>
  <c r="AI18" i="57"/>
  <c r="W55" i="57"/>
  <c r="AA55" i="57" s="1"/>
  <c r="AA30" i="57"/>
  <c r="AA32" i="57"/>
  <c r="W57" i="57"/>
  <c r="AA38" i="57"/>
  <c r="W63" i="57"/>
  <c r="W64" i="57"/>
  <c r="AA39" i="57"/>
  <c r="AA15" i="57"/>
  <c r="W25" i="57"/>
  <c r="W70" i="57"/>
  <c r="E59" i="16"/>
  <c r="D55" i="16"/>
  <c r="J58" i="16"/>
  <c r="J65" i="16" s="1"/>
  <c r="L76" i="16"/>
  <c r="L85" i="16" s="1"/>
  <c r="J85" i="16"/>
  <c r="F76" i="16"/>
  <c r="F85" i="16" s="1"/>
  <c r="D85" i="16"/>
  <c r="AA45" i="57" l="1"/>
  <c r="Y69" i="57"/>
  <c r="W72" i="57"/>
  <c r="AA67" i="57"/>
  <c r="AA83" i="57" s="1"/>
  <c r="AA42" i="57"/>
  <c r="Y68" i="57"/>
  <c r="AA68" i="57" s="1"/>
  <c r="W86" i="57" s="1"/>
  <c r="AA86" i="57" s="1"/>
  <c r="AA43" i="57"/>
  <c r="Y82" i="57"/>
  <c r="AA62" i="57"/>
  <c r="AA34" i="57"/>
  <c r="AA41" i="57"/>
  <c r="Y44" i="57"/>
  <c r="Y47" i="57" s="1"/>
  <c r="Y49" i="57" s="1"/>
  <c r="Y51" i="57" s="1"/>
  <c r="AA36" i="57"/>
  <c r="AA63" i="57"/>
  <c r="W79" i="57"/>
  <c r="AA79" i="57" s="1"/>
  <c r="AC81" i="57" s="1"/>
  <c r="C88" i="28" s="1"/>
  <c r="W81" i="57"/>
  <c r="AA81" i="57" s="1"/>
  <c r="W82" i="57"/>
  <c r="AA59" i="57"/>
  <c r="AA57" i="57"/>
  <c r="W80" i="57"/>
  <c r="AA80" i="57" s="1"/>
  <c r="AC79" i="57" s="1"/>
  <c r="C86" i="28" s="1"/>
  <c r="AA64" i="57"/>
  <c r="W78" i="57"/>
  <c r="AA78" i="57" s="1"/>
  <c r="AI15" i="57"/>
  <c r="W35" i="57"/>
  <c r="W44" i="57" s="1"/>
  <c r="AA25" i="57"/>
  <c r="W84" i="57"/>
  <c r="AA70" i="57"/>
  <c r="W74" i="57"/>
  <c r="D56" i="35"/>
  <c r="G70" i="28"/>
  <c r="Q56" i="27"/>
  <c r="E56" i="27"/>
  <c r="C56" i="27"/>
  <c r="S25" i="27"/>
  <c r="S56" i="27" s="1"/>
  <c r="AA69" i="57" l="1"/>
  <c r="Y85" i="57"/>
  <c r="AA82" i="57"/>
  <c r="AC86" i="57"/>
  <c r="C95" i="28" s="1"/>
  <c r="AC78" i="57"/>
  <c r="C85" i="28" s="1"/>
  <c r="AA35" i="57"/>
  <c r="Y60" i="57"/>
  <c r="Y72" i="57" s="1"/>
  <c r="AA84" i="57"/>
  <c r="W88" i="57"/>
  <c r="K53" i="49" s="1"/>
  <c r="L53" i="49" s="1"/>
  <c r="C60" i="28"/>
  <c r="G67" i="28"/>
  <c r="AA85" i="57" l="1"/>
  <c r="AC85" i="57" s="1"/>
  <c r="C93" i="28" s="1"/>
  <c r="Y74" i="57"/>
  <c r="AA44" i="57"/>
  <c r="AA47" i="57" s="1"/>
  <c r="W47" i="57"/>
  <c r="W49" i="57" s="1"/>
  <c r="W51" i="57" s="1"/>
  <c r="AA60" i="57"/>
  <c r="Y87" i="57"/>
  <c r="AC82" i="57"/>
  <c r="C63" i="28"/>
  <c r="E63" i="28"/>
  <c r="E71" i="28" s="1"/>
  <c r="G65" i="28"/>
  <c r="AA74" i="57" l="1"/>
  <c r="AA72" i="57"/>
  <c r="AA49" i="57"/>
  <c r="AA51" i="57" s="1"/>
  <c r="AC47" i="57"/>
  <c r="AC83" i="57"/>
  <c r="C89" i="28"/>
  <c r="AA87" i="57"/>
  <c r="Y88" i="57"/>
  <c r="K54" i="49" s="1"/>
  <c r="G63" i="28"/>
  <c r="G71" i="28" s="1"/>
  <c r="C71" i="28"/>
  <c r="L44" i="35" l="1"/>
  <c r="AA90" i="57"/>
  <c r="L54" i="49"/>
  <c r="L55" i="49" s="1"/>
  <c r="K55" i="49"/>
  <c r="AC84" i="57"/>
  <c r="AA88" i="57"/>
  <c r="AA93" i="57" s="1"/>
  <c r="E41" i="28"/>
  <c r="AC87" i="57" l="1"/>
  <c r="L45" i="35" s="1"/>
  <c r="J46" i="35" s="1"/>
  <c r="C94" i="28"/>
  <c r="C96" i="28" s="1"/>
  <c r="C109" i="28"/>
  <c r="AA91" i="57" l="1"/>
  <c r="AA92" i="57" s="1"/>
  <c r="AC88" i="57"/>
  <c r="AE90" i="57" s="1"/>
  <c r="D71" i="16" s="1"/>
  <c r="D65" i="16"/>
  <c r="C110" i="28"/>
  <c r="C9" i="28" l="1"/>
  <c r="D70" i="16"/>
  <c r="D72" i="16" s="1"/>
  <c r="C108" i="28"/>
  <c r="C13" i="28" l="1"/>
  <c r="C107" i="28"/>
  <c r="H35" i="35"/>
  <c r="E40" i="28"/>
  <c r="E42" i="28" s="1"/>
  <c r="G9" i="28" s="1"/>
  <c r="G13" i="28" s="1"/>
  <c r="H37" i="35" l="1"/>
  <c r="H40" i="35" s="1"/>
  <c r="H59" i="35" l="1"/>
  <c r="H69" i="35" s="1"/>
  <c r="F59" i="35"/>
  <c r="F69" i="35" s="1"/>
  <c r="D59" i="35" l="1"/>
  <c r="D69" i="35" s="1"/>
  <c r="N37" i="35" l="1"/>
  <c r="C105" i="28" l="1"/>
  <c r="C111" i="28" s="1"/>
  <c r="I111" i="28" s="1"/>
  <c r="E37" i="28"/>
  <c r="C90" i="28"/>
  <c r="E38" i="28" s="1"/>
  <c r="N40" i="35"/>
  <c r="J37" i="35"/>
  <c r="J40" i="35" s="1"/>
  <c r="E39" i="28" l="1"/>
  <c r="E9" i="28" s="1"/>
  <c r="I9" i="28" s="1"/>
  <c r="C79" i="28"/>
  <c r="E22" i="28"/>
  <c r="E43" i="28" l="1"/>
  <c r="C78" i="28"/>
  <c r="C80" i="28" s="1"/>
  <c r="E21" i="28"/>
  <c r="E23" i="28" s="1"/>
  <c r="E24" i="28" s="1"/>
  <c r="E26" i="28" l="1"/>
  <c r="I13" i="28"/>
  <c r="E13" i="28"/>
  <c r="E36" i="34"/>
  <c r="E38" i="34" s="1"/>
  <c r="I33" i="34"/>
  <c r="I36" i="34" s="1"/>
  <c r="O33" i="34" l="1"/>
  <c r="O36" i="34" s="1"/>
  <c r="D35" i="35"/>
  <c r="D37" i="35" s="1"/>
  <c r="D40" i="35" s="1"/>
  <c r="F35" i="35"/>
  <c r="F37" i="35" s="1"/>
  <c r="F40" i="35" s="1"/>
</calcChain>
</file>

<file path=xl/comments1.xml><?xml version="1.0" encoding="utf-8"?>
<comments xmlns="http://schemas.openxmlformats.org/spreadsheetml/2006/main">
  <authors>
    <author>Sean Lawver</author>
    <author>mark</author>
    <author>Sarah Whitmyre</author>
  </authors>
  <commentList>
    <comment ref="A14" authorId="0" shapeId="0">
      <text>
        <r>
          <rPr>
            <b/>
            <sz val="9"/>
            <color indexed="81"/>
            <rFont val="Tahoma"/>
            <family val="2"/>
          </rPr>
          <t>Sean Lawver:</t>
        </r>
        <r>
          <rPr>
            <sz val="9"/>
            <color indexed="81"/>
            <rFont val="Tahoma"/>
            <family val="2"/>
          </rPr>
          <t xml:space="preserve">
For non-qual options, the company gets a tax deduction based on the diff between the fair value and the exercise price at the time of exercise.</t>
        </r>
      </text>
    </comment>
    <comment ref="A15" authorId="1" shapeId="0">
      <text>
        <r>
          <rPr>
            <b/>
            <sz val="9"/>
            <color indexed="81"/>
            <rFont val="Tahoma"/>
            <family val="2"/>
          </rPr>
          <t>mark:</t>
        </r>
        <r>
          <rPr>
            <sz val="9"/>
            <color indexed="81"/>
            <rFont val="Tahoma"/>
            <family val="2"/>
          </rPr>
          <t xml:space="preserve">
represents reversal of previously recorded dta's for nq sbc exp.  Excess of fv over exp recognized separately in equity, not tax provision</t>
        </r>
      </text>
    </comment>
    <comment ref="D26" authorId="2" shapeId="0">
      <text>
        <r>
          <rPr>
            <b/>
            <sz val="9"/>
            <color indexed="81"/>
            <rFont val="Tahoma"/>
            <family val="2"/>
          </rPr>
          <t>Sarah Whitmyre:</t>
        </r>
        <r>
          <rPr>
            <sz val="9"/>
            <color indexed="81"/>
            <rFont val="Tahoma"/>
            <family val="2"/>
          </rPr>
          <t xml:space="preserve">
assumes a 90% pay out
</t>
        </r>
      </text>
    </comment>
    <comment ref="J26" authorId="2" shapeId="0">
      <text>
        <r>
          <rPr>
            <b/>
            <sz val="9"/>
            <color indexed="81"/>
            <rFont val="Tahoma"/>
            <family val="2"/>
          </rPr>
          <t>Sarah Whitmyre:</t>
        </r>
        <r>
          <rPr>
            <sz val="9"/>
            <color indexed="81"/>
            <rFont val="Tahoma"/>
            <family val="2"/>
          </rPr>
          <t xml:space="preserve">
assumes a 90% pay out
</t>
        </r>
      </text>
    </comment>
    <comment ref="D28" authorId="2" shapeId="0">
      <text>
        <r>
          <rPr>
            <b/>
            <sz val="9"/>
            <color indexed="81"/>
            <rFont val="Tahoma"/>
            <family val="2"/>
          </rPr>
          <t>Sarah Whitmyre:</t>
        </r>
        <r>
          <rPr>
            <sz val="9"/>
            <color indexed="81"/>
            <rFont val="Tahoma"/>
            <family val="2"/>
          </rPr>
          <t xml:space="preserve">
5.45%2015
Use PY #
</t>
        </r>
      </text>
    </comment>
    <comment ref="J28" authorId="2" shapeId="0">
      <text>
        <r>
          <rPr>
            <b/>
            <sz val="9"/>
            <color indexed="81"/>
            <rFont val="Tahoma"/>
            <family val="2"/>
          </rPr>
          <t>Sarah Whitmyre:</t>
        </r>
        <r>
          <rPr>
            <sz val="9"/>
            <color indexed="81"/>
            <rFont val="Tahoma"/>
            <family val="2"/>
          </rPr>
          <t xml:space="preserve">
5.16% 2014
5.45%2015
</t>
        </r>
      </text>
    </comment>
    <comment ref="D29" authorId="2" shapeId="0">
      <text>
        <r>
          <rPr>
            <b/>
            <sz val="9"/>
            <color indexed="81"/>
            <rFont val="Tahoma"/>
            <family val="2"/>
          </rPr>
          <t>Sarah Whitmyre:</t>
        </r>
        <r>
          <rPr>
            <sz val="9"/>
            <color indexed="81"/>
            <rFont val="Tahoma"/>
            <family val="2"/>
          </rPr>
          <t xml:space="preserve">
5.45% was used for 2015
</t>
        </r>
      </text>
    </comment>
    <comment ref="J29" authorId="2" shapeId="0">
      <text>
        <r>
          <rPr>
            <b/>
            <sz val="9"/>
            <color indexed="81"/>
            <rFont val="Tahoma"/>
            <family val="2"/>
          </rPr>
          <t>Sarah Whitmyre:</t>
        </r>
        <r>
          <rPr>
            <sz val="9"/>
            <color indexed="81"/>
            <rFont val="Tahoma"/>
            <family val="2"/>
          </rPr>
          <t xml:space="preserve">
5.45% was used for 2015
</t>
        </r>
      </text>
    </comment>
    <comment ref="D39" authorId="1" shapeId="0">
      <text>
        <r>
          <rPr>
            <b/>
            <sz val="9"/>
            <color indexed="81"/>
            <rFont val="Tahoma"/>
            <family val="2"/>
          </rPr>
          <t>mark:</t>
        </r>
        <r>
          <rPr>
            <sz val="9"/>
            <color indexed="81"/>
            <rFont val="Tahoma"/>
            <family val="2"/>
          </rPr>
          <t xml:space="preserve">
used depr per March 31, 2015 tax return for provision.</t>
        </r>
      </text>
    </comment>
    <comment ref="J39" authorId="1" shapeId="0">
      <text>
        <r>
          <rPr>
            <b/>
            <sz val="9"/>
            <color indexed="81"/>
            <rFont val="Tahoma"/>
            <family val="2"/>
          </rPr>
          <t>mark:</t>
        </r>
        <r>
          <rPr>
            <sz val="9"/>
            <color indexed="81"/>
            <rFont val="Tahoma"/>
            <family val="2"/>
          </rPr>
          <t xml:space="preserve">
used depr per March 31, 2015 tax return for provision.</t>
        </r>
      </text>
    </comment>
    <comment ref="D45" authorId="0" shapeId="0">
      <text>
        <r>
          <rPr>
            <b/>
            <sz val="9"/>
            <color indexed="81"/>
            <rFont val="Tahoma"/>
            <family val="2"/>
          </rPr>
          <t>Sean Lawver:</t>
        </r>
        <r>
          <rPr>
            <sz val="9"/>
            <color indexed="81"/>
            <rFont val="Tahoma"/>
            <family val="2"/>
          </rPr>
          <t xml:space="preserve">
Non-compete for an asset purchase.  For tax it's amortizable over 15 years and for book it was expensed in 2010, the year it was paid.</t>
        </r>
      </text>
    </comment>
    <comment ref="J45" authorId="0" shapeId="0">
      <text>
        <r>
          <rPr>
            <b/>
            <sz val="9"/>
            <color indexed="81"/>
            <rFont val="Tahoma"/>
            <family val="2"/>
          </rPr>
          <t>Sean Lawver:</t>
        </r>
        <r>
          <rPr>
            <sz val="9"/>
            <color indexed="81"/>
            <rFont val="Tahoma"/>
            <family val="2"/>
          </rPr>
          <t xml:space="preserve">
Non-compete for an asset purchase.  For tax it's amortizable over 15 years and for book it was expensed in 2010, the year it was paid.</t>
        </r>
      </text>
    </comment>
  </commentList>
</comments>
</file>

<file path=xl/comments2.xml><?xml version="1.0" encoding="utf-8"?>
<comments xmlns="http://schemas.openxmlformats.org/spreadsheetml/2006/main">
  <authors>
    <author>mark</author>
    <author>Sarah Whitmyre</author>
  </authors>
  <commentList>
    <comment ref="AS14" authorId="0" shapeId="0">
      <text>
        <r>
          <rPr>
            <b/>
            <sz val="9"/>
            <color indexed="81"/>
            <rFont val="Tahoma"/>
            <family val="2"/>
          </rPr>
          <t>mark:</t>
        </r>
        <r>
          <rPr>
            <sz val="9"/>
            <color indexed="81"/>
            <rFont val="Tahoma"/>
            <family val="2"/>
          </rPr>
          <t xml:space="preserve">
per tax ppe schedule from sbbb</t>
        </r>
      </text>
    </comment>
    <comment ref="AY16" authorId="0" shapeId="0">
      <text>
        <r>
          <rPr>
            <b/>
            <sz val="9"/>
            <color indexed="81"/>
            <rFont val="Tahoma"/>
            <family val="2"/>
          </rPr>
          <t>mark:</t>
        </r>
        <r>
          <rPr>
            <sz val="9"/>
            <color indexed="81"/>
            <rFont val="Tahoma"/>
            <family val="2"/>
          </rPr>
          <t xml:space="preserve">
difference due to provision</t>
        </r>
      </text>
    </comment>
    <comment ref="W24" authorId="1" shapeId="0">
      <text>
        <r>
          <rPr>
            <b/>
            <sz val="9"/>
            <color indexed="81"/>
            <rFont val="Tahoma"/>
            <charset val="1"/>
          </rPr>
          <t>Sarah Whitmyre:</t>
        </r>
        <r>
          <rPr>
            <sz val="9"/>
            <color indexed="81"/>
            <rFont val="Tahoma"/>
            <charset val="1"/>
          </rPr>
          <t xml:space="preserve">
Was 5,580 when made DTA true-up entry on 3.27</t>
        </r>
      </text>
    </comment>
    <comment ref="Y24" authorId="1" shapeId="0">
      <text>
        <r>
          <rPr>
            <b/>
            <sz val="9"/>
            <color indexed="81"/>
            <rFont val="Tahoma"/>
            <charset val="1"/>
          </rPr>
          <t>Sarah Whitmyre:</t>
        </r>
        <r>
          <rPr>
            <sz val="9"/>
            <color indexed="81"/>
            <rFont val="Tahoma"/>
            <charset val="1"/>
          </rPr>
          <t xml:space="preserve">
The PTR is higher, but there should be a DTL created for the tax losses I am zeroing out this DTA and will create for NOLs</t>
        </r>
      </text>
    </comment>
    <comment ref="U74" authorId="1" shapeId="0">
      <text>
        <r>
          <rPr>
            <b/>
            <sz val="9"/>
            <color indexed="81"/>
            <rFont val="Tahoma"/>
            <family val="2"/>
          </rPr>
          <t>Sarah Whitmyre:</t>
        </r>
        <r>
          <rPr>
            <sz val="9"/>
            <color indexed="81"/>
            <rFont val="Tahoma"/>
            <family val="2"/>
          </rPr>
          <t xml:space="preserve">
C &amp; NC totals agree to AFS</t>
        </r>
      </text>
    </comment>
  </commentList>
</comments>
</file>

<file path=xl/comments3.xml><?xml version="1.0" encoding="utf-8"?>
<comments xmlns="http://schemas.openxmlformats.org/spreadsheetml/2006/main">
  <authors>
    <author>mark</author>
  </authors>
  <commentList>
    <comment ref="L10" authorId="0" shapeId="0">
      <text>
        <r>
          <rPr>
            <b/>
            <sz val="9"/>
            <color indexed="81"/>
            <rFont val="Tahoma"/>
            <family val="2"/>
          </rPr>
          <t>mark:</t>
        </r>
        <r>
          <rPr>
            <sz val="9"/>
            <color indexed="81"/>
            <rFont val="Tahoma"/>
            <family val="2"/>
          </rPr>
          <t xml:space="preserve">
per gl actiity report change in account balance represents tax accruals during 2014.  No payments noted in this gl account.  Total is $93,945.</t>
        </r>
      </text>
    </comment>
    <comment ref="H64" authorId="0" shapeId="0">
      <text>
        <r>
          <rPr>
            <b/>
            <sz val="9"/>
            <color indexed="81"/>
            <rFont val="Tahoma"/>
            <family val="2"/>
          </rPr>
          <t>mark:</t>
        </r>
        <r>
          <rPr>
            <sz val="9"/>
            <color indexed="81"/>
            <rFont val="Tahoma"/>
            <family val="2"/>
          </rPr>
          <t xml:space="preserve">
estimated at 75% of py pymts by wa per state tax information schedule.</t>
        </r>
      </text>
    </comment>
    <comment ref="F65" authorId="0" shapeId="0">
      <text>
        <r>
          <rPr>
            <b/>
            <sz val="9"/>
            <color indexed="81"/>
            <rFont val="Tahoma"/>
            <family val="2"/>
          </rPr>
          <t>mark:</t>
        </r>
        <r>
          <rPr>
            <sz val="9"/>
            <color indexed="81"/>
            <rFont val="Tahoma"/>
            <family val="2"/>
          </rPr>
          <t xml:space="preserve">
per provision
</t>
        </r>
      </text>
    </comment>
    <comment ref="F66" authorId="0" shapeId="0">
      <text>
        <r>
          <rPr>
            <b/>
            <sz val="9"/>
            <color indexed="81"/>
            <rFont val="Tahoma"/>
            <family val="2"/>
          </rPr>
          <t>mark:</t>
        </r>
        <r>
          <rPr>
            <sz val="9"/>
            <color indexed="81"/>
            <rFont val="Tahoma"/>
            <family val="2"/>
          </rPr>
          <t xml:space="preserve">
includes $79k interest income recorded as credit to provision</t>
        </r>
      </text>
    </comment>
  </commentList>
</comments>
</file>

<file path=xl/comments4.xml><?xml version="1.0" encoding="utf-8"?>
<comments xmlns="http://schemas.openxmlformats.org/spreadsheetml/2006/main">
  <authors>
    <author>mark</author>
  </authors>
  <commentList>
    <comment ref="O17" authorId="0" shapeId="0">
      <text>
        <r>
          <rPr>
            <b/>
            <sz val="9"/>
            <color indexed="81"/>
            <rFont val="Tahoma"/>
            <family val="2"/>
          </rPr>
          <t>mark:</t>
        </r>
        <r>
          <rPr>
            <sz val="9"/>
            <color indexed="81"/>
            <rFont val="Tahoma"/>
            <family val="2"/>
          </rPr>
          <t xml:space="preserve">
ct share divided by 67%</t>
        </r>
      </text>
    </comment>
    <comment ref="Q17" authorId="0" shapeId="0">
      <text>
        <r>
          <rPr>
            <b/>
            <sz val="9"/>
            <color indexed="81"/>
            <rFont val="Tahoma"/>
            <family val="2"/>
          </rPr>
          <t>Sarah: 7,966,955 was the Wireless K-1 Pickup. Using 1/4 of this as Q1 estimate for TI.</t>
        </r>
      </text>
    </comment>
    <comment ref="AC17" authorId="0" shapeId="0">
      <text>
        <r>
          <rPr>
            <b/>
            <sz val="9"/>
            <color indexed="81"/>
            <rFont val="Tahoma"/>
            <family val="2"/>
          </rPr>
          <t>mark:</t>
        </r>
        <r>
          <rPr>
            <sz val="9"/>
            <color indexed="81"/>
            <rFont val="Tahoma"/>
            <family val="2"/>
          </rPr>
          <t xml:space="preserve">
ct share divided by 67%</t>
        </r>
      </text>
    </comment>
    <comment ref="AE17" authorId="0" shapeId="0">
      <text>
        <r>
          <rPr>
            <b/>
            <sz val="9"/>
            <color indexed="81"/>
            <rFont val="Tahoma"/>
            <family val="2"/>
          </rPr>
          <t>mark:</t>
        </r>
        <r>
          <rPr>
            <sz val="9"/>
            <color indexed="81"/>
            <rFont val="Tahoma"/>
            <family val="2"/>
          </rPr>
          <t xml:space="preserve">
per ct return</t>
        </r>
      </text>
    </comment>
  </commentList>
</comments>
</file>

<file path=xl/comments5.xml><?xml version="1.0" encoding="utf-8"?>
<comments xmlns="http://schemas.openxmlformats.org/spreadsheetml/2006/main">
  <authors>
    <author>Sarah Whitmyre</author>
  </authors>
  <commentList>
    <comment ref="L9" authorId="0" shapeId="0">
      <text>
        <r>
          <rPr>
            <b/>
            <sz val="9"/>
            <color indexed="81"/>
            <rFont val="Tahoma"/>
            <family val="2"/>
          </rPr>
          <t>Sarah Whitmyre:</t>
        </r>
        <r>
          <rPr>
            <sz val="9"/>
            <color indexed="81"/>
            <rFont val="Tahoma"/>
            <family val="2"/>
          </rPr>
          <t xml:space="preserve">
Additional expenses recorded after numbers were provided to Pat.  Updating Q4 book income to reflect this</t>
        </r>
      </text>
    </comment>
  </commentList>
</comments>
</file>

<file path=xl/comments6.xml><?xml version="1.0" encoding="utf-8"?>
<comments xmlns="http://schemas.openxmlformats.org/spreadsheetml/2006/main">
  <authors>
    <author>mark</author>
    <author>Sarah Whitmyre</author>
  </authors>
  <commentList>
    <comment ref="G9" authorId="0" shapeId="0">
      <text>
        <r>
          <rPr>
            <b/>
            <sz val="9"/>
            <color indexed="81"/>
            <rFont val="Tahoma"/>
            <family val="2"/>
          </rPr>
          <t>mark:</t>
        </r>
        <r>
          <rPr>
            <sz val="9"/>
            <color indexed="81"/>
            <rFont val="Tahoma"/>
            <family val="2"/>
          </rPr>
          <t xml:space="preserve">
net income is $7,632 per audited financial statements</t>
        </r>
      </text>
    </comment>
    <comment ref="G10" authorId="0" shapeId="0">
      <text>
        <r>
          <rPr>
            <b/>
            <sz val="9"/>
            <color indexed="81"/>
            <rFont val="Tahoma"/>
            <family val="2"/>
          </rPr>
          <t>mark:</t>
        </r>
        <r>
          <rPr>
            <sz val="9"/>
            <color indexed="81"/>
            <rFont val="Tahoma"/>
            <family val="2"/>
          </rPr>
          <t xml:space="preserve">
tax provision is $5,220 per audited financial statements
</t>
        </r>
      </text>
    </comment>
    <comment ref="E36" authorId="1" shapeId="0">
      <text>
        <r>
          <rPr>
            <b/>
            <sz val="9"/>
            <color indexed="81"/>
            <rFont val="Tahoma"/>
            <family val="2"/>
          </rPr>
          <t>Sarah Whitmyre:</t>
        </r>
        <r>
          <rPr>
            <sz val="9"/>
            <color indexed="81"/>
            <rFont val="Tahoma"/>
            <family val="2"/>
          </rPr>
          <t xml:space="preserve">
ties to taxable income Form 1120 for 3-31-16 year end at Page 1 and M-3</t>
        </r>
      </text>
    </comment>
  </commentList>
</comments>
</file>

<file path=xl/comments7.xml><?xml version="1.0" encoding="utf-8"?>
<comments xmlns="http://schemas.openxmlformats.org/spreadsheetml/2006/main">
  <authors>
    <author>Sarah Whitmyre</author>
    <author>mark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Sarah Whitmyre:</t>
        </r>
        <r>
          <rPr>
            <sz val="9"/>
            <color indexed="81"/>
            <rFont val="Tahoma"/>
            <family val="2"/>
          </rPr>
          <t xml:space="preserve">
2016 detail completed 2.14.17</t>
        </r>
      </text>
    </comment>
    <comment ref="AS48" authorId="1" shapeId="0">
      <text>
        <r>
          <rPr>
            <b/>
            <sz val="9"/>
            <color indexed="81"/>
            <rFont val="Tahoma"/>
            <family val="2"/>
          </rPr>
          <t>py op + pymts - tax = $3,623 vs $3,675: diff of $52</t>
        </r>
      </text>
    </comment>
    <comment ref="E50" authorId="1" shapeId="0">
      <text>
        <r>
          <rPr>
            <b/>
            <sz val="9"/>
            <color indexed="81"/>
            <rFont val="Tahoma"/>
            <family val="2"/>
          </rPr>
          <t>mark:</t>
        </r>
        <r>
          <rPr>
            <sz val="9"/>
            <color indexed="81"/>
            <rFont val="Tahoma"/>
            <family val="2"/>
          </rPr>
          <t xml:space="preserve">
represents tax for 2015 due in May 2015</t>
        </r>
      </text>
    </comment>
    <comment ref="G50" authorId="1" shapeId="0">
      <text>
        <r>
          <rPr>
            <b/>
            <sz val="9"/>
            <color indexed="81"/>
            <rFont val="Tahoma"/>
            <family val="2"/>
          </rPr>
          <t>mark:</t>
        </r>
        <r>
          <rPr>
            <sz val="9"/>
            <color indexed="81"/>
            <rFont val="Tahoma"/>
            <family val="2"/>
          </rPr>
          <t xml:space="preserve">
estimate</t>
        </r>
      </text>
    </comment>
  </commentList>
</comments>
</file>

<file path=xl/comments8.xml><?xml version="1.0" encoding="utf-8"?>
<comments xmlns="http://schemas.openxmlformats.org/spreadsheetml/2006/main">
  <authors>
    <author>Sarah Whitmyre</author>
    <author>mark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>Sarah Whitmyre:</t>
        </r>
        <r>
          <rPr>
            <sz val="9"/>
            <color indexed="81"/>
            <rFont val="Tahoma"/>
            <family val="2"/>
          </rPr>
          <t xml:space="preserve">
per provision file
</t>
        </r>
      </text>
    </comment>
    <comment ref="I33" authorId="1" shapeId="0">
      <text>
        <r>
          <rPr>
            <b/>
            <sz val="9"/>
            <color indexed="81"/>
            <rFont val="Tahoma"/>
            <family val="2"/>
          </rPr>
          <t>mark:</t>
        </r>
        <r>
          <rPr>
            <sz val="9"/>
            <color indexed="81"/>
            <rFont val="Tahoma"/>
            <family val="2"/>
          </rPr>
          <t xml:space="preserve">
calculated based on 1125-A and statement 17 of 3/31/2015 return </t>
        </r>
      </text>
    </comment>
    <comment ref="A49" authorId="0" shapeId="0">
      <text>
        <r>
          <rPr>
            <b/>
            <sz val="9"/>
            <color indexed="81"/>
            <rFont val="Tahoma"/>
            <family val="2"/>
          </rPr>
          <t>Sarah Whitmyre:</t>
        </r>
        <r>
          <rPr>
            <sz val="9"/>
            <color indexed="81"/>
            <rFont val="Tahoma"/>
            <family val="2"/>
          </rPr>
          <t xml:space="preserve">
Had large receivable at end of 2015.  Mark showed this as asset rather than netting with liabilities.
</t>
        </r>
      </text>
    </comment>
  </commentList>
</comments>
</file>

<file path=xl/comments9.xml><?xml version="1.0" encoding="utf-8"?>
<comments xmlns="http://schemas.openxmlformats.org/spreadsheetml/2006/main">
  <authors>
    <author>Sarah Whitmyre</author>
  </authors>
  <commentList>
    <comment ref="D11" authorId="0" shapeId="0">
      <text>
        <r>
          <rPr>
            <b/>
            <sz val="9"/>
            <color indexed="81"/>
            <rFont val="Tahoma"/>
            <family val="2"/>
          </rPr>
          <t>Sarah Whitmyre:</t>
        </r>
        <r>
          <rPr>
            <sz val="9"/>
            <color indexed="81"/>
            <rFont val="Tahoma"/>
            <family val="2"/>
          </rPr>
          <t xml:space="preserve">
Updated to match Consolidation file dated 3.16.17
</t>
        </r>
      </text>
    </comment>
    <comment ref="F11" authorId="0" shapeId="0">
      <text>
        <r>
          <rPr>
            <b/>
            <sz val="9"/>
            <color indexed="81"/>
            <rFont val="Tahoma"/>
            <family val="2"/>
          </rPr>
          <t>Sarah Whitmyre:</t>
        </r>
        <r>
          <rPr>
            <sz val="9"/>
            <color indexed="81"/>
            <rFont val="Tahoma"/>
            <family val="2"/>
          </rPr>
          <t xml:space="preserve">
This was per a comparison TB run 2.24.17</t>
        </r>
      </text>
    </comment>
    <comment ref="A12" authorId="0" shapeId="0">
      <text>
        <r>
          <rPr>
            <b/>
            <sz val="9"/>
            <color indexed="81"/>
            <rFont val="Tahoma"/>
            <family val="2"/>
          </rPr>
          <t>Sarah Whitmyre:</t>
        </r>
        <r>
          <rPr>
            <sz val="9"/>
            <color indexed="81"/>
            <rFont val="Tahoma"/>
            <family val="2"/>
          </rPr>
          <t xml:space="preserve">
Style from Consolidated file</t>
        </r>
      </text>
    </comment>
  </commentList>
</comments>
</file>

<file path=xl/sharedStrings.xml><?xml version="1.0" encoding="utf-8"?>
<sst xmlns="http://schemas.openxmlformats.org/spreadsheetml/2006/main" count="4058" uniqueCount="2291">
  <si>
    <t>CTI</t>
  </si>
  <si>
    <t>Property and equipment, net</t>
  </si>
  <si>
    <t>Other assets</t>
  </si>
  <si>
    <t>Sales</t>
  </si>
  <si>
    <t>Income before income taxes</t>
  </si>
  <si>
    <t>Net income</t>
  </si>
  <si>
    <t>Other</t>
  </si>
  <si>
    <t>Car Toys, Inc. and subsidiaries</t>
  </si>
  <si>
    <t>Total</t>
  </si>
  <si>
    <t>Balance at December 31, 2014</t>
  </si>
  <si>
    <t>WA</t>
  </si>
  <si>
    <t>n/a</t>
  </si>
  <si>
    <t>Car Toys, Inc.</t>
  </si>
  <si>
    <t>Deferred Revenue</t>
  </si>
  <si>
    <t>Consolidated income tax provision worksheet</t>
  </si>
  <si>
    <t>Net income, exclusive of noncontrolling interests</t>
  </si>
  <si>
    <t>Income taxes</t>
  </si>
  <si>
    <t>Nondeductible portion of meals &amp; entertainment</t>
  </si>
  <si>
    <t>ISO stock-based comp</t>
  </si>
  <si>
    <t>Taxable equity earnings of LLC attributable to CT</t>
  </si>
  <si>
    <t>Sales &amp; use tax audit assessment - BOY</t>
  </si>
  <si>
    <t>Sales &amp; use tax audit assessment - EOY</t>
  </si>
  <si>
    <t>Deferred rent - BOY</t>
  </si>
  <si>
    <t>Deferred rent - EOY</t>
  </si>
  <si>
    <t>Accrued vacation - BOY</t>
  </si>
  <si>
    <t>Accrued vacation - EOY</t>
  </si>
  <si>
    <t>Sec 263A costs capitalized for tax - BOY</t>
  </si>
  <si>
    <t>Sec 263A costs capitalized for tax - EOY</t>
  </si>
  <si>
    <t>Inventory reserve - BOY</t>
  </si>
  <si>
    <t>Inventory reserve - EOY</t>
  </si>
  <si>
    <t>Allowance for doubtful accounts - BOY</t>
  </si>
  <si>
    <t>Allowance for doubtful accounts - EOY</t>
  </si>
  <si>
    <t>Reserve for Vendor AR - BOY</t>
  </si>
  <si>
    <t>Reserve for Vendor AR - EOY</t>
  </si>
  <si>
    <t>Reserve for deactivations - BOY</t>
  </si>
  <si>
    <t>Reserve for deactivations - EOY</t>
  </si>
  <si>
    <t>Prepaid insurance - BOY</t>
  </si>
  <si>
    <t>Prepaid insurance - EOY</t>
  </si>
  <si>
    <t>Tax depreciation</t>
  </si>
  <si>
    <t>Capital lease asset, net of A/D - BOY</t>
  </si>
  <si>
    <t>Capital lease asset, net of A/D - EOY</t>
  </si>
  <si>
    <t>Capital lease obligations - BOY</t>
  </si>
  <si>
    <t>Capital lease obligations - EOY</t>
  </si>
  <si>
    <t>Capital lease interest expense</t>
  </si>
  <si>
    <t>Amortization of intangible for tax</t>
  </si>
  <si>
    <t>Taxable income</t>
  </si>
  <si>
    <t>Current tax exp:  Federal tax at 35%</t>
  </si>
  <si>
    <t>Footnote Disclosure</t>
  </si>
  <si>
    <t>Current</t>
  </si>
  <si>
    <t>Deferred</t>
  </si>
  <si>
    <t>Tax credits</t>
  </si>
  <si>
    <t>Income tax provision</t>
  </si>
  <si>
    <t>Rate reconciliation information</t>
  </si>
  <si>
    <t>Pre-tax income</t>
  </si>
  <si>
    <t>% of EBT</t>
  </si>
  <si>
    <t>Tax at 35% statutory rate - fed</t>
  </si>
  <si>
    <t>Not deductible for tax - fed at 35%</t>
  </si>
  <si>
    <t>Income tax Provision</t>
  </si>
  <si>
    <t>provision</t>
  </si>
  <si>
    <t>other</t>
  </si>
  <si>
    <t>total</t>
  </si>
  <si>
    <t>nature of differences</t>
  </si>
  <si>
    <t xml:space="preserve"> December 31, 2010</t>
  </si>
  <si>
    <t>ott</t>
  </si>
  <si>
    <t>temporary</t>
  </si>
  <si>
    <t xml:space="preserve">  Tax basis in investment</t>
  </si>
  <si>
    <t xml:space="preserve">  Book basis in investment</t>
  </si>
  <si>
    <t xml:space="preserve">      Tax &gt; book</t>
  </si>
  <si>
    <t xml:space="preserve">  Share of WA income for book</t>
  </si>
  <si>
    <t xml:space="preserve">  Share of WA income for tax</t>
  </si>
  <si>
    <t xml:space="preserve">      Decrease in tax &gt; book</t>
  </si>
  <si>
    <t>current</t>
  </si>
  <si>
    <t>Tax provision</t>
  </si>
  <si>
    <t xml:space="preserve">Federal and state </t>
  </si>
  <si>
    <t>State - WA</t>
  </si>
  <si>
    <t xml:space="preserve">Tax payments  </t>
  </si>
  <si>
    <t>State refunds</t>
  </si>
  <si>
    <t>Return to provision true-up</t>
  </si>
  <si>
    <t>(A)</t>
  </si>
  <si>
    <t>difference</t>
  </si>
  <si>
    <t>t</t>
  </si>
  <si>
    <t>(B)</t>
  </si>
  <si>
    <t>reference net income and tax provision from consolidating pl</t>
  </si>
  <si>
    <t>reference other than temporary differences to tb and other support</t>
  </si>
  <si>
    <t>update roll-forward schedule and link provision to return differences</t>
  </si>
  <si>
    <t>link temporary differences from provision</t>
  </si>
  <si>
    <t xml:space="preserve">prepare financial reporting schedule </t>
  </si>
  <si>
    <t>update carryforward schedule of account activity</t>
  </si>
  <si>
    <t>prepare reconcilation of tax accounts to ending balances per support</t>
  </si>
  <si>
    <t>identify new items, if any, by updating prior year provision to return information</t>
  </si>
  <si>
    <t>update carryforward schedule of state income tax information from filed returns</t>
  </si>
  <si>
    <t>fin 48</t>
  </si>
  <si>
    <t xml:space="preserve">compare ending balances per schedule to amounts per balance sheet and other </t>
  </si>
  <si>
    <t>obtain update on status of federal returns, refunds and audits</t>
  </si>
  <si>
    <t>Equity in earnings of LLC</t>
  </si>
  <si>
    <t>Book depreciation (including cap lease amortization)</t>
  </si>
  <si>
    <t>debit</t>
  </si>
  <si>
    <t>credit</t>
  </si>
  <si>
    <t>Depreciation</t>
  </si>
  <si>
    <t>book</t>
  </si>
  <si>
    <t>update carryforward support for cumulative WA and ppe differences</t>
  </si>
  <si>
    <t>deferred tax assets</t>
  </si>
  <si>
    <t>receivable</t>
  </si>
  <si>
    <t>(payable)</t>
  </si>
  <si>
    <t>federal</t>
  </si>
  <si>
    <t>PA tax pymt</t>
  </si>
  <si>
    <t>AZ tax pymt</t>
  </si>
  <si>
    <t>refund</t>
  </si>
  <si>
    <t>state income taxes</t>
  </si>
  <si>
    <t>Schedule of general ledger activity for account 248000</t>
  </si>
  <si>
    <t>prepare reasonableness test of ending balance in current payable &amp; receivable a/c's</t>
  </si>
  <si>
    <t>Schedule of support for book/tax differences in share of WA income and deferred taxes</t>
  </si>
  <si>
    <t>(in thousands)</t>
  </si>
  <si>
    <t>composition of book/tax differences for investment in WA</t>
  </si>
  <si>
    <t xml:space="preserve"> December 31, 2011 tax &gt; book</t>
  </si>
  <si>
    <t xml:space="preserve"> December 31, 2012 tax &gt; book</t>
  </si>
  <si>
    <t xml:space="preserve"> December 31, 2013 tax &gt; book</t>
  </si>
  <si>
    <t xml:space="preserve"> December 31, 2014 tax &gt; book</t>
  </si>
  <si>
    <t>Property and equipment</t>
  </si>
  <si>
    <t>Investment in subsidiary</t>
  </si>
  <si>
    <t>taxes per tax returns for March 31 fiscal year ended in</t>
  </si>
  <si>
    <t>tax rate</t>
  </si>
  <si>
    <t>apportionment %'s</t>
  </si>
  <si>
    <t>withholding</t>
  </si>
  <si>
    <t>tax overpaid or (due)</t>
  </si>
  <si>
    <t>by WA</t>
  </si>
  <si>
    <t>payments</t>
  </si>
  <si>
    <t>apply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</si>
  <si>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</si>
  <si>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</si>
  <si>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</si>
  <si>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</si>
  <si>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</si>
  <si>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</si>
  <si>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</si>
  <si>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</si>
  <si>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</si>
  <si>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</si>
  <si>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</si>
  <si>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</si>
  <si>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</si>
  <si>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</si>
  <si>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</si>
  <si>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</si>
  <si>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</si>
  <si>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Lousiana</t>
  </si>
  <si>
    <t>Maryland</t>
  </si>
  <si>
    <t>Massachusetts</t>
  </si>
  <si>
    <t>Michigan</t>
  </si>
  <si>
    <t>Minnesota</t>
  </si>
  <si>
    <t>Mississippi</t>
  </si>
  <si>
    <t>Missouri</t>
  </si>
  <si>
    <t xml:space="preserve">Montana </t>
  </si>
  <si>
    <t>Nebraska</t>
  </si>
  <si>
    <t>Nevada                     nfr</t>
  </si>
  <si>
    <t>New Hampshire       nfr</t>
  </si>
  <si>
    <t>New Jersey</t>
  </si>
  <si>
    <t>New Mexico</t>
  </si>
  <si>
    <t>New York</t>
  </si>
  <si>
    <t>NY MTM - franchise</t>
  </si>
  <si>
    <t>North Carolina</t>
  </si>
  <si>
    <t>North Dakota</t>
  </si>
  <si>
    <t>Ohio                        nfr</t>
  </si>
  <si>
    <t>Oklahoma</t>
  </si>
  <si>
    <t>Oregon</t>
  </si>
  <si>
    <t>Pennsylvania</t>
  </si>
  <si>
    <t>Rhode Island</t>
  </si>
  <si>
    <t>South Carolina</t>
  </si>
  <si>
    <t>Tennessee                nfr</t>
  </si>
  <si>
    <t>Texas - franchise tax</t>
  </si>
  <si>
    <t>Utah</t>
  </si>
  <si>
    <t>Vermont</t>
  </si>
  <si>
    <t>Virgina</t>
  </si>
  <si>
    <t>Washington             nfr</t>
  </si>
  <si>
    <t>Wisconsin</t>
  </si>
  <si>
    <t>nfr - no filing requirement</t>
  </si>
  <si>
    <t>Carryforward shedule of state income tax return information</t>
  </si>
  <si>
    <t>return</t>
  </si>
  <si>
    <t>Tax provision - current</t>
  </si>
  <si>
    <t>Tax provision - deferred</t>
  </si>
  <si>
    <t xml:space="preserve">   Income tax provision</t>
  </si>
  <si>
    <t xml:space="preserve">Tax  per tax returns </t>
  </si>
  <si>
    <t xml:space="preserve">  Federal</t>
  </si>
  <si>
    <t xml:space="preserve">  States</t>
  </si>
  <si>
    <t>effective tax rate</t>
  </si>
  <si>
    <t>Car Toys, Inc. and consolidated subsidiaries</t>
  </si>
  <si>
    <t>Accounting for Uncertain Income Tax Positions Checklist</t>
  </si>
  <si>
    <t>n/a = not applicable and/or amounts, if any, are insignificant</t>
  </si>
  <si>
    <t>nsc = no significant changes</t>
  </si>
  <si>
    <t>Applicable</t>
  </si>
  <si>
    <t xml:space="preserve">Uncertainty </t>
  </si>
  <si>
    <t>Tax position</t>
  </si>
  <si>
    <t>y/n</t>
  </si>
  <si>
    <t>Description:</t>
  </si>
  <si>
    <t>updated for 2010</t>
  </si>
  <si>
    <t>updated for 2011</t>
  </si>
  <si>
    <t>nsc - no significant changes</t>
  </si>
  <si>
    <t>nsc</t>
  </si>
  <si>
    <t>1.)   Revenue recognition policy for book/tax purposes</t>
  </si>
  <si>
    <t>-</t>
  </si>
  <si>
    <t>A.</t>
  </si>
  <si>
    <t xml:space="preserve">Percentage of completion vs. completed-contract </t>
  </si>
  <si>
    <t>B.</t>
  </si>
  <si>
    <t>Advance payments or deposits</t>
  </si>
  <si>
    <t>C.</t>
  </si>
  <si>
    <t>y</t>
  </si>
  <si>
    <t>n</t>
  </si>
  <si>
    <t>nsc, see comment at left</t>
  </si>
  <si>
    <t>2.)  Receipt or payment of rent, royalties, and/or interest</t>
  </si>
  <si>
    <t>company receives some sub-lease rent income; WA has interest income - nutp</t>
  </si>
  <si>
    <t>3.)  Recognition or characterization of gain(loss) on asset sale</t>
  </si>
  <si>
    <t>Document positions relating to hedging transactions</t>
  </si>
  <si>
    <t>Required contemporaneous documentation</t>
  </si>
  <si>
    <t>4.)  Recognition of Miscellaneous Income</t>
  </si>
  <si>
    <t>preferred stock redemption gain</t>
  </si>
  <si>
    <t>5.)  Exclusion of ETI</t>
  </si>
  <si>
    <t>6.)  Debt Discharge Income</t>
  </si>
  <si>
    <t>7.)  Treatment of SALT incentives as contributions to capital</t>
  </si>
  <si>
    <t>8.)  Involuntary conversions</t>
  </si>
  <si>
    <t>9.)  Inventory Methods(FIFO, LIFO, LOCM, UNICAP, shrink)</t>
  </si>
  <si>
    <t>FIFO</t>
  </si>
  <si>
    <t>book and tax fifo basis is the same for substantially all inventory</t>
  </si>
  <si>
    <t>LOCM</t>
  </si>
  <si>
    <t>book reserve for technical obsolescence is not deducted for tax</t>
  </si>
  <si>
    <t>UNICAP</t>
  </si>
  <si>
    <t>section 263A adjustment reflected for tax</t>
  </si>
  <si>
    <t>Shrinkage</t>
  </si>
  <si>
    <t>shrinkage reserve not deducted for tax</t>
  </si>
  <si>
    <t>Other - discounts</t>
  </si>
  <si>
    <t>discountsadjustment reflected for tax</t>
  </si>
  <si>
    <t xml:space="preserve">Other  - difference for promotional merchandise </t>
  </si>
  <si>
    <t>inventory rec'd from vendors as promotional credits not deducted until sold for tax</t>
  </si>
  <si>
    <t>10.)  Section 382 limitations</t>
  </si>
  <si>
    <t>Change in ownership impact on NOL's?</t>
  </si>
  <si>
    <t>Third party to support computation of impact</t>
  </si>
  <si>
    <t>Built in gains been offset w/ pre-acquisition losses</t>
  </si>
  <si>
    <t>11.)  Application of accumulated earnings tax</t>
  </si>
  <si>
    <t>12.)  Interest-free and related party loans (imputed interest)</t>
  </si>
  <si>
    <t>13.)  Tax-free status of mergers, reorganizations, or spin-offs</t>
  </si>
  <si>
    <t>Reorganization in 1999 tax-free.  Returns have been examined and closed.</t>
  </si>
  <si>
    <t>14.)  Position regarding the allocation of purchase-price</t>
  </si>
  <si>
    <t>Treatment of contingent purchase price</t>
  </si>
  <si>
    <t>Treatment of contingent liabilities</t>
  </si>
  <si>
    <t>15.)  Corporate-owned life insurance</t>
  </si>
  <si>
    <t>16.)  Amount of dividends-received deduction</t>
  </si>
  <si>
    <t>17.)  Distributions of appreciated property (Sect. 311(b))</t>
  </si>
  <si>
    <t>18.)  Position regarding prior Sect. 332 liquidations</t>
  </si>
  <si>
    <t>19.)  Like-kind exchanges</t>
  </si>
  <si>
    <t>20.)  Position on installment sales</t>
  </si>
  <si>
    <t>21.)  Characterization of capital vs. ordinary losses</t>
  </si>
  <si>
    <t>Treatment of excess capital losses</t>
  </si>
  <si>
    <t>Transactions structured to generate capital gains</t>
  </si>
  <si>
    <t>22.)  Deduction for worthless securities (165 (g))</t>
  </si>
  <si>
    <t>23.)  Loss on the sale of any subsidiary</t>
  </si>
  <si>
    <t>24.)  Recognition of any excess loss accounts</t>
  </si>
  <si>
    <t>25.)  Treatment of leases</t>
  </si>
  <si>
    <t>Capital vs. Operating</t>
  </si>
  <si>
    <t>Capital leases</t>
  </si>
  <si>
    <t>Certain ppe is leased under capital leases for book, operating for tax</t>
  </si>
  <si>
    <t>Operating leases</t>
  </si>
  <si>
    <t>store locations are leased under operating leases for book and tax</t>
  </si>
  <si>
    <t>Escalating lease payments</t>
  </si>
  <si>
    <t>deferred rent recorded for book is not deducted for tax, rents paid deducted for tax</t>
  </si>
  <si>
    <t>Rent Holidays</t>
  </si>
  <si>
    <t>D.</t>
  </si>
  <si>
    <t>Sale/leaseback</t>
  </si>
  <si>
    <t>E.</t>
  </si>
  <si>
    <t>Landlord allowances for tenant improvements</t>
  </si>
  <si>
    <t>book and tax temporary differences exist for certain leases</t>
  </si>
  <si>
    <t>26.)  Deduction of accrued expenses</t>
  </si>
  <si>
    <t>accruals for contingent liabilities not deducted until paid</t>
  </si>
  <si>
    <t>Fixed and determinable</t>
  </si>
  <si>
    <t>Economic performance</t>
  </si>
  <si>
    <t>Contingent Liabilities</t>
  </si>
  <si>
    <t>27.)  Position regarding bad debts (charge offs, recoveries)</t>
  </si>
  <si>
    <t>amounts accrued not deducted for tax, accounts written-off deducted for tax</t>
  </si>
  <si>
    <t>28.)  Golden Parachute payments</t>
  </si>
  <si>
    <t>29.)  Non-deductible items (fines, penalties, clubs, lobbying)</t>
  </si>
  <si>
    <t>penalties not deducted for tax, no lobbying expenses or club dues</t>
  </si>
  <si>
    <t>Any large out of court or class action lawsuits</t>
  </si>
  <si>
    <t>30.)  Section 199 Deduction</t>
  </si>
  <si>
    <t>31.)  Debt vs. Equity Characterization, such as:</t>
  </si>
  <si>
    <t>Hybrid Instruments</t>
  </si>
  <si>
    <t>Acquisition related interest</t>
  </si>
  <si>
    <t xml:space="preserve">CERT transaction-availability on NOL carryback </t>
  </si>
  <si>
    <t>HYDO (Sect. 163(e)(5) and Sect. 163(i)</t>
  </si>
  <si>
    <t>Convertible Debt (Sect. 163(I))</t>
  </si>
  <si>
    <t>32.)  Positions regarding R&amp;D credits</t>
  </si>
  <si>
    <t>Qualified Activities</t>
  </si>
  <si>
    <t>Qualified Expenses</t>
  </si>
  <si>
    <t>Base amount computation</t>
  </si>
  <si>
    <t>Quality of supporting documentation</t>
  </si>
  <si>
    <t>33.)  Other miscellaneous credits and incentives</t>
  </si>
  <si>
    <t>Work Opportunity Tax Credit</t>
  </si>
  <si>
    <t>Welfare-to-Work Credit</t>
  </si>
  <si>
    <t>Low Income Housing Credit</t>
  </si>
  <si>
    <t>Energy Credit</t>
  </si>
  <si>
    <t xml:space="preserve">Special tax incentives for zones and communities </t>
  </si>
  <si>
    <t>F.</t>
  </si>
  <si>
    <t>New Hire retention credit</t>
  </si>
  <si>
    <t xml:space="preserve">n </t>
  </si>
  <si>
    <t>G.</t>
  </si>
  <si>
    <t>Foreign tax credit (Puerto Rico)</t>
  </si>
  <si>
    <t>34.)  Capitalization of repairs and maintenance expenses</t>
  </si>
  <si>
    <t>35.)  Expensing of taxes</t>
  </si>
  <si>
    <t>Current State tax deduction</t>
  </si>
  <si>
    <t>Expensing of property taxes, including prepaid taxes</t>
  </si>
  <si>
    <t>prepaid property taxes for book deducted for tax when paid</t>
  </si>
  <si>
    <t>36.)  Expensing of certain prepaid expense items</t>
  </si>
  <si>
    <t>prepaid insurance for book deducted for tax when paid</t>
  </si>
  <si>
    <t>37.)  Deductibility and support of charitable contributions</t>
  </si>
  <si>
    <t>Inventory contributions</t>
  </si>
  <si>
    <t>Cash and non-cash contributions</t>
  </si>
  <si>
    <t>38.)  Capitalization and depreciation of fixed assets</t>
  </si>
  <si>
    <t>Capitalization policy</t>
  </si>
  <si>
    <t>Eligibility for accelerated or bonus depreciation</t>
  </si>
  <si>
    <t>Asset categorization</t>
  </si>
  <si>
    <t xml:space="preserve">Cost segregation studies  </t>
  </si>
  <si>
    <t>Date deemed placed in service</t>
  </si>
  <si>
    <t>has not been a significant issue for several years</t>
  </si>
  <si>
    <t>Quality of underlying records (can they be relied upon)</t>
  </si>
  <si>
    <t>Treatment of impairments, dispositions and idle assets</t>
  </si>
  <si>
    <t>39.)  Depletion and related methodologies</t>
  </si>
  <si>
    <t>40.)  Deductibility of lobbying expense</t>
  </si>
  <si>
    <t>41.)  Treatment of advertising expenses</t>
  </si>
  <si>
    <t>Slotting allowance</t>
  </si>
  <si>
    <t>Customer acquisition fees</t>
  </si>
  <si>
    <t>Customer rebates and purchase discounts</t>
  </si>
  <si>
    <t>42.)  Travel &amp; entertainment deductions</t>
  </si>
  <si>
    <t>Underlying support and recordkeeping</t>
  </si>
  <si>
    <t>Lavish and extravagant entertainment</t>
  </si>
  <si>
    <t>Company sales meetings</t>
  </si>
  <si>
    <t>Deductibility of spousal travel</t>
  </si>
  <si>
    <t>Deductibility of club dues</t>
  </si>
  <si>
    <t xml:space="preserve">Classification of meal expenses eligible for 100% </t>
  </si>
  <si>
    <t>Accuracy of underlying records</t>
  </si>
  <si>
    <t>H.</t>
  </si>
  <si>
    <t>Company provided automobiles and allowances</t>
  </si>
  <si>
    <t>I.</t>
  </si>
  <si>
    <t>Accountable vs. non-accountable expense reimbursement</t>
  </si>
  <si>
    <t>J.</t>
  </si>
  <si>
    <t>Customer gifts over $25</t>
  </si>
  <si>
    <t>43.)  Capitalization and amortization of intangibles assets</t>
  </si>
  <si>
    <t>Documentation of acquired intangibles</t>
  </si>
  <si>
    <t>Software purchased in an acquisition</t>
  </si>
  <si>
    <t>Internally developed software</t>
  </si>
  <si>
    <t>Impaired intangibles; disposition of intangibles</t>
  </si>
  <si>
    <t>Application of anti-churning rules</t>
  </si>
  <si>
    <t>44.)  Position regarding professional fees</t>
  </si>
  <si>
    <t>Capitalize vs. expense</t>
  </si>
  <si>
    <t>Transaction costs, including investment banking fees</t>
  </si>
  <si>
    <t>fees paid relating to2009  preferred stock redemption not deducted for tax</t>
  </si>
  <si>
    <t>45.)  Capitalization of loan and lease fees</t>
  </si>
  <si>
    <t>46.)  Restructuring charges - timing and character of deduction</t>
  </si>
  <si>
    <t>47.)  All other positions not previously mentioned, including</t>
  </si>
  <si>
    <t>none of significance noted per provision to return comparisons, not mentioned above</t>
  </si>
  <si>
    <t>see memo regarding ppa's</t>
  </si>
  <si>
    <t>2013 update</t>
  </si>
  <si>
    <t>2012 update</t>
  </si>
  <si>
    <t>accruals for state use taxes not deducted until paid and settled</t>
  </si>
  <si>
    <t>Staples.com loss on disc</t>
  </si>
  <si>
    <t>See memo regarding ppa's.</t>
  </si>
  <si>
    <t>Deferred revenue - BOY</t>
  </si>
  <si>
    <t>Deferred revenue - EOY</t>
  </si>
  <si>
    <t>WA taxes payable composition documented</t>
  </si>
  <si>
    <t>WA allowances for Costco fluctuate - nutp</t>
  </si>
  <si>
    <t>Tax provision year-end adjustment</t>
  </si>
  <si>
    <t xml:space="preserve">Def tax exp:  change in taxable income above </t>
  </si>
  <si>
    <t>change</t>
  </si>
  <si>
    <t>to def tax</t>
  </si>
  <si>
    <t>(dollars in thousands)</t>
  </si>
  <si>
    <t>deferred</t>
  </si>
  <si>
    <t>period end</t>
  </si>
  <si>
    <t>amounts not significant - nutp</t>
  </si>
  <si>
    <t xml:space="preserve">nsc  </t>
  </si>
  <si>
    <t>Wireless Advocates, LLC</t>
  </si>
  <si>
    <t>Taxable income by quarters</t>
  </si>
  <si>
    <t xml:space="preserve">Caution: WALLC has a 3/31 tax year end, and a 12/31 book year-end.  The amounts used to calculate tax distributions are per </t>
  </si>
  <si>
    <t xml:space="preserve">Taxable income </t>
  </si>
  <si>
    <t>Less: 754 amort to Brettler</t>
  </si>
  <si>
    <t>Balance</t>
  </si>
  <si>
    <t>Total for year</t>
  </si>
  <si>
    <t>Information per quarterly trial balances for purposes of calculating tax distributions</t>
  </si>
  <si>
    <t>non-current</t>
  </si>
  <si>
    <t>Adjustment to record tax benefit of nqso in apic</t>
  </si>
  <si>
    <t xml:space="preserve">  Taxable income - CT</t>
  </si>
  <si>
    <t xml:space="preserve">  Taxable income - CT's share of WA</t>
  </si>
  <si>
    <t xml:space="preserve">  Taxes payable at 35% federal and 5% state</t>
  </si>
  <si>
    <t>state</t>
  </si>
  <si>
    <t>tax</t>
  </si>
  <si>
    <t>NQSO tax benefit receivable</t>
  </si>
  <si>
    <t>Tax provision and deferred tax true-up</t>
  </si>
  <si>
    <t>Tax payments, net of refunds</t>
  </si>
  <si>
    <t>Reclassifications and other</t>
  </si>
  <si>
    <t>Provision aje post close</t>
  </si>
  <si>
    <t>WA tax provision - current state</t>
  </si>
  <si>
    <t xml:space="preserve">  Tax credits and other</t>
  </si>
  <si>
    <t>presented for review purposes</t>
  </si>
  <si>
    <t xml:space="preserve">Sales &amp; use tax audit assessment </t>
  </si>
  <si>
    <t xml:space="preserve">Deferred revenue </t>
  </si>
  <si>
    <t xml:space="preserve">Deferred rent </t>
  </si>
  <si>
    <t xml:space="preserve">Accrued vacation </t>
  </si>
  <si>
    <t xml:space="preserve">Sec 263A costs capitalized for tax </t>
  </si>
  <si>
    <t xml:space="preserve">Inventory reserve </t>
  </si>
  <si>
    <t xml:space="preserve">Allowance for doubtful accounts </t>
  </si>
  <si>
    <t xml:space="preserve">Reserve for deactivations </t>
  </si>
  <si>
    <t xml:space="preserve">Prepaid insurance </t>
  </si>
  <si>
    <t>Capital lease</t>
  </si>
  <si>
    <t>ppe</t>
  </si>
  <si>
    <t>ye diff</t>
  </si>
  <si>
    <t>taxes</t>
  </si>
  <si>
    <t>t - temporary</t>
  </si>
  <si>
    <t>amortization of tax intangible</t>
  </si>
  <si>
    <t>2015 update</t>
  </si>
  <si>
    <t>nutp = no uncertain tax position</t>
  </si>
  <si>
    <t>customer deposits/gift certificates not taxable as amounts refundable -  nutp</t>
  </si>
  <si>
    <t>nsc = no significant change</t>
  </si>
  <si>
    <t>none in recent years</t>
  </si>
  <si>
    <t>loan fees capitalized and amortized over borrowing term forbook and tax</t>
  </si>
  <si>
    <t>Federal - related to tax year ended March 31, 2015</t>
  </si>
  <si>
    <t>Federal - related to tax year ending March 31, 2016</t>
  </si>
  <si>
    <t>State - related to tax year ended March 31, 2015</t>
  </si>
  <si>
    <t>State - related to tax year ending March 31, 2016</t>
  </si>
  <si>
    <t>Balance at December 31, 2015</t>
  </si>
  <si>
    <t xml:space="preserve">Summary schedule of consolidated income tax accounts and activity </t>
  </si>
  <si>
    <t>Car Toys, Inc. and Subsidiaries</t>
  </si>
  <si>
    <t xml:space="preserve">               Total current assets</t>
  </si>
  <si>
    <t>Current liabilities</t>
  </si>
  <si>
    <t xml:space="preserve">     Accounts payable</t>
  </si>
  <si>
    <t xml:space="preserve">               Total current liabilities</t>
  </si>
  <si>
    <t xml:space="preserve">               Total liabilities</t>
  </si>
  <si>
    <t xml:space="preserve">     Notes receivable from shareholders</t>
  </si>
  <si>
    <t xml:space="preserve">    Noncontrolling interests</t>
  </si>
  <si>
    <t xml:space="preserve">     Gross profit</t>
  </si>
  <si>
    <t>Selling, general and administrative expenses</t>
  </si>
  <si>
    <t>December 31,</t>
  </si>
  <si>
    <t>Deferred income tax assets</t>
  </si>
  <si>
    <t xml:space="preserve">     Total current </t>
  </si>
  <si>
    <t xml:space="preserve">     Total non-current </t>
  </si>
  <si>
    <t xml:space="preserve">     Total </t>
  </si>
  <si>
    <t>taxable income</t>
  </si>
  <si>
    <t>Income before tax provision</t>
  </si>
  <si>
    <t>RTP</t>
  </si>
  <si>
    <t xml:space="preserve">wp ref </t>
  </si>
  <si>
    <t>state income tax expense</t>
  </si>
  <si>
    <t>stock-based compensation</t>
  </si>
  <si>
    <t>gain/loss on dispositions</t>
  </si>
  <si>
    <t>other temporary differences, net</t>
  </si>
  <si>
    <t>tax credits adjustment</t>
  </si>
  <si>
    <t>section 481 adjustments</t>
  </si>
  <si>
    <t>cost of goods sold temporary adjustment</t>
  </si>
  <si>
    <t xml:space="preserve">(C)   </t>
  </si>
  <si>
    <t>(A)   State tax differences not recorded since deferred taxes are provided at a 40% rate, which includes state taxes, net of federal.</t>
  </si>
  <si>
    <t>(B)   Differences likely relate to calendar vs fiscal March tax year; no adjustment recorded as differences true-up at year-end through provision.</t>
  </si>
  <si>
    <t>ott - other than</t>
  </si>
  <si>
    <t>per March 31, 2015 tax returns</t>
  </si>
  <si>
    <t xml:space="preserve">      Increase in tax &gt; book</t>
  </si>
  <si>
    <t xml:space="preserve"> December 31, 2015 tax &gt; book</t>
  </si>
  <si>
    <t>the trial balance.  It is quite possible that calendar year book AJE's that are posted to the fourth quarter per books are posted</t>
  </si>
  <si>
    <t>to the trial balance in the fourth quarter trial balance per tax.  This would distort the amount of income reported in financial</t>
  </si>
  <si>
    <t>statements between December and January.  For the tax return, the reporting of income in one month versus the other has</t>
  </si>
  <si>
    <t xml:space="preserve">no significance, but it would impact the tax provision, with is reported on a calendar year basis. </t>
  </si>
  <si>
    <t>Less: Quarter 4/1/14-6/30/14</t>
  </si>
  <si>
    <t>Less: Quarter 7/1/14-9/30/14</t>
  </si>
  <si>
    <t>Less: Quarter 10/1/14-12/31/14</t>
  </si>
  <si>
    <t>Balance-Quarter 1/1/15-3/31/15</t>
  </si>
  <si>
    <t>Quarter 1/1/15-3/31/15</t>
  </si>
  <si>
    <t>Quarter 4/1/15-6/30/15</t>
  </si>
  <si>
    <t>Quarter 7/1/15-9/30/15</t>
  </si>
  <si>
    <t>Quarter 10/1/15-12/31/15</t>
  </si>
  <si>
    <t>Calendar Year 2015</t>
  </si>
  <si>
    <t>sapy</t>
  </si>
  <si>
    <t>derived</t>
  </si>
  <si>
    <t>CT share</t>
  </si>
  <si>
    <t>Tax Year Ended March 31, 2015</t>
  </si>
  <si>
    <t>CT at 67%</t>
  </si>
  <si>
    <t>Car Toys pretax income</t>
  </si>
  <si>
    <t>Car Toys share of WA income</t>
  </si>
  <si>
    <t xml:space="preserve">  Total income before taxes, net of nci </t>
  </si>
  <si>
    <t>tax year ended March 31,</t>
  </si>
  <si>
    <t>mltn - more likely than not</t>
  </si>
  <si>
    <t>Updated through December 2015</t>
  </si>
  <si>
    <t>91-1361695 FORM ITS-V</t>
  </si>
  <si>
    <t>Georgia Dept o</t>
  </si>
  <si>
    <t>FITTAX2014</t>
  </si>
  <si>
    <t>10.248000.0000 $ Tax R</t>
  </si>
  <si>
    <t>Record tax on CT incom</t>
  </si>
  <si>
    <t>Record tax on investme</t>
  </si>
  <si>
    <t>10.248000.0000 $ St of</t>
  </si>
  <si>
    <t>10.248000.0000 $ STate</t>
  </si>
  <si>
    <t>#91-1361695 ACCT 1309-</t>
  </si>
  <si>
    <t>Mississippi De</t>
  </si>
  <si>
    <t>TAXFYE3312014</t>
  </si>
  <si>
    <t>#91-1361695 FORM CT ES</t>
  </si>
  <si>
    <t>Montana Dept o</t>
  </si>
  <si>
    <t>TAXFYE3312015</t>
  </si>
  <si>
    <t>#91-1361695 FORM CIT-E</t>
  </si>
  <si>
    <t>New Mexico Tax</t>
  </si>
  <si>
    <t>#91-1361695 FORM IT-6</t>
  </si>
  <si>
    <t>Indiana Dept o</t>
  </si>
  <si>
    <t>#91-1361695 FORM 620ES</t>
  </si>
  <si>
    <t>Louisiana Dept</t>
  </si>
  <si>
    <t>#91-1361695 FORM 83-30</t>
  </si>
  <si>
    <t>#91-1361695 FORM IA CO</t>
  </si>
  <si>
    <t>Treasurer- Sta</t>
  </si>
  <si>
    <t>#91-1361695 FORM 1120N</t>
  </si>
  <si>
    <t>Nebraska Dept</t>
  </si>
  <si>
    <t>#91-1361695 FORM SC112</t>
  </si>
  <si>
    <t>SC Dept of Rev</t>
  </si>
  <si>
    <t>#91-1361695 FORM 112-E</t>
  </si>
  <si>
    <t>Colorado Dept</t>
  </si>
  <si>
    <t>#91-1361695 FORM 41 ES</t>
  </si>
  <si>
    <t>Idaho State Ta</t>
  </si>
  <si>
    <t>#91-1361695 FORM CD-42</t>
  </si>
  <si>
    <t>#91-1361695 FORM F-112</t>
  </si>
  <si>
    <t>Florida Dept o</t>
  </si>
  <si>
    <t>#91-1361695 FORM 20-V</t>
  </si>
  <si>
    <t>Oregon Departm</t>
  </si>
  <si>
    <t>248000.0000 $ COMMONWE</t>
  </si>
  <si>
    <t>MN tax payment</t>
  </si>
  <si>
    <t>PA tax payment</t>
  </si>
  <si>
    <t>AZ tax payment</t>
  </si>
  <si>
    <t>IL tax payment</t>
  </si>
  <si>
    <t>NY tax payment</t>
  </si>
  <si>
    <t>CA tax payment</t>
  </si>
  <si>
    <t>Federal Tax payment</t>
  </si>
  <si>
    <t>WALLC tax distribution</t>
  </si>
  <si>
    <t>Tax provision on conso</t>
  </si>
  <si>
    <t>248000 $ WISC DPT OF R</t>
  </si>
  <si>
    <t>True up tax on CT inco</t>
  </si>
  <si>
    <t>True up tax on investm</t>
  </si>
  <si>
    <t>FORM 83-180 FYE 3.31.2</t>
  </si>
  <si>
    <t>TAXEXT2015</t>
  </si>
  <si>
    <t>FORM 7004N FYE 3.31.20</t>
  </si>
  <si>
    <t>FORM CIT-EXT FYE 3.31.</t>
  </si>
  <si>
    <t>New mexico Tax</t>
  </si>
  <si>
    <t>FORM SC1120-T FYE 3.31</t>
  </si>
  <si>
    <t>#91-1361695 EXTENSION</t>
  </si>
  <si>
    <t>Delaware Divis</t>
  </si>
  <si>
    <t>EXTENSIONFYE331201</t>
  </si>
  <si>
    <t>Wire to MASS tax pymt</t>
  </si>
  <si>
    <t>Wire to CT tax pymt</t>
  </si>
  <si>
    <t>Wire to MN tax pymt</t>
  </si>
  <si>
    <t>Wire to NY tax pymt</t>
  </si>
  <si>
    <t>Wire to IL tax pymt</t>
  </si>
  <si>
    <t>IRS Tax payment</t>
  </si>
  <si>
    <t>Record tax for Fed and</t>
  </si>
  <si>
    <t>City of Portla</t>
  </si>
  <si>
    <t>TE070615</t>
  </si>
  <si>
    <t>North Dakota S</t>
  </si>
  <si>
    <t>Kansas Dept of</t>
  </si>
  <si>
    <t>#91-1361695 FORM CIFT-</t>
  </si>
  <si>
    <t>#91-1361695 IT-6 EXT.</t>
  </si>
  <si>
    <t>Missouri Depar</t>
  </si>
  <si>
    <t>#91-1361695 FORM 41 EX</t>
  </si>
  <si>
    <t>WA - Hawaii De</t>
  </si>
  <si>
    <t>#91-1361695 Extension</t>
  </si>
  <si>
    <t>Hawaii State T</t>
  </si>
  <si>
    <t>Move bal from WA Tax a</t>
  </si>
  <si>
    <t>Car Toys# 911361695 Fo</t>
  </si>
  <si>
    <t>ESTTAX2016</t>
  </si>
  <si>
    <t>Oklahoma Tax C</t>
  </si>
  <si>
    <t>Car Toys# 911361695 Ex</t>
  </si>
  <si>
    <t>Car Toys #911361695 Fo</t>
  </si>
  <si>
    <t>09-15 Conneciut Tax Pa</t>
  </si>
  <si>
    <t>09-15 Mass Tax Payment</t>
  </si>
  <si>
    <t>09-15 Minnesota Tax Pa</t>
  </si>
  <si>
    <t>09-15 Penn Tax Payment</t>
  </si>
  <si>
    <t>09-15 Arizona tax paym</t>
  </si>
  <si>
    <t>09-15 CO Illinois Tax</t>
  </si>
  <si>
    <t>09-15 New York Tax Pay</t>
  </si>
  <si>
    <t>09-15 California tax p</t>
  </si>
  <si>
    <t>09-15 IRS Tax Payment</t>
  </si>
  <si>
    <t>Move Bal from Tax acco</t>
  </si>
  <si>
    <t>Car Toy# 911361695 For</t>
  </si>
  <si>
    <t>Q3ESTTAX2016</t>
  </si>
  <si>
    <t>248000.0000 $ STATE OF</t>
  </si>
  <si>
    <t>State of CA refund</t>
  </si>
  <si>
    <t>year ended December 31, 2015</t>
  </si>
  <si>
    <t xml:space="preserve">reclass  </t>
  </si>
  <si>
    <t>a/c 247000</t>
  </si>
  <si>
    <t>Reclassification from state taxes payable</t>
  </si>
  <si>
    <t>CT Trial Balance Summary</t>
  </si>
  <si>
    <t>Car Toys, Incorporated</t>
  </si>
  <si>
    <t>YTD-Actual</t>
  </si>
  <si>
    <t xml:space="preserve">101210 Cash in Bank - US Bank        </t>
  </si>
  <si>
    <t xml:space="preserve">101300 Cash in Bank - Webster        </t>
  </si>
  <si>
    <t xml:space="preserve">101310 Cash in Bank - Webster        </t>
  </si>
  <si>
    <t xml:space="preserve">101320 Cash in Bank - Webster        </t>
  </si>
  <si>
    <t xml:space="preserve">101410 Cash in Bank - BofA Dep       </t>
  </si>
  <si>
    <t xml:space="preserve">112100 Cash in Stores                </t>
  </si>
  <si>
    <t xml:space="preserve">121000 Accounts Rec - Trade          </t>
  </si>
  <si>
    <t xml:space="preserve">121100 AR - Other                    </t>
  </si>
  <si>
    <t xml:space="preserve">121195 Accounts Rec - WA-CT Du       </t>
  </si>
  <si>
    <t xml:space="preserve">121210 Accounts Rec - Verizon        </t>
  </si>
  <si>
    <t xml:space="preserve">121225 Accounts Rec - XM Siriu       </t>
  </si>
  <si>
    <t xml:space="preserve">121230 Accounts Rec - T-Mobile       </t>
  </si>
  <si>
    <t xml:space="preserve">121245 Accounts Rec - AT&amp;T           </t>
  </si>
  <si>
    <t xml:space="preserve">121660 Employee Purchase Plan        </t>
  </si>
  <si>
    <t xml:space="preserve">121700 Employee Deductions           </t>
  </si>
  <si>
    <t xml:space="preserve">123330 Deact Reserve                 </t>
  </si>
  <si>
    <t xml:space="preserve">123350 Allowance for Doubtful        </t>
  </si>
  <si>
    <t xml:space="preserve">128500 Product Returns Receiva       </t>
  </si>
  <si>
    <t xml:space="preserve">128600 Coop Advertising - Car        </t>
  </si>
  <si>
    <t xml:space="preserve">128700 Vendor Fair Programs          </t>
  </si>
  <si>
    <t xml:space="preserve">128897 AR - Wireless VPEP COOP       </t>
  </si>
  <si>
    <t xml:space="preserve">131000 Inventory                     </t>
  </si>
  <si>
    <t xml:space="preserve">131100 Inventory Obsolescence        </t>
  </si>
  <si>
    <t xml:space="preserve">131200 Price Protection Receiv       </t>
  </si>
  <si>
    <t xml:space="preserve">131300 Demo Funds Receivable         </t>
  </si>
  <si>
    <t xml:space="preserve">131500 Inventory In-Transit          </t>
  </si>
  <si>
    <t xml:space="preserve">131700 Inventory Mark-Up/Mark-       </t>
  </si>
  <si>
    <t xml:space="preserve">131800 Consignment Inventory         </t>
  </si>
  <si>
    <t xml:space="preserve">142000 Prepaid Insurance             </t>
  </si>
  <si>
    <t xml:space="preserve">143000 Prepaid Other                 </t>
  </si>
  <si>
    <t xml:space="preserve">144500 Prepaid Plexiglass            </t>
  </si>
  <si>
    <t xml:space="preserve">145000 Prepaid Rent                  </t>
  </si>
  <si>
    <t xml:space="preserve">146000 Prepaid Computer Licens       </t>
  </si>
  <si>
    <t xml:space="preserve">146900 Prepaid Live Handset Di       </t>
  </si>
  <si>
    <t xml:space="preserve">148000 Deferred Tax Asset Curr       </t>
  </si>
  <si>
    <t xml:space="preserve">150000 Assets - Capital Lease        </t>
  </si>
  <si>
    <t xml:space="preserve">150100 Assets - Display              </t>
  </si>
  <si>
    <t xml:space="preserve">151100 Assets - Equipment            </t>
  </si>
  <si>
    <t xml:space="preserve">152100 Assets - Signage              </t>
  </si>
  <si>
    <t xml:space="preserve">153100 Assets - Furniture &amp; Fi       </t>
  </si>
  <si>
    <t xml:space="preserve">154100 Assets - Computer Equip       </t>
  </si>
  <si>
    <t xml:space="preserve">155100 Assets - Leasehold Impr       </t>
  </si>
  <si>
    <t xml:space="preserve">156100 Assets - Shop Tools           </t>
  </si>
  <si>
    <t xml:space="preserve">157100 Assets - Vehicles             </t>
  </si>
  <si>
    <t xml:space="preserve">158100 Assets - Telephones           </t>
  </si>
  <si>
    <t xml:space="preserve">159100 Intangible Assets             </t>
  </si>
  <si>
    <t xml:space="preserve">159200 Fixed Asset Adjustments       </t>
  </si>
  <si>
    <t xml:space="preserve">160000 Accum Depr - Capital Le       </t>
  </si>
  <si>
    <t xml:space="preserve">160100 Accum Depr - Displays         </t>
  </si>
  <si>
    <t xml:space="preserve">160999 Accum Depr - Displays I       </t>
  </si>
  <si>
    <t xml:space="preserve">161100 Accum Depr - Equipment        </t>
  </si>
  <si>
    <t xml:space="preserve">161999 Accum Depr - Equipment        </t>
  </si>
  <si>
    <t xml:space="preserve">162100 Accum Depr - Signage          </t>
  </si>
  <si>
    <t xml:space="preserve">162999 Accum Depr - Signage Im       </t>
  </si>
  <si>
    <t xml:space="preserve">163100 Accum Depr - Furn &amp; Fix       </t>
  </si>
  <si>
    <t xml:space="preserve">163999 Accum Depr - Furn/Fix I       </t>
  </si>
  <si>
    <t xml:space="preserve">164100 Accum Depr - Computers        </t>
  </si>
  <si>
    <t xml:space="preserve">164999 Accum Depr - Comp Equip       </t>
  </si>
  <si>
    <t xml:space="preserve">165100 Accum Depr - Leasehold        </t>
  </si>
  <si>
    <t xml:space="preserve">165999 Accum Depr - LHI Impair       </t>
  </si>
  <si>
    <t xml:space="preserve">166100 Accum Depr - Shop Tools       </t>
  </si>
  <si>
    <t xml:space="preserve">166999 Accum Depr - Shop Tools       </t>
  </si>
  <si>
    <t xml:space="preserve">167100 Accum Depr - Vehicles/L       </t>
  </si>
  <si>
    <t xml:space="preserve">168100 Accum Depr - Telephones       </t>
  </si>
  <si>
    <t xml:space="preserve">168999 Fixed Asset Clearing Ac       </t>
  </si>
  <si>
    <t xml:space="preserve">169200 Accum Depr - Fixed Asse       </t>
  </si>
  <si>
    <t xml:space="preserve">169500 Accum Amort-Intangible        </t>
  </si>
  <si>
    <t xml:space="preserve">172000 Prepaid Rent - Non Curr       </t>
  </si>
  <si>
    <t xml:space="preserve">176000 Deposits on Rent/Last M       </t>
  </si>
  <si>
    <t xml:space="preserve">180000 Deferred Tax Asset - No       </t>
  </si>
  <si>
    <t xml:space="preserve">185000 Investment in Subsidiar       </t>
  </si>
  <si>
    <t>Total Assets</t>
  </si>
  <si>
    <t>Liabilites &amp; Equity</t>
  </si>
  <si>
    <t xml:space="preserve">211000 Accounts Payable - GERS       </t>
  </si>
  <si>
    <t xml:space="preserve">211001 Accounts Payable RNI          </t>
  </si>
  <si>
    <t xml:space="preserve">211500 Unclaimed Property Paya       </t>
  </si>
  <si>
    <t xml:space="preserve">212000 Accounts Payable - Orac       </t>
  </si>
  <si>
    <t xml:space="preserve">212001 Accounts Payable Accrua       </t>
  </si>
  <si>
    <t xml:space="preserve">214000 Gift Cards                    </t>
  </si>
  <si>
    <t xml:space="preserve">216000 Current Portion Capital       </t>
  </si>
  <si>
    <t xml:space="preserve">216500 Extended Warranty Payab       </t>
  </si>
  <si>
    <t xml:space="preserve">216550 Warranty Claims Reserve       </t>
  </si>
  <si>
    <t xml:space="preserve">218000 Customer Deposits             </t>
  </si>
  <si>
    <t xml:space="preserve">218500 Prepaid Wireless Payabl       </t>
  </si>
  <si>
    <t xml:space="preserve">219000 Other Payables                </t>
  </si>
  <si>
    <t xml:space="preserve">220000 Accrued Acctg &amp; Prof Fe       </t>
  </si>
  <si>
    <t xml:space="preserve">221000 Accrued Advertising           </t>
  </si>
  <si>
    <t xml:space="preserve">221100 Social Media Deals Liab       </t>
  </si>
  <si>
    <t xml:space="preserve">222600 Accrued On-Line Fees          </t>
  </si>
  <si>
    <t xml:space="preserve">222700 Accrued Banking Fees          </t>
  </si>
  <si>
    <t xml:space="preserve">223000 Accrued 401(k)                </t>
  </si>
  <si>
    <t xml:space="preserve">224000 Accrued Garnishments          </t>
  </si>
  <si>
    <t xml:space="preserve">226000 Deferred Rent                 </t>
  </si>
  <si>
    <t xml:space="preserve">227000 Payables Clearing Accou       </t>
  </si>
  <si>
    <t xml:space="preserve">227500 IBNR Reserve                  </t>
  </si>
  <si>
    <t xml:space="preserve">228000 Accrued Payroll - Unite       </t>
  </si>
  <si>
    <t xml:space="preserve">231000 Accrued Payroll - Wages       </t>
  </si>
  <si>
    <t xml:space="preserve">231100 Accrued Payroll - Bonus       </t>
  </si>
  <si>
    <t xml:space="preserve">231200 Accrued Payroll - Vacat       </t>
  </si>
  <si>
    <t xml:space="preserve">231400 Accrued Payroll - WA L&amp;       </t>
  </si>
  <si>
    <t xml:space="preserve">231500 Accrued Payroll - Taxes       </t>
  </si>
  <si>
    <t xml:space="preserve">231700 Employee Expense Reimbu       </t>
  </si>
  <si>
    <t xml:space="preserve">231900 Accrued Culture Expense       </t>
  </si>
  <si>
    <t xml:space="preserve">245000 Accrued Sales Tax             </t>
  </si>
  <si>
    <t xml:space="preserve">247000 State Income Taxes            </t>
  </si>
  <si>
    <t xml:space="preserve">248000 Federal Income Taxes Pa       </t>
  </si>
  <si>
    <t xml:space="preserve">248600 Franchise Tax - Texas S       </t>
  </si>
  <si>
    <t xml:space="preserve">248800 Personal Property Tax P       </t>
  </si>
  <si>
    <t xml:space="preserve">249000 Interest Exp Pay - Shor       </t>
  </si>
  <si>
    <t xml:space="preserve">250000 Deferred Income               </t>
  </si>
  <si>
    <t xml:space="preserve">261100 Deferred Rent - Non-Cur       </t>
  </si>
  <si>
    <t xml:space="preserve">    Total liabilities</t>
  </si>
  <si>
    <t xml:space="preserve">301000 Common Stock                  </t>
  </si>
  <si>
    <t xml:space="preserve">306000 Notes Rec from Sharehol       </t>
  </si>
  <si>
    <t xml:space="preserve">309000 Dividends - Ordinary          </t>
  </si>
  <si>
    <t xml:space="preserve">310000 Retained Earnings             </t>
  </si>
  <si>
    <t>year-to-date earnings</t>
  </si>
  <si>
    <t xml:space="preserve">  Total stockholders equity</t>
  </si>
  <si>
    <t>Total Liabilities &amp; Equity</t>
  </si>
  <si>
    <t>New Line Item</t>
  </si>
  <si>
    <t>Income Statement Accounts</t>
  </si>
  <si>
    <t xml:space="preserve">401000 Sales Revenue - Stores        </t>
  </si>
  <si>
    <t xml:space="preserve">405005 WA - Live Phone Salvage       </t>
  </si>
  <si>
    <t xml:space="preserve">450000 Dealership Rebate             </t>
  </si>
  <si>
    <t xml:space="preserve">405010 WA - Salvage Revenue Pa       </t>
  </si>
  <si>
    <t xml:space="preserve">501000 Cost of Goods Sold            </t>
  </si>
  <si>
    <t xml:space="preserve">503000 Vendor Cash Discounts         </t>
  </si>
  <si>
    <t xml:space="preserve">504000 Deactivation Recoveries       </t>
  </si>
  <si>
    <t xml:space="preserve">504100 Deactivations - ATT           </t>
  </si>
  <si>
    <t xml:space="preserve">504120 Deactivations - VEZI          </t>
  </si>
  <si>
    <t xml:space="preserve">504110 Deactivations - TMO           </t>
  </si>
  <si>
    <t xml:space="preserve">504300 Change in Deact Reserve       </t>
  </si>
  <si>
    <t xml:space="preserve">506100 Backend Comm - XM Sat         </t>
  </si>
  <si>
    <t xml:space="preserve">506200 Backend ATT Postpaid          </t>
  </si>
  <si>
    <t xml:space="preserve">506250 Backend ATT IPhone            </t>
  </si>
  <si>
    <t xml:space="preserve">506260 Backend VEZI IPhone           </t>
  </si>
  <si>
    <t xml:space="preserve">506300 Backend Comm - Sirius         </t>
  </si>
  <si>
    <t xml:space="preserve">506400 Enhanced Services-Veriz       </t>
  </si>
  <si>
    <t xml:space="preserve">506440 Enhanced Services-TMO         </t>
  </si>
  <si>
    <t xml:space="preserve">506450 Enhanced Services-AT&amp;T        </t>
  </si>
  <si>
    <t xml:space="preserve">506460 TMO Spiff Tier                </t>
  </si>
  <si>
    <t xml:space="preserve">506900 Backend Comm - Verizon        </t>
  </si>
  <si>
    <t xml:space="preserve">506910 Backend Comm - VZ Upgra       </t>
  </si>
  <si>
    <t xml:space="preserve">506920 Backend Comm - TMO Upgr       </t>
  </si>
  <si>
    <t xml:space="preserve">506930 Backend Comm - ATT Upgr       </t>
  </si>
  <si>
    <t xml:space="preserve">507000 Backend Comm - T-Mobile       </t>
  </si>
  <si>
    <t xml:space="preserve">507200 Backend Comm - PP-Sprin       </t>
  </si>
  <si>
    <t xml:space="preserve">507600 Verizon Spiff Tier            </t>
  </si>
  <si>
    <t xml:space="preserve">509850 VIP Sales Adjustment          </t>
  </si>
  <si>
    <t xml:space="preserve">520000 Inventory Repair              </t>
  </si>
  <si>
    <t xml:space="preserve">521000 DBS Install                   </t>
  </si>
  <si>
    <t xml:space="preserve">521100 Inventory Shrinkage           </t>
  </si>
  <si>
    <t xml:space="preserve">521110 INVENTORY SHRINK - NON        </t>
  </si>
  <si>
    <t xml:space="preserve">521120 Restock Fees                  </t>
  </si>
  <si>
    <t xml:space="preserve">521200 ESP Repair                    </t>
  </si>
  <si>
    <t xml:space="preserve">521300 Discarded Inv Wireless        </t>
  </si>
  <si>
    <t xml:space="preserve">521310 Discarded Inv Elect           </t>
  </si>
  <si>
    <t xml:space="preserve">521320 Discarded Inv Speakers        </t>
  </si>
  <si>
    <t xml:space="preserve">521400 Inventory Obsolescence        </t>
  </si>
  <si>
    <t xml:space="preserve">521500 Freight-In to Dist Ctr        </t>
  </si>
  <si>
    <t xml:space="preserve">521600 ESP Redemption                </t>
  </si>
  <si>
    <t xml:space="preserve">521800 Freight-In from DC            </t>
  </si>
  <si>
    <t xml:space="preserve">522600 Residual Inc - AT&amp;T           </t>
  </si>
  <si>
    <t xml:space="preserve">540000 Volume Incentive Rebate       </t>
  </si>
  <si>
    <t xml:space="preserve">540100 VIR - Verizon                 </t>
  </si>
  <si>
    <t xml:space="preserve">540300 VIR - ATT                     </t>
  </si>
  <si>
    <t xml:space="preserve">550000 Demo Funds Car                </t>
  </si>
  <si>
    <t xml:space="preserve">555000 Quinn Acoustics Back En       </t>
  </si>
  <si>
    <t xml:space="preserve">560000 Cost of Goods Destroyed       </t>
  </si>
  <si>
    <t xml:space="preserve">561000 Field Destruct Allowanc       </t>
  </si>
  <si>
    <t xml:space="preserve">601100 Commissions - Wages           </t>
  </si>
  <si>
    <t xml:space="preserve">601110 Sales Vacation                </t>
  </si>
  <si>
    <t xml:space="preserve">601130 Sales Contest                 </t>
  </si>
  <si>
    <t xml:space="preserve">601140 Insurance Bonus               </t>
  </si>
  <si>
    <t xml:space="preserve">601300 MT Pay                        </t>
  </si>
  <si>
    <t xml:space="preserve">601400 Sales Subsidy                 </t>
  </si>
  <si>
    <t xml:space="preserve">601600 AM Base                       </t>
  </si>
  <si>
    <t xml:space="preserve">601601 AM Comm &amp; Spiffs              </t>
  </si>
  <si>
    <t xml:space="preserve">601610 AM Vacation                   </t>
  </si>
  <si>
    <t xml:space="preserve">601700 SM Base                       </t>
  </si>
  <si>
    <t xml:space="preserve">601701 SM Comm &amp; Spiffs              </t>
  </si>
  <si>
    <t xml:space="preserve">601710 SM Vacation                   </t>
  </si>
  <si>
    <t xml:space="preserve">601740 SM Quality of Sales Mos       </t>
  </si>
  <si>
    <t xml:space="preserve">601800 SM Monthly Bonus              </t>
  </si>
  <si>
    <t xml:space="preserve">601850 AM Monthly Bonus              </t>
  </si>
  <si>
    <t xml:space="preserve">601900 SM Quarterly Bonus            </t>
  </si>
  <si>
    <t xml:space="preserve">601950 AM Quarterly Bonus            </t>
  </si>
  <si>
    <t xml:space="preserve">602100 Install Comm and Spiffs       </t>
  </si>
  <si>
    <t xml:space="preserve">602110 Install Vacation              </t>
  </si>
  <si>
    <t xml:space="preserve">602140 AIM bonus                     </t>
  </si>
  <si>
    <t xml:space="preserve">602400 Install Subsidies             </t>
  </si>
  <si>
    <t xml:space="preserve">602500 Detailer                      </t>
  </si>
  <si>
    <t xml:space="preserve">602560 Detailer Commissions          </t>
  </si>
  <si>
    <t xml:space="preserve">602700 Install Mgr Commission        </t>
  </si>
  <si>
    <t xml:space="preserve">602710 Install Manager Vacatio       </t>
  </si>
  <si>
    <t xml:space="preserve">602740 Install Manager Subsidy       </t>
  </si>
  <si>
    <t xml:space="preserve">602760 Install Mgr Shop Overri       </t>
  </si>
  <si>
    <t xml:space="preserve">602800 Install Mgr Mnthly Bonu       </t>
  </si>
  <si>
    <t xml:space="preserve">603000 Distr Center Salaries         </t>
  </si>
  <si>
    <t xml:space="preserve">603001 Payroll Services (Contr       </t>
  </si>
  <si>
    <t xml:space="preserve">603500 Distr Center Overtime         </t>
  </si>
  <si>
    <t xml:space="preserve">604000 Office Salaries - HQ          </t>
  </si>
  <si>
    <t xml:space="preserve">604001 Payroll - 6th Pallet          </t>
  </si>
  <si>
    <t xml:space="preserve">604100 HQ Bonuses                    </t>
  </si>
  <si>
    <t xml:space="preserve">604500 Office Overtime - HQ          </t>
  </si>
  <si>
    <t xml:space="preserve">608000 Temp Employee Wages           </t>
  </si>
  <si>
    <t xml:space="preserve">609000 Payroll Taxes                 </t>
  </si>
  <si>
    <t xml:space="preserve">609300 Payroll Tax - Workers C       </t>
  </si>
  <si>
    <t xml:space="preserve">609500 Med/Den Benefit Exp           </t>
  </si>
  <si>
    <t xml:space="preserve">609900 Safety Violations             </t>
  </si>
  <si>
    <t xml:space="preserve">610000 Vacation                      </t>
  </si>
  <si>
    <t xml:space="preserve">680400 401K Contribution             </t>
  </si>
  <si>
    <t xml:space="preserve">701000 Rent                          </t>
  </si>
  <si>
    <t xml:space="preserve">701010 Deferred Rent                 </t>
  </si>
  <si>
    <t xml:space="preserve">701100 Triple Net                    </t>
  </si>
  <si>
    <t xml:space="preserve">701300 Prepaid rent amoritzati       </t>
  </si>
  <si>
    <t xml:space="preserve">702000 Utilities-Gas/Elec/Disp       </t>
  </si>
  <si>
    <t xml:space="preserve">702100 Utilities - Trash &amp; Rec       </t>
  </si>
  <si>
    <t xml:space="preserve">730100 Freight Out                   </t>
  </si>
  <si>
    <t xml:space="preserve">730200 Freight (Def/Plbk) DC t       </t>
  </si>
  <si>
    <t xml:space="preserve">730300 Freight - ERP                 </t>
  </si>
  <si>
    <t xml:space="preserve">741100 Auto Expense-Empl             </t>
  </si>
  <si>
    <t xml:space="preserve">730400 Freight to BB subagents       </t>
  </si>
  <si>
    <t xml:space="preserve">741125 WA - Auto Expense Car R       </t>
  </si>
  <si>
    <t xml:space="preserve">741200 Continuing Education          </t>
  </si>
  <si>
    <t xml:space="preserve">741250 Continuing Ed - Install       </t>
  </si>
  <si>
    <t xml:space="preserve">741300 Dues &amp; Subscriptions          </t>
  </si>
  <si>
    <t xml:space="preserve">741400 Meals &amp; Entertainment         </t>
  </si>
  <si>
    <t xml:space="preserve">741500 Coffee Room Supplies          </t>
  </si>
  <si>
    <t xml:space="preserve">741550 Water and Coffee Servic       </t>
  </si>
  <si>
    <t xml:space="preserve">741600 Meetings &amp; Promotions         </t>
  </si>
  <si>
    <t xml:space="preserve">741700 Wireless Phone Charges        </t>
  </si>
  <si>
    <t xml:space="preserve">741800 Airfare &amp; Hotel               </t>
  </si>
  <si>
    <t xml:space="preserve">741850 Airfare &amp; Hotel - Comme       </t>
  </si>
  <si>
    <t xml:space="preserve">741900 Reloc Expense-Empl            </t>
  </si>
  <si>
    <t xml:space="preserve">742000 Uniforms - Store Empl         </t>
  </si>
  <si>
    <t xml:space="preserve">742100 Amex Card Annual Fees         </t>
  </si>
  <si>
    <t xml:space="preserve">750100 DC Shipping Supplies          </t>
  </si>
  <si>
    <t xml:space="preserve">750200 Business Licenses             </t>
  </si>
  <si>
    <t xml:space="preserve">750300 Postage                       </t>
  </si>
  <si>
    <t xml:space="preserve">750400 Courier                       </t>
  </si>
  <si>
    <t xml:space="preserve">750450 Courier - PR checks           </t>
  </si>
  <si>
    <t xml:space="preserve">750500 Bldg Rep &amp; Maint-Sched        </t>
  </si>
  <si>
    <t xml:space="preserve">750600 Bldg Rep &amp; Maint-Unsche       </t>
  </si>
  <si>
    <t xml:space="preserve">750610 General Unscheduled Mai       </t>
  </si>
  <si>
    <t xml:space="preserve">750620 Electrical, Lighting, &amp;       </t>
  </si>
  <si>
    <t xml:space="preserve">750630 HVAC Unscheduled Mainte       </t>
  </si>
  <si>
    <t xml:space="preserve">750640 Doors &amp; Locks Unschedul       </t>
  </si>
  <si>
    <t xml:space="preserve">750650 Detailing - Equip Main        </t>
  </si>
  <si>
    <t xml:space="preserve">750700 Repair - Non Billable         </t>
  </si>
  <si>
    <t xml:space="preserve">750800 Security (Monthly Fees)       </t>
  </si>
  <si>
    <t xml:space="preserve">750810 Security (False Alarms)       </t>
  </si>
  <si>
    <t xml:space="preserve">750820 Unscheduled Security          </t>
  </si>
  <si>
    <t xml:space="preserve">750900 Shop Supp - Install Bay       </t>
  </si>
  <si>
    <t xml:space="preserve">750950 Shop Supp - Detail            </t>
  </si>
  <si>
    <t xml:space="preserve">750960 Detailing - Towels            </t>
  </si>
  <si>
    <t xml:space="preserve">751000 Shop Tools                    </t>
  </si>
  <si>
    <t xml:space="preserve">751100 Office Supplies               </t>
  </si>
  <si>
    <t xml:space="preserve">751106 Color printer - Color c       </t>
  </si>
  <si>
    <t xml:space="preserve">751107 Color printer - B &amp; W c       </t>
  </si>
  <si>
    <t xml:space="preserve">751110 Safety Supplies               </t>
  </si>
  <si>
    <t xml:space="preserve">751200 Printed Forms                 </t>
  </si>
  <si>
    <t xml:space="preserve">751300 Telephone                     </t>
  </si>
  <si>
    <t xml:space="preserve">751400 Software Support &amp; Main       </t>
  </si>
  <si>
    <t xml:space="preserve">751500 Network Services - Ente       </t>
  </si>
  <si>
    <t xml:space="preserve">751550 Unsch Computer R&amp;M            </t>
  </si>
  <si>
    <t xml:space="preserve">751600 Computer Supplies             </t>
  </si>
  <si>
    <t xml:space="preserve">751700 Display Expense (&lt;$500)       </t>
  </si>
  <si>
    <t xml:space="preserve">751705 Display - Security            </t>
  </si>
  <si>
    <t xml:space="preserve">751715 Display - New Projects        </t>
  </si>
  <si>
    <t xml:space="preserve">751720 Display - Live Handset        </t>
  </si>
  <si>
    <t xml:space="preserve">751800 Customer Relations            </t>
  </si>
  <si>
    <t xml:space="preserve">751900 Rental Car - Customers        </t>
  </si>
  <si>
    <t xml:space="preserve">752000 Shop Damage - Customers       </t>
  </si>
  <si>
    <t xml:space="preserve">760100 Employee Recruiting Fee       </t>
  </si>
  <si>
    <t xml:space="preserve">760200 Employee Relations            </t>
  </si>
  <si>
    <t xml:space="preserve">760300 Rewards &amp; Recognition         </t>
  </si>
  <si>
    <t xml:space="preserve">760400 Outside Services              </t>
  </si>
  <si>
    <t xml:space="preserve">760405 WA - Placement Fees Out       </t>
  </si>
  <si>
    <t xml:space="preserve">760410 Fender Covers/Towels/Sh       </t>
  </si>
  <si>
    <t xml:space="preserve">760415 WA - Temp Personnel Out       </t>
  </si>
  <si>
    <t xml:space="preserve">760450 Outside Svcs - PR Exp         </t>
  </si>
  <si>
    <t xml:space="preserve">760500 Prof Fees - Legal             </t>
  </si>
  <si>
    <t xml:space="preserve">760510 Professional Fees - Leg       </t>
  </si>
  <si>
    <t xml:space="preserve">760600 Prof Fees - Acctg             </t>
  </si>
  <si>
    <t xml:space="preserve">760700 Prof Fees - Other             </t>
  </si>
  <si>
    <t xml:space="preserve">760800 Board of Dir Stipend          </t>
  </si>
  <si>
    <t xml:space="preserve">760900 Equip Rental &amp; Lease          </t>
  </si>
  <si>
    <t xml:space="preserve">760925 Equip Rental &amp; Lease ER       </t>
  </si>
  <si>
    <t xml:space="preserve">761200 E-Comm Outsourcing Exp        </t>
  </si>
  <si>
    <t xml:space="preserve">761100 Customer Serv &amp; Supp          </t>
  </si>
  <si>
    <t xml:space="preserve">761400 Site Hosting Cost             </t>
  </si>
  <si>
    <t xml:space="preserve">770000 Bad Debt Expense - Rese       </t>
  </si>
  <si>
    <t xml:space="preserve">771000 Check Warranty Fees           </t>
  </si>
  <si>
    <t xml:space="preserve">772000 Bank Statement Charges        </t>
  </si>
  <si>
    <t xml:space="preserve">773000 Cash Over/Short               </t>
  </si>
  <si>
    <t xml:space="preserve">774000 Credit Card Discounts         </t>
  </si>
  <si>
    <t xml:space="preserve">775000 Finance Company Disc          </t>
  </si>
  <si>
    <t xml:space="preserve">776000 Ebay Fees                     </t>
  </si>
  <si>
    <t xml:space="preserve">780000 Business Insurance            </t>
  </si>
  <si>
    <t xml:space="preserve">780100 Business Taxes                </t>
  </si>
  <si>
    <t xml:space="preserve">780200 Donations - Corporate         </t>
  </si>
  <si>
    <t xml:space="preserve">780300 Property Taxes                </t>
  </si>
  <si>
    <t xml:space="preserve">780450 Wireless Air Cards            </t>
  </si>
  <si>
    <t xml:space="preserve">790500 Shared Services Payroll       </t>
  </si>
  <si>
    <t xml:space="preserve">790510 Shared Services Non-Pay       </t>
  </si>
  <si>
    <t xml:space="preserve">790520 Shared Service Allocati       </t>
  </si>
  <si>
    <t xml:space="preserve">810000 Radio Advertising             </t>
  </si>
  <si>
    <t xml:space="preserve">810200 Radio Production Expens       </t>
  </si>
  <si>
    <t xml:space="preserve">810300 Print Advertising             </t>
  </si>
  <si>
    <t xml:space="preserve">810350 WA - Costco Connection        </t>
  </si>
  <si>
    <t xml:space="preserve">810500 Television Advertising        </t>
  </si>
  <si>
    <t xml:space="preserve">810600 Television Production E       </t>
  </si>
  <si>
    <t xml:space="preserve">810700 Tech &amp; Talent                 </t>
  </si>
  <si>
    <t xml:space="preserve">810950 Grass Roots                   </t>
  </si>
  <si>
    <t xml:space="preserve">810960 Media Misc                    </t>
  </si>
  <si>
    <t xml:space="preserve">811100 Internet Advertising          </t>
  </si>
  <si>
    <t xml:space="preserve">811200 Selling Materials             </t>
  </si>
  <si>
    <t xml:space="preserve">811300 Sports Sponsorship Adve       </t>
  </si>
  <si>
    <t xml:space="preserve">811350 Media Promotional Fees        </t>
  </si>
  <si>
    <t xml:space="preserve">811400 Advertising Agency Fees       </t>
  </si>
  <si>
    <t xml:space="preserve">811800 Media - Internet              </t>
  </si>
  <si>
    <t xml:space="preserve">811900 Adv-Outsourced Signage        </t>
  </si>
  <si>
    <t xml:space="preserve">812100 Event Awards &amp; Trophies       </t>
  </si>
  <si>
    <t xml:space="preserve">812200 Market Research               </t>
  </si>
  <si>
    <t xml:space="preserve">815000 Coop - Car Audio              </t>
  </si>
  <si>
    <t xml:space="preserve">815002 Coop - Wireless Mfg           </t>
  </si>
  <si>
    <t xml:space="preserve">815010 Coop - Inventory Discou       </t>
  </si>
  <si>
    <t xml:space="preserve">815100 Coop - Gen Spending Spr       </t>
  </si>
  <si>
    <t xml:space="preserve">815400 Coop - Verizon                </t>
  </si>
  <si>
    <t xml:space="preserve">815800 Coop - XM Radio               </t>
  </si>
  <si>
    <t xml:space="preserve">815850 Coop - Sirius                 </t>
  </si>
  <si>
    <t xml:space="preserve">815900 Coop - T-Mobile               </t>
  </si>
  <si>
    <t xml:space="preserve">816500 Coop - Wireless Accesso       </t>
  </si>
  <si>
    <t xml:space="preserve">820450 Wireless MDF - AT&amp;T           </t>
  </si>
  <si>
    <t xml:space="preserve">821000 Cap Ex Coop-Car Audio         </t>
  </si>
  <si>
    <t xml:space="preserve">825000 Promo Offers - Verizon        </t>
  </si>
  <si>
    <t xml:space="preserve">825200 Promo Offers - AT&amp;T           </t>
  </si>
  <si>
    <t xml:space="preserve">825300 Promo Offers - T-Mobile       </t>
  </si>
  <si>
    <t xml:space="preserve">841000 Business Cards                </t>
  </si>
  <si>
    <t xml:space="preserve">901200 Int Income - Notes Rec        </t>
  </si>
  <si>
    <t xml:space="preserve">910000 Interest Exp - Capital        </t>
  </si>
  <si>
    <t xml:space="preserve">911700 Interest Exp - Webster        </t>
  </si>
  <si>
    <t xml:space="preserve">911800 Interest Exp - WA Guar        </t>
  </si>
  <si>
    <t xml:space="preserve">912000 Interest Expense - Subo       </t>
  </si>
  <si>
    <t xml:space="preserve">913500 Interest Exp - US Bank        </t>
  </si>
  <si>
    <t xml:space="preserve">919000 Stock Comp Expense            </t>
  </si>
  <si>
    <t xml:space="preserve">930000 Depr/Amor Expense             </t>
  </si>
  <si>
    <t xml:space="preserve">980000 Misc Income/Expense           </t>
  </si>
  <si>
    <t xml:space="preserve">985000 Equity in Earnings of S       </t>
  </si>
  <si>
    <t xml:space="preserve">990000 Federal Inc Tax Prov          </t>
  </si>
  <si>
    <t xml:space="preserve">991000 Colorado Inc Tax Prov         </t>
  </si>
  <si>
    <t xml:space="preserve">995000 Amortization Exp              </t>
  </si>
  <si>
    <t>Total Income/Expense</t>
  </si>
  <si>
    <t>balance at Dec. 31, 2014</t>
  </si>
  <si>
    <t>IBNR - BOY</t>
  </si>
  <si>
    <t>IBNR - EOY</t>
  </si>
  <si>
    <t>Non-qual stock-based comp -  expense</t>
  </si>
  <si>
    <t>Non-qual stock-based comp -  exercise</t>
  </si>
  <si>
    <t>Taxable equity earnings of WA attributable to CT</t>
  </si>
  <si>
    <t>see Form 3115 for accounting changes</t>
  </si>
  <si>
    <t>see ret/prov</t>
  </si>
  <si>
    <t xml:space="preserve">  Related to current tax year</t>
  </si>
  <si>
    <t>Income taxes receivable</t>
  </si>
  <si>
    <t xml:space="preserve">  Related to 2012 - federal</t>
  </si>
  <si>
    <t xml:space="preserve">  Related to 2012 - state</t>
  </si>
  <si>
    <t>wa taxable income</t>
  </si>
  <si>
    <t>tax ac's summary</t>
  </si>
  <si>
    <t>prepare schedule of activity in a/c 248000</t>
  </si>
  <si>
    <t>obtain general ledger activity reports for all income tax accounts</t>
  </si>
  <si>
    <t>ac 248000 activity</t>
  </si>
  <si>
    <t>state tax information</t>
  </si>
  <si>
    <t>wp reference</t>
  </si>
  <si>
    <t>memo &amp; fs inserts</t>
  </si>
  <si>
    <t>link from work paper schedules</t>
  </si>
  <si>
    <t>Car Toys, Inc. and consolidated subsidiary Wireless Advocates LLC</t>
  </si>
  <si>
    <t>Index to workpaper file and comments regarding processes performed in connection</t>
  </si>
  <si>
    <t xml:space="preserve">  Related to 2009 - federal</t>
  </si>
  <si>
    <t>due</t>
  </si>
  <si>
    <t>applied</t>
  </si>
  <si>
    <t>from py</t>
  </si>
  <si>
    <t xml:space="preserve">  Overpayments per March 31, 2015 returns</t>
  </si>
  <si>
    <t xml:space="preserve">    Refunds receivable</t>
  </si>
  <si>
    <t xml:space="preserve">    Applied to March 31, 2016 </t>
  </si>
  <si>
    <t xml:space="preserve">  Taxes paid for March 31, 2016 </t>
  </si>
  <si>
    <t xml:space="preserve">  Refundable for March 31, 2012</t>
  </si>
  <si>
    <t xml:space="preserve">  Taxes paid by WA for CT tye 2016</t>
  </si>
  <si>
    <t>obtain schedules of WA taxable income by quarter from WA or tax preparer</t>
  </si>
  <si>
    <t xml:space="preserve">  Refundable for March 31, 2009</t>
  </si>
  <si>
    <t xml:space="preserve">  Income tax expense</t>
  </si>
  <si>
    <t>inserts for financial statements</t>
  </si>
  <si>
    <t xml:space="preserve">Current - </t>
  </si>
  <si>
    <t xml:space="preserve">  Accounts receivable</t>
  </si>
  <si>
    <t xml:space="preserve">  Inventories</t>
  </si>
  <si>
    <t xml:space="preserve">  Investment in subsidiary</t>
  </si>
  <si>
    <t xml:space="preserve">  Accrued liabilities</t>
  </si>
  <si>
    <t xml:space="preserve">  Other</t>
  </si>
  <si>
    <t xml:space="preserve">     Net current deferred tax asset</t>
  </si>
  <si>
    <t xml:space="preserve">Noncurrent - </t>
  </si>
  <si>
    <t>expense</t>
  </si>
  <si>
    <t>Consolidated Balance Sheets</t>
  </si>
  <si>
    <t>Consolidation</t>
  </si>
  <si>
    <t>WALLC</t>
  </si>
  <si>
    <t>Consolidating Entries</t>
  </si>
  <si>
    <t>Consolidated</t>
  </si>
  <si>
    <t>12/31/2015</t>
  </si>
  <si>
    <t>Current assets</t>
  </si>
  <si>
    <t xml:space="preserve">     Cash and cash equivalents</t>
  </si>
  <si>
    <t xml:space="preserve">     Accounts receivable, net of allowance </t>
  </si>
  <si>
    <t xml:space="preserve">     Inventories</t>
  </si>
  <si>
    <t xml:space="preserve">     Prepaid expenses and other current assets</t>
  </si>
  <si>
    <t xml:space="preserve">     Intercompany account WA &amp; CTI</t>
  </si>
  <si>
    <t xml:space="preserve">     Income taxes refundable </t>
  </si>
  <si>
    <t xml:space="preserve">     Deferred tax assets </t>
  </si>
  <si>
    <t>Investment in WALLC</t>
  </si>
  <si>
    <t xml:space="preserve">               Total assets</t>
  </si>
  <si>
    <t xml:space="preserve">     Line of credit and other short-term borrowings</t>
  </si>
  <si>
    <t xml:space="preserve">     Short-term debt</t>
  </si>
  <si>
    <t xml:space="preserve">     Accrued expenses</t>
  </si>
  <si>
    <t xml:space="preserve">     Accrued compensation</t>
  </si>
  <si>
    <t xml:space="preserve">     Distributions (taxes) payable to members </t>
  </si>
  <si>
    <t xml:space="preserve">     Deferred revenue &amp; rent</t>
  </si>
  <si>
    <t xml:space="preserve">     Current portion of obligations under capital leases</t>
  </si>
  <si>
    <t>Obligations under capital leases, less current portion</t>
  </si>
  <si>
    <t>Long-term debt, less current portion</t>
  </si>
  <si>
    <t>Subordinated debt and accrued interest due shareholder</t>
  </si>
  <si>
    <t>Shareholders' and Members equity (deficit)</t>
  </si>
  <si>
    <t xml:space="preserve">     Common stock and additional paid-in capital</t>
  </si>
  <si>
    <t xml:space="preserve">     Deferred Stock based Compensation</t>
  </si>
  <si>
    <t xml:space="preserve">  Member Distributions</t>
  </si>
  <si>
    <t xml:space="preserve">     Retained earnings</t>
  </si>
  <si>
    <t xml:space="preserve">       Current year net income</t>
  </si>
  <si>
    <t xml:space="preserve">               Total shareholders' and members equity</t>
  </si>
  <si>
    <t xml:space="preserve">               Total liabilities and shareholders' and members' equity </t>
  </si>
  <si>
    <t>Consolidated Statements of Operations</t>
  </si>
  <si>
    <t>Consolidating  Entries</t>
  </si>
  <si>
    <t xml:space="preserve">Cost of sales </t>
  </si>
  <si>
    <t>Operating income (loss)</t>
  </si>
  <si>
    <t>Interest expense, net of interest income</t>
  </si>
  <si>
    <t>Other income</t>
  </si>
  <si>
    <t>Equity in earnings of subsidiary</t>
  </si>
  <si>
    <t>Income tax provision (benefit)</t>
  </si>
  <si>
    <t>Net income attributable to noncontrolling interests</t>
  </si>
  <si>
    <t>Net income attributable to Car Toys shareholders</t>
  </si>
  <si>
    <t>prov</t>
  </si>
  <si>
    <t>cpl</t>
  </si>
  <si>
    <t>Schedule of non-qualified stock option exercises and tax deductions</t>
  </si>
  <si>
    <t>Upon exercise of non-qualified stock options, the Company receives a tax deduction for the excess of fair value over exercise price.</t>
  </si>
  <si>
    <t>The tax benefit of the excess of tax deductions received over stock-based compensation expense recognized is recorded as a credit</t>
  </si>
  <si>
    <t>to additional paid-in capital per ASC Topic 740.  Deferred taxes have been recorded for nqso expense and are reversed upon exercise,</t>
  </si>
  <si>
    <t>an other than temporary difference is presented in the tax provision for the excess of fair value over expense, and the tax benefit</t>
  </si>
  <si>
    <t>shares</t>
  </si>
  <si>
    <t>ex pr per sh</t>
  </si>
  <si>
    <t>fv per share</t>
  </si>
  <si>
    <t>total fv</t>
  </si>
  <si>
    <t>paid</t>
  </si>
  <si>
    <t xml:space="preserve">fv &gt; paid </t>
  </si>
  <si>
    <t>rounded</t>
  </si>
  <si>
    <t>options exercised</t>
  </si>
  <si>
    <t>option fv</t>
  </si>
  <si>
    <t>est. forf</t>
  </si>
  <si>
    <t>exp recog</t>
  </si>
  <si>
    <t>expense recognized</t>
  </si>
  <si>
    <t>temp</t>
  </si>
  <si>
    <t>excess of fv &gt; expense</t>
  </si>
  <si>
    <t xml:space="preserve">tax benefit at 40% </t>
  </si>
  <si>
    <t>sose</t>
  </si>
  <si>
    <t>sbc expense in 2015</t>
  </si>
  <si>
    <t>nq</t>
  </si>
  <si>
    <t>iso</t>
  </si>
  <si>
    <t>total iso</t>
  </si>
  <si>
    <t>sbc</t>
  </si>
  <si>
    <t>cbs</t>
  </si>
  <si>
    <t>CT DOR tax pymt</t>
  </si>
  <si>
    <t>COMM OF MASS tax pymt</t>
  </si>
  <si>
    <t>MN DEPT OF REVEN tax p</t>
  </si>
  <si>
    <t>FLA DEPT REVENUE tax p</t>
  </si>
  <si>
    <t>COMMWLTHOFPA tax pymt</t>
  </si>
  <si>
    <t>AZ DEPT OF REV tax pym</t>
  </si>
  <si>
    <t>IL DEPT OF REVEN tax p</t>
  </si>
  <si>
    <t>NYS TAX &amp; FINANC tax p</t>
  </si>
  <si>
    <t>IRS tax pymt</t>
  </si>
  <si>
    <t xml:space="preserve">Colorado </t>
  </si>
  <si>
    <t>12-2015</t>
  </si>
  <si>
    <t>PTD-Actual</t>
  </si>
  <si>
    <t>QTD-Actual</t>
  </si>
  <si>
    <t xml:space="preserve">730150 WA - ECOM Freight to Cu       </t>
  </si>
  <si>
    <t xml:space="preserve">760425 WA - Outside Storage Fe       </t>
  </si>
  <si>
    <t>ctbs</t>
  </si>
  <si>
    <t>ctpl</t>
  </si>
  <si>
    <t>Cash in Stores</t>
  </si>
  <si>
    <t>AR - Other</t>
  </si>
  <si>
    <t>Accounts Rec - Verizon</t>
  </si>
  <si>
    <t>Accounts Rec - T-Mobile</t>
  </si>
  <si>
    <t>Accounts Rec - AT&amp;T</t>
  </si>
  <si>
    <t>Employee Deductions</t>
  </si>
  <si>
    <t>Inventory</t>
  </si>
  <si>
    <t>Prepaid Insurance</t>
  </si>
  <si>
    <t>Prepaid Other</t>
  </si>
  <si>
    <t>Prepaid Plexiglass</t>
  </si>
  <si>
    <t>Prepaid Rent</t>
  </si>
  <si>
    <t>Assets - Display</t>
  </si>
  <si>
    <t>Assets - Equipment</t>
  </si>
  <si>
    <t>Assets - Telephones</t>
  </si>
  <si>
    <t>Accum Depr - Displays</t>
  </si>
  <si>
    <t>Accum Depr - Equipment</t>
  </si>
  <si>
    <t>Accum Depr - Computers</t>
  </si>
  <si>
    <t>Accum Depr - Telephones</t>
  </si>
  <si>
    <t>Accounts Payable - GERS</t>
  </si>
  <si>
    <t>Other Payables</t>
  </si>
  <si>
    <t>Accrued City Taxes</t>
  </si>
  <si>
    <t>Accrued Use Tax</t>
  </si>
  <si>
    <t>Accrued 401(k)</t>
  </si>
  <si>
    <t>Accrued Garnishments</t>
  </si>
  <si>
    <t>Accrued Payroll - Wages</t>
  </si>
  <si>
    <t>Accrued Payroll - Taxes</t>
  </si>
  <si>
    <t>Enhanced Services-AT&amp;T</t>
  </si>
  <si>
    <t>Backend Comm - Verizon</t>
  </si>
  <si>
    <t>Backend Comm - T-Mobile</t>
  </si>
  <si>
    <t>Deactivations - ATT</t>
  </si>
  <si>
    <t>Deactivations - TMO</t>
  </si>
  <si>
    <t>Deactivations - VEZI</t>
  </si>
  <si>
    <t>Inventory Shrinkage</t>
  </si>
  <si>
    <t>Restock Fees</t>
  </si>
  <si>
    <t>Freight-In to Dist Ctr</t>
  </si>
  <si>
    <t>Vendor Cash Discounts</t>
  </si>
  <si>
    <t>Commissions - Wages</t>
  </si>
  <si>
    <t>Sales Vacation</t>
  </si>
  <si>
    <t>SM Vacation</t>
  </si>
  <si>
    <t>Office Salaries - HQ</t>
  </si>
  <si>
    <t>HQ Bonuses</t>
  </si>
  <si>
    <t>Vacation</t>
  </si>
  <si>
    <t>401K Contribution</t>
  </si>
  <si>
    <t>Payroll Taxes</t>
  </si>
  <si>
    <t>Med/Den Benefit Exp</t>
  </si>
  <si>
    <t>Stock Comp Expense</t>
  </si>
  <si>
    <t>Rent</t>
  </si>
  <si>
    <t>Auto Expense-Empl</t>
  </si>
  <si>
    <t>Bank Statement Charges</t>
  </si>
  <si>
    <t>Unsch Computer R&amp;M</t>
  </si>
  <si>
    <t>Computer Supplies</t>
  </si>
  <si>
    <t>E-Comm Outsourcing Exp</t>
  </si>
  <si>
    <t>Continuing Education</t>
  </si>
  <si>
    <t>Customer Relations</t>
  </si>
  <si>
    <t>Depr/Amor Expense</t>
  </si>
  <si>
    <t>Display Expense (&lt;$500)</t>
  </si>
  <si>
    <t>Donations - Corporate</t>
  </si>
  <si>
    <t>Dues &amp; Subscriptions</t>
  </si>
  <si>
    <t>Employee Relations</t>
  </si>
  <si>
    <t>Rewards &amp; Recognition</t>
  </si>
  <si>
    <t>Freight Out</t>
  </si>
  <si>
    <t>DC Shipping Supplies</t>
  </si>
  <si>
    <t>Business Insurance</t>
  </si>
  <si>
    <t>Business Licenses</t>
  </si>
  <si>
    <t>Meals &amp; Entertainment</t>
  </si>
  <si>
    <t>Coffee Room Supplies</t>
  </si>
  <si>
    <t>Meetings &amp; Promotions</t>
  </si>
  <si>
    <t>Outside Services</t>
  </si>
  <si>
    <t>Outside Svcs - PR Exp</t>
  </si>
  <si>
    <t>Postage</t>
  </si>
  <si>
    <t>Courier</t>
  </si>
  <si>
    <t>Courier - PR checks</t>
  </si>
  <si>
    <t>Prof Fees - Legal</t>
  </si>
  <si>
    <t>Prof Fees - Other</t>
  </si>
  <si>
    <t>Property Taxes</t>
  </si>
  <si>
    <t>Shop Tools</t>
  </si>
  <si>
    <t>Office Supplies</t>
  </si>
  <si>
    <t>Printed Forms</t>
  </si>
  <si>
    <t>Business Taxes</t>
  </si>
  <si>
    <t>Wireless Phone Charges</t>
  </si>
  <si>
    <t>Telephone</t>
  </si>
  <si>
    <t>Interest Income</t>
  </si>
  <si>
    <t xml:space="preserve">              Deactivation chargebacks</t>
  </si>
  <si>
    <t xml:space="preserve">960000 Othe Income/Expense           </t>
  </si>
  <si>
    <t>workpaper difference</t>
  </si>
  <si>
    <t>Car Toys balance sheet trial balance work paper</t>
  </si>
  <si>
    <t xml:space="preserve">Car Toys income statement trial balance work paper </t>
  </si>
  <si>
    <t>wa tb</t>
  </si>
  <si>
    <t>Assets - Computer Equip</t>
  </si>
  <si>
    <t>Assets - Leasehold Impr</t>
  </si>
  <si>
    <t>Accounts Payable RNI</t>
  </si>
  <si>
    <t>Accrued Healthcare</t>
  </si>
  <si>
    <t>Retained Earnings</t>
  </si>
  <si>
    <t>Payroll - 6th Pallet</t>
  </si>
  <si>
    <t>Med/Den HRA Benefit Exp</t>
  </si>
  <si>
    <t>WA - Airfare</t>
  </si>
  <si>
    <t>WA - Visual Merchandise</t>
  </si>
  <si>
    <t>WA - adj. Verizon IRC</t>
  </si>
  <si>
    <t>Wireless Advocates trial balance</t>
  </si>
  <si>
    <t>reclass</t>
  </si>
  <si>
    <t>per ct bs</t>
  </si>
  <si>
    <t>dr  tax receivable</t>
  </si>
  <si>
    <t xml:space="preserve">     cr  common stock &amp; apic</t>
  </si>
  <si>
    <t>to record tax benefit of nqso deductions as increase in apic (vs decrease in provision).  Same as py treatment.</t>
  </si>
  <si>
    <t>identify differences and conclude as to disposition.  See schedule for aje's posted at def tax</t>
  </si>
  <si>
    <t>ct bs</t>
  </si>
  <si>
    <t>ct pl</t>
  </si>
  <si>
    <t>py</t>
  </si>
  <si>
    <t>Comparison ofbook/tax difference amounts per return vs amounts per provision</t>
  </si>
  <si>
    <t>py ret</t>
  </si>
  <si>
    <t>update roll-forward schedule and link temporary differences to provision and deferred tax</t>
  </si>
  <si>
    <t>Calculate tax provision and reconcile to amount recorded in financial statements</t>
  </si>
  <si>
    <t>Prepare rate reconcilation</t>
  </si>
  <si>
    <t xml:space="preserve">Taxable income April 1 - December 31, 2015  </t>
  </si>
  <si>
    <t xml:space="preserve">   Car Toys (exclusive of WA)</t>
  </si>
  <si>
    <t xml:space="preserve">   Car toys share of WA</t>
  </si>
  <si>
    <t>Puerto Rico 2006 - 2013</t>
  </si>
  <si>
    <t>Florida 2012 audit</t>
  </si>
  <si>
    <t>monthly state tax accrual</t>
  </si>
  <si>
    <t>Texas tax accrual</t>
  </si>
  <si>
    <t>prepare year-end aje's for provision, deferred taxes &amp; nqso apic</t>
  </si>
  <si>
    <t>est</t>
  </si>
  <si>
    <t>n/c</t>
  </si>
  <si>
    <t>cur</t>
  </si>
  <si>
    <t>def rent</t>
  </si>
  <si>
    <t>update checklist and carryforward memo regarding tax uncertainties</t>
  </si>
  <si>
    <t>(b)  entry to common stock relates to nqso tax deduction.  See sbc for calculation and aje, which are consistent with prior year.</t>
  </si>
  <si>
    <t>(D)   Difference is other than temporary and immaterial for provision adjustment</t>
  </si>
  <si>
    <t xml:space="preserve">(D)   </t>
  </si>
  <si>
    <t>(C)  Difference included as adjustment to deferred taxes.  Decreases deferred tax asset as more deductions taken for tax.</t>
  </si>
  <si>
    <t>Adj tax balance for 2015</t>
  </si>
  <si>
    <t>ye prov adj for wa ye aje</t>
  </si>
  <si>
    <t>net credit for 2015</t>
  </si>
  <si>
    <t>balance at Dec. 31, 2015 per bs</t>
  </si>
  <si>
    <t>Reasonableness review of consolidated taxes receivable at 12/31/2015</t>
  </si>
  <si>
    <t xml:space="preserve">CT stand alone </t>
  </si>
  <si>
    <t>CT stand alone</t>
  </si>
  <si>
    <t xml:space="preserve">  Other (reasonableness review difference)</t>
  </si>
  <si>
    <t>Deferred tax  &amp; provision year-end adjustment</t>
  </si>
  <si>
    <t xml:space="preserve">  Property and equipment</t>
  </si>
  <si>
    <t>Wireless Advocates</t>
  </si>
  <si>
    <t>Estimated Schedule M-1 Adjustments</t>
  </si>
  <si>
    <t>Q1 Tax</t>
  </si>
  <si>
    <t>Q2 Tax</t>
  </si>
  <si>
    <t>Q3 Tax</t>
  </si>
  <si>
    <t>Annual est</t>
  </si>
  <si>
    <t>Dec Qtr Activity</t>
  </si>
  <si>
    <t>BOOK INCOME</t>
  </si>
  <si>
    <t>Composite Tax reclass</t>
  </si>
  <si>
    <t>Adj Book Income</t>
  </si>
  <si>
    <t>M-1s:</t>
  </si>
  <si>
    <t>50% Meals and Entertainment (741400)</t>
  </si>
  <si>
    <t>Deferred Revenue (260000)</t>
  </si>
  <si>
    <t>Accrued Vacation</t>
  </si>
  <si>
    <t>Section 263A</t>
  </si>
  <si>
    <t xml:space="preserve"> </t>
  </si>
  <si>
    <t>Deactivation Reserve (123355 and 123354)</t>
  </si>
  <si>
    <t>Costco Reserve (123352)</t>
  </si>
  <si>
    <t>Obsolecense Reserve</t>
  </si>
  <si>
    <t>Bad Debt Reserve</t>
  </si>
  <si>
    <t>Gain/Loss on Disposal (970000)</t>
  </si>
  <si>
    <t>Nondeductible penalties (772500)</t>
  </si>
  <si>
    <t>Nondeductible LLC Unit Compensation (919000)</t>
  </si>
  <si>
    <t>Prepaids</t>
  </si>
  <si>
    <t>Deferred Rent Adjustment (226000)</t>
  </si>
  <si>
    <t>Net M-1 Adj</t>
  </si>
  <si>
    <t>Taxable Income</t>
  </si>
  <si>
    <t>Car Toys share</t>
  </si>
  <si>
    <t>Amortization (excludes amount specially allocated)</t>
  </si>
  <si>
    <t>(a)  entry to adjust deferred taxes (per 2015 def tax), taxes receivable (per tax ac's summary) and tax provision to year-end balances per support.</t>
  </si>
  <si>
    <t>composition of amounts pertaining to investment in WA deferred taxes</t>
  </si>
  <si>
    <t xml:space="preserve"> December 31, 2011 Tax &gt; book</t>
  </si>
  <si>
    <t xml:space="preserve"> December 31, 2012 Tax &gt; book</t>
  </si>
  <si>
    <t>decrease in refunds receivable resulting from settlement</t>
  </si>
  <si>
    <t>calc</t>
  </si>
  <si>
    <t>ret/prov</t>
  </si>
  <si>
    <t>decrease in</t>
  </si>
  <si>
    <t>refund rec'ble</t>
  </si>
  <si>
    <t>Decrease in refunds receivable</t>
  </si>
  <si>
    <t>Deferred tax assets</t>
  </si>
  <si>
    <t xml:space="preserve">     Total deferred tax assets</t>
  </si>
  <si>
    <t>dr  taxes receivable - a/c 248000</t>
  </si>
  <si>
    <t xml:space="preserve">  cr  deferred taxes - current a/c 148000</t>
  </si>
  <si>
    <t xml:space="preserve">  cr  tax provision - a/c 990000</t>
  </si>
  <si>
    <t xml:space="preserve">  cr  additional paid-in capital a/c 301000  </t>
  </si>
  <si>
    <t>December 31, 2016 consolidated financial statements</t>
  </si>
  <si>
    <t>2016 provision</t>
  </si>
  <si>
    <t xml:space="preserve">follow-up on 2016 return to provision differences </t>
  </si>
  <si>
    <t>follow-up on new items relating to 2016 activities</t>
  </si>
  <si>
    <t>2016 def tax</t>
  </si>
  <si>
    <t>schedule of WA taxable income by quarter and estimate for ct 9 mos 12/31/2016</t>
  </si>
  <si>
    <t>2016 ret to prov</t>
  </si>
  <si>
    <t>with preparation of supporting documentation for accounting for income taxes under ASC 740</t>
  </si>
  <si>
    <t>Status Notes</t>
  </si>
  <si>
    <t>Year ended December 31, 2016</t>
  </si>
  <si>
    <t>December 31, 2016 consolidated financial statements tax wp file</t>
  </si>
  <si>
    <t>IBNR</t>
  </si>
  <si>
    <t>per March 31, 2016 tax returns</t>
  </si>
  <si>
    <t>rec.</t>
  </si>
  <si>
    <t>wtd avg</t>
  </si>
  <si>
    <t>101000 Cash in Bank - General</t>
  </si>
  <si>
    <t>Period: 12-2016 currency USD</t>
  </si>
  <si>
    <t>12-2016</t>
  </si>
  <si>
    <t>310000 Retained Earnings</t>
  </si>
  <si>
    <t>309000 Dividends - Ordinary</t>
  </si>
  <si>
    <t>306000 Notes Rec from Sharehol</t>
  </si>
  <si>
    <t>301000 Common Stock</t>
  </si>
  <si>
    <t/>
  </si>
  <si>
    <t>Total Liabilities</t>
  </si>
  <si>
    <t>261100 Deferred Rent - Non-Cur</t>
  </si>
  <si>
    <t>261000 Long Term Capital Lease</t>
  </si>
  <si>
    <t>250000 Deferred Income</t>
  </si>
  <si>
    <t>249000 Interest Exp Pay - Shor</t>
  </si>
  <si>
    <t>248800 Personal Property Tax P</t>
  </si>
  <si>
    <t>248000 Federal Income Taxes Pa</t>
  </si>
  <si>
    <t>245000 Accrued Sales Tax</t>
  </si>
  <si>
    <t>244000 Accrued Use Tax</t>
  </si>
  <si>
    <t>241000 Accrued City Taxes</t>
  </si>
  <si>
    <t>231900 Accrued Culture Expense</t>
  </si>
  <si>
    <t>231700 Employee Expense Reimbu</t>
  </si>
  <si>
    <t>231500 Accrued Payroll - Taxes</t>
  </si>
  <si>
    <t>231400 Accrued Payroll - WA L&amp;</t>
  </si>
  <si>
    <t>231300 Accrued Healthcare</t>
  </si>
  <si>
    <t>231200 Accrued Payroll - Vacat</t>
  </si>
  <si>
    <t>231100 Accrued Payroll - Bonus</t>
  </si>
  <si>
    <t>231000 Accrued Payroll - Wages</t>
  </si>
  <si>
    <t>228000 Accrued Payroll - Unite</t>
  </si>
  <si>
    <t>227500 IBNR Reserve</t>
  </si>
  <si>
    <t>227000 Payables Clearing Accou</t>
  </si>
  <si>
    <t>226000 Deferred Rent</t>
  </si>
  <si>
    <t>224000 Accrued Garnishments</t>
  </si>
  <si>
    <t>223000 Accrued 401(k)</t>
  </si>
  <si>
    <t>222700 Accrued Banking Fees</t>
  </si>
  <si>
    <t>222600 Accrued On-Line Fees</t>
  </si>
  <si>
    <t>221100 Social Media Deals Liab</t>
  </si>
  <si>
    <t>221000 Accrued Advertising</t>
  </si>
  <si>
    <t>220000 Accrued Acctg &amp; Prof Fe</t>
  </si>
  <si>
    <t>219000 Other Payables</t>
  </si>
  <si>
    <t>218500 Prepaid Wireless Payabl</t>
  </si>
  <si>
    <t>218000 Customer Deposits</t>
  </si>
  <si>
    <t>216550 Warranty Claims Reserve</t>
  </si>
  <si>
    <t>216500 Extended Warranty Payab</t>
  </si>
  <si>
    <t>216000 Current Portion Capital</t>
  </si>
  <si>
    <t>214000 Gift Cards</t>
  </si>
  <si>
    <t>213000 Subagent Comm Payable</t>
  </si>
  <si>
    <t>212001 Accounts Payable Accrua</t>
  </si>
  <si>
    <t>212000 Accounts Payable - Orac</t>
  </si>
  <si>
    <t>211500 Unclaimed Property Paya</t>
  </si>
  <si>
    <t>211001 Accounts Payable RNI</t>
  </si>
  <si>
    <t>211000 Accounts Payable - GERS</t>
  </si>
  <si>
    <t>185000 Investment in Subsidiar</t>
  </si>
  <si>
    <t>180000 Deferred Tax Asset - No</t>
  </si>
  <si>
    <t>176000 Deposits on Rent/Last M</t>
  </si>
  <si>
    <t>175000 Preloaded Gift Cards</t>
  </si>
  <si>
    <t>172000 Prepaid Rent - Non Curr</t>
  </si>
  <si>
    <t>169500 Accum Amort-Intangible</t>
  </si>
  <si>
    <t>169200 Accum Depr - Fixed Asse</t>
  </si>
  <si>
    <t>168999 Fixed Asset Clearing Ac</t>
  </si>
  <si>
    <t>168100 Accum Depr - Telephones</t>
  </si>
  <si>
    <t>167100 Accum Depr - Vehicles/L</t>
  </si>
  <si>
    <t>166999 Accum Depr - Shop Tools</t>
  </si>
  <si>
    <t>166100 Accum Depr - Shop Tools</t>
  </si>
  <si>
    <t>165999 Accum Depr - LHI Impair</t>
  </si>
  <si>
    <t>165100 Accum Depr - Leasehold</t>
  </si>
  <si>
    <t>164999 Accum Depr - Comp Equip</t>
  </si>
  <si>
    <t>164100 Accum Depr - Computers</t>
  </si>
  <si>
    <t>163999 Accum Depr - Furn/Fix I</t>
  </si>
  <si>
    <t>163100 Accum Depr - Furn &amp; Fix</t>
  </si>
  <si>
    <t>162999 Accum Depr - Signage Im</t>
  </si>
  <si>
    <t>162100 Accum Depr - Signage</t>
  </si>
  <si>
    <t>161999 Accum Depr - Equipment</t>
  </si>
  <si>
    <t>161100 Accum Depr - Equipment</t>
  </si>
  <si>
    <t>160999 Accum Depr - Displays I</t>
  </si>
  <si>
    <t>160100 Accum Depr - Displays</t>
  </si>
  <si>
    <t>160000 Accum Depr - Capital Le</t>
  </si>
  <si>
    <t>159200 Fixed Asset Adjustments</t>
  </si>
  <si>
    <t>159100 Intangible Assets</t>
  </si>
  <si>
    <t>158100 Assets - Telephones</t>
  </si>
  <si>
    <t>157100 Assets - Vehicles</t>
  </si>
  <si>
    <t>156100 Assets - Shop Tools</t>
  </si>
  <si>
    <t>155100 Assets - Leasehold Impr</t>
  </si>
  <si>
    <t>154100 Assets - Computer Equip</t>
  </si>
  <si>
    <t>153100 Assets - Furniture &amp; Fi</t>
  </si>
  <si>
    <t>152100 Assets - Signage</t>
  </si>
  <si>
    <t>151100 Assets - Equipment</t>
  </si>
  <si>
    <t>150100 Assets - Display</t>
  </si>
  <si>
    <t>150000 Assets - Capital Lease</t>
  </si>
  <si>
    <t>148000 Deferred Tax Asset Curr</t>
  </si>
  <si>
    <t>146900 Prepaid Live Handset Di</t>
  </si>
  <si>
    <t>146000 Prepaid Computer Licens</t>
  </si>
  <si>
    <t>145000 Prepaid Rent</t>
  </si>
  <si>
    <t>144500 Prepaid Plexiglass</t>
  </si>
  <si>
    <t>143000 Prepaid Other</t>
  </si>
  <si>
    <t>142000 Prepaid Insurance</t>
  </si>
  <si>
    <t>131800 Consignment Inventory</t>
  </si>
  <si>
    <t>131700 Inventory Mark-Up/Mark-</t>
  </si>
  <si>
    <t>131600 Inventory Reserve - Qui</t>
  </si>
  <si>
    <t>131500 Inventory In-Transit</t>
  </si>
  <si>
    <t>131400 Miscellaneous Inventory</t>
  </si>
  <si>
    <t>131300 Demo Funds Receivable</t>
  </si>
  <si>
    <t>131200 Price Protection Receiv</t>
  </si>
  <si>
    <t>131100 Inventory Obsolescence</t>
  </si>
  <si>
    <t>131000 Inventory</t>
  </si>
  <si>
    <t>128897 AR - Wireless VPEP COOP</t>
  </si>
  <si>
    <t>128700 Vendor Fair Programs</t>
  </si>
  <si>
    <t>128600 Coop Advertising - Car</t>
  </si>
  <si>
    <t>128500 Product Returns Receiva</t>
  </si>
  <si>
    <t>123355 Deact Reserve Allowance</t>
  </si>
  <si>
    <t>123350 Wireless - Allowance fo</t>
  </si>
  <si>
    <t>123340 Trade - Allowance for D</t>
  </si>
  <si>
    <t>123330 Deact Reserve</t>
  </si>
  <si>
    <t>121700 Employee Deductions</t>
  </si>
  <si>
    <t>121660 Employee Purchase Plan</t>
  </si>
  <si>
    <t>121600 Employee Expense Report</t>
  </si>
  <si>
    <t>121245 Accounts Rec - AT&amp;T</t>
  </si>
  <si>
    <t>121230 Accounts Rec - T-Mobile</t>
  </si>
  <si>
    <t>121225 Accounts Rec - XM Siriu</t>
  </si>
  <si>
    <t>121210 Accounts Rec - Verizon</t>
  </si>
  <si>
    <t>121195 Accounts Rec - WA-CT Du</t>
  </si>
  <si>
    <t>121100 AR - Other</t>
  </si>
  <si>
    <t>121000 Accounts Rec - Trade</t>
  </si>
  <si>
    <t>112100 Cash in Stores</t>
  </si>
  <si>
    <t>101410 Cash in Bank - BofA Dep</t>
  </si>
  <si>
    <t>101320 Cash in Bank - Webster</t>
  </si>
  <si>
    <t>101310 Cash in Bank - Webster</t>
  </si>
  <si>
    <t>Treated as a Liability on Car Toys B/S</t>
  </si>
  <si>
    <t>101300 Cash in Bank - Webster</t>
  </si>
  <si>
    <t>101210 Cash in Bank - US Bank</t>
  </si>
  <si>
    <t>3</t>
  </si>
  <si>
    <t>1</t>
  </si>
  <si>
    <t>apps@PCARTI</t>
  </si>
  <si>
    <t>FORMATTED</t>
  </si>
  <si>
    <t>PY - M. Brown's File</t>
  </si>
  <si>
    <t xml:space="preserve">Fixed Assets </t>
  </si>
  <si>
    <t>12/31/15 AFS</t>
  </si>
  <si>
    <t xml:space="preserve">401001 Sales Handset - TMO           </t>
  </si>
  <si>
    <t xml:space="preserve">401002 Sales Handset - Verizon       </t>
  </si>
  <si>
    <t xml:space="preserve">401004 Sales Handset - ATT           </t>
  </si>
  <si>
    <t xml:space="preserve">401050 Prepaid Wireless Sales        </t>
  </si>
  <si>
    <t xml:space="preserve">401060 Other Wireless Sales          </t>
  </si>
  <si>
    <t xml:space="preserve">401200 Sales - Accessories           </t>
  </si>
  <si>
    <t xml:space="preserve">401700 Sales - ESP                   </t>
  </si>
  <si>
    <t xml:space="preserve">405010 Salvage Revenue Partner       </t>
  </si>
  <si>
    <t xml:space="preserve">411000 Car Audio Sales               </t>
  </si>
  <si>
    <t xml:space="preserve">412010 Labor Sales                   </t>
  </si>
  <si>
    <t xml:space="preserve">412020 Detail Labor Sales            </t>
  </si>
  <si>
    <t xml:space="preserve">501006 COGS ESP                      </t>
  </si>
  <si>
    <t xml:space="preserve">501008 COGS Accessories              </t>
  </si>
  <si>
    <t xml:space="preserve">501020 COGS - TMO                    </t>
  </si>
  <si>
    <t xml:space="preserve">501022 COGS - ATT                    </t>
  </si>
  <si>
    <t xml:space="preserve">501023 COGS - VZN                    </t>
  </si>
  <si>
    <t xml:space="preserve">501050 Prepaid Wireless COGS         </t>
  </si>
  <si>
    <t xml:space="preserve">511000 Car Audio COGS                </t>
  </si>
  <si>
    <t xml:space="preserve">521550 Expedited Freight             </t>
  </si>
  <si>
    <t xml:space="preserve">608000 CT - Temp Employee Wage       </t>
  </si>
  <si>
    <t xml:space="preserve">609600 Med/Den HRA Benefit Exp       </t>
  </si>
  <si>
    <t xml:space="preserve">741810 WA - Airfare                  </t>
  </si>
  <si>
    <t xml:space="preserve">743000 Unreported Amex charges       </t>
  </si>
  <si>
    <t xml:space="preserve">750150 Store Shipping Supplies       </t>
  </si>
  <si>
    <t xml:space="preserve">750425 Courier IT Equip Incomi       </t>
  </si>
  <si>
    <t xml:space="preserve">751105 Color Printer Maintenan       </t>
  </si>
  <si>
    <t xml:space="preserve">751210 WA - Visual Merchandise       </t>
  </si>
  <si>
    <t xml:space="preserve">760415 Temp Personnel Outside        </t>
  </si>
  <si>
    <t xml:space="preserve">810900 Commercial Adv                </t>
  </si>
  <si>
    <t xml:space="preserve">811300 Black Friday Insert           </t>
  </si>
  <si>
    <t xml:space="preserve">820051 Verizon Edge Finance          </t>
  </si>
  <si>
    <t xml:space="preserve">825328 WA - adj. Verizon IRC         </t>
  </si>
  <si>
    <t xml:space="preserve">901000 Interest Income               </t>
  </si>
  <si>
    <t xml:space="preserve">915000 Webster Loan Fees             </t>
  </si>
  <si>
    <t xml:space="preserve">920000 Preopening Expense            </t>
  </si>
  <si>
    <t xml:space="preserve">960000 Other Income / Expense        </t>
  </si>
  <si>
    <t xml:space="preserve">995000 Lease Amortization - EB       </t>
  </si>
  <si>
    <t>2016 Accounts-</t>
  </si>
  <si>
    <t>Balance at December 31, 2016</t>
  </si>
  <si>
    <t>Estimated taxable income for April - Dec 2016</t>
  </si>
  <si>
    <t>Deact Reserve Allowance</t>
  </si>
  <si>
    <t>Miscellaneous Inventory</t>
  </si>
  <si>
    <t>Assets - Capital Lease</t>
  </si>
  <si>
    <t>Deferred Rent</t>
  </si>
  <si>
    <t>Accrued Culture Expense</t>
  </si>
  <si>
    <t>Accrued Sales Tax</t>
  </si>
  <si>
    <t>Long Term Capital Lease</t>
  </si>
  <si>
    <t>Sales Handset - TMO</t>
  </si>
  <si>
    <t>Sales Handset - Verizon</t>
  </si>
  <si>
    <t>Sales Handset - ATT</t>
  </si>
  <si>
    <t>Sales - Accessories</t>
  </si>
  <si>
    <t>Sales - ESP</t>
  </si>
  <si>
    <t>Salvage Revenue Partner</t>
  </si>
  <si>
    <t>COGS ESP</t>
  </si>
  <si>
    <t>COGS Accessories</t>
  </si>
  <si>
    <t>COGS - TMO</t>
  </si>
  <si>
    <t>COGS - ATT</t>
  </si>
  <si>
    <t>COGS - VZN</t>
  </si>
  <si>
    <t>Inventory Obsolescence</t>
  </si>
  <si>
    <t>Freight-In from DC</t>
  </si>
  <si>
    <t>Triple Net</t>
  </si>
  <si>
    <t>Hotel</t>
  </si>
  <si>
    <t>Bldg Rep &amp; Maint-Sched</t>
  </si>
  <si>
    <t>Safety Supplies</t>
  </si>
  <si>
    <t>Prof Fees - Acctg</t>
  </si>
  <si>
    <t>Site Hosting Cost</t>
  </si>
  <si>
    <t>Verizon Edge Finance</t>
  </si>
  <si>
    <t>Book Loss</t>
  </si>
  <si>
    <t>Taxes</t>
  </si>
  <si>
    <t>Pre-tax Loss</t>
  </si>
  <si>
    <t>($ in 000's)</t>
  </si>
  <si>
    <t>12/31/2016</t>
  </si>
  <si>
    <t>CY- Jasen's report acounts</t>
  </si>
  <si>
    <t>Diff.</t>
  </si>
  <si>
    <t>Cash in Bank - General</t>
  </si>
  <si>
    <t>Cash in Bank - US Bank</t>
  </si>
  <si>
    <t>Cash in Bank - Webster</t>
  </si>
  <si>
    <t>Cash in Bank - BofA Dep</t>
  </si>
  <si>
    <t>Accounts Rec - Trade</t>
  </si>
  <si>
    <t>Accounts Rec - WA-CT Du</t>
  </si>
  <si>
    <t>Accounts Rec - XM Siriu</t>
  </si>
  <si>
    <t>Employee Expense Report</t>
  </si>
  <si>
    <t>Employee Purchase Plan</t>
  </si>
  <si>
    <t>Trade - Allowance for D</t>
  </si>
  <si>
    <t>Wireless - Allowance fo</t>
  </si>
  <si>
    <t>Product Returns Receiva</t>
  </si>
  <si>
    <t>Coop Advertising - Car</t>
  </si>
  <si>
    <t>Vendor Fair Programs</t>
  </si>
  <si>
    <t>AR - Wireless VPEP COOP</t>
  </si>
  <si>
    <t>Price Protection Receiv</t>
  </si>
  <si>
    <t>Demo Funds Receivable</t>
  </si>
  <si>
    <t>Inventory In-Transit</t>
  </si>
  <si>
    <t>Inventory Reserve - Qui</t>
  </si>
  <si>
    <t>Inventory Mark-Up/Mark-</t>
  </si>
  <si>
    <t>Consignment Inventory</t>
  </si>
  <si>
    <t>Prepaid Computer Licens</t>
  </si>
  <si>
    <t>Prepaid Live Handset Di</t>
  </si>
  <si>
    <t>Deferred Tax Asset Curr</t>
  </si>
  <si>
    <t>Assets - Signage</t>
  </si>
  <si>
    <t>Assets - Furniture &amp; Fi</t>
  </si>
  <si>
    <t>Assets - Shop Tools</t>
  </si>
  <si>
    <t>Assets - Vehicles</t>
  </si>
  <si>
    <t>Intangible Assets</t>
  </si>
  <si>
    <t>Fixed Asset Adjustments</t>
  </si>
  <si>
    <t>Accum Depr - Capital Le</t>
  </si>
  <si>
    <t>Accum Depr - Displays I</t>
  </si>
  <si>
    <t>Accum Depr - Signage</t>
  </si>
  <si>
    <t>Accum Depr - Signage Im</t>
  </si>
  <si>
    <t>Accum Depr - Furn &amp; Fix</t>
  </si>
  <si>
    <t>Accum Depr - Furn/Fix I</t>
  </si>
  <si>
    <t>Accum Depr - Comp Equip</t>
  </si>
  <si>
    <t>Accum Depr - Leasehold</t>
  </si>
  <si>
    <t>Accum Depr - LHI Impair</t>
  </si>
  <si>
    <t>Accum Depr - Shop Tools</t>
  </si>
  <si>
    <t>Accum Depr - Vehicles/L</t>
  </si>
  <si>
    <t>Fixed Asset Clearing Ac</t>
  </si>
  <si>
    <t>Accum Depr - Fixed Asse</t>
  </si>
  <si>
    <t>Accum Amort-Intangible</t>
  </si>
  <si>
    <t>Prepaid Rent - Non Curr</t>
  </si>
  <si>
    <t>Preloaded Gift Cards</t>
  </si>
  <si>
    <t>Deposits on Rent/Last M</t>
  </si>
  <si>
    <t>Deferred Tax Asset - No</t>
  </si>
  <si>
    <t>Investment in Subsidiar</t>
  </si>
  <si>
    <t>Unclaimed Property Paya</t>
  </si>
  <si>
    <t>Accounts Payable - Orac</t>
  </si>
  <si>
    <t>Accounts Payable Accrua</t>
  </si>
  <si>
    <t>Subagent Comm Payable</t>
  </si>
  <si>
    <t>Gift Cards</t>
  </si>
  <si>
    <t>Current Portion Capital</t>
  </si>
  <si>
    <t>Extended Warranty Payab</t>
  </si>
  <si>
    <t>Warranty Claims Reserve</t>
  </si>
  <si>
    <t>Customer Deposits</t>
  </si>
  <si>
    <t>Prepaid Wireless Payabl</t>
  </si>
  <si>
    <t>Accrued Acctg &amp; Prof Fe</t>
  </si>
  <si>
    <t>Accrued Advertising</t>
  </si>
  <si>
    <t>Social Media Deals Liab</t>
  </si>
  <si>
    <t>Accrued On-Line Fees</t>
  </si>
  <si>
    <t>Accrued Banking Fees</t>
  </si>
  <si>
    <t>Payables Clearing Accou</t>
  </si>
  <si>
    <t>IBNR Reserve</t>
  </si>
  <si>
    <t>Accrued Payroll - Unite</t>
  </si>
  <si>
    <t>Accrued Payroll - Bonus</t>
  </si>
  <si>
    <t>Accrued Payroll - Vacat</t>
  </si>
  <si>
    <t>Accrued Payroll - WA L&amp;</t>
  </si>
  <si>
    <t>Employee Expense Reimbu</t>
  </si>
  <si>
    <t>Federal Income Taxes Pa</t>
  </si>
  <si>
    <t>Personal Property Tax P</t>
  </si>
  <si>
    <t>Interest Exp Pay - Shor</t>
  </si>
  <si>
    <t>Deferred Income</t>
  </si>
  <si>
    <t>Deferred Rent - Non-Cur</t>
  </si>
  <si>
    <t>Common Stock</t>
  </si>
  <si>
    <t>Notes Rec from Sharehol</t>
  </si>
  <si>
    <t>Dividends - Ordinary</t>
  </si>
  <si>
    <t>Prepaid Wireless Sales</t>
  </si>
  <si>
    <t>Other Wireless Sales</t>
  </si>
  <si>
    <t>Car Audio Sales</t>
  </si>
  <si>
    <t>Labor Sales</t>
  </si>
  <si>
    <t>Detail Labor Sales</t>
  </si>
  <si>
    <t>Dealership Rebate</t>
  </si>
  <si>
    <t>Prepaid Wireless COGS</t>
  </si>
  <si>
    <t>Backend Comm - XM Sat</t>
  </si>
  <si>
    <t>Backend ATT Postpaid</t>
  </si>
  <si>
    <t>Backend ATT IPhone</t>
  </si>
  <si>
    <t>Backend VEZI IPhone</t>
  </si>
  <si>
    <t>Backend Comm - Sirius</t>
  </si>
  <si>
    <t>Enhanced Services-Veriz</t>
  </si>
  <si>
    <t>Enhanced Services-TMO</t>
  </si>
  <si>
    <t>TMO Spiff Tier</t>
  </si>
  <si>
    <t>Backend Comm - VZ Upgra</t>
  </si>
  <si>
    <t>Backend Comm - TMO Upgr</t>
  </si>
  <si>
    <t>Backend Comm - ATT Upgr</t>
  </si>
  <si>
    <t>Backend Comm - PP-Sprin</t>
  </si>
  <si>
    <t>Verizon Spiff Tier</t>
  </si>
  <si>
    <t>Car Audio COGS</t>
  </si>
  <si>
    <t>Inventory Repair</t>
  </si>
  <si>
    <t>DBS Install</t>
  </si>
  <si>
    <t>INVENTORY SHRINK - NON</t>
  </si>
  <si>
    <t>ESP Repair</t>
  </si>
  <si>
    <t>Discarded Inv Wireless</t>
  </si>
  <si>
    <t>Discarded Inv Elect</t>
  </si>
  <si>
    <t>Discarded Inv Speakers</t>
  </si>
  <si>
    <t>Expedited Freight</t>
  </si>
  <si>
    <t>Residual Inc - AT&amp;T</t>
  </si>
  <si>
    <t>Volume Incentive Rebate</t>
  </si>
  <si>
    <t>VIR - Verizon</t>
  </si>
  <si>
    <t>VIR - ATT</t>
  </si>
  <si>
    <t>Demo Funds Car</t>
  </si>
  <si>
    <t>Quinn Acoustics Back En</t>
  </si>
  <si>
    <t>Cost of Goods Destroyed</t>
  </si>
  <si>
    <t>Field Destruct Allowanc</t>
  </si>
  <si>
    <t>Sales Contest</t>
  </si>
  <si>
    <t>Insurance Bonus</t>
  </si>
  <si>
    <t>MT Pay</t>
  </si>
  <si>
    <t>Sales Subsidy</t>
  </si>
  <si>
    <t>AM Base</t>
  </si>
  <si>
    <t>AM Comm &amp; Spiffs</t>
  </si>
  <si>
    <t>AM Vacation</t>
  </si>
  <si>
    <t>SM Base</t>
  </si>
  <si>
    <t>SM Comm &amp; Spiffs</t>
  </si>
  <si>
    <t>SM Quality of Sales Mos</t>
  </si>
  <si>
    <t>SM Monthly Bonus</t>
  </si>
  <si>
    <t>AM Monthly Bonus</t>
  </si>
  <si>
    <t>SM Quarterly Bonus</t>
  </si>
  <si>
    <t>AM Quarterly Bonus</t>
  </si>
  <si>
    <t>Install Comm and Spiffs</t>
  </si>
  <si>
    <t>Install Vacation</t>
  </si>
  <si>
    <t>AIM bonus</t>
  </si>
  <si>
    <t>Install Subsidies</t>
  </si>
  <si>
    <t>Detailer</t>
  </si>
  <si>
    <t>Detailer Commissions</t>
  </si>
  <si>
    <t>Install Mgr Commission</t>
  </si>
  <si>
    <t>Install Manager Vacatio</t>
  </si>
  <si>
    <t>Install Manager Subsidy</t>
  </si>
  <si>
    <t>Install Mgr Shop Overri</t>
  </si>
  <si>
    <t>Install Mgr Mnthly Bonu</t>
  </si>
  <si>
    <t>Distr Center Salaries</t>
  </si>
  <si>
    <t>Payroll Services (Contr</t>
  </si>
  <si>
    <t>Distr Center Overtime</t>
  </si>
  <si>
    <t>CT - Temp Employee Wage</t>
  </si>
  <si>
    <t>Payroll Tax - Workers C</t>
  </si>
  <si>
    <t>Safety Violations</t>
  </si>
  <si>
    <t>Prepaid rent amoritzati</t>
  </si>
  <si>
    <t>Utilities-Gas/Elec/Disp</t>
  </si>
  <si>
    <t>Utilities - Trash &amp; Rec</t>
  </si>
  <si>
    <t>Freight (Def/Plbk) DC t</t>
  </si>
  <si>
    <t>Freight - ERP</t>
  </si>
  <si>
    <t>Freight to BB subagents</t>
  </si>
  <si>
    <t>Water and Coffee Servic</t>
  </si>
  <si>
    <t>Airfare &amp; Hotel - Comme</t>
  </si>
  <si>
    <t>Uniforms - Store Empl</t>
  </si>
  <si>
    <t>Amex Card Annual Fees</t>
  </si>
  <si>
    <t>Unreported Amex charges</t>
  </si>
  <si>
    <t>Store Shipping Supplies</t>
  </si>
  <si>
    <t>Courier IT Equip Incomi</t>
  </si>
  <si>
    <t>Bldg Rep &amp; Maint-Unsche</t>
  </si>
  <si>
    <t>General Unscheduled Mai</t>
  </si>
  <si>
    <t>Electrical, Lighting, &amp;</t>
  </si>
  <si>
    <t>HVAC Unscheduled Mainte</t>
  </si>
  <si>
    <t>Doors &amp; Locks Unschedul</t>
  </si>
  <si>
    <t>Detailing - Equip Main</t>
  </si>
  <si>
    <t>Repair - Non Billable</t>
  </si>
  <si>
    <t>Security (Monthly Fees)</t>
  </si>
  <si>
    <t>Security (False Alarms)</t>
  </si>
  <si>
    <t>Unscheduled Security</t>
  </si>
  <si>
    <t>Shop Supp - Install Bay</t>
  </si>
  <si>
    <t>Shop Supp - Detail</t>
  </si>
  <si>
    <t>Detailing - Towels</t>
  </si>
  <si>
    <t>Color Printer Maintenan</t>
  </si>
  <si>
    <t>Color printer - Color c</t>
  </si>
  <si>
    <t>Color printer - B &amp; W c</t>
  </si>
  <si>
    <t>Software Support &amp; Main</t>
  </si>
  <si>
    <t>Network Services - Ente</t>
  </si>
  <si>
    <t>Display - Security</t>
  </si>
  <si>
    <t>Display - Live Handset</t>
  </si>
  <si>
    <t>Rental Car - Customers</t>
  </si>
  <si>
    <t>Shop Damage - Customers</t>
  </si>
  <si>
    <t>Employee Recruiting Fee</t>
  </si>
  <si>
    <t>Fender Covers/Towels/Sh</t>
  </si>
  <si>
    <t>Temp Personnel Outside</t>
  </si>
  <si>
    <t>WA - Outside Storage Fe</t>
  </si>
  <si>
    <t>Board of Dir Stipend</t>
  </si>
  <si>
    <t>Equip Rental &amp; Lease</t>
  </si>
  <si>
    <t>Equip Rental &amp; Lease ER</t>
  </si>
  <si>
    <t>Customer Serv &amp; Supp</t>
  </si>
  <si>
    <t>Bad Debt Expense - Rese</t>
  </si>
  <si>
    <t>Check Warranty Fees</t>
  </si>
  <si>
    <t>Cash Over/Short</t>
  </si>
  <si>
    <t>Credit Card Discounts</t>
  </si>
  <si>
    <t>Finance Company Disc</t>
  </si>
  <si>
    <t>Ebay Fees</t>
  </si>
  <si>
    <t>Shared Services Payroll</t>
  </si>
  <si>
    <t>Shared Services Non-Pay</t>
  </si>
  <si>
    <t>Shared Service Allocati</t>
  </si>
  <si>
    <t>Radio Advertising</t>
  </si>
  <si>
    <t>Radio Production Expens</t>
  </si>
  <si>
    <t>Print Advertising</t>
  </si>
  <si>
    <t>Television Advertising</t>
  </si>
  <si>
    <t>Television Production E</t>
  </si>
  <si>
    <t>Tech &amp; Talent</t>
  </si>
  <si>
    <t>Commercial Adv</t>
  </si>
  <si>
    <t>Grass Roots</t>
  </si>
  <si>
    <t>Media Misc</t>
  </si>
  <si>
    <t>Internet Advertising</t>
  </si>
  <si>
    <t>Selling Materials</t>
  </si>
  <si>
    <t>Black Friday Insert</t>
  </si>
  <si>
    <t>Media Promotional Fees</t>
  </si>
  <si>
    <t>Advertising Agency Fees</t>
  </si>
  <si>
    <t>Media - Internet</t>
  </si>
  <si>
    <t>Adv-Outsourced Signage</t>
  </si>
  <si>
    <t>Market Research</t>
  </si>
  <si>
    <t>Coop - Car Audio</t>
  </si>
  <si>
    <t>Coop - Wireless Mfg</t>
  </si>
  <si>
    <t>Coop - Inventory Discou</t>
  </si>
  <si>
    <t>Coop - Gen Spending Spr</t>
  </si>
  <si>
    <t>Coop - Verizon</t>
  </si>
  <si>
    <t>Coop - XM Radio</t>
  </si>
  <si>
    <t>Coop - Sirius</t>
  </si>
  <si>
    <t>Coop - T-Mobile</t>
  </si>
  <si>
    <t>Coop - Wireless Accesso</t>
  </si>
  <si>
    <t>Wireless MDF - AT&amp;T</t>
  </si>
  <si>
    <t>Cap Ex Coop-Car Audio</t>
  </si>
  <si>
    <t>Promo Offers - Verizon</t>
  </si>
  <si>
    <t>Promo Offers - AT&amp;T</t>
  </si>
  <si>
    <t>Promo Offers - T-Mobile</t>
  </si>
  <si>
    <t>Business Cards</t>
  </si>
  <si>
    <t>Int Income - Notes Rec</t>
  </si>
  <si>
    <t>Interest Exp - Capital</t>
  </si>
  <si>
    <t>Interest Exp - Webster</t>
  </si>
  <si>
    <t>Interest Exp - WA Guar</t>
  </si>
  <si>
    <t>Webster Loan Fees</t>
  </si>
  <si>
    <t>Preopening Expense</t>
  </si>
  <si>
    <t>Other Income / Expense</t>
  </si>
  <si>
    <t>Misc Income/Expense</t>
  </si>
  <si>
    <t>Equity in Earnings of S</t>
  </si>
  <si>
    <t>Federal Inc Tax Prov</t>
  </si>
  <si>
    <t>Lease Amortization - EB</t>
  </si>
  <si>
    <t>Reserve for Vendor AR or Warranty Reserve</t>
  </si>
  <si>
    <t>BTR</t>
  </si>
  <si>
    <t xml:space="preserve">This work-paper is from SBBB to reconcile the book income to the taxable income.  </t>
  </si>
  <si>
    <t xml:space="preserve">The 2015 provision seems to have anticipated higher income from Wireless Advocates, LLC.  </t>
  </si>
  <si>
    <t>year ended December 31, 2016</t>
  </si>
  <si>
    <t>10.248000.0000 $ STATE</t>
  </si>
  <si>
    <t>248000.0000 $ DEPARTME</t>
  </si>
  <si>
    <t>DISCOVER IRS/STATE Wit</t>
  </si>
  <si>
    <t>December 2015 Cash Dis</t>
  </si>
  <si>
    <t>10.248000.0000 $ COMPT</t>
  </si>
  <si>
    <t>10.248000.000 $ TREASU</t>
  </si>
  <si>
    <t>IRS Tax Return</t>
  </si>
  <si>
    <t>248000.000 $ AMBER INV</t>
  </si>
  <si>
    <t>248000.0000 $ COLORADO</t>
  </si>
  <si>
    <t>148000.0000 $ COMMONWE</t>
  </si>
  <si>
    <t>248000.0000 $ AUDITOR</t>
  </si>
  <si>
    <t>248000.0000 $ WISCONSI</t>
  </si>
  <si>
    <t>Mar 2016 Rcls Cash to</t>
  </si>
  <si>
    <t>Fed Tax Adjustment</t>
  </si>
  <si>
    <t>248000.0000 $ STATE OF IOWA CORPORATE REFUND $ CK#20690327</t>
  </si>
  <si>
    <t>248000.0000 $ STATE OF RHODE ISLAND AND PROVIDENCE $ PLANTATIONS CK#000193565</t>
  </si>
  <si>
    <t>248000 $ STATE OF DELAWARE REVENUE REFUND CK# $ 754534</t>
  </si>
  <si>
    <t>248000.0000 $ STATE OF NEW YORK REFUND ACCT CK#2223999 $</t>
  </si>
  <si>
    <t>2016 Texas Franchise Tax</t>
  </si>
  <si>
    <t>248000.0000 $ STATE OF NEW MEXICO TAX YR 2012 REFUND $ CK#S00000034420</t>
  </si>
  <si>
    <t>248000.0000 $ OREGON DEPARTMENT OF REVENUE CK#10035188 $ 6</t>
  </si>
  <si>
    <t>248000.0000 $ STATE OF NEW YORK CORP FRANCHISE TAX $ REFUND CK#22433208</t>
  </si>
  <si>
    <t>248000.0000 $ STATE OF OHIO 3/12 BUS INCOME TAX $ WARRRANT#127951443</t>
  </si>
  <si>
    <t>CT# 911361695 Extension FYE 3.31.2016</t>
  </si>
  <si>
    <t>06-2016 Connecticut State Tax</t>
  </si>
  <si>
    <t>10.248000.0000 $ COMMO</t>
  </si>
  <si>
    <t>248000.0000 $ WELLS FA</t>
  </si>
  <si>
    <t>10.248000.0000 $ UNITE</t>
  </si>
  <si>
    <t>248000.000 $ MSB TOLL</t>
  </si>
  <si>
    <t>US Treasury Ck#8522195</t>
  </si>
  <si>
    <t>CB 12-15 YE Tax</t>
  </si>
  <si>
    <t>balance at Dec. 31, 2015</t>
  </si>
  <si>
    <t>net credit for 2016</t>
  </si>
  <si>
    <t>balance at Dec. 31, 2016 per bs</t>
  </si>
  <si>
    <t xml:space="preserve">US Treasury </t>
  </si>
  <si>
    <t>2016 loss</t>
  </si>
  <si>
    <t>Gross numbers - hasn't been updated</t>
  </si>
  <si>
    <t>Tax Year Ended March 31, 2016</t>
  </si>
  <si>
    <t>Less: Quarter 4/1/15-6/30/15</t>
  </si>
  <si>
    <t>Less: Quarter 7/1/15-9/30/15</t>
  </si>
  <si>
    <t>Less: Quarter 10/1/15-12/31/15</t>
  </si>
  <si>
    <t>Balance-Quarter 1/1/16-3/31/16</t>
  </si>
  <si>
    <t>Calendar Year 2016</t>
  </si>
  <si>
    <t>Quarter 1/1/16-3/31/16</t>
  </si>
  <si>
    <t>Quarter 4/1/16-6/30/16</t>
  </si>
  <si>
    <t>Quarter 7/1/16-9/30/16</t>
  </si>
  <si>
    <t>Quarter 10/1/16-12/31/16</t>
  </si>
  <si>
    <t>Tax Qtr. Ended December 31, 2016</t>
  </si>
  <si>
    <t>4/1/16-12/31/16</t>
  </si>
  <si>
    <t>4/1/16-6/30/16</t>
  </si>
  <si>
    <t>7/1/16-9/30/16</t>
  </si>
  <si>
    <t>received from SBBB, Pat Green March 2017</t>
  </si>
  <si>
    <t>WOTC adjustment</t>
  </si>
  <si>
    <t>Capital Lease - Interest Expense</t>
  </si>
  <si>
    <t>Capital Lease - Payments</t>
  </si>
  <si>
    <t xml:space="preserve">State/City Income Taxes </t>
  </si>
  <si>
    <t>Current tax exp:  State tax at 7%</t>
  </si>
  <si>
    <t>Tax credits - per March 31, 2016 return</t>
  </si>
  <si>
    <t>Tax at 7% statutory rate - state</t>
  </si>
  <si>
    <t>Not deductible for tax - state at 7%</t>
  </si>
  <si>
    <t>Tax credits - estimate for April - Dec 2016 (80% of py)</t>
  </si>
  <si>
    <t>Check</t>
  </si>
  <si>
    <t xml:space="preserve">Record Tax for Fed and State </t>
  </si>
  <si>
    <t>CT#66C JP</t>
  </si>
  <si>
    <t>Record Tax for Fed and State CT66B-JP</t>
  </si>
  <si>
    <t>148000 DTA - C</t>
  </si>
  <si>
    <t>180000 DTA - NC</t>
  </si>
  <si>
    <t>Change to account</t>
  </si>
  <si>
    <t>year ending December 31, 2016</t>
  </si>
  <si>
    <t>2016 year-end adjusting entry</t>
  </si>
  <si>
    <t>Federal - related to tax year ended March 31, 2016</t>
  </si>
  <si>
    <t>Federal - related to tax year ending March 31, 2017</t>
  </si>
  <si>
    <t>State - related to tax year ended March 31, 2016</t>
  </si>
  <si>
    <t>State - related to tax year ending March 31, 2017</t>
  </si>
  <si>
    <t>Closing entry</t>
  </si>
  <si>
    <t>YE 2015 adjusting entry</t>
  </si>
  <si>
    <t xml:space="preserve">Deferred tax worksheet </t>
  </si>
  <si>
    <t xml:space="preserve"> December 31, 2016</t>
  </si>
  <si>
    <t>(in 000's)</t>
  </si>
  <si>
    <t>return to</t>
  </si>
  <si>
    <t>ret to prov &amp;</t>
  </si>
  <si>
    <t>reasonableness review support</t>
  </si>
  <si>
    <t>tax&gt;book</t>
  </si>
  <si>
    <t>Balance sheet line items</t>
  </si>
  <si>
    <t>totals</t>
  </si>
  <si>
    <t>provison</t>
  </si>
  <si>
    <t>other reclass</t>
  </si>
  <si>
    <t>amount</t>
  </si>
  <si>
    <t>wp</t>
  </si>
  <si>
    <t>cost</t>
  </si>
  <si>
    <t>accum depr</t>
  </si>
  <si>
    <t>net</t>
  </si>
  <si>
    <t>net diff</t>
  </si>
  <si>
    <t>(amounts for 2012 - 2014 are per py tax provision wp file)</t>
  </si>
  <si>
    <t>Receivables, net</t>
  </si>
  <si>
    <t>Inventory - costs capitalized for tax</t>
  </si>
  <si>
    <t>Inventory - reserves</t>
  </si>
  <si>
    <t>Inventory - discounts</t>
  </si>
  <si>
    <t>Prepaid taxes &amp; insurance tax &gt; book</t>
  </si>
  <si>
    <t>at right</t>
  </si>
  <si>
    <t>Capital lease tax deductions in excess of book</t>
  </si>
  <si>
    <t>Accrued vacation</t>
  </si>
  <si>
    <t>Deactivation reserve</t>
  </si>
  <si>
    <t>Deferred rent</t>
  </si>
  <si>
    <t>Deferred revenue</t>
  </si>
  <si>
    <t>LLC taxable income in excess of book</t>
  </si>
  <si>
    <t>wa ti</t>
  </si>
  <si>
    <t xml:space="preserve"> December 31, 2013</t>
  </si>
  <si>
    <t xml:space="preserve"> December 31, 2014</t>
  </si>
  <si>
    <t xml:space="preserve"> December 31, 2015</t>
  </si>
  <si>
    <t xml:space="preserve">Cumulative book/tax temporary differences </t>
  </si>
  <si>
    <t>DTA's</t>
  </si>
  <si>
    <t>DTL's</t>
  </si>
  <si>
    <t>Accounts receivable reserve</t>
  </si>
  <si>
    <t>Book depreciation in excess of tax depr (lhi's)</t>
  </si>
  <si>
    <t>Capital lease deductions tax in excess of book</t>
  </si>
  <si>
    <t xml:space="preserve">Nondeductible accrued vacation </t>
  </si>
  <si>
    <t>Deferred rent not deductible for tax</t>
  </si>
  <si>
    <t xml:space="preserve">Use tax audit accrual </t>
  </si>
  <si>
    <t>subtotal of differences from balance sheet line items</t>
  </si>
  <si>
    <t>stock-based compensation - non-qual sbc expense</t>
  </si>
  <si>
    <t>Tax rate (35% federal and 5% state)</t>
  </si>
  <si>
    <t>Deferred taxes, as calculated</t>
  </si>
  <si>
    <t>rounding and other</t>
  </si>
  <si>
    <t xml:space="preserve">  Total deferred income taxes</t>
  </si>
  <si>
    <t>Cumulative deferred taxes</t>
  </si>
  <si>
    <t>noncurrent</t>
  </si>
  <si>
    <t>Accelerated depreciation in excess of book</t>
  </si>
  <si>
    <t>Stock-based compensation</t>
  </si>
  <si>
    <t>Deferred taxes, per books</t>
  </si>
  <si>
    <t xml:space="preserve">Composition of deferred taxes for FS </t>
  </si>
  <si>
    <t>Accounts receivable</t>
  </si>
  <si>
    <t>Accrued expenses</t>
  </si>
  <si>
    <t>Inventories</t>
  </si>
  <si>
    <t>Receivables</t>
  </si>
  <si>
    <t>Accrued liabilities</t>
  </si>
  <si>
    <t>Prepaid expenses &amp; other assets</t>
  </si>
  <si>
    <t>LLC income for tax &gt; book</t>
  </si>
  <si>
    <t>Property &amp; equipment and capital leases</t>
  </si>
  <si>
    <t xml:space="preserve">     Total non-current</t>
  </si>
  <si>
    <t>Total deferred tax assets</t>
  </si>
  <si>
    <t xml:space="preserve">Current deferred tax assets per B/S </t>
  </si>
  <si>
    <t xml:space="preserve">LT deferred tax assets per B/S </t>
  </si>
  <si>
    <t>In thousands</t>
  </si>
  <si>
    <t xml:space="preserve">Total deferred tax assets per B/S </t>
  </si>
  <si>
    <t xml:space="preserve">ASU 2016-09 was codified requiring private companies adopt for periods beginning after 12-15-2017.  With adoptiontion the tax benefit/expense related to stock compensation </t>
  </si>
  <si>
    <t>will no longer run through APIC, but will hit the P&amp;L/</t>
  </si>
  <si>
    <t>of the excess is recorded as a credit to additional paid-in capital.  Following is information for 2016 and 2015 exercises and 2016 aje:</t>
  </si>
  <si>
    <t>Note</t>
  </si>
  <si>
    <t>WALLC Trial Balance</t>
  </si>
  <si>
    <t>Code=C</t>
  </si>
  <si>
    <t>SWA (Wireless Advocates Total )</t>
  </si>
  <si>
    <t>YTD-Actu</t>
  </si>
  <si>
    <t>WA - Sterling General Operating</t>
  </si>
  <si>
    <t>WA - US Bank General Operating</t>
  </si>
  <si>
    <t>WA - Sterling Controlled Disbur</t>
  </si>
  <si>
    <t>WA - US Bank Money Market</t>
  </si>
  <si>
    <t>WA - Sterling Payroll ZBA</t>
  </si>
  <si>
    <t>WA - US Bank AAFES Deposit</t>
  </si>
  <si>
    <t>WA - Sterling HRA</t>
  </si>
  <si>
    <t>WA - US Bank ECOM Deposit</t>
  </si>
  <si>
    <t>WA - US Bank MCOM Deposit</t>
  </si>
  <si>
    <t>WA - Webster Funding</t>
  </si>
  <si>
    <t>WA - Webster Concentration</t>
  </si>
  <si>
    <t>Accounts Rec - CExchange</t>
  </si>
  <si>
    <t>Accounts Rec - Sprint</t>
  </si>
  <si>
    <t>WA - Accounts Rec - Sprint - Ot</t>
  </si>
  <si>
    <t>WA - Accounts Rec - Sprint - EZ</t>
  </si>
  <si>
    <t>WA - Accounts Rec - Verizon - O</t>
  </si>
  <si>
    <t>WA - Accounts Rec - Verizon - E</t>
  </si>
  <si>
    <t>Accounts Rec - Defense Mobile</t>
  </si>
  <si>
    <t>WA - Accounts Rec - T-Mobile -</t>
  </si>
  <si>
    <t>WA - Accounts Rec - AT&amp;T - Othe</t>
  </si>
  <si>
    <t>WA - Accounts Rec - AT&amp;T - NEAC</t>
  </si>
  <si>
    <t>WA - Costco Receivable - Other</t>
  </si>
  <si>
    <t>WA - Accounts Rec - Expand Serv</t>
  </si>
  <si>
    <t>WA - Accounts Rec - MCOM</t>
  </si>
  <si>
    <t>WA - Accounts Rec - AAFES</t>
  </si>
  <si>
    <t>WA - Accounts Rec - PCOM</t>
  </si>
  <si>
    <t>WA - Accounts Rec - ECOM</t>
  </si>
  <si>
    <t>WA - Accounts Rec - Costco</t>
  </si>
  <si>
    <t>WA - Accounts Rec - MIR</t>
  </si>
  <si>
    <t>WA - Accounts Rec - TMO EIP</t>
  </si>
  <si>
    <t>WA - Com Advance - Price Protec</t>
  </si>
  <si>
    <t>WA - Costco Com Advance</t>
  </si>
  <si>
    <t>WA - Costco Dish A/R</t>
  </si>
  <si>
    <t>WA - Accounts Rec. - ATT - NEXT</t>
  </si>
  <si>
    <t>WA - Accounts Rec - Tax</t>
  </si>
  <si>
    <t>WA - Emp PR/Travel Advance</t>
  </si>
  <si>
    <t>WA - 401K Forfeiture</t>
  </si>
  <si>
    <t>Wireless - Allowance for Doubtf</t>
  </si>
  <si>
    <t>WA - Costco Reserve Allowance</t>
  </si>
  <si>
    <t>WA - Allow for Doubtful Accts -</t>
  </si>
  <si>
    <t>Product Returns Receivable</t>
  </si>
  <si>
    <t>Vendor Incentive Rebates</t>
  </si>
  <si>
    <t>WA - Inventory PCOM</t>
  </si>
  <si>
    <t>WA - Inventory ECOM</t>
  </si>
  <si>
    <t>WA - Inventory MCOM</t>
  </si>
  <si>
    <t>WA - Inventory AAFES</t>
  </si>
  <si>
    <t>Inventory Obsolescence Reserve</t>
  </si>
  <si>
    <t>WA - Inventory Reserve Live Pho</t>
  </si>
  <si>
    <t>WA - Shrink Reserve</t>
  </si>
  <si>
    <t>WA - Salvage Inventory</t>
  </si>
  <si>
    <t>Price Protection Receivable</t>
  </si>
  <si>
    <t>Inventory Clearing Account</t>
  </si>
  <si>
    <t>WA - Inventory Clearing AAFES</t>
  </si>
  <si>
    <t>WA - Inv Price Adj pending Vend</t>
  </si>
  <si>
    <t>WA - Prepaid AAFES</t>
  </si>
  <si>
    <t>WA - Prepaid - Projects</t>
  </si>
  <si>
    <t>Prepaid Forms</t>
  </si>
  <si>
    <t>Prepaid Computer License &amp; Fees</t>
  </si>
  <si>
    <t>WA - Prepaid HR</t>
  </si>
  <si>
    <t>WA - Prepaid Business Licenses</t>
  </si>
  <si>
    <t>Prepaid Deposits - Other</t>
  </si>
  <si>
    <t>WA - PPD Costco Comm Adv</t>
  </si>
  <si>
    <t>New Store Holding - Soft Costs</t>
  </si>
  <si>
    <t>CIP - EBS</t>
  </si>
  <si>
    <t>Assets - Furniture &amp; Fixtures</t>
  </si>
  <si>
    <t>Assets - Computer License</t>
  </si>
  <si>
    <t>Computer Software</t>
  </si>
  <si>
    <t>Assets Under Development</t>
  </si>
  <si>
    <t>Accum Depr - Capital Lease</t>
  </si>
  <si>
    <t>Accum Depr - Furn &amp; Fixtures</t>
  </si>
  <si>
    <t>Accum Depr - Computer License</t>
  </si>
  <si>
    <t>Accum Depr - Computer Software</t>
  </si>
  <si>
    <t>Accum Depr - Leasehold Impr</t>
  </si>
  <si>
    <t>WA - Amort Loan Fees</t>
  </si>
  <si>
    <t>Unclaimed Property Payable</t>
  </si>
  <si>
    <t>Accounts Payable - Oracle</t>
  </si>
  <si>
    <t>Accounts Payable Accruals</t>
  </si>
  <si>
    <t>Current Portion Capital Lease</t>
  </si>
  <si>
    <t>WA - ESP Warranty Payable</t>
  </si>
  <si>
    <t>WA - Accrued Rebates</t>
  </si>
  <si>
    <t>WA - Accrued Trade-In</t>
  </si>
  <si>
    <t>WA - T-Mobile IRC's</t>
  </si>
  <si>
    <t>WA - Sprint IRC Due Costco</t>
  </si>
  <si>
    <t>WA - Tablet IRC Due Costco</t>
  </si>
  <si>
    <t>WA - AT&amp;T IRC Due Costco</t>
  </si>
  <si>
    <t>WA - VZ IRC Due Costco</t>
  </si>
  <si>
    <t>WA - Salvage Sales Due to Costc</t>
  </si>
  <si>
    <t>WA - Insurance Payable</t>
  </si>
  <si>
    <t>WA - Property Taxes Payable</t>
  </si>
  <si>
    <t>WA - AP Expense Clearing Accoun</t>
  </si>
  <si>
    <t>Other Payable (Cassemax)</t>
  </si>
  <si>
    <t>WA - Marketing Clearing Acct AA</t>
  </si>
  <si>
    <t>WA - Marketing Clearing Acct Co</t>
  </si>
  <si>
    <t>WA - Other Payables - Costco</t>
  </si>
  <si>
    <t>WA - Due To CT</t>
  </si>
  <si>
    <t>Accrued Acctg &amp; Prof Fees</t>
  </si>
  <si>
    <t>WA - Accrued Slotting Fees</t>
  </si>
  <si>
    <t>Accrued Payroll - Bonuses</t>
  </si>
  <si>
    <t>Accrued Payroll - Vacation</t>
  </si>
  <si>
    <t>WA - Accrued Vacation - excepti</t>
  </si>
  <si>
    <t>Accrued Payroll - WA L&amp;I</t>
  </si>
  <si>
    <t>Employee Expense Reimbursements</t>
  </si>
  <si>
    <t>WA - Tax Distribution Payable</t>
  </si>
  <si>
    <t>WA - Accrued Sales Tax - AAFES</t>
  </si>
  <si>
    <t>WA - Accrued Business Licenses</t>
  </si>
  <si>
    <t>State Income Taxes</t>
  </si>
  <si>
    <t>WA - Deferred Carrier Revenue</t>
  </si>
  <si>
    <t>T-Mobile Promotional Funding</t>
  </si>
  <si>
    <t>WA - Long Term Debt Sterling</t>
  </si>
  <si>
    <t>WA - Unit Awards</t>
  </si>
  <si>
    <t>Additional Paid-In Capital</t>
  </si>
  <si>
    <t>Deferred Stock Compensation</t>
  </si>
  <si>
    <t>WA - Member Tax Distributions</t>
  </si>
  <si>
    <t>WA - Member Distributions</t>
  </si>
  <si>
    <t>Sales Revenue - Stores</t>
  </si>
  <si>
    <t>Sales Handsets - Sprint</t>
  </si>
  <si>
    <t>Sales Handset - Boost</t>
  </si>
  <si>
    <t>Sales Revenue - Mark Up ATT</t>
  </si>
  <si>
    <t>Sales Revenue - Mark Up VZN</t>
  </si>
  <si>
    <t>Sales Revenue - Mark Up VZN Tab</t>
  </si>
  <si>
    <t>WA - Salvage Revenue - Accessor</t>
  </si>
  <si>
    <t>Sales - Handsets Outright-Unloc</t>
  </si>
  <si>
    <t>WA  - Commissions - Trade up</t>
  </si>
  <si>
    <t>WA - Sales - Apple Care</t>
  </si>
  <si>
    <t>WA - Sales - Tablets</t>
  </si>
  <si>
    <t>Sales - ATT Tablet</t>
  </si>
  <si>
    <t>Sales - Sprint Tablet</t>
  </si>
  <si>
    <t>Sales - TMO Tablet</t>
  </si>
  <si>
    <t>Sales - Verizon Tablet</t>
  </si>
  <si>
    <t>WA - Salvage Revenue</t>
  </si>
  <si>
    <t>WA - Live Phone Salvage Revenue</t>
  </si>
  <si>
    <t>Cost of Goods Sold</t>
  </si>
  <si>
    <t>COGS Salvage Handset</t>
  </si>
  <si>
    <t>WA - COGS Apple Care</t>
  </si>
  <si>
    <t>WA - COGS - Member Benefit Kits</t>
  </si>
  <si>
    <t>COGS - Handsets Outright - Unlo</t>
  </si>
  <si>
    <t>WA - COGS - Buydown Reserve</t>
  </si>
  <si>
    <t>WA - COGS - Salvage Accessories</t>
  </si>
  <si>
    <t>WA - COGS - Salvage Live Phone</t>
  </si>
  <si>
    <t>WA - COGS - Tablet</t>
  </si>
  <si>
    <t>COGS ATT SIM</t>
  </si>
  <si>
    <t>COGS Sprint SIM</t>
  </si>
  <si>
    <t>COGS TMO SIM</t>
  </si>
  <si>
    <t>COGS VZN SIM</t>
  </si>
  <si>
    <t>COGS - Sprint</t>
  </si>
  <si>
    <t>COGS - Boost</t>
  </si>
  <si>
    <t>COGS - ATT Tablet</t>
  </si>
  <si>
    <t>COGS - Sprint Tablet</t>
  </si>
  <si>
    <t>COGS - TMO Tablet</t>
  </si>
  <si>
    <t>COGS - Verizon Tablet</t>
  </si>
  <si>
    <t>WA - Defective Accessory Allow</t>
  </si>
  <si>
    <t>WA - Accessory Rework Fee</t>
  </si>
  <si>
    <t>WA - Non-Inv Accessory Exp</t>
  </si>
  <si>
    <t>WA - COGS - Return To Vendor -</t>
  </si>
  <si>
    <t>WA - Salvage Processing Handset</t>
  </si>
  <si>
    <t>WA - Salvage Processing Accesso</t>
  </si>
  <si>
    <t>WA - DC Dotcom Receipts</t>
  </si>
  <si>
    <t>WA - Live Phone Return Processi</t>
  </si>
  <si>
    <t>WA - Live Phone Expense</t>
  </si>
  <si>
    <t>WA - DC DFILL Processing</t>
  </si>
  <si>
    <t>WA - DC Reallocations</t>
  </si>
  <si>
    <t>WA - DC Fixed Expenses</t>
  </si>
  <si>
    <t>WA - Recovery Returns Processin</t>
  </si>
  <si>
    <t>WA - Mock Phone Processing</t>
  </si>
  <si>
    <t>WA - Kiosk Supply Shipping</t>
  </si>
  <si>
    <t>DC Invoice Processing True-up</t>
  </si>
  <si>
    <t>WA - Freight Out (Defectives)</t>
  </si>
  <si>
    <t>WA - Freight Out (Pullbacks)</t>
  </si>
  <si>
    <t>WA - Freight In (Compliant Retu</t>
  </si>
  <si>
    <t>WA - Freight VIP</t>
  </si>
  <si>
    <t>WA - AAFES Returns Freight</t>
  </si>
  <si>
    <t>WA - ECOM Returns Freight</t>
  </si>
  <si>
    <t>WA - ECOM ESP Sales Commission</t>
  </si>
  <si>
    <t>WA - Profit Sharing Costco</t>
  </si>
  <si>
    <t>WA - ECOM Sales Commission</t>
  </si>
  <si>
    <t>WA - AAFES Fees</t>
  </si>
  <si>
    <t>WA - Service Fee VIP</t>
  </si>
  <si>
    <t>WA - AT&amp;T Accessory Cost Reduct</t>
  </si>
  <si>
    <t>WA - DC Dotcom Processing</t>
  </si>
  <si>
    <t>Deactivation Recoveries</t>
  </si>
  <si>
    <t>Deactivations - Sprint</t>
  </si>
  <si>
    <t>Enhanced Services - TMO Tablet</t>
  </si>
  <si>
    <t>Enhanced Services - Verizon Tab</t>
  </si>
  <si>
    <t>Enhanced Services - Sprint</t>
  </si>
  <si>
    <t>WA - Price Protection</t>
  </si>
  <si>
    <t>WA - Price Discrepancy Accessor</t>
  </si>
  <si>
    <t>WA - Price Discrepancy</t>
  </si>
  <si>
    <t>WA - Price Discrepancy Defectiv</t>
  </si>
  <si>
    <t>WA - Rejected Returns</t>
  </si>
  <si>
    <t>WA - Backend Comm - Tablet</t>
  </si>
  <si>
    <t>WA - Backend Comm - ESP</t>
  </si>
  <si>
    <t>WA - Backend Comm - Defense Mob</t>
  </si>
  <si>
    <t>WA - Backend Comm - AppleCare</t>
  </si>
  <si>
    <t>WA - Backend Comm - ESP Verizon</t>
  </si>
  <si>
    <t>WA - Backend Comm - ESP ATT</t>
  </si>
  <si>
    <t>WA - Backend Comm - ESP TMO</t>
  </si>
  <si>
    <t>WA - Back End Comm. TMO Affilia</t>
  </si>
  <si>
    <t>Backend Comm - AT&amp;T - IPhone</t>
  </si>
  <si>
    <t>Backend Comm - Sprint</t>
  </si>
  <si>
    <t>WA - Backend Comm - Boost</t>
  </si>
  <si>
    <t>WA Backend Comm - Enhanc - TMO</t>
  </si>
  <si>
    <t>Backend Comm - AT&amp;T</t>
  </si>
  <si>
    <t>Backend Comm - AT&amp;t Tab Upgrade</t>
  </si>
  <si>
    <t>Backend Comm - Sprint Tab Upgra</t>
  </si>
  <si>
    <t>Backend Comm - TMO Tab Upgrades</t>
  </si>
  <si>
    <t>Backend Comm - VZ Tab Upgrades</t>
  </si>
  <si>
    <t>Backend Comm - VZ Upgrade</t>
  </si>
  <si>
    <t>Backend Comm - Sprint Upgrade</t>
  </si>
  <si>
    <t>Backend Comm - TMO Upgrades</t>
  </si>
  <si>
    <t>Backend Comm - AT&amp;T Upgrade</t>
  </si>
  <si>
    <t>Backend Comm - PP - SPT Iphone</t>
  </si>
  <si>
    <t>Backend Comm - UP - SPT Iphone</t>
  </si>
  <si>
    <t>Backend Comm - UP - TMO - Ipad</t>
  </si>
  <si>
    <t>Backend Comm - PP - TMO - Ipad</t>
  </si>
  <si>
    <t>Backend Comm - PP- TMO - Iphone</t>
  </si>
  <si>
    <t>Backend Comm - UP- TMO - Iphone</t>
  </si>
  <si>
    <t>Backend Comm - UP - ATT - Iphon</t>
  </si>
  <si>
    <t>Backend Comm - PP - VZN Iphone</t>
  </si>
  <si>
    <t>Backend Comm - UP - VZN Iphone</t>
  </si>
  <si>
    <t>Backend Comm - PP-T-Mobile</t>
  </si>
  <si>
    <t>WA - Wireless MDF Verizon</t>
  </si>
  <si>
    <t>WA - MDF - ATT - 6th Pallet</t>
  </si>
  <si>
    <t>WA - MDF - Other - 6th Pallet</t>
  </si>
  <si>
    <t>WA - Wireless MDF T-Mobile</t>
  </si>
  <si>
    <t>WA - Wireless MDF AT&amp;T</t>
  </si>
  <si>
    <t>WA - Wireless MDF - Training</t>
  </si>
  <si>
    <t>WA - MDF Recognition Funding</t>
  </si>
  <si>
    <t>WA - Wireless MDF Misc</t>
  </si>
  <si>
    <t>WA - Accessory MDF</t>
  </si>
  <si>
    <t>WA - Wireless MDF Sprint</t>
  </si>
  <si>
    <t>WA Trade Up - Shrink</t>
  </si>
  <si>
    <t>WA - Kitting Fees</t>
  </si>
  <si>
    <t>Volume Incentive Rebates</t>
  </si>
  <si>
    <t>WA - ESP Allowances/Rebates</t>
  </si>
  <si>
    <t>Office Overtime - HQ</t>
  </si>
  <si>
    <t>IC/Store Hourly Wages</t>
  </si>
  <si>
    <t>WA - WSE - Meal Break Penalty</t>
  </si>
  <si>
    <t>WA - WSE - Wait TIme Penalty</t>
  </si>
  <si>
    <t>IC/Store Hourly Overtime</t>
  </si>
  <si>
    <t>WA - KM Hourly Overtime</t>
  </si>
  <si>
    <t>Training Wages - Stores</t>
  </si>
  <si>
    <t>WA - Store Mgr Training Wages</t>
  </si>
  <si>
    <t>WA - DMS - Base</t>
  </si>
  <si>
    <t>WA - DMS - Monthly Bonus</t>
  </si>
  <si>
    <t>WA - DMS - Qtrly Bonus</t>
  </si>
  <si>
    <t>WA - RMS - Base</t>
  </si>
  <si>
    <t>WA - RMS - Monthly Bonus</t>
  </si>
  <si>
    <t>WA - Kiosk Manager Base</t>
  </si>
  <si>
    <t>WA - KM - Meal Break Penalty</t>
  </si>
  <si>
    <t>WA - KM - Supplemental Bonus</t>
  </si>
  <si>
    <t>WA - KM - Commissions</t>
  </si>
  <si>
    <t>WA - WSE - Supplemental Bonus</t>
  </si>
  <si>
    <t>Payroll Tax - Workers Compensat</t>
  </si>
  <si>
    <t>WA - COSTCO Slotting Fees</t>
  </si>
  <si>
    <t>Utilities - Trash &amp; Recycling</t>
  </si>
  <si>
    <t>WA - ECOM Freight Contra to Cus</t>
  </si>
  <si>
    <t>WA - ECOM Freight to Customer</t>
  </si>
  <si>
    <t>Freight (Drop Shipments)</t>
  </si>
  <si>
    <t>WA - Auto Expense Car Rental</t>
  </si>
  <si>
    <t>Commuter Allowances</t>
  </si>
  <si>
    <t>Water and Coffee Service</t>
  </si>
  <si>
    <t>Reloc Expense-Empl</t>
  </si>
  <si>
    <t>Courier IT Equip Incoming</t>
  </si>
  <si>
    <t>Bldg Rep &amp; Maint-Unsched</t>
  </si>
  <si>
    <t>General Unscheduled Maintenance</t>
  </si>
  <si>
    <t>HVAC Unscheduled Maintenance</t>
  </si>
  <si>
    <t>Doors &amp; Locks Unscheduled Maint</t>
  </si>
  <si>
    <t>Color printer - Color copies</t>
  </si>
  <si>
    <t>Color printer - B &amp; W copies</t>
  </si>
  <si>
    <t>Software Support &amp; Maintenance</t>
  </si>
  <si>
    <t>Network Services - Enterprise I</t>
  </si>
  <si>
    <t>WA - CEXchange Supplies</t>
  </si>
  <si>
    <t>WA - Live Phone Kit Expense</t>
  </si>
  <si>
    <t>WA - Live Phone Display Shrink</t>
  </si>
  <si>
    <t>WA - Secret Shop Service</t>
  </si>
  <si>
    <t>Customer Relations-Store Charge</t>
  </si>
  <si>
    <t>Employee Recruiting Fees</t>
  </si>
  <si>
    <t>WA - Drug &amp; Background Fees</t>
  </si>
  <si>
    <t>WA - Amerivon Services Fee</t>
  </si>
  <si>
    <t>WA - Placement Fees Outside Age</t>
  </si>
  <si>
    <t>Temp Personnel Outside Agency</t>
  </si>
  <si>
    <t>WA - Outside Storage Fees</t>
  </si>
  <si>
    <t>Equip Rental &amp; Lease ERP</t>
  </si>
  <si>
    <t>WA - Outsourced Cust. Service</t>
  </si>
  <si>
    <t>Bad Debt Expense - Reserve</t>
  </si>
  <si>
    <t>Bad Debt Expense - Wireless</t>
  </si>
  <si>
    <t>Bad Debt Expense - Actual</t>
  </si>
  <si>
    <t>WA - Internal Theft</t>
  </si>
  <si>
    <t>WA - Internal Theft Recovery</t>
  </si>
  <si>
    <t>WA - Merchant Service Fee</t>
  </si>
  <si>
    <t>Late Fees</t>
  </si>
  <si>
    <t>Mock Distribution Charge</t>
  </si>
  <si>
    <t>WA - Live Phone Distribution Ch</t>
  </si>
  <si>
    <t>Shared Service Allocation</t>
  </si>
  <si>
    <t>WA - Costco Advertising Co-op -</t>
  </si>
  <si>
    <t>WA - Advertising Co-op Spend</t>
  </si>
  <si>
    <t>WA - Carrier Advertising Co-op</t>
  </si>
  <si>
    <t>WA - LG Handset Funding</t>
  </si>
  <si>
    <t>WA-Samsung Handset Funding</t>
  </si>
  <si>
    <t>WA - Samsung - ATT - Support</t>
  </si>
  <si>
    <t>WA - Samsung - Verizon - Suppor</t>
  </si>
  <si>
    <t>WA - Samsung - Tmobile - Suppor</t>
  </si>
  <si>
    <t>WA - Samsung - Sprint - Support</t>
  </si>
  <si>
    <t>WA - Motorolla- Verizon - Suppo</t>
  </si>
  <si>
    <t>Tablet Manuf. Support</t>
  </si>
  <si>
    <t>ATT NEXT Finance</t>
  </si>
  <si>
    <t>ATT Next Tablet Finance</t>
  </si>
  <si>
    <t>TMO EIP Tablet Finance</t>
  </si>
  <si>
    <t>Verizon Edge Tablet Finance</t>
  </si>
  <si>
    <t>AT&amp;T Tablet IRC Expense</t>
  </si>
  <si>
    <t>Sprint Tablet IRC Expense</t>
  </si>
  <si>
    <t>T-Mobile Tablet IRC Expense</t>
  </si>
  <si>
    <t>Verizon Tablet IRC Expense</t>
  </si>
  <si>
    <t>WA - T-Mobile IRC WA Expense</t>
  </si>
  <si>
    <t>WA - Costco IRC Gap</t>
  </si>
  <si>
    <t>WA - AT&amp;T IRC WA Expense</t>
  </si>
  <si>
    <t>WA - IRC Accessories Expense</t>
  </si>
  <si>
    <t>WA - T-Mobile IRC support</t>
  </si>
  <si>
    <t>WA - AT&amp;T IRC support</t>
  </si>
  <si>
    <t>WA - Verizon IRC support</t>
  </si>
  <si>
    <t>WA - Sprint IRC support</t>
  </si>
  <si>
    <t>WA - AT&amp;T Other Support</t>
  </si>
  <si>
    <t>WA - Verizon Other Support</t>
  </si>
  <si>
    <t>WA - Tablet Other Support</t>
  </si>
  <si>
    <t>WA - T-Mobile Other Support</t>
  </si>
  <si>
    <t>WA - adj. T-Mobile IRC</t>
  </si>
  <si>
    <t>WA - adj. AT&amp;T IRC</t>
  </si>
  <si>
    <t>WA - adj. Sprint IRC</t>
  </si>
  <si>
    <t>AT&amp;T Tablet IRC Support</t>
  </si>
  <si>
    <t>Sprint Tablet IRC Support</t>
  </si>
  <si>
    <t>T-Mobile Tablet IRC Support</t>
  </si>
  <si>
    <t>Verizon Tablet IRC Support</t>
  </si>
  <si>
    <t>Promo Offers - Verizon TX</t>
  </si>
  <si>
    <t>WA - Sprint IRC WA Expense</t>
  </si>
  <si>
    <t>WA - MIR - Sprint</t>
  </si>
  <si>
    <t>WA - MIR - Verizon</t>
  </si>
  <si>
    <t>WA - MIR - T-Mobile</t>
  </si>
  <si>
    <t>WA - MIR - ATT</t>
  </si>
  <si>
    <t>WA - MIR Accy Promo - ATT</t>
  </si>
  <si>
    <t>WA - MIR Accy Promo - Sprint</t>
  </si>
  <si>
    <t>WA - MIR Accy Promo - TMO</t>
  </si>
  <si>
    <t>WA - MIR Accy Promo - VZW</t>
  </si>
  <si>
    <t>MIR - AT&amp;T Tablet</t>
  </si>
  <si>
    <t>MIR - Sprint Tablet</t>
  </si>
  <si>
    <t>MIR - T-Mobile Tablet</t>
  </si>
  <si>
    <t>MIR - Verizon Tablet</t>
  </si>
  <si>
    <t>MIR - Breakage - ATT Tablet</t>
  </si>
  <si>
    <t>MIR - Breakage - Sprint Tablet</t>
  </si>
  <si>
    <t>MIR - Breakage - T-Mobile Table</t>
  </si>
  <si>
    <t>MIR - Breakage - Verizon Tablet</t>
  </si>
  <si>
    <t>MIR - Breakage - ATT</t>
  </si>
  <si>
    <t>MIR - Breakage - Verizon</t>
  </si>
  <si>
    <t>MIR - Breakage - Sprint</t>
  </si>
  <si>
    <t>MIR - Breakage - T-Mobile</t>
  </si>
  <si>
    <t>Trade-In- Promotions - ATT</t>
  </si>
  <si>
    <t>Trade-In - Promotions - Verizon</t>
  </si>
  <si>
    <t>Trade-In - Promotions - Sprint</t>
  </si>
  <si>
    <t>WA - Interest Income Fee</t>
  </si>
  <si>
    <t>Interest Exp - Capital Lease</t>
  </si>
  <si>
    <t>Interest Exp. - Taxes</t>
  </si>
  <si>
    <t>Interest Exp - Term Loan</t>
  </si>
  <si>
    <t>Oregon Income Tax Prov</t>
  </si>
  <si>
    <t>WA - Alabama Tax Prov.</t>
  </si>
  <si>
    <t>WA - Connecticut Tax Prov.</t>
  </si>
  <si>
    <t>WA - Illinois Tax Prov.</t>
  </si>
  <si>
    <t>WA - Kentucky Tax Prov.</t>
  </si>
  <si>
    <t>WA - New Hampshire Tax Prov.</t>
  </si>
  <si>
    <t>WA - New Jersey Tax Prov.</t>
  </si>
  <si>
    <t>WA - New York Tax Prov.</t>
  </si>
  <si>
    <t>WA - Puerto Rico Tax Prov.</t>
  </si>
  <si>
    <t>WA - Tennessee Tax Prov.</t>
  </si>
  <si>
    <t>Texas Franchise Tax</t>
  </si>
  <si>
    <t>California Franchise Tax</t>
  </si>
  <si>
    <t>Lease Amortization - EBS</t>
  </si>
  <si>
    <t>Amortization EBS Partner Suppor</t>
  </si>
  <si>
    <t>Severance Expenses</t>
  </si>
  <si>
    <r>
      <t xml:space="preserve">Deferred tax assets </t>
    </r>
    <r>
      <rPr>
        <sz val="10"/>
        <color indexed="9"/>
        <rFont val="Calibri"/>
        <family val="2"/>
        <scheme val="minor"/>
      </rPr>
      <t>n</t>
    </r>
  </si>
  <si>
    <t>dr deferred taxes - noncurrent a/c 180000</t>
  </si>
  <si>
    <t>total change in DTA</t>
  </si>
  <si>
    <t>Reduction to DTA</t>
  </si>
  <si>
    <t>Increase DTA</t>
  </si>
  <si>
    <t>3.27 adjusted</t>
  </si>
  <si>
    <t>ct &amp; wa ti 12-31-16</t>
  </si>
  <si>
    <t xml:space="preserve">consolidating balance sheet </t>
  </si>
  <si>
    <t xml:space="preserve">consolidating income statement </t>
  </si>
  <si>
    <t>Schedule of stock-based compensation for tax provision support</t>
  </si>
  <si>
    <t>Only exercise was cancelled for 2016 .  Addback is acct. 919000</t>
  </si>
  <si>
    <t xml:space="preserve"> December 31, 2016 tax &gt; book</t>
  </si>
  <si>
    <t>CT 1120</t>
  </si>
  <si>
    <t>Submitted: 30-MAR-17 15:23:47</t>
  </si>
  <si>
    <t>Submitted: 30-MAR-17 15:23:12</t>
  </si>
  <si>
    <t>Net Credit</t>
  </si>
  <si>
    <t>PB: Jasen Presley 3-30-2017</t>
  </si>
  <si>
    <t>Use tax accrual / Net Operating Loss</t>
  </si>
  <si>
    <t>LLC taxable income in excess of book/ NOL</t>
  </si>
  <si>
    <t>Total increase to DTA</t>
  </si>
  <si>
    <t>Net Operating Losses</t>
  </si>
  <si>
    <t>Net operating losses</t>
  </si>
  <si>
    <t>net operating loss</t>
  </si>
  <si>
    <t>Net operating loss</t>
  </si>
  <si>
    <t>Net Operating Losee</t>
  </si>
  <si>
    <t>Decrease DTA</t>
  </si>
  <si>
    <t>Update 3.30</t>
  </si>
  <si>
    <t xml:space="preserve">Debit </t>
  </si>
  <si>
    <t>Credit</t>
  </si>
  <si>
    <t>Loss carryforwards</t>
  </si>
  <si>
    <t>Losses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</si>
</sst>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9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%"/>
    <numFmt numFmtId="167" formatCode="#,##0;\(#,##0\)"/>
    <numFmt numFmtId="168" formatCode="_(* #,##0.00_);_(* \(#,##0.00\);_(* &quot;-&quot;_);_(@_)"/>
    <numFmt numFmtId="169" formatCode="0.000"/>
    <numFmt numFmtId="170" formatCode="0.0000"/>
    <numFmt numFmtId="171" formatCode="#,##0.0\ \x_);[Red]\(#,##0.0\ \x\)"/>
    <numFmt numFmtId="172" formatCode="#,##0.000000_);\(#,##0.000000\)"/>
    <numFmt numFmtId="173" formatCode="#,##0.0000_);[Red]\(#,##0.0000\)"/>
    <numFmt numFmtId="174" formatCode="#,##0.000_);[Red]\(#,##0.000\)"/>
    <numFmt numFmtId="175" formatCode="_._.&quot;$&quot;* #,##0_)_%;_._.&quot;$&quot;* \(#,##0\)_%;_._.&quot;$&quot;* 0_)_%;_._.@_)_%"/>
    <numFmt numFmtId="176" formatCode="_._.&quot;$&quot;* #,###\-_)_%;_._.&quot;$&quot;* \(#,###\-\)_%;_._.&quot;$&quot;* \-_)_%;_._.@_)_%"/>
    <numFmt numFmtId="177" formatCode="&quot;$&quot;#,##0.0_);\(&quot;$&quot;#,##0.0\)"/>
    <numFmt numFmtId="178" formatCode="&quot;$&quot;#,##0.00_)\ \ \ ;\(&quot;$&quot;#,##0.00\)\ \ \ "/>
    <numFmt numFmtId="179" formatCode="&quot;$&quot;#,##0.00&quot;*&quot;\ \ ;\(&quot;$&quot;#,##0.00\)&quot;*&quot;\ \ "/>
    <numFmt numFmtId="180" formatCode="&quot;$&quot;#,##0.00\A_)\ ;\(&quot;$&quot;#,##0.00\A\)\ \ "/>
    <numFmt numFmtId="181" formatCode="&quot;$&quot;@\ "/>
    <numFmt numFmtId="182" formatCode=";;;"/>
    <numFmt numFmtId="183" formatCode="mmmddyyyy"/>
    <numFmt numFmtId="184" formatCode="@&quot; ($)&quot;"/>
    <numFmt numFmtId="185" formatCode="@&quot; (%)&quot;"/>
    <numFmt numFmtId="186" formatCode="@&quot; (£)&quot;"/>
    <numFmt numFmtId="187" formatCode="@&quot; (¥)&quot;"/>
    <numFmt numFmtId="188" formatCode="@&quot; (€)&quot;"/>
    <numFmt numFmtId="189" formatCode="@&quot; (x)&quot;"/>
    <numFmt numFmtId="190" formatCode="0.0_)\%;\(0.0\)\%;0.0_)\%;@_)_%"/>
    <numFmt numFmtId="191" formatCode="#,##0.0_)_%;\(#,##0.0\)_%;0.0_)_%;@_)_%"/>
    <numFmt numFmtId="192" formatCode="#,##0.0_x;\(#,##0.0\)_x;0.0_x;@_x"/>
    <numFmt numFmtId="193" formatCode="#,##0.0_x_x;\(#,##0.0\)_x_x;0.0_x_x;@_x_x"/>
    <numFmt numFmtId="194" formatCode="#,##0.0_x_x_x;\(#,##0.0\)_x_x_x;0.0_x_x_x;@_x_x_x"/>
    <numFmt numFmtId="195" formatCode="#,##0.0_x_x_x_x;\(#,##0.0\)_x_x_x_x;0.0_x_x_x_x;@_x_x_x_x"/>
    <numFmt numFmtId="196" formatCode="#,##0.00_x;\(#,##0.00\)_x;0.00_x;@_x"/>
    <numFmt numFmtId="197" formatCode="#,##0.00_x_x;\(#,##0.00\)_x_x;0_x_x;@_x_x"/>
    <numFmt numFmtId="198" formatCode="#,##0.00_x_x_x;\(#,##0.00\)_x_x_x;0.00_x_x_x;@_x_x_x"/>
    <numFmt numFmtId="199" formatCode="#,##0.00_x_x_x_x;\(#,##0.00\)_x_x_x_x;0.00_x_x_x_x;@_x_x_x_x"/>
    <numFmt numFmtId="200" formatCode="#,##0_x;\(#,##0\)_x;0_x;@_x"/>
    <numFmt numFmtId="201" formatCode="#,##0_x_x;\(#,##0\)_x_x;0_x_x;@_x_x"/>
    <numFmt numFmtId="202" formatCode="#,##0_x_x_x;\(#,##0\)_x_x_x;0_x_x_x;@_x_x_x"/>
    <numFmt numFmtId="203" formatCode="#,##0_x_x_x_x;\(#,##0\)_x_x_x_x;0_x_x_x_x;@_x_x_x_x"/>
    <numFmt numFmtId="204" formatCode="_([$€-2]* #,##0.00_);_([$€-2]* \(#,##0.00\);_([$€-2]* &quot;-&quot;??_)"/>
    <numFmt numFmtId="205" formatCode="#,##0.0_);\(#,##0.0\)"/>
    <numFmt numFmtId="206" formatCode="#,##0.0_);\(#,##0.0\);#,##0.0_);@_)"/>
    <numFmt numFmtId="207" formatCode="&quot;L.&quot;_(#,##0.00_);&quot;L.&quot;\(#,##0.00\)"/>
    <numFmt numFmtId="208" formatCode="&quot;£&quot;_(#,##0.00_);&quot;£&quot;\(#,##0.00\)"/>
    <numFmt numFmtId="209" formatCode="&quot;£&quot;_(#,##0.00_);&quot;£&quot;\(#,##0.00\);&quot;£&quot;_(0.00_);@_)"/>
    <numFmt numFmtId="210" formatCode="&quot;$&quot;_(#,##0.00_);&quot;$&quot;\(#,##0.00\)"/>
    <numFmt numFmtId="211" formatCode="&quot;$&quot;_(#,##0.00_);&quot;$&quot;\(#,##0.00\);&quot;$&quot;_(0.00_);@_)"/>
    <numFmt numFmtId="212" formatCode="#,##0.00_);\(#,##0.00\);0.00_);@_)"/>
    <numFmt numFmtId="213" formatCode="\€_(#,##0.00_);\€\(#,##0.00\);\€_(0.00_);@_)"/>
    <numFmt numFmtId="214" formatCode="#,##0.0_)\x;\(#,##0.0\)\x"/>
    <numFmt numFmtId="215" formatCode="#,##0_)\x;\(#,##0\)\x;0_)\x;@_)_x"/>
    <numFmt numFmtId="216" formatCode="#,##0.0_)_x;\(#,##0.0\)_x"/>
    <numFmt numFmtId="217" formatCode="#,##0_)_x;\(#,##0\)_x;0_)_x;@_)_x"/>
    <numFmt numFmtId="218" formatCode="0.0_)\%;\(0.0\)\%"/>
    <numFmt numFmtId="219" formatCode="#,##0.0_)_%;\(#,##0.0\)_%"/>
    <numFmt numFmtId="220" formatCode="#,##0.0000\ "/>
    <numFmt numFmtId="221" formatCode="_(\£* #,##0_);_(\£* \(#,##0\);_(\£* &quot;-&quot;_);_(@_)"/>
    <numFmt numFmtId="222" formatCode="_(\£* #,##0.0_);_(\£* \(#,##0.0\);_(\£* &quot;-&quot;_);_(@_)"/>
    <numFmt numFmtId="223" formatCode="_(\£* #,##0.00_);_(\£* \(#,##0.00\);_(\£* &quot;-&quot;_);_(@_)"/>
    <numFmt numFmtId="224" formatCode="_(* #,##0\p_);_(* \(#,##0\p\);_(* &quot;-&quot;\ \p_);_(@_)"/>
    <numFmt numFmtId="225" formatCode="_(* #,##0.00\p_);_(* \(#,##0.00\p\);_(* &quot;-&quot;\ \p_);_(@_)"/>
    <numFmt numFmtId="226" formatCode="\£#,##0.00"/>
    <numFmt numFmtId="227" formatCode="0.0\ \x;\ \(0.0\ \x\)"/>
    <numFmt numFmtId="228" formatCode="#,##0;\(#,##0\);\-"/>
    <numFmt numFmtId="229" formatCode="_(* #,##0.0_);_(* \(#,##0.0\);_(* &quot;-&quot;?_);_(@_)"/>
    <numFmt numFmtId="230" formatCode="_(&quot;$&quot;* #,##0.0_);_(&quot;$&quot;* \(#,##0.0\);_(&quot;$&quot;* &quot;-&quot;?_);_(@_)"/>
    <numFmt numFmtId="231" formatCode="#,##0.0000000_);\(#,##0.0000000\)"/>
    <numFmt numFmtId="232" formatCode="#,##0.00000_);[Red]\(#,##0.00000\)"/>
    <numFmt numFmtId="233" formatCode="_-&quot;$&quot;* #,##0.0000_-;\-&quot;$&quot;* #,##0.0000_-;_-&quot;$&quot;* &quot;-&quot;??_-;_-@_-"/>
    <numFmt numFmtId="234" formatCode="_(&quot;$&quot;* #,##0_);_(&quot;$&quot;* \(#,##0\);_(&quot;$&quot;* &quot;-&quot;?_);_(@_)"/>
    <numFmt numFmtId="235" formatCode="#,##0.000000_);[Red]\(#,##0.000000\)"/>
    <numFmt numFmtId="236" formatCode="&quot;$&quot;#,##0;\-&quot;$&quot;#,##0"/>
    <numFmt numFmtId="237" formatCode="&quot;$&quot;#,##0;[Red]\-&quot;$&quot;#,##0"/>
    <numFmt numFmtId="238" formatCode="0.0%;\(0.0%\)"/>
    <numFmt numFmtId="239" formatCode="General_)"/>
    <numFmt numFmtId="240" formatCode="\£#,##0_);\(\£#,##0\)"/>
    <numFmt numFmtId="241" formatCode="#,##0.0_);[Red]\(#,##0.00_)"/>
    <numFmt numFmtId="242" formatCode="#,##0.00\ %"/>
    <numFmt numFmtId="243" formatCode="_(* #,##0.000_);_(* \(#,##0.000\);_(* &quot;-&quot;???_);_(@_)"/>
    <numFmt numFmtId="244" formatCode="#,##0.00000000000000"/>
    <numFmt numFmtId="245" formatCode="0.000000"/>
    <numFmt numFmtId="246" formatCode="0.0000000"/>
    <numFmt numFmtId="247" formatCode="#,##0.0_);[Red]\(#,##0.0\)"/>
    <numFmt numFmtId="248" formatCode="0.00_)"/>
    <numFmt numFmtId="249" formatCode="_-* #,##0_-;\-* #,##0_-;_-* &quot;-&quot;_-;_-@_-"/>
    <numFmt numFmtId="250" formatCode="#,##0.0000000_);[Red]\(#,##0.0000000\)"/>
    <numFmt numFmtId="251" formatCode="###0.0;\(###0.0\)"/>
    <numFmt numFmtId="252" formatCode="0.000_)"/>
    <numFmt numFmtId="253" formatCode="0.0000%"/>
    <numFmt numFmtId="254" formatCode="###0.0_x;\(###0.0\)_x"/>
    <numFmt numFmtId="255" formatCode="_(* #,##0.0_);_(* \(#,##0.0\);_(* &quot;-&quot;??_);_(@_)"/>
    <numFmt numFmtId="256" formatCode="#,##0_%_);\(#,##0\)_%;**;@_%_)"/>
    <numFmt numFmtId="257" formatCode="#,##0.00_%_);\(#,##0.00\)_%;#,##0.00_%_);@_%_)"/>
    <numFmt numFmtId="258" formatCode="#,##0.00_%_);\(#,##0.00\)_%;**;@_%_)"/>
    <numFmt numFmtId="259" formatCode="#,##0.000_%_);\(#,##0.000\)_%;**;@_%_)"/>
    <numFmt numFmtId="260" formatCode="#,##0.0_%_);\(#,##0.0\)_%;**;@_%_)"/>
    <numFmt numFmtId="261" formatCode="0.00\ %"/>
    <numFmt numFmtId="262" formatCode="_-* #,##0.00_-;\-* #,##0.00_-;_-* &quot;-&quot;??_-;_-@_-"/>
    <numFmt numFmtId="263" formatCode="&quot;$&quot;#,##0.0;\(&quot;$&quot;#,##0.0\)"/>
    <numFmt numFmtId="264" formatCode="&quot;$&quot;#,##0.000_);\(&quot;$&quot;#,##0.000\)"/>
    <numFmt numFmtId="265" formatCode="###0;\(###0\)"/>
    <numFmt numFmtId="266" formatCode="_(&quot;$&quot;* #,##0.0_);_(&quot;$&quot;* \(#,##0.0\);_(&quot;$&quot;* &quot;-&quot;_);_(@_)"/>
    <numFmt numFmtId="267" formatCode="&quot;$&quot;#,##0.000_);[Red]\(&quot;$&quot;#,##0.000\)"/>
    <numFmt numFmtId="268" formatCode="&quot;$&quot;#,##0.00_%_);\(&quot;$&quot;#,##0.00\)_%;&quot;$&quot;#,##0.00_%_);@_%_)"/>
    <numFmt numFmtId="269" formatCode="&quot;$&quot;#,##0.00_%_);\(&quot;$&quot;#,##0.00\)_%;**;@_%_)"/>
    <numFmt numFmtId="270" formatCode="&quot;$&quot;#,##0.000_%_);\(&quot;$&quot;#,##0.000\)_%;**;@_%_)"/>
    <numFmt numFmtId="271" formatCode="0.000%"/>
    <numFmt numFmtId="272" formatCode="&quot;$&quot;#,##0.00_%_);\(&quot;$&quot;#,##0.00\)_%;&quot;$&quot;###0.00_%_);@_%_)"/>
    <numFmt numFmtId="273" formatCode="&quot;$&quot;#,##0"/>
    <numFmt numFmtId="274" formatCode="d\.m\.yy\ h:mm"/>
    <numFmt numFmtId="275" formatCode="#,##0.00000000_);[Red]\(#,##0.00000000\)"/>
    <numFmt numFmtId="276" formatCode="&quot;$&quot;#,##0.00"/>
    <numFmt numFmtId="277" formatCode="_-&quot;£&quot;* #,##0.0_-;\-&quot;£&quot;* #,##0.0_-;_-&quot;£&quot;* &quot;-&quot;??_-;_-@_-"/>
    <numFmt numFmtId="278" formatCode="@\ \ \ \ \ "/>
    <numFmt numFmtId="279" formatCode="0_)"/>
    <numFmt numFmtId="280" formatCode="m/d/yy_%_);;**"/>
    <numFmt numFmtId="281" formatCode="#,##0.0;[Red]\(#,##0.0\)"/>
    <numFmt numFmtId="282" formatCode="0.0_);\(0.0\)"/>
    <numFmt numFmtId="283" formatCode="#,##0.0\ \x"/>
    <numFmt numFmtId="284" formatCode="#,##0.0\x_);[Red]\(#,##0.0\)"/>
    <numFmt numFmtId="285" formatCode="0_%_);\(0\)_%;0_%_);@_%_)"/>
    <numFmt numFmtId="286" formatCode="0.0"/>
    <numFmt numFmtId="287" formatCode="#,##0.0"/>
    <numFmt numFmtId="288" formatCode="0.00\x"/>
    <numFmt numFmtId="289" formatCode="0.000\ \x"/>
    <numFmt numFmtId="290" formatCode="&quot;$&quot;#,##0.0\ ;\(&quot;$&quot;#,##0.0\)"/>
    <numFmt numFmtId="291" formatCode="_-* #,##0.0_-;\-* #,##0.0_-;_-* &quot;-&quot;??_-;_-@_-"/>
    <numFmt numFmtId="292" formatCode="#,##0.000_);\(#,##0.000\)"/>
    <numFmt numFmtId="293" formatCode="0%\ \ \ \ \ \ \ "/>
    <numFmt numFmtId="294" formatCode="0.0%\ \ \ "/>
    <numFmt numFmtId="295" formatCode="#,##0;[Red]\(#,##0\)\ "/>
    <numFmt numFmtId="296" formatCode="0.00%;\(0.00%\)"/>
    <numFmt numFmtId="297" formatCode="_(* #,##0\ \x_);_(* \(#,##0\ \x\);_(* &quot;-&quot;??_);_(@_)"/>
    <numFmt numFmtId="298" formatCode="#,##0.00&quot; $&quot;;\-#,##0.00&quot; $&quot;"/>
    <numFmt numFmtId="299" formatCode="#,##0.0\%_);\(#,##0.0\%\);#,##0.0\%_);@_%_)"/>
    <numFmt numFmtId="300" formatCode="0.00000"/>
    <numFmt numFmtId="301" formatCode="_._.* #,##0_)_%;_._.* \(#,##0\)_%;_._.* \ _)_%"/>
    <numFmt numFmtId="302" formatCode="_(&quot;$&quot;* #,##0_)\ &quot;millions&quot;;_(&quot;$&quot;* \(#,##0\)&quot; millions&quot;"/>
    <numFmt numFmtId="303" formatCode="0_);\(0\)"/>
    <numFmt numFmtId="304" formatCode="_-* #,##0.00\ _L_._-;\-* #,##0.00\ _L_._-;_-* &quot;-&quot;??\ _L_._-;_-@_-"/>
    <numFmt numFmtId="305" formatCode="#,##0.0000000;[Red]\-#,##0.0000000"/>
    <numFmt numFmtId="306" formatCode="mmmm\ d\,"/>
    <numFmt numFmtId="307" formatCode="_(* #,##0.0\ \x_);_(* \(#,##0.0\ \x\);_(* &quot;-&quot;??_);_(@_)"/>
    <numFmt numFmtId="308" formatCode="0.0\ \x;\(0.0\ \x\)"/>
    <numFmt numFmtId="309" formatCode="0.0&quot;%&quot;"/>
    <numFmt numFmtId="310" formatCode="_(###0_);[Red]\(###0\);_(* &quot;-&quot;_);_(@_)"/>
    <numFmt numFmtId="311" formatCode="#,##0.0;\(#,##0.0\)"/>
    <numFmt numFmtId="312" formatCode="#,##0.000;\(#,##0.000\)"/>
    <numFmt numFmtId="313" formatCode="#,##0\ \ \ ;[Red]\(#,##0\)\ \ ;\—\ \ \ \ "/>
    <numFmt numFmtId="314" formatCode="#,##0.0\x;\(#,##0.0\)\x"/>
    <numFmt numFmtId="315" formatCode="&quot;$&quot;#,##0.00;[Red]\-&quot;$&quot;#,##0.00"/>
    <numFmt numFmtId="316" formatCode="&quot;$&quot;#,##0.00;\-&quot;$&quot;#,##0.00"/>
    <numFmt numFmtId="317" formatCode="0.0%_);\(0.0%\)"/>
    <numFmt numFmtId="318" formatCode="0.00%_);\(0.00%\)"/>
    <numFmt numFmtId="319" formatCode="_(0_)%;\(0\)%;\ \ _)\%"/>
    <numFmt numFmtId="320" formatCode="#,##0.00000000_);\(#,##0.00000000\)"/>
    <numFmt numFmtId="321" formatCode="#,##0.000000000_);\(#,##0.000000000\)"/>
    <numFmt numFmtId="322" formatCode="0.00_);\(0.00\)"/>
    <numFmt numFmtId="323" formatCode="&quot;$&quot;#,##0.00;\(&quot;$&quot;#,##0.00\)"/>
    <numFmt numFmtId="324" formatCode="#,##0.000%_);\(#,##0.000%\);#,##0.000%_);@_%_)"/>
    <numFmt numFmtId="325" formatCode="_-* #,##0.0000_-;\-* #,##0.0000_-;_-* &quot;-&quot;??_-;_-@_-"/>
    <numFmt numFmtId="326" formatCode="_-* #,##0.000_-;\-* #,##0.000_-;_-* &quot;-&quot;??_-;_-@_-"/>
    <numFmt numFmtId="327" formatCode="_-&quot;$&quot;* #,##0_-;\-&quot;$&quot;* #,##0_-;_-&quot;$&quot;* &quot;-&quot;_-;_-@_-"/>
    <numFmt numFmtId="328" formatCode="#,##0.000_%_);\(#,##0.000\)_%;#,##0.000_%_);@_%_)"/>
    <numFmt numFmtId="329" formatCode="#,##0.00;\(#,##0.00\);_(* &quot;-&quot;_)"/>
    <numFmt numFmtId="330" formatCode="#,##0.0_);\(#,##0.0\);_(* &quot;-&quot;_)"/>
    <numFmt numFmtId="331" formatCode="_(* #,##0.0_);_(* \(#,##0.0\);_(* &quot;-&quot;_);_(@_)"/>
    <numFmt numFmtId="332" formatCode="m/d/yy"/>
    <numFmt numFmtId="333" formatCode="_(&quot;$&quot;* #,##0.00_);_(&quot;$&quot;* \(#,##0.00\);_(* &quot;-&quot;_);_(@_)"/>
    <numFmt numFmtId="334" formatCode="0.0\x"/>
    <numFmt numFmtId="335" formatCode="_(&quot;$&quot;* #,##0.000_);_(&quot;$&quot;* \(#,##0.000\);_(* &quot;-&quot;_);_(@_)"/>
    <numFmt numFmtId="336" formatCode="_(&quot;$&quot;* #,##0.0_);_(&quot;$&quot;* \(#,##0.0\);_(* &quot;-&quot;_);_(@_)"/>
    <numFmt numFmtId="337" formatCode="#,##0.0\x"/>
    <numFmt numFmtId="338" formatCode="#,##0.00_);\(#,##0.00\);_(* &quot;-&quot;_)"/>
    <numFmt numFmtId="339" formatCode="#,##0_);\(#,##0\);_(* &quot;-&quot;_);_(* &quot;-&quot;_)"/>
    <numFmt numFmtId="340" formatCode="_(###.##%_);\(* &quot;-&quot;_);_(@_)"/>
    <numFmt numFmtId="341" formatCode="#,##0.00\x"/>
    <numFmt numFmtId="342" formatCode="#,##0.000"/>
    <numFmt numFmtId="343" formatCode="mm/dd/yyyy"/>
    <numFmt numFmtId="344" formatCode="mm/dd/yy"/>
    <numFmt numFmtId="345" formatCode="_(* &quot;$&quot;#,##0.0_);_(* \(#,##0.0\);_(* &quot;-&quot;??_);_(@_)"/>
    <numFmt numFmtId="346" formatCode="_-&quot;$&quot;* #,##0.00_-;\-&quot;$&quot;* #,##0.00_-;_-&quot;$&quot;* &quot;-&quot;??_-;_-@_-"/>
    <numFmt numFmtId="347" formatCode="#,##0\x_);\(#,##0\x\)"/>
    <numFmt numFmtId="348" formatCode="#,##0.0\x_);\(#,##0.0\x\)"/>
    <numFmt numFmtId="349" formatCode="#,##0.00\x_);\(#,##0.00\x\)"/>
    <numFmt numFmtId="350" formatCode="#,##0.000000000000000_);\(#,##0.000000000000000\)"/>
    <numFmt numFmtId="351" formatCode="#,##0.0000000000000000_);\(#,##0.0000000000000000\)"/>
    <numFmt numFmtId="352" formatCode="_-&quot;L.&quot;\ * #,##0_-;\-&quot;L.&quot;\ * #,##0_-;_-&quot;L.&quot;\ * &quot;-&quot;_-;_-@_-"/>
    <numFmt numFmtId="353" formatCode="_-* #,##0.00\ &quot;£&quot;_-;\-* #,##0.00\ &quot;£&quot;_-;_-* &quot;-&quot;??\ &quot;£&quot;_-;_-@_-"/>
    <numFmt numFmtId="354" formatCode="###0&quot;E&quot;_)"/>
    <numFmt numFmtId="355" formatCode="###0&quot;PF&quot;_)"/>
    <numFmt numFmtId="356" formatCode="&quot;Yes&quot;_%_);&quot;Error&quot;_%_);&quot;No&quot;_%_);&quot;--&quot;_%_)"/>
    <numFmt numFmtId="357" formatCode="_-* #,##0\ _B_F_-;\-* #,##0\ _B_F_-;_-* &quot;-&quot;\ _B_F_-;_-@_-"/>
    <numFmt numFmtId="358" formatCode="_ * #,##0.00_ ;_ * \-#,##0.00_ ;_ * &quot;-&quot;??_ ;_ @_ "/>
    <numFmt numFmtId="359" formatCode="_ &quot;\&quot;* #,##0_ ;_ &quot;\&quot;* \-#,##0_ ;_ &quot;\&quot;* &quot;-&quot;_ ;_ @_ "/>
    <numFmt numFmtId="360" formatCode="_ &quot;\&quot;* #,##0.00_ ;_ &quot;\&quot;* \-#,##0.00_ ;_ &quot;\&quot;* &quot;-&quot;??_ ;_ @_ "/>
    <numFmt numFmtId="361" formatCode="&quot;\&quot;#,##0.00_);[Red]\(&quot;\&quot;#,##0.00\)"/>
    <numFmt numFmtId="362" formatCode="&quot;\&quot;#,##0_);[Red]\(&quot;\&quot;#,##0\)"/>
    <numFmt numFmtId="363" formatCode="mmmm\-yy"/>
    <numFmt numFmtId="364" formatCode="[$-409]mmm\-yy;@"/>
    <numFmt numFmtId="365" formatCode="mm/dd/yy;@"/>
  </numFmts>
  <fonts count="236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Century Gothic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Arial Narrow"/>
      <family val="2"/>
    </font>
    <font>
      <b/>
      <sz val="11"/>
      <color indexed="16"/>
      <name val="Times New Roman"/>
      <family val="1"/>
    </font>
    <font>
      <sz val="10"/>
      <color theme="1"/>
      <name val="Arial"/>
      <family val="2"/>
    </font>
    <font>
      <sz val="11"/>
      <color indexed="8"/>
      <name val="Times New Roman"/>
      <family val="1"/>
    </font>
    <font>
      <b/>
      <sz val="22"/>
      <color indexed="8"/>
      <name val="Times New Roman"/>
      <family val="1"/>
    </font>
    <font>
      <b/>
      <i/>
      <sz val="11"/>
      <color indexed="8"/>
      <name val="Times New Roman"/>
      <family val="1"/>
    </font>
    <font>
      <sz val="10"/>
      <name val="Courier"/>
      <family val="3"/>
    </font>
    <font>
      <sz val="8"/>
      <color indexed="12"/>
      <name val="Arial"/>
      <family val="2"/>
    </font>
    <font>
      <sz val="8"/>
      <name val="Times New Roman"/>
      <family val="1"/>
    </font>
    <font>
      <sz val="10"/>
      <name val="GillSans"/>
      <family val="2"/>
    </font>
    <font>
      <sz val="10"/>
      <name val="Helv"/>
    </font>
    <font>
      <sz val="12"/>
      <name val="Times New Roman"/>
      <family val="1"/>
    </font>
    <font>
      <sz val="9"/>
      <color indexed="10"/>
      <name val="Geneva"/>
      <family val="2"/>
    </font>
    <font>
      <sz val="10"/>
      <name val="Times New Roman"/>
      <family val="1"/>
    </font>
    <font>
      <sz val="10"/>
      <name val="MS Sans Serif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2"/>
      <color theme="1"/>
      <name val="Times New Roman"/>
      <family val="2"/>
    </font>
    <font>
      <sz val="12"/>
      <color indexed="8"/>
      <name val="Times New Roman"/>
      <family val="2"/>
    </font>
    <font>
      <sz val="11"/>
      <color indexed="9"/>
      <name val="Calibri"/>
      <family val="2"/>
    </font>
    <font>
      <sz val="10"/>
      <color indexed="9"/>
      <name val="Arial"/>
      <family val="2"/>
    </font>
    <font>
      <sz val="12"/>
      <color theme="0"/>
      <name val="Times New Roman"/>
      <family val="2"/>
    </font>
    <font>
      <sz val="12"/>
      <color indexed="9"/>
      <name val="Times New Roman"/>
      <family val="2"/>
    </font>
    <font>
      <sz val="8"/>
      <name val="Times"/>
      <family val="1"/>
    </font>
    <font>
      <sz val="12"/>
      <name val="Arial"/>
      <family val="2"/>
    </font>
    <font>
      <b/>
      <sz val="10"/>
      <color indexed="48"/>
      <name val="Verdana"/>
      <family val="2"/>
    </font>
    <font>
      <sz val="11"/>
      <color indexed="20"/>
      <name val="Calibri"/>
      <family val="2"/>
    </font>
    <font>
      <sz val="10"/>
      <color indexed="20"/>
      <name val="Arial"/>
      <family val="2"/>
    </font>
    <font>
      <sz val="12"/>
      <color rgb="FF9C0006"/>
      <name val="Times New Roman"/>
      <family val="2"/>
    </font>
    <font>
      <sz val="12"/>
      <color indexed="20"/>
      <name val="Times New Roman"/>
      <family val="2"/>
    </font>
    <font>
      <i/>
      <sz val="11"/>
      <color indexed="23"/>
      <name val="Calibri"/>
      <family val="2"/>
    </font>
    <font>
      <sz val="10"/>
      <color indexed="12"/>
      <name val="Times New Roman"/>
      <family val="1"/>
    </font>
    <font>
      <b/>
      <sz val="7"/>
      <name val="Arial"/>
      <family val="2"/>
    </font>
    <font>
      <u val="singleAccounting"/>
      <sz val="10"/>
      <name val="Arial"/>
      <family val="2"/>
    </font>
    <font>
      <b/>
      <sz val="11"/>
      <color indexed="10"/>
      <name val="Calibri"/>
      <family val="2"/>
      <scheme val="minor"/>
    </font>
    <font>
      <b/>
      <sz val="11"/>
      <color indexed="52"/>
      <name val="Calibri"/>
      <family val="2"/>
    </font>
    <font>
      <b/>
      <sz val="10"/>
      <color indexed="10"/>
      <name val="Arial"/>
      <family val="2"/>
    </font>
    <font>
      <sz val="8"/>
      <name val="Arial"/>
      <family val="2"/>
    </font>
    <font>
      <b/>
      <sz val="12"/>
      <color rgb="FFFA7D00"/>
      <name val="Times New Roman"/>
      <family val="2"/>
    </font>
    <font>
      <b/>
      <sz val="12"/>
      <color indexed="52"/>
      <name val="Times New Roman"/>
      <family val="2"/>
    </font>
    <font>
      <b/>
      <sz val="8"/>
      <color indexed="52"/>
      <name val="Arial"/>
      <family val="2"/>
    </font>
    <font>
      <b/>
      <sz val="11"/>
      <color indexed="10"/>
      <name val="Calibri"/>
      <family val="2"/>
    </font>
    <font>
      <b/>
      <sz val="8"/>
      <name val="Times New Roman"/>
      <family val="1"/>
    </font>
    <font>
      <b/>
      <sz val="11"/>
      <color indexed="9"/>
      <name val="Calibri"/>
      <family val="2"/>
    </font>
    <font>
      <b/>
      <sz val="10"/>
      <color indexed="9"/>
      <name val="Arial"/>
      <family val="2"/>
    </font>
    <font>
      <b/>
      <sz val="12"/>
      <color theme="0"/>
      <name val="Times New Roman"/>
      <family val="2"/>
    </font>
    <font>
      <sz val="15"/>
      <color indexed="56"/>
      <name val="Calibri"/>
      <family val="2"/>
    </font>
    <font>
      <b/>
      <i/>
      <sz val="8"/>
      <name val="Arial"/>
      <family val="2"/>
    </font>
    <font>
      <sz val="8"/>
      <name val="Helv"/>
    </font>
    <font>
      <b/>
      <sz val="8"/>
      <name val="Arial"/>
      <family val="2"/>
    </font>
    <font>
      <b/>
      <sz val="8"/>
      <color indexed="10"/>
      <name val="Arial"/>
      <family val="2"/>
    </font>
    <font>
      <b/>
      <sz val="8"/>
      <color indexed="9"/>
      <name val="Arial"/>
      <family val="2"/>
    </font>
    <font>
      <b/>
      <sz val="8"/>
      <color indexed="8"/>
      <name val="Arial"/>
      <family val="2"/>
    </font>
    <font>
      <b/>
      <sz val="8"/>
      <color indexed="8"/>
      <name val="Courier New"/>
      <family val="3"/>
    </font>
    <font>
      <sz val="11"/>
      <name val="Tms Rmn"/>
      <family val="1"/>
    </font>
    <font>
      <sz val="8"/>
      <name val="Palatino"/>
      <family val="1"/>
    </font>
    <font>
      <sz val="10"/>
      <name val="Tahoma"/>
      <family val="2"/>
    </font>
    <font>
      <b/>
      <sz val="8"/>
      <color indexed="8"/>
      <name val="Geneva"/>
    </font>
    <font>
      <sz val="10"/>
      <name val="Times"/>
      <family val="1"/>
    </font>
    <font>
      <sz val="8"/>
      <name val="Tms Rmn"/>
    </font>
    <font>
      <b/>
      <sz val="10"/>
      <color indexed="9"/>
      <name val="Verdana"/>
      <family val="2"/>
    </font>
    <font>
      <b/>
      <sz val="10"/>
      <name val="Tms Rmn"/>
      <family val="1"/>
    </font>
    <font>
      <sz val="8"/>
      <color indexed="16"/>
      <name val="Palatino"/>
      <family val="1"/>
    </font>
    <font>
      <sz val="10"/>
      <name val="Verdana"/>
      <family val="2"/>
    </font>
    <font>
      <sz val="12"/>
      <name val="CG Times (WN)"/>
    </font>
    <font>
      <sz val="8"/>
      <color indexed="18"/>
      <name val="Times New Roman"/>
      <family val="1"/>
    </font>
    <font>
      <sz val="10"/>
      <color indexed="12"/>
      <name val="Verdana"/>
      <family val="2"/>
    </font>
    <font>
      <u/>
      <sz val="8"/>
      <color indexed="12"/>
      <name val="Times New Roman"/>
      <family val="1"/>
    </font>
    <font>
      <b/>
      <sz val="10"/>
      <name val="Times New Roman"/>
      <family val="1"/>
    </font>
    <font>
      <sz val="8"/>
      <color indexed="12"/>
      <name val="Times New Roman"/>
      <family val="1"/>
    </font>
    <font>
      <u val="doubleAccounting"/>
      <sz val="10"/>
      <name val="Arial"/>
      <family val="2"/>
    </font>
    <font>
      <sz val="10"/>
      <color indexed="10"/>
      <name val="CG Times (WN)"/>
    </font>
    <font>
      <i/>
      <sz val="10"/>
      <color indexed="23"/>
      <name val="Arial"/>
      <family val="2"/>
    </font>
    <font>
      <i/>
      <sz val="12"/>
      <color rgb="FF7F7F7F"/>
      <name val="Times New Roman"/>
      <family val="2"/>
    </font>
    <font>
      <sz val="10"/>
      <color indexed="17"/>
      <name val="Arial"/>
      <family val="2"/>
    </font>
    <font>
      <sz val="12"/>
      <color rgb="FF006100"/>
      <name val="Times New Roman"/>
      <family val="2"/>
    </font>
    <font>
      <sz val="11"/>
      <color indexed="10"/>
      <name val="Calibri"/>
      <family val="2"/>
    </font>
    <font>
      <sz val="11"/>
      <color indexed="17"/>
      <name val="Calibri"/>
      <family val="2"/>
    </font>
    <font>
      <sz val="9"/>
      <name val="Futura UBS Bk"/>
      <family val="2"/>
    </font>
    <font>
      <b/>
      <sz val="12"/>
      <name val="Arial"/>
      <family val="2"/>
    </font>
    <font>
      <b/>
      <sz val="15"/>
      <color indexed="62"/>
      <name val="Arial"/>
      <family val="2"/>
    </font>
    <font>
      <b/>
      <sz val="15"/>
      <color theme="3"/>
      <name val="Times New Roman"/>
      <family val="2"/>
    </font>
    <font>
      <b/>
      <sz val="15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62"/>
      <name val="Arial"/>
      <family val="2"/>
    </font>
    <font>
      <b/>
      <sz val="13"/>
      <color theme="3"/>
      <name val="Times New Roman"/>
      <family val="2"/>
    </font>
    <font>
      <sz val="11"/>
      <color indexed="52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Calibri"/>
      <family val="2"/>
    </font>
    <font>
      <b/>
      <sz val="11"/>
      <color indexed="62"/>
      <name val="Arial"/>
      <family val="2"/>
    </font>
    <font>
      <b/>
      <sz val="11"/>
      <color theme="3"/>
      <name val="Times New Roman"/>
      <family val="2"/>
    </font>
    <font>
      <b/>
      <sz val="11"/>
      <color indexed="62"/>
      <name val="Calibri"/>
      <family val="2"/>
    </font>
    <font>
      <b/>
      <sz val="11"/>
      <color indexed="56"/>
      <name val="Calibri"/>
      <family val="2"/>
    </font>
    <font>
      <sz val="10"/>
      <name val="Helvetica 55 Roman"/>
    </font>
    <font>
      <b/>
      <i/>
      <sz val="22"/>
      <name val="Times New Roman"/>
      <family val="1"/>
    </font>
    <font>
      <sz val="10"/>
      <name val="Tms Rmn"/>
    </font>
    <font>
      <u/>
      <sz val="11"/>
      <color theme="10"/>
      <name val="Calibri"/>
      <family val="2"/>
      <scheme val="minor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color indexed="62"/>
      <name val="Calibri"/>
      <family val="2"/>
    </font>
    <font>
      <sz val="10"/>
      <color indexed="62"/>
      <name val="Arial"/>
      <family val="2"/>
    </font>
    <font>
      <sz val="12"/>
      <color rgb="FF3F3F76"/>
      <name val="Times New Roman"/>
      <family val="2"/>
    </font>
    <font>
      <sz val="12"/>
      <color indexed="62"/>
      <name val="Times New Roman"/>
      <family val="2"/>
    </font>
    <font>
      <sz val="8"/>
      <color indexed="62"/>
      <name val="Arial"/>
      <family val="2"/>
    </font>
    <font>
      <sz val="8"/>
      <name val="Arial Narrow"/>
      <family val="2"/>
    </font>
    <font>
      <b/>
      <i/>
      <sz val="8"/>
      <name val="Times New Roman"/>
      <family val="1"/>
    </font>
    <font>
      <sz val="10"/>
      <color indexed="18"/>
      <name val="Verdana"/>
      <family val="2"/>
    </font>
    <font>
      <i/>
      <sz val="16"/>
      <name val="Times New Roman"/>
      <family val="1"/>
    </font>
    <font>
      <b/>
      <sz val="10"/>
      <color indexed="8"/>
      <name val="Arial"/>
      <family val="2"/>
    </font>
    <font>
      <sz val="10"/>
      <color indexed="10"/>
      <name val="Arial"/>
      <family val="2"/>
    </font>
    <font>
      <sz val="12"/>
      <color rgb="FFFA7D00"/>
      <name val="Times New Roman"/>
      <family val="2"/>
    </font>
    <font>
      <sz val="8"/>
      <color indexed="8"/>
      <name val="Arial"/>
      <family val="2"/>
    </font>
    <font>
      <b/>
      <u val="double"/>
      <sz val="16"/>
      <color indexed="45"/>
      <name val="Times New Roman"/>
      <family val="1"/>
    </font>
    <font>
      <b/>
      <sz val="14"/>
      <name val="Helv"/>
    </font>
    <font>
      <sz val="10"/>
      <color indexed="19"/>
      <name val="Arial"/>
      <family val="2"/>
    </font>
    <font>
      <sz val="12"/>
      <color rgb="FF9C6500"/>
      <name val="Times New Roman"/>
      <family val="2"/>
    </font>
    <font>
      <b/>
      <sz val="11"/>
      <color indexed="8"/>
      <name val="Calibri"/>
      <family val="2"/>
    </font>
    <font>
      <sz val="11"/>
      <color indexed="19"/>
      <name val="Calibri"/>
      <family val="2"/>
    </font>
    <font>
      <sz val="11"/>
      <color indexed="60"/>
      <name val="Calibri"/>
      <family val="2"/>
    </font>
    <font>
      <b/>
      <i/>
      <sz val="16"/>
      <name val="Helv"/>
    </font>
    <font>
      <sz val="12"/>
      <name val="Helv"/>
    </font>
    <font>
      <sz val="10"/>
      <name val="Lucida Console"/>
      <family val="3"/>
    </font>
    <font>
      <b/>
      <sz val="10"/>
      <color indexed="63"/>
      <name val="Arial"/>
      <family val="2"/>
    </font>
    <font>
      <b/>
      <sz val="12"/>
      <color rgb="FF3F3F3F"/>
      <name val="Times New Roman"/>
      <family val="2"/>
    </font>
    <font>
      <b/>
      <sz val="11"/>
      <color indexed="63"/>
      <name val="Calibri"/>
      <family val="2"/>
    </font>
    <font>
      <sz val="12"/>
      <color indexed="8"/>
      <name val="Abadi MT Condensed Light"/>
      <family val="2"/>
    </font>
    <font>
      <b/>
      <i/>
      <sz val="12"/>
      <color indexed="9"/>
      <name val="Abadi MT Condensed Light"/>
      <family val="2"/>
    </font>
    <font>
      <b/>
      <sz val="12"/>
      <color indexed="9"/>
      <name val="Abadi MT Condensed Light"/>
      <family val="2"/>
    </font>
    <font>
      <b/>
      <sz val="12"/>
      <color indexed="52"/>
      <name val="Abadi MT Condensed Light"/>
      <family val="2"/>
    </font>
    <font>
      <b/>
      <i/>
      <sz val="24"/>
      <color indexed="50"/>
      <name val="Abadi MT Condensed Light"/>
      <family val="2"/>
    </font>
    <font>
      <b/>
      <sz val="10"/>
      <name val="MS Sans Serif"/>
      <family val="2"/>
    </font>
    <font>
      <b/>
      <sz val="12"/>
      <color indexed="18"/>
      <name val="Verdana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0"/>
      <name val="Arial"/>
      <family val="2"/>
    </font>
    <font>
      <sz val="10"/>
      <color indexed="8"/>
      <name val="Times New Roman"/>
      <family val="1"/>
    </font>
    <font>
      <sz val="10"/>
      <color rgb="FF000000"/>
      <name val="Times New Roman"/>
      <family val="1"/>
    </font>
    <font>
      <b/>
      <sz val="10"/>
      <color indexed="8"/>
      <name val="Times New Roman"/>
      <family val="1"/>
    </font>
    <font>
      <sz val="9"/>
      <color indexed="8"/>
      <name val="Times New Roman"/>
      <family val="1"/>
    </font>
    <font>
      <b/>
      <i/>
      <sz val="12"/>
      <color indexed="12"/>
      <name val="Arial"/>
      <family val="2"/>
    </font>
    <font>
      <b/>
      <sz val="10"/>
      <color indexed="12"/>
      <name val="Tahoma"/>
      <family val="2"/>
    </font>
    <font>
      <b/>
      <i/>
      <sz val="11"/>
      <color rgb="FF0000FF"/>
      <name val="Tahoma"/>
      <family val="2"/>
    </font>
    <font>
      <i/>
      <sz val="9"/>
      <color indexed="8"/>
      <name val="Arial"/>
      <family val="2"/>
    </font>
    <font>
      <b/>
      <sz val="10"/>
      <color rgb="FF008080"/>
      <name val="Tahoma"/>
      <family val="2"/>
    </font>
    <font>
      <b/>
      <sz val="10"/>
      <color indexed="21"/>
      <name val="Tahoma"/>
      <family val="2"/>
    </font>
    <font>
      <b/>
      <sz val="10"/>
      <color rgb="FF0000FF"/>
      <name val="Tahoma"/>
      <family val="2"/>
    </font>
    <font>
      <b/>
      <i/>
      <sz val="9"/>
      <color indexed="8"/>
      <name val="Arial"/>
      <family val="2"/>
    </font>
    <font>
      <b/>
      <i/>
      <sz val="10"/>
      <color rgb="FF0000FF"/>
      <name val="Arial"/>
      <family val="2"/>
    </font>
    <font>
      <b/>
      <sz val="12"/>
      <color rgb="FF0000FF"/>
      <name val="Times New Roman"/>
      <family val="1"/>
    </font>
    <font>
      <b/>
      <sz val="12"/>
      <color indexed="12"/>
      <name val="Times New Roman"/>
      <family val="1"/>
    </font>
    <font>
      <b/>
      <sz val="10"/>
      <color rgb="FF000000"/>
      <name val="Times New Roman"/>
      <family val="1"/>
    </font>
    <font>
      <b/>
      <sz val="11"/>
      <color indexed="12"/>
      <name val="Times New Roman"/>
      <family val="1"/>
    </font>
    <font>
      <b/>
      <i/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0"/>
      <color indexed="18"/>
      <name val="Verdana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2"/>
      <color theme="1"/>
      <name val="Times New Roman"/>
      <family val="2"/>
    </font>
    <font>
      <sz val="8"/>
      <color indexed="8"/>
      <name val="Wingdings"/>
      <charset val="2"/>
    </font>
    <font>
      <sz val="12"/>
      <color rgb="FFFF0000"/>
      <name val="Times New Roman"/>
      <family val="2"/>
    </font>
    <font>
      <sz val="13"/>
      <color indexed="56"/>
      <name val="Calibri"/>
      <family val="2"/>
    </font>
    <font>
      <sz val="12"/>
      <name val="바탕체"/>
      <family val="1"/>
      <charset val="129"/>
    </font>
    <font>
      <sz val="11"/>
      <name val="돋움"/>
      <family val="3"/>
      <charset val="129"/>
    </font>
    <font>
      <sz val="11"/>
      <name val="ＭＳ Ｐゴシック"/>
      <family val="3"/>
      <charset val="128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Times New Roman"/>
      <family val="1"/>
    </font>
    <font>
      <u/>
      <sz val="10"/>
      <name val="Times New Roman"/>
      <family val="1"/>
    </font>
    <font>
      <b/>
      <i/>
      <sz val="10"/>
      <name val="Times New Roman"/>
      <family val="1"/>
    </font>
    <font>
      <i/>
      <sz val="10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name val="Arial"/>
      <family val="2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color rgb="FF0000FF"/>
      <name val="Times New Roman"/>
      <family val="1"/>
    </font>
    <font>
      <b/>
      <sz val="10"/>
      <color rgb="FFFF0000"/>
      <name val="Times New Roman"/>
      <family val="1"/>
    </font>
    <font>
      <b/>
      <i/>
      <sz val="10"/>
      <color rgb="FFFF0000"/>
      <name val="Times New Roman"/>
      <family val="1"/>
    </font>
    <font>
      <b/>
      <sz val="10"/>
      <color indexed="12"/>
      <name val="Times New Roman"/>
      <family val="1"/>
    </font>
    <font>
      <i/>
      <sz val="10"/>
      <color theme="1"/>
      <name val="Times New Roman"/>
      <family val="1"/>
    </font>
    <font>
      <i/>
      <sz val="10"/>
      <color theme="1"/>
      <name val="Calibri"/>
      <family val="2"/>
      <scheme val="minor"/>
    </font>
    <font>
      <sz val="10"/>
      <name val="Arial"/>
      <family val="2"/>
    </font>
    <font>
      <b/>
      <i/>
      <sz val="10"/>
      <name val="Arial"/>
      <family val="2"/>
    </font>
    <font>
      <i/>
      <sz val="9"/>
      <color rgb="FFFF0000"/>
      <name val="Times New Roman"/>
      <family val="1"/>
    </font>
    <font>
      <b/>
      <i/>
      <u/>
      <sz val="10"/>
      <color theme="1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sz val="11"/>
      <color rgb="FF800000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0"/>
      <color rgb="FF0000FF"/>
      <name val="Calibri"/>
      <family val="2"/>
    </font>
    <font>
      <b/>
      <i/>
      <sz val="10"/>
      <color rgb="FFFF0000"/>
      <name val="Calibri"/>
      <family val="2"/>
    </font>
    <font>
      <b/>
      <sz val="10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0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i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b/>
      <sz val="10"/>
      <color indexed="17"/>
      <name val="Times New Roman"/>
      <family val="1"/>
    </font>
    <font>
      <b/>
      <sz val="22"/>
      <color indexed="8"/>
      <name val="Calibri"/>
      <family val="2"/>
      <scheme val="minor"/>
    </font>
    <font>
      <b/>
      <sz val="11"/>
      <color indexed="16"/>
      <name val="Calibri"/>
      <family val="2"/>
      <scheme val="minor"/>
    </font>
    <font>
      <b/>
      <i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color indexed="9"/>
      <name val="Calibri"/>
      <family val="2"/>
      <scheme val="minor"/>
    </font>
    <font>
      <b/>
      <sz val="8"/>
      <color rgb="FFFF0000"/>
      <name val="Times New Roman"/>
      <family val="1"/>
    </font>
  </fonts>
  <fills count="1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31"/>
        <bgColor indexed="22"/>
      </patternFill>
    </fill>
    <fill>
      <patternFill patternType="solid">
        <fgColor indexed="29"/>
      </patternFill>
    </fill>
    <fill>
      <patternFill patternType="solid">
        <fgColor indexed="45"/>
      </patternFill>
    </fill>
    <fill>
      <patternFill patternType="solid">
        <fgColor indexed="45"/>
        <bgColor indexed="29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2"/>
        <bgColor indexed="27"/>
      </patternFill>
    </fill>
    <fill>
      <patternFill patternType="solid">
        <fgColor indexed="46"/>
      </patternFill>
    </fill>
    <fill>
      <patternFill patternType="solid">
        <fgColor indexed="46"/>
        <bgColor indexed="24"/>
      </patternFill>
    </fill>
    <fill>
      <patternFill patternType="solid">
        <fgColor indexed="27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</patternFill>
    </fill>
    <fill>
      <patternFill patternType="solid">
        <fgColor indexed="11"/>
        <bgColor indexed="49"/>
      </patternFill>
    </fill>
    <fill>
      <patternFill patternType="solid">
        <fgColor indexed="51"/>
      </patternFill>
    </fill>
    <fill>
      <patternFill patternType="solid">
        <fgColor indexed="51"/>
        <bgColor indexed="13"/>
      </patternFill>
    </fill>
    <fill>
      <patternFill patternType="solid">
        <fgColor indexed="49"/>
      </patternFill>
    </fill>
    <fill>
      <patternFill patternType="solid">
        <fgColor indexed="30"/>
      </patternFill>
    </fill>
    <fill>
      <patternFill patternType="solid">
        <fgColor indexed="30"/>
        <bgColor indexed="21"/>
      </patternFill>
    </fill>
    <fill>
      <patternFill patternType="solid">
        <fgColor indexed="53"/>
      </patternFill>
    </fill>
    <fill>
      <patternFill patternType="solid">
        <fgColor indexed="36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</patternFill>
    </fill>
    <fill>
      <patternFill patternType="solid">
        <fgColor indexed="52"/>
        <bgColor indexed="51"/>
      </patternFill>
    </fill>
    <fill>
      <patternFill patternType="solid">
        <fgColor indexed="56"/>
      </patternFill>
    </fill>
    <fill>
      <patternFill patternType="solid">
        <fgColor indexed="62"/>
      </patternFill>
    </fill>
    <fill>
      <patternFill patternType="solid">
        <fgColor indexed="62"/>
        <bgColor indexed="56"/>
      </patternFill>
    </fill>
    <fill>
      <patternFill patternType="solid">
        <fgColor indexed="10"/>
      </patternFill>
    </fill>
    <fill>
      <patternFill patternType="solid">
        <fgColor indexed="10"/>
        <bgColor indexed="60"/>
      </patternFill>
    </fill>
    <fill>
      <patternFill patternType="solid">
        <fgColor indexed="57"/>
      </patternFill>
    </fill>
    <fill>
      <patternFill patternType="solid">
        <fgColor indexed="57"/>
        <bgColor indexed="21"/>
      </patternFill>
    </fill>
    <fill>
      <patternFill patternType="solid">
        <fgColor indexed="54"/>
      </patternFill>
    </fill>
    <fill>
      <patternFill patternType="solid">
        <fgColor indexed="53"/>
        <b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8"/>
      </patternFill>
    </fill>
    <fill>
      <patternFill patternType="solid">
        <fgColor rgb="FFFFCC99"/>
        <bgColor rgb="FF000000"/>
      </patternFill>
    </fill>
    <fill>
      <patternFill patternType="solid">
        <fgColor indexed="35"/>
        <bgColor indexed="64"/>
      </patternFill>
    </fill>
    <fill>
      <patternFill patternType="solid">
        <fgColor indexed="9"/>
      </patternFill>
    </fill>
    <fill>
      <patternFill patternType="solid">
        <fgColor indexed="22"/>
        <bgColor indexed="31"/>
      </patternFill>
    </fill>
    <fill>
      <patternFill patternType="lightGray">
        <fgColor indexed="15"/>
      </patternFill>
    </fill>
    <fill>
      <patternFill patternType="solid">
        <fgColor indexed="55"/>
      </patternFill>
    </fill>
    <fill>
      <patternFill patternType="solid">
        <fgColor indexed="55"/>
        <bgColor indexed="23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solid">
        <fgColor indexed="60"/>
        <bgColor indexed="64"/>
      </patternFill>
    </fill>
    <fill>
      <patternFill patternType="lightGray">
        <fgColor indexed="12"/>
      </patternFill>
    </fill>
    <fill>
      <patternFill patternType="gray0625">
        <fgColor indexed="11"/>
      </patternFill>
    </fill>
    <fill>
      <patternFill patternType="gray125">
        <fgColor indexed="8"/>
      </patternFill>
    </fill>
    <fill>
      <patternFill patternType="solid">
        <fgColor indexed="43"/>
        <bgColor indexed="8"/>
      </patternFill>
    </fill>
    <fill>
      <patternFill patternType="solid">
        <fgColor rgb="FFFFFF99"/>
        <bgColor rgb="FF000000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3"/>
      </patternFill>
    </fill>
    <fill>
      <patternFill patternType="gray0625">
        <fgColor indexed="8"/>
        <bgColor indexed="26"/>
      </patternFill>
    </fill>
    <fill>
      <patternFill patternType="gray0625">
        <fgColor rgb="FF000000"/>
        <bgColor rgb="FFFFFFCC"/>
      </patternFill>
    </fill>
    <fill>
      <patternFill patternType="solid">
        <fgColor indexed="15"/>
        <bgColor indexed="15"/>
      </patternFill>
    </fill>
    <fill>
      <patternFill patternType="solid">
        <fgColor indexed="43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26"/>
        <bgColor indexed="9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indexed="57"/>
        <bgColor indexed="64"/>
      </patternFill>
    </fill>
    <fill>
      <patternFill patternType="mediumGray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7"/>
        <bgColor indexed="64"/>
      </patternFill>
    </fill>
    <fill>
      <patternFill patternType="gray125">
        <fgColor indexed="9"/>
        <bgColor indexed="35"/>
      </patternFill>
    </fill>
    <fill>
      <patternFill patternType="lightGray">
        <fgColor indexed="13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</fills>
  <borders count="10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 style="thick">
        <color indexed="9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 style="thick">
        <color indexed="9"/>
      </right>
      <top/>
      <bottom style="thick">
        <color indexed="9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18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 style="thin">
        <color indexed="18"/>
      </right>
      <top/>
      <bottom/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medium">
        <color indexed="9"/>
      </left>
      <right style="medium">
        <color indexed="9"/>
      </right>
      <top/>
      <bottom/>
      <diagonal/>
    </border>
    <border>
      <left/>
      <right/>
      <top/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44"/>
      </bottom>
      <diagonal/>
    </border>
    <border>
      <left/>
      <right/>
      <top/>
      <bottom style="thin">
        <color indexed="2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thin">
        <color indexed="23"/>
      </bottom>
      <diagonal/>
    </border>
    <border>
      <left/>
      <right/>
      <top style="thick">
        <color indexed="17"/>
      </top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ck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23"/>
      </top>
      <bottom style="medium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43202">
    <xf numFmtId="0" fontId="0" fillId="0" borderId="0"/>
    <xf numFmtId="0" fontId="21" fillId="0" borderId="0"/>
    <xf numFmtId="44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44" fontId="25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1" fillId="0" borderId="0" applyFont="0" applyFill="0" applyBorder="0" applyAlignment="0" applyProtection="0"/>
    <xf numFmtId="0" fontId="21" fillId="0" borderId="0"/>
    <xf numFmtId="0" fontId="4" fillId="0" borderId="0"/>
    <xf numFmtId="43" fontId="4" fillId="0" borderId="0" applyFont="0" applyFill="0" applyBorder="0" applyAlignment="0" applyProtection="0"/>
    <xf numFmtId="0" fontId="21" fillId="0" borderId="0"/>
    <xf numFmtId="0" fontId="21" fillId="0" borderId="0"/>
    <xf numFmtId="0" fontId="26" fillId="0" borderId="0" applyBorder="0">
      <alignment horizontal="centerContinuous"/>
    </xf>
    <xf numFmtId="0" fontId="21" fillId="0" borderId="0"/>
    <xf numFmtId="43" fontId="21" fillId="0" borderId="0" applyFont="0" applyFill="0" applyBorder="0" applyAlignment="0" applyProtection="0"/>
    <xf numFmtId="0" fontId="26" fillId="34" borderId="19"/>
    <xf numFmtId="44" fontId="21" fillId="0" borderId="0" applyFont="0" applyFill="0" applyBorder="0" applyAlignment="0" applyProtection="0"/>
    <xf numFmtId="43" fontId="27" fillId="0" borderId="0" applyFont="0" applyFill="0" applyBorder="0" applyAlignment="0" applyProtection="0"/>
    <xf numFmtId="40" fontId="28" fillId="34" borderId="0">
      <alignment horizontal="right"/>
    </xf>
    <xf numFmtId="0" fontId="29" fillId="0" borderId="0" applyBorder="0">
      <alignment horizontal="centerContinuous"/>
    </xf>
    <xf numFmtId="0" fontId="30" fillId="34" borderId="0">
      <alignment horizontal="right"/>
    </xf>
    <xf numFmtId="0" fontId="31" fillId="0" borderId="0"/>
    <xf numFmtId="9" fontId="32" fillId="0" borderId="0">
      <alignment horizontal="right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71" fontId="33" fillId="0" borderId="0" applyFont="0" applyFill="0" applyBorder="0" applyAlignment="0" applyProtection="0">
      <alignment horizontal="right"/>
    </xf>
    <xf numFmtId="0" fontId="21" fillId="0" borderId="0"/>
    <xf numFmtId="172" fontId="21" fillId="0" borderId="0" applyFont="0" applyFill="0" applyBorder="0" applyAlignment="0" applyProtection="0"/>
    <xf numFmtId="172" fontId="21" fillId="0" borderId="0" applyFont="0" applyFill="0" applyBorder="0" applyAlignment="0" applyProtection="0"/>
    <xf numFmtId="172" fontId="21" fillId="0" borderId="0" applyFont="0" applyFill="0" applyBorder="0" applyAlignment="0" applyProtection="0"/>
    <xf numFmtId="173" fontId="21" fillId="0" borderId="0" applyFont="0" applyFill="0" applyBorder="0" applyAlignment="0" applyProtection="0"/>
    <xf numFmtId="173" fontId="21" fillId="0" borderId="0" applyFont="0" applyFill="0" applyBorder="0" applyAlignment="0" applyProtection="0"/>
    <xf numFmtId="173" fontId="21" fillId="0" borderId="0" applyFont="0" applyFill="0" applyBorder="0" applyAlignment="0" applyProtection="0"/>
    <xf numFmtId="174" fontId="21" fillId="0" borderId="0" applyFont="0" applyFill="0" applyBorder="0" applyAlignment="0" applyProtection="0"/>
    <xf numFmtId="174" fontId="21" fillId="0" borderId="0" applyFont="0" applyFill="0" applyBorder="0" applyAlignment="0" applyProtection="0"/>
    <xf numFmtId="174" fontId="21" fillId="0" borderId="0" applyFont="0" applyFill="0" applyBorder="0" applyAlignment="0" applyProtection="0"/>
    <xf numFmtId="175" fontId="21" fillId="0" borderId="0"/>
    <xf numFmtId="176" fontId="21" fillId="0" borderId="0"/>
    <xf numFmtId="175" fontId="21" fillId="0" borderId="0"/>
    <xf numFmtId="176" fontId="21" fillId="0" borderId="0"/>
    <xf numFmtId="177" fontId="21" fillId="0" borderId="0">
      <alignment horizontal="right"/>
    </xf>
    <xf numFmtId="7" fontId="21" fillId="0" borderId="0">
      <alignment horizontal="right"/>
    </xf>
    <xf numFmtId="0" fontId="21" fillId="0" borderId="0">
      <alignment horizontal="right"/>
    </xf>
    <xf numFmtId="178" fontId="34" fillId="35" borderId="0"/>
    <xf numFmtId="179" fontId="34" fillId="35" borderId="0"/>
    <xf numFmtId="180" fontId="34" fillId="35" borderId="0"/>
    <xf numFmtId="181" fontId="34" fillId="35" borderId="0">
      <alignment horizontal="right"/>
    </xf>
    <xf numFmtId="7" fontId="21" fillId="0" borderId="0">
      <alignment horizontal="right"/>
    </xf>
    <xf numFmtId="0" fontId="21" fillId="0" borderId="0"/>
    <xf numFmtId="0" fontId="35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82" fontId="21" fillId="0" borderId="0" applyFont="0" applyFill="0" applyBorder="0" applyAlignment="0"/>
    <xf numFmtId="183" fontId="21" fillId="0" borderId="0" applyFont="0" applyFill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21" fillId="0" borderId="0"/>
    <xf numFmtId="184" fontId="21" fillId="0" borderId="0" applyFont="0" applyFill="0" applyBorder="0" applyProtection="0">
      <alignment wrapText="1"/>
    </xf>
    <xf numFmtId="185" fontId="21" fillId="0" borderId="0" applyFont="0" applyFill="0" applyBorder="0" applyProtection="0">
      <alignment horizontal="left" wrapText="1"/>
    </xf>
    <xf numFmtId="186" fontId="21" fillId="0" borderId="0" applyFont="0" applyFill="0" applyBorder="0" applyProtection="0">
      <alignment wrapText="1"/>
    </xf>
    <xf numFmtId="187" fontId="21" fillId="0" borderId="0" applyFont="0" applyFill="0" applyBorder="0" applyProtection="0">
      <alignment wrapText="1"/>
    </xf>
    <xf numFmtId="188" fontId="21" fillId="0" borderId="0" applyFont="0" applyFill="0" applyBorder="0" applyProtection="0">
      <alignment wrapText="1"/>
    </xf>
    <xf numFmtId="189" fontId="21" fillId="0" borderId="0" applyFont="0" applyFill="0" applyBorder="0" applyProtection="0">
      <alignment wrapText="1"/>
    </xf>
    <xf numFmtId="190" fontId="21" fillId="0" borderId="0" applyFont="0" applyFill="0" applyBorder="0" applyAlignment="0" applyProtection="0"/>
    <xf numFmtId="191" fontId="21" fillId="0" borderId="0" applyFont="0" applyFill="0" applyBorder="0" applyAlignment="0" applyProtection="0"/>
    <xf numFmtId="192" fontId="21" fillId="0" borderId="0" applyFont="0" applyFill="0" applyBorder="0" applyProtection="0">
      <alignment horizontal="right"/>
    </xf>
    <xf numFmtId="193" fontId="21" fillId="0" borderId="0" applyFont="0" applyFill="0" applyBorder="0" applyProtection="0">
      <alignment horizontal="right"/>
    </xf>
    <xf numFmtId="194" fontId="21" fillId="0" borderId="0" applyFont="0" applyFill="0" applyBorder="0" applyProtection="0">
      <alignment horizontal="right"/>
    </xf>
    <xf numFmtId="195" fontId="21" fillId="0" borderId="0" applyFont="0" applyFill="0" applyBorder="0" applyProtection="0">
      <alignment horizontal="right"/>
    </xf>
    <xf numFmtId="196" fontId="21" fillId="0" borderId="0" applyFont="0" applyFill="0" applyBorder="0" applyProtection="0">
      <alignment horizontal="right"/>
    </xf>
    <xf numFmtId="197" fontId="21" fillId="0" borderId="0" applyFont="0" applyFill="0" applyBorder="0" applyProtection="0">
      <alignment horizontal="right"/>
    </xf>
    <xf numFmtId="198" fontId="21" fillId="0" borderId="0" applyFont="0" applyFill="0" applyBorder="0" applyProtection="0">
      <alignment horizontal="right"/>
    </xf>
    <xf numFmtId="199" fontId="21" fillId="0" borderId="0" applyFont="0" applyFill="0" applyBorder="0" applyProtection="0">
      <alignment horizontal="right"/>
    </xf>
    <xf numFmtId="200" fontId="21" fillId="0" borderId="0" applyFont="0" applyFill="0" applyBorder="0" applyProtection="0">
      <alignment horizontal="right"/>
    </xf>
    <xf numFmtId="201" fontId="21" fillId="0" borderId="0" applyFont="0" applyFill="0" applyBorder="0" applyProtection="0">
      <alignment horizontal="right"/>
    </xf>
    <xf numFmtId="202" fontId="21" fillId="0" borderId="0" applyFont="0" applyFill="0" applyBorder="0" applyProtection="0">
      <alignment horizontal="right"/>
    </xf>
    <xf numFmtId="203" fontId="21" fillId="0" borderId="0" applyFont="0" applyFill="0" applyBorder="0" applyProtection="0">
      <alignment horizontal="right"/>
    </xf>
    <xf numFmtId="204" fontId="21" fillId="0" borderId="0">
      <alignment horizontal="left" wrapText="1"/>
    </xf>
    <xf numFmtId="204" fontId="21" fillId="0" borderId="0">
      <alignment horizontal="left" wrapText="1"/>
    </xf>
    <xf numFmtId="204" fontId="21" fillId="0" borderId="0">
      <alignment horizontal="left" wrapText="1"/>
    </xf>
    <xf numFmtId="204" fontId="21" fillId="0" borderId="0">
      <alignment horizontal="left" wrapText="1"/>
    </xf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36" borderId="24">
      <alignment horizontal="center" vertical="center"/>
    </xf>
    <xf numFmtId="0" fontId="21" fillId="36" borderId="25">
      <alignment horizontal="center"/>
    </xf>
    <xf numFmtId="205" fontId="21" fillId="0" borderId="0" applyFont="0" applyFill="0" applyBorder="0" applyAlignment="0" applyProtection="0"/>
    <xf numFmtId="205" fontId="21" fillId="0" borderId="0" applyFont="0" applyFill="0" applyBorder="0" applyAlignment="0" applyProtection="0"/>
    <xf numFmtId="206" fontId="21" fillId="0" borderId="0" applyFont="0" applyFill="0" applyBorder="0" applyAlignment="0" applyProtection="0"/>
    <xf numFmtId="206" fontId="21" fillId="0" borderId="0" applyFont="0" applyFill="0" applyBorder="0" applyAlignment="0" applyProtection="0"/>
    <xf numFmtId="205" fontId="21" fillId="0" borderId="0" applyFont="0" applyFill="0" applyBorder="0" applyAlignment="0" applyProtection="0"/>
    <xf numFmtId="205" fontId="21" fillId="0" borderId="0" applyFont="0" applyFill="0" applyBorder="0" applyAlignment="0" applyProtection="0"/>
    <xf numFmtId="205" fontId="21" fillId="0" borderId="0" applyFont="0" applyFill="0" applyBorder="0" applyAlignment="0" applyProtection="0"/>
    <xf numFmtId="206" fontId="21" fillId="0" borderId="0" applyFont="0" applyFill="0" applyBorder="0" applyAlignment="0" applyProtection="0"/>
    <xf numFmtId="206" fontId="21" fillId="0" borderId="0" applyFont="0" applyFill="0" applyBorder="0" applyAlignment="0" applyProtection="0"/>
    <xf numFmtId="206" fontId="21" fillId="0" borderId="0" applyFont="0" applyFill="0" applyBorder="0" applyAlignment="0" applyProtection="0"/>
    <xf numFmtId="206" fontId="21" fillId="0" borderId="0" applyFont="0" applyFill="0" applyBorder="0" applyAlignment="0" applyProtection="0"/>
    <xf numFmtId="204" fontId="36" fillId="0" borderId="0"/>
    <xf numFmtId="207" fontId="21" fillId="0" borderId="0" applyFont="0" applyFill="0" applyBorder="0" applyAlignment="0" applyProtection="0"/>
    <xf numFmtId="208" fontId="21" fillId="0" borderId="0" applyFont="0" applyFill="0" applyBorder="0" applyAlignment="0" applyProtection="0"/>
    <xf numFmtId="209" fontId="21" fillId="0" borderId="0" applyFont="0" applyFill="0" applyBorder="0" applyAlignment="0" applyProtection="0"/>
    <xf numFmtId="209" fontId="21" fillId="0" borderId="0" applyFont="0" applyFill="0" applyBorder="0" applyAlignment="0" applyProtection="0"/>
    <xf numFmtId="208" fontId="21" fillId="0" borderId="0" applyFont="0" applyFill="0" applyBorder="0" applyAlignment="0" applyProtection="0"/>
    <xf numFmtId="208" fontId="21" fillId="0" borderId="0" applyFont="0" applyFill="0" applyBorder="0" applyAlignment="0" applyProtection="0"/>
    <xf numFmtId="208" fontId="21" fillId="0" borderId="0" applyFont="0" applyFill="0" applyBorder="0" applyAlignment="0" applyProtection="0"/>
    <xf numFmtId="208" fontId="21" fillId="0" borderId="0" applyFont="0" applyFill="0" applyBorder="0" applyAlignment="0" applyProtection="0"/>
    <xf numFmtId="208" fontId="21" fillId="0" borderId="0" applyFont="0" applyFill="0" applyBorder="0" applyAlignment="0" applyProtection="0"/>
    <xf numFmtId="207" fontId="21" fillId="0" borderId="0" applyFont="0" applyFill="0" applyBorder="0" applyAlignment="0" applyProtection="0"/>
    <xf numFmtId="210" fontId="21" fillId="0" borderId="0" applyFont="0" applyFill="0" applyBorder="0" applyAlignment="0" applyProtection="0"/>
    <xf numFmtId="210" fontId="21" fillId="0" borderId="0" applyFont="0" applyFill="0" applyBorder="0" applyAlignment="0" applyProtection="0"/>
    <xf numFmtId="208" fontId="21" fillId="0" borderId="0" applyFont="0" applyFill="0" applyBorder="0" applyAlignment="0" applyProtection="0"/>
    <xf numFmtId="210" fontId="21" fillId="0" borderId="0" applyFont="0" applyFill="0" applyBorder="0" applyAlignment="0" applyProtection="0"/>
    <xf numFmtId="208" fontId="21" fillId="0" borderId="0" applyFont="0" applyFill="0" applyBorder="0" applyAlignment="0" applyProtection="0"/>
    <xf numFmtId="208" fontId="21" fillId="0" borderId="0" applyFont="0" applyFill="0" applyBorder="0" applyAlignment="0" applyProtection="0"/>
    <xf numFmtId="208" fontId="21" fillId="0" borderId="0" applyFont="0" applyFill="0" applyBorder="0" applyAlignment="0" applyProtection="0"/>
    <xf numFmtId="210" fontId="21" fillId="0" borderId="0" applyFont="0" applyFill="0" applyBorder="0" applyAlignment="0" applyProtection="0"/>
    <xf numFmtId="211" fontId="21" fillId="0" borderId="0" applyFont="0" applyFill="0" applyBorder="0" applyAlignment="0" applyProtection="0"/>
    <xf numFmtId="210" fontId="21" fillId="0" borderId="0" applyFont="0" applyFill="0" applyBorder="0" applyAlignment="0" applyProtection="0"/>
    <xf numFmtId="208" fontId="21" fillId="0" borderId="0" applyFont="0" applyFill="0" applyBorder="0" applyAlignment="0" applyProtection="0"/>
    <xf numFmtId="208" fontId="21" fillId="0" borderId="0" applyFont="0" applyFill="0" applyBorder="0" applyAlignment="0" applyProtection="0"/>
    <xf numFmtId="211" fontId="21" fillId="0" borderId="0" applyFont="0" applyFill="0" applyBorder="0" applyAlignment="0" applyProtection="0"/>
    <xf numFmtId="208" fontId="21" fillId="0" borderId="0" applyFont="0" applyFill="0" applyBorder="0" applyAlignment="0" applyProtection="0"/>
    <xf numFmtId="208" fontId="21" fillId="0" borderId="0" applyFont="0" applyFill="0" applyBorder="0" applyAlignment="0" applyProtection="0"/>
    <xf numFmtId="208" fontId="21" fillId="0" borderId="0" applyFont="0" applyFill="0" applyBorder="0" applyAlignment="0" applyProtection="0"/>
    <xf numFmtId="208" fontId="21" fillId="0" borderId="0" applyFont="0" applyFill="0" applyBorder="0" applyAlignment="0" applyProtection="0"/>
    <xf numFmtId="208" fontId="21" fillId="0" borderId="0" applyFont="0" applyFill="0" applyBorder="0" applyAlignment="0" applyProtection="0"/>
    <xf numFmtId="211" fontId="21" fillId="0" borderId="0" applyFont="0" applyFill="0" applyBorder="0" applyAlignment="0" applyProtection="0"/>
    <xf numFmtId="209" fontId="21" fillId="0" borderId="0" applyFont="0" applyFill="0" applyBorder="0" applyAlignment="0" applyProtection="0"/>
    <xf numFmtId="39" fontId="21" fillId="0" borderId="0" applyFont="0" applyFill="0" applyBorder="0" applyAlignment="0" applyProtection="0"/>
    <xf numFmtId="39" fontId="21" fillId="0" borderId="0" applyFont="0" applyFill="0" applyBorder="0" applyAlignment="0" applyProtection="0"/>
    <xf numFmtId="212" fontId="21" fillId="0" borderId="0" applyFont="0" applyFill="0" applyBorder="0" applyAlignment="0" applyProtection="0"/>
    <xf numFmtId="212" fontId="21" fillId="0" borderId="0" applyFont="0" applyFill="0" applyBorder="0" applyAlignment="0" applyProtection="0"/>
    <xf numFmtId="39" fontId="21" fillId="0" borderId="0" applyFont="0" applyFill="0" applyBorder="0" applyAlignment="0" applyProtection="0"/>
    <xf numFmtId="39" fontId="21" fillId="0" borderId="0" applyFont="0" applyFill="0" applyBorder="0" applyAlignment="0" applyProtection="0"/>
    <xf numFmtId="39" fontId="21" fillId="0" borderId="0" applyFont="0" applyFill="0" applyBorder="0" applyAlignment="0" applyProtection="0"/>
    <xf numFmtId="212" fontId="21" fillId="0" borderId="0" applyFont="0" applyFill="0" applyBorder="0" applyAlignment="0" applyProtection="0"/>
    <xf numFmtId="212" fontId="21" fillId="0" borderId="0" applyFont="0" applyFill="0" applyBorder="0" applyAlignment="0" applyProtection="0"/>
    <xf numFmtId="212" fontId="21" fillId="0" borderId="0" applyFont="0" applyFill="0" applyBorder="0" applyAlignment="0" applyProtection="0"/>
    <xf numFmtId="212" fontId="21" fillId="0" borderId="0" applyFont="0" applyFill="0" applyBorder="0" applyAlignment="0" applyProtection="0"/>
    <xf numFmtId="208" fontId="21" fillId="0" borderId="0" applyFont="0" applyFill="0" applyBorder="0" applyAlignment="0" applyProtection="0"/>
    <xf numFmtId="210" fontId="21" fillId="0" borderId="0" applyFont="0" applyFill="0" applyBorder="0" applyAlignment="0" applyProtection="0"/>
    <xf numFmtId="210" fontId="21" fillId="0" borderId="0" applyFont="0" applyFill="0" applyBorder="0" applyAlignment="0" applyProtection="0"/>
    <xf numFmtId="0" fontId="36" fillId="0" borderId="0" applyBorder="0"/>
    <xf numFmtId="213" fontId="21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36" borderId="26" applyBorder="0">
      <alignment horizontal="center"/>
    </xf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37" borderId="0" applyNumberFormat="0" applyFont="0" applyAlignment="0" applyProtection="0"/>
    <xf numFmtId="0" fontId="37" fillId="0" borderId="0"/>
    <xf numFmtId="204" fontId="36" fillId="0" borderId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214" fontId="21" fillId="0" borderId="0" applyFont="0" applyFill="0" applyBorder="0" applyAlignment="0" applyProtection="0"/>
    <xf numFmtId="214" fontId="21" fillId="0" borderId="0" applyFont="0" applyFill="0" applyBorder="0" applyAlignment="0" applyProtection="0"/>
    <xf numFmtId="215" fontId="21" fillId="0" borderId="0" applyFont="0" applyFill="0" applyBorder="0" applyAlignment="0" applyProtection="0"/>
    <xf numFmtId="215" fontId="21" fillId="0" borderId="0" applyFont="0" applyFill="0" applyBorder="0" applyAlignment="0" applyProtection="0"/>
    <xf numFmtId="214" fontId="21" fillId="0" borderId="0" applyFont="0" applyFill="0" applyBorder="0" applyAlignment="0" applyProtection="0"/>
    <xf numFmtId="214" fontId="21" fillId="0" borderId="0" applyFont="0" applyFill="0" applyBorder="0" applyAlignment="0" applyProtection="0"/>
    <xf numFmtId="214" fontId="21" fillId="0" borderId="0" applyFont="0" applyFill="0" applyBorder="0" applyAlignment="0" applyProtection="0"/>
    <xf numFmtId="215" fontId="21" fillId="0" borderId="0" applyFont="0" applyFill="0" applyBorder="0" applyAlignment="0" applyProtection="0"/>
    <xf numFmtId="215" fontId="21" fillId="0" borderId="0" applyFont="0" applyFill="0" applyBorder="0" applyAlignment="0" applyProtection="0"/>
    <xf numFmtId="215" fontId="21" fillId="0" borderId="0" applyFont="0" applyFill="0" applyBorder="0" applyAlignment="0" applyProtection="0"/>
    <xf numFmtId="215" fontId="21" fillId="0" borderId="0" applyFont="0" applyFill="0" applyBorder="0" applyAlignment="0" applyProtection="0"/>
    <xf numFmtId="216" fontId="21" fillId="0" borderId="0" applyFont="0" applyFill="0" applyBorder="0" applyAlignment="0" applyProtection="0"/>
    <xf numFmtId="216" fontId="21" fillId="0" borderId="0" applyFont="0" applyFill="0" applyBorder="0" applyAlignment="0" applyProtection="0"/>
    <xf numFmtId="216" fontId="21" fillId="0" borderId="0" applyFont="0" applyFill="0" applyBorder="0" applyAlignment="0" applyProtection="0"/>
    <xf numFmtId="217" fontId="21" fillId="0" borderId="0" applyFont="0" applyFill="0" applyBorder="0" applyProtection="0">
      <alignment horizontal="right"/>
    </xf>
    <xf numFmtId="217" fontId="21" fillId="0" borderId="0" applyFont="0" applyFill="0" applyBorder="0" applyProtection="0">
      <alignment horizontal="right"/>
    </xf>
    <xf numFmtId="216" fontId="21" fillId="0" borderId="0" applyFont="0" applyFill="0" applyBorder="0" applyAlignment="0" applyProtection="0"/>
    <xf numFmtId="216" fontId="21" fillId="0" borderId="0" applyFont="0" applyFill="0" applyBorder="0" applyAlignment="0" applyProtection="0"/>
    <xf numFmtId="216" fontId="21" fillId="0" borderId="0" applyFont="0" applyFill="0" applyBorder="0" applyAlignment="0" applyProtection="0"/>
    <xf numFmtId="217" fontId="21" fillId="0" borderId="0" applyFont="0" applyFill="0" applyBorder="0" applyProtection="0">
      <alignment horizontal="right"/>
    </xf>
    <xf numFmtId="217" fontId="21" fillId="0" borderId="0" applyFont="0" applyFill="0" applyBorder="0" applyProtection="0">
      <alignment horizontal="right"/>
    </xf>
    <xf numFmtId="0" fontId="21" fillId="0" borderId="0" applyFont="0" applyFill="0" applyBorder="0" applyAlignment="0" applyProtection="0"/>
    <xf numFmtId="217" fontId="21" fillId="0" borderId="0" applyFont="0" applyFill="0" applyBorder="0" applyProtection="0">
      <alignment horizontal="right"/>
    </xf>
    <xf numFmtId="216" fontId="21" fillId="0" borderId="0" applyFont="0" applyFill="0" applyBorder="0" applyAlignment="0" applyProtection="0"/>
    <xf numFmtId="217" fontId="21" fillId="0" borderId="0" applyFont="0" applyFill="0" applyBorder="0" applyProtection="0">
      <alignment horizontal="right"/>
    </xf>
    <xf numFmtId="0" fontId="21" fillId="0" borderId="0" applyFont="0" applyFill="0" applyBorder="0" applyAlignment="0" applyProtection="0"/>
    <xf numFmtId="218" fontId="21" fillId="0" borderId="0" applyFont="0" applyFill="0" applyBorder="0" applyAlignment="0" applyProtection="0"/>
    <xf numFmtId="218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218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219" fontId="21" fillId="0" borderId="0" applyFont="0" applyFill="0" applyBorder="0" applyAlignment="0" applyProtection="0"/>
    <xf numFmtId="219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219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204" fontId="36" fillId="0" borderId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/>
    <xf numFmtId="0" fontId="21" fillId="0" borderId="0" applyNumberFormat="0" applyFill="0" applyBorder="0" applyProtection="0">
      <alignment vertical="top"/>
    </xf>
    <xf numFmtId="0" fontId="21" fillId="0" borderId="0" applyNumberFormat="0" applyFill="0" applyBorder="0" applyAlignment="0" applyProtection="0">
      <alignment vertical="top"/>
    </xf>
    <xf numFmtId="0" fontId="21" fillId="0" borderId="0" applyNumberFormat="0" applyFill="0" applyBorder="0" applyProtection="0">
      <alignment vertical="top"/>
    </xf>
    <xf numFmtId="0" fontId="36" fillId="0" borderId="0" applyBorder="0"/>
    <xf numFmtId="0" fontId="21" fillId="0" borderId="27" applyNumberFormat="0" applyFill="0" applyAlignment="0" applyProtection="0"/>
    <xf numFmtId="0" fontId="21" fillId="0" borderId="27" applyNumberFormat="0" applyFill="0" applyAlignment="0" applyProtection="0"/>
    <xf numFmtId="0" fontId="21" fillId="0" borderId="27" applyNumberFormat="0" applyFill="0" applyAlignment="0" applyProtection="0"/>
    <xf numFmtId="0" fontId="21" fillId="0" borderId="28" applyNumberFormat="0" applyFill="0" applyAlignment="0" applyProtection="0"/>
    <xf numFmtId="0" fontId="21" fillId="0" borderId="28" applyNumberFormat="0" applyFill="0" applyAlignment="0" applyProtection="0"/>
    <xf numFmtId="0" fontId="21" fillId="0" borderId="28" applyNumberFormat="0" applyFill="0" applyAlignment="0" applyProtection="0"/>
    <xf numFmtId="0" fontId="21" fillId="0" borderId="28" applyNumberFormat="0" applyFill="0" applyAlignment="0" applyProtection="0"/>
    <xf numFmtId="0" fontId="21" fillId="0" borderId="28" applyNumberFormat="0" applyFill="0" applyAlignment="0" applyProtection="0"/>
    <xf numFmtId="0" fontId="21" fillId="0" borderId="28" applyNumberFormat="0" applyFill="0" applyAlignment="0" applyProtection="0"/>
    <xf numFmtId="0" fontId="21" fillId="0" borderId="28" applyNumberFormat="0" applyFill="0" applyAlignment="0" applyProtection="0"/>
    <xf numFmtId="0" fontId="21" fillId="0" borderId="28" applyNumberFormat="0" applyFill="0" applyAlignment="0" applyProtection="0"/>
    <xf numFmtId="0" fontId="21" fillId="0" borderId="28" applyNumberFormat="0" applyFill="0" applyAlignment="0" applyProtection="0"/>
    <xf numFmtId="0" fontId="21" fillId="0" borderId="28" applyNumberFormat="0" applyFill="0" applyAlignment="0" applyProtection="0"/>
    <xf numFmtId="0" fontId="21" fillId="0" borderId="27" applyNumberFormat="0" applyFill="0" applyAlignment="0" applyProtection="0"/>
    <xf numFmtId="0" fontId="21" fillId="0" borderId="28" applyNumberFormat="0" applyFill="0" applyAlignment="0" applyProtection="0"/>
    <xf numFmtId="0" fontId="21" fillId="0" borderId="28" applyNumberFormat="0" applyFill="0" applyAlignment="0" applyProtection="0"/>
    <xf numFmtId="0" fontId="21" fillId="0" borderId="28" applyNumberFormat="0" applyFill="0" applyAlignment="0" applyProtection="0"/>
    <xf numFmtId="0" fontId="21" fillId="0" borderId="28" applyNumberFormat="0" applyFill="0" applyAlignment="0" applyProtection="0"/>
    <xf numFmtId="0" fontId="21" fillId="0" borderId="28" applyNumberFormat="0" applyFill="0" applyAlignment="0" applyProtection="0"/>
    <xf numFmtId="0" fontId="21" fillId="0" borderId="28" applyNumberFormat="0" applyFill="0" applyAlignment="0" applyProtection="0"/>
    <xf numFmtId="0" fontId="21" fillId="0" borderId="28" applyNumberFormat="0" applyFill="0" applyAlignment="0" applyProtection="0"/>
    <xf numFmtId="0" fontId="21" fillId="0" borderId="28" applyNumberFormat="0" applyFill="0" applyAlignment="0" applyProtection="0"/>
    <xf numFmtId="0" fontId="21" fillId="0" borderId="28" applyNumberFormat="0" applyFill="0" applyAlignment="0" applyProtection="0"/>
    <xf numFmtId="0" fontId="21" fillId="0" borderId="28" applyNumberFormat="0" applyFill="0" applyAlignment="0" applyProtection="0"/>
    <xf numFmtId="0" fontId="21" fillId="0" borderId="29" applyNumberFormat="0" applyFill="0" applyProtection="0">
      <alignment horizontal="center"/>
    </xf>
    <xf numFmtId="0" fontId="21" fillId="0" borderId="0" applyNumberFormat="0" applyFill="0" applyBorder="0" applyProtection="0">
      <alignment horizontal="left"/>
    </xf>
    <xf numFmtId="0" fontId="21" fillId="0" borderId="0" applyNumberFormat="0" applyFill="0" applyBorder="0" applyProtection="0">
      <alignment horizontal="centerContinuous"/>
    </xf>
    <xf numFmtId="0" fontId="21" fillId="0" borderId="0" applyNumberFormat="0" applyFill="0" applyBorder="0" applyProtection="0">
      <alignment horizontal="centerContinuous"/>
    </xf>
    <xf numFmtId="0" fontId="21" fillId="0" borderId="0" applyNumberFormat="0" applyFill="0" applyBorder="0" applyProtection="0">
      <alignment horizontal="centerContinuous"/>
    </xf>
    <xf numFmtId="0" fontId="21" fillId="0" borderId="0" applyNumberFormat="0" applyFill="0" applyProtection="0">
      <alignment horizontal="centerContinuous"/>
    </xf>
    <xf numFmtId="0" fontId="21" fillId="0" borderId="0" applyNumberFormat="0" applyFill="0" applyBorder="0" applyProtection="0">
      <alignment horizontal="centerContinuous"/>
    </xf>
    <xf numFmtId="0" fontId="21" fillId="0" borderId="0" applyNumberFormat="0" applyFill="0" applyProtection="0">
      <alignment horizontal="centerContinuous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220" fontId="21" fillId="0" borderId="0" applyFont="0" applyFill="0" applyBorder="0" applyAlignment="0" applyProtection="0"/>
    <xf numFmtId="221" fontId="21" fillId="0" borderId="0" applyFont="0" applyFill="0" applyBorder="0" applyAlignment="0" applyProtection="0"/>
    <xf numFmtId="222" fontId="21" fillId="0" borderId="0" applyFont="0" applyFill="0" applyBorder="0" applyAlignment="0" applyProtection="0"/>
    <xf numFmtId="223" fontId="21" fillId="0" borderId="0" applyFont="0" applyFill="0" applyBorder="0" applyAlignment="0" applyProtection="0"/>
    <xf numFmtId="224" fontId="21" fillId="0" borderId="0" applyFont="0" applyFill="0" applyBorder="0" applyAlignment="0" applyProtection="0"/>
    <xf numFmtId="225" fontId="21" fillId="0" borderId="0" applyFont="0" applyFill="0" applyBorder="0" applyAlignment="0" applyProtection="0"/>
    <xf numFmtId="226" fontId="21" fillId="0" borderId="0" applyFont="0" applyFill="0" applyBorder="0" applyAlignment="0" applyProtection="0"/>
    <xf numFmtId="220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" fontId="21" fillId="0" borderId="23">
      <alignment horizontal="center" vertical="center"/>
    </xf>
    <xf numFmtId="37" fontId="38" fillId="0" borderId="0"/>
    <xf numFmtId="227" fontId="21" fillId="0" borderId="21" applyBorder="0"/>
    <xf numFmtId="227" fontId="21" fillId="0" borderId="21" applyBorder="0"/>
    <xf numFmtId="227" fontId="21" fillId="0" borderId="21" applyBorder="0"/>
    <xf numFmtId="227" fontId="21" fillId="0" borderId="21" applyBorder="0"/>
    <xf numFmtId="227" fontId="21" fillId="0" borderId="21" applyBorder="0"/>
    <xf numFmtId="227" fontId="21" fillId="0" borderId="21" applyBorder="0"/>
    <xf numFmtId="227" fontId="21" fillId="0" borderId="21" applyBorder="0"/>
    <xf numFmtId="227" fontId="21" fillId="0" borderId="21" applyBorder="0"/>
    <xf numFmtId="1" fontId="39" fillId="0" borderId="0"/>
    <xf numFmtId="228" fontId="21" fillId="0" borderId="0">
      <alignment horizontal="center"/>
    </xf>
    <xf numFmtId="205" fontId="21" fillId="0" borderId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0" fillId="39" borderId="0" applyNumberFormat="0" applyBorder="0" applyAlignment="0" applyProtection="0"/>
    <xf numFmtId="0" fontId="41" fillId="38" borderId="0" applyNumberFormat="0" applyBorder="0" applyAlignment="0" applyProtection="0"/>
    <xf numFmtId="0" fontId="42" fillId="10" borderId="0" applyNumberFormat="0" applyBorder="0" applyAlignment="0" applyProtection="0"/>
    <xf numFmtId="0" fontId="42" fillId="38" borderId="0" applyNumberFormat="0" applyBorder="0" applyAlignment="0" applyProtection="0"/>
    <xf numFmtId="0" fontId="43" fillId="40" borderId="0" applyNumberFormat="0" applyBorder="0" applyAlignment="0" applyProtection="0"/>
    <xf numFmtId="0" fontId="42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40" fillId="38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21" fillId="41" borderId="0" applyNumberFormat="0" applyBorder="0" applyAlignment="0" applyProtection="0"/>
    <xf numFmtId="0" fontId="40" fillId="40" borderId="0" applyNumberFormat="0" applyBorder="0" applyAlignment="0" applyProtection="0"/>
    <xf numFmtId="0" fontId="40" fillId="4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38" borderId="0" applyNumberFormat="0" applyBorder="0" applyAlignment="0" applyProtection="0"/>
    <xf numFmtId="0" fontId="40" fillId="38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0" fillId="42" borderId="0" applyNumberFormat="0" applyBorder="0" applyAlignment="0" applyProtection="0"/>
    <xf numFmtId="0" fontId="41" fillId="42" borderId="0" applyNumberFormat="0" applyBorder="0" applyAlignment="0" applyProtection="0"/>
    <xf numFmtId="0" fontId="42" fillId="14" borderId="0" applyNumberFormat="0" applyBorder="0" applyAlignment="0" applyProtection="0"/>
    <xf numFmtId="0" fontId="42" fillId="42" borderId="0" applyNumberFormat="0" applyBorder="0" applyAlignment="0" applyProtection="0"/>
    <xf numFmtId="0" fontId="43" fillId="43" borderId="0" applyNumberFormat="0" applyBorder="0" applyAlignment="0" applyProtection="0"/>
    <xf numFmtId="0" fontId="42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40" fillId="42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21" fillId="44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42" borderId="0" applyNumberFormat="0" applyBorder="0" applyAlignment="0" applyProtection="0"/>
    <xf numFmtId="0" fontId="40" fillId="42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0" fillId="45" borderId="0" applyNumberFormat="0" applyBorder="0" applyAlignment="0" applyProtection="0"/>
    <xf numFmtId="0" fontId="41" fillId="45" borderId="0" applyNumberFormat="0" applyBorder="0" applyAlignment="0" applyProtection="0"/>
    <xf numFmtId="0" fontId="42" fillId="18" borderId="0" applyNumberFormat="0" applyBorder="0" applyAlignment="0" applyProtection="0"/>
    <xf numFmtId="0" fontId="42" fillId="45" borderId="0" applyNumberFormat="0" applyBorder="0" applyAlignment="0" applyProtection="0"/>
    <xf numFmtId="0" fontId="43" fillId="46" borderId="0" applyNumberFormat="0" applyBorder="0" applyAlignment="0" applyProtection="0"/>
    <xf numFmtId="0" fontId="42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40" fillId="45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21" fillId="47" borderId="0" applyNumberFormat="0" applyBorder="0" applyAlignment="0" applyProtection="0"/>
    <xf numFmtId="0" fontId="40" fillId="46" borderId="0" applyNumberFormat="0" applyBorder="0" applyAlignment="0" applyProtection="0"/>
    <xf numFmtId="0" fontId="40" fillId="46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45" borderId="0" applyNumberFormat="0" applyBorder="0" applyAlignment="0" applyProtection="0"/>
    <xf numFmtId="0" fontId="40" fillId="45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0" fillId="39" borderId="0" applyNumberFormat="0" applyBorder="0" applyAlignment="0" applyProtection="0"/>
    <xf numFmtId="0" fontId="41" fillId="39" borderId="0" applyNumberFormat="0" applyBorder="0" applyAlignment="0" applyProtection="0"/>
    <xf numFmtId="0" fontId="42" fillId="22" borderId="0" applyNumberFormat="0" applyBorder="0" applyAlignment="0" applyProtection="0"/>
    <xf numFmtId="0" fontId="42" fillId="39" borderId="0" applyNumberFormat="0" applyBorder="0" applyAlignment="0" applyProtection="0"/>
    <xf numFmtId="0" fontId="43" fillId="48" borderId="0" applyNumberFormat="0" applyBorder="0" applyAlignment="0" applyProtection="0"/>
    <xf numFmtId="0" fontId="42" fillId="48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40" fillId="39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21" fillId="49" borderId="0" applyNumberFormat="0" applyBorder="0" applyAlignment="0" applyProtection="0"/>
    <xf numFmtId="0" fontId="40" fillId="48" borderId="0" applyNumberFormat="0" applyBorder="0" applyAlignment="0" applyProtection="0"/>
    <xf numFmtId="0" fontId="40" fillId="48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39" borderId="0" applyNumberFormat="0" applyBorder="0" applyAlignment="0" applyProtection="0"/>
    <xf numFmtId="0" fontId="40" fillId="39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0" fillId="50" borderId="0" applyNumberFormat="0" applyBorder="0" applyAlignment="0" applyProtection="0"/>
    <xf numFmtId="0" fontId="41" fillId="50" borderId="0" applyNumberFormat="0" applyBorder="0" applyAlignment="0" applyProtection="0"/>
    <xf numFmtId="0" fontId="42" fillId="26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40" fillId="50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21" fillId="51" borderId="0" applyNumberFormat="0" applyBorder="0" applyAlignment="0" applyProtection="0"/>
    <xf numFmtId="0" fontId="40" fillId="50" borderId="0" applyNumberFormat="0" applyBorder="0" applyAlignment="0" applyProtection="0"/>
    <xf numFmtId="0" fontId="40" fillId="50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0" fillId="45" borderId="0" applyNumberFormat="0" applyBorder="0" applyAlignment="0" applyProtection="0"/>
    <xf numFmtId="0" fontId="41" fillId="45" borderId="0" applyNumberFormat="0" applyBorder="0" applyAlignment="0" applyProtection="0"/>
    <xf numFmtId="0" fontId="42" fillId="30" borderId="0" applyNumberFormat="0" applyBorder="0" applyAlignment="0" applyProtection="0"/>
    <xf numFmtId="0" fontId="42" fillId="45" borderId="0" applyNumberFormat="0" applyBorder="0" applyAlignment="0" applyProtection="0"/>
    <xf numFmtId="0" fontId="43" fillId="39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40" fillId="45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21" fillId="52" borderId="0" applyNumberFormat="0" applyBorder="0" applyAlignment="0" applyProtection="0"/>
    <xf numFmtId="0" fontId="40" fillId="39" borderId="0" applyNumberFormat="0" applyBorder="0" applyAlignment="0" applyProtection="0"/>
    <xf numFmtId="0" fontId="40" fillId="39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45" borderId="0" applyNumberFormat="0" applyBorder="0" applyAlignment="0" applyProtection="0"/>
    <xf numFmtId="0" fontId="40" fillId="45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0" fillId="53" borderId="0" applyNumberFormat="0" applyBorder="0" applyAlignment="0" applyProtection="0"/>
    <xf numFmtId="0" fontId="41" fillId="50" borderId="0" applyNumberFormat="0" applyBorder="0" applyAlignment="0" applyProtection="0"/>
    <xf numFmtId="0" fontId="42" fillId="11" borderId="0" applyNumberFormat="0" applyBorder="0" applyAlignment="0" applyProtection="0"/>
    <xf numFmtId="0" fontId="42" fillId="50" borderId="0" applyNumberFormat="0" applyBorder="0" applyAlignment="0" applyProtection="0"/>
    <xf numFmtId="0" fontId="43" fillId="38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40" fillId="5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21" fillId="54" borderId="0" applyNumberFormat="0" applyBorder="0" applyAlignment="0" applyProtection="0"/>
    <xf numFmtId="0" fontId="40" fillId="38" borderId="0" applyNumberFormat="0" applyBorder="0" applyAlignment="0" applyProtection="0"/>
    <xf numFmtId="0" fontId="40" fillId="38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50" borderId="0" applyNumberFormat="0" applyBorder="0" applyAlignment="0" applyProtection="0"/>
    <xf numFmtId="0" fontId="40" fillId="5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0" fillId="42" borderId="0" applyNumberFormat="0" applyBorder="0" applyAlignment="0" applyProtection="0"/>
    <xf numFmtId="0" fontId="41" fillId="42" borderId="0" applyNumberFormat="0" applyBorder="0" applyAlignment="0" applyProtection="0"/>
    <xf numFmtId="0" fontId="42" fillId="1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40" fillId="42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21" fillId="55" borderId="0" applyNumberFormat="0" applyBorder="0" applyAlignment="0" applyProtection="0"/>
    <xf numFmtId="0" fontId="40" fillId="42" borderId="0" applyNumberFormat="0" applyBorder="0" applyAlignment="0" applyProtection="0"/>
    <xf numFmtId="0" fontId="40" fillId="42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0" fillId="37" borderId="0" applyNumberFormat="0" applyBorder="0" applyAlignment="0" applyProtection="0"/>
    <xf numFmtId="0" fontId="41" fillId="37" borderId="0" applyNumberFormat="0" applyBorder="0" applyAlignment="0" applyProtection="0"/>
    <xf numFmtId="0" fontId="42" fillId="19" borderId="0" applyNumberFormat="0" applyBorder="0" applyAlignment="0" applyProtection="0"/>
    <xf numFmtId="0" fontId="42" fillId="37" borderId="0" applyNumberFormat="0" applyBorder="0" applyAlignment="0" applyProtection="0"/>
    <xf numFmtId="0" fontId="43" fillId="56" borderId="0" applyNumberFormat="0" applyBorder="0" applyAlignment="0" applyProtection="0"/>
    <xf numFmtId="0" fontId="42" fillId="56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40" fillId="37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21" fillId="57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37" borderId="0" applyNumberFormat="0" applyBorder="0" applyAlignment="0" applyProtection="0"/>
    <xf numFmtId="0" fontId="40" fillId="37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37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0" fillId="53" borderId="0" applyNumberFormat="0" applyBorder="0" applyAlignment="0" applyProtection="0"/>
    <xf numFmtId="0" fontId="41" fillId="43" borderId="0" applyNumberFormat="0" applyBorder="0" applyAlignment="0" applyProtection="0"/>
    <xf numFmtId="0" fontId="42" fillId="23" borderId="0" applyNumberFormat="0" applyBorder="0" applyAlignment="0" applyProtection="0"/>
    <xf numFmtId="0" fontId="42" fillId="43" borderId="0" applyNumberFormat="0" applyBorder="0" applyAlignment="0" applyProtection="0"/>
    <xf numFmtId="0" fontId="43" fillId="48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40" fillId="4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21" fillId="49" borderId="0" applyNumberFormat="0" applyBorder="0" applyAlignment="0" applyProtection="0"/>
    <xf numFmtId="0" fontId="40" fillId="48" borderId="0" applyNumberFormat="0" applyBorder="0" applyAlignment="0" applyProtection="0"/>
    <xf numFmtId="0" fontId="40" fillId="48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43" borderId="0" applyNumberFormat="0" applyBorder="0" applyAlignment="0" applyProtection="0"/>
    <xf numFmtId="0" fontId="40" fillId="4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0" fillId="38" borderId="0" applyNumberFormat="0" applyBorder="0" applyAlignment="0" applyProtection="0"/>
    <xf numFmtId="0" fontId="41" fillId="50" borderId="0" applyNumberFormat="0" applyBorder="0" applyAlignment="0" applyProtection="0"/>
    <xf numFmtId="0" fontId="42" fillId="27" borderId="0" applyNumberFormat="0" applyBorder="0" applyAlignment="0" applyProtection="0"/>
    <xf numFmtId="0" fontId="42" fillId="50" borderId="0" applyNumberFormat="0" applyBorder="0" applyAlignment="0" applyProtection="0"/>
    <xf numFmtId="0" fontId="43" fillId="38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40" fillId="50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21" fillId="54" borderId="0" applyNumberFormat="0" applyBorder="0" applyAlignment="0" applyProtection="0"/>
    <xf numFmtId="0" fontId="40" fillId="38" borderId="0" applyNumberFormat="0" applyBorder="0" applyAlignment="0" applyProtection="0"/>
    <xf numFmtId="0" fontId="40" fillId="38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50" borderId="0" applyNumberFormat="0" applyBorder="0" applyAlignment="0" applyProtection="0"/>
    <xf numFmtId="0" fontId="40" fillId="50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0" fillId="37" borderId="0" applyNumberFormat="0" applyBorder="0" applyAlignment="0" applyProtection="0"/>
    <xf numFmtId="0" fontId="41" fillId="45" borderId="0" applyNumberFormat="0" applyBorder="0" applyAlignment="0" applyProtection="0"/>
    <xf numFmtId="0" fontId="42" fillId="31" borderId="0" applyNumberFormat="0" applyBorder="0" applyAlignment="0" applyProtection="0"/>
    <xf numFmtId="0" fontId="42" fillId="45" borderId="0" applyNumberFormat="0" applyBorder="0" applyAlignment="0" applyProtection="0"/>
    <xf numFmtId="0" fontId="43" fillId="58" borderId="0" applyNumberFormat="0" applyBorder="0" applyAlignment="0" applyProtection="0"/>
    <xf numFmtId="0" fontId="21" fillId="59" borderId="0" applyNumberFormat="0" applyBorder="0" applyAlignment="0" applyProtection="0"/>
    <xf numFmtId="0" fontId="21" fillId="59" borderId="0" applyNumberFormat="0" applyBorder="0" applyAlignment="0" applyProtection="0"/>
    <xf numFmtId="0" fontId="40" fillId="45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21" fillId="59" borderId="0" applyNumberFormat="0" applyBorder="0" applyAlignment="0" applyProtection="0"/>
    <xf numFmtId="0" fontId="40" fillId="58" borderId="0" applyNumberFormat="0" applyBorder="0" applyAlignment="0" applyProtection="0"/>
    <xf numFmtId="0" fontId="40" fillId="58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45" borderId="0" applyNumberFormat="0" applyBorder="0" applyAlignment="0" applyProtection="0"/>
    <xf numFmtId="0" fontId="40" fillId="45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4" fillId="45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44" fillId="60" borderId="0" applyNumberFormat="0" applyBorder="0" applyAlignment="0" applyProtection="0"/>
    <xf numFmtId="0" fontId="45" fillId="50" borderId="0" applyNumberFormat="0" applyBorder="0" applyAlignment="0" applyProtection="0"/>
    <xf numFmtId="0" fontId="46" fillId="12" borderId="0" applyNumberFormat="0" applyBorder="0" applyAlignment="0" applyProtection="0"/>
    <xf numFmtId="0" fontId="46" fillId="50" borderId="0" applyNumberFormat="0" applyBorder="0" applyAlignment="0" applyProtection="0"/>
    <xf numFmtId="0" fontId="47" fillId="61" borderId="0" applyNumberFormat="0" applyBorder="0" applyAlignment="0" applyProtection="0"/>
    <xf numFmtId="0" fontId="21" fillId="62" borderId="0" applyNumberFormat="0" applyBorder="0" applyAlignment="0" applyProtection="0"/>
    <xf numFmtId="0" fontId="21" fillId="62" borderId="0" applyNumberFormat="0" applyBorder="0" applyAlignment="0" applyProtection="0"/>
    <xf numFmtId="0" fontId="44" fillId="50" borderId="0" applyNumberFormat="0" applyBorder="0" applyAlignment="0" applyProtection="0"/>
    <xf numFmtId="0" fontId="20" fillId="12" borderId="0" applyNumberFormat="0" applyBorder="0" applyAlignment="0" applyProtection="0"/>
    <xf numFmtId="0" fontId="21" fillId="62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20" fillId="12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44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44" fillId="42" borderId="0" applyNumberFormat="0" applyBorder="0" applyAlignment="0" applyProtection="0"/>
    <xf numFmtId="0" fontId="45" fillId="63" borderId="0" applyNumberFormat="0" applyBorder="0" applyAlignment="0" applyProtection="0"/>
    <xf numFmtId="0" fontId="46" fillId="16" borderId="0" applyNumberFormat="0" applyBorder="0" applyAlignment="0" applyProtection="0"/>
    <xf numFmtId="0" fontId="46" fillId="63" borderId="0" applyNumberFormat="0" applyBorder="0" applyAlignment="0" applyProtection="0"/>
    <xf numFmtId="0" fontId="47" fillId="42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44" fillId="63" borderId="0" applyNumberFormat="0" applyBorder="0" applyAlignment="0" applyProtection="0"/>
    <xf numFmtId="0" fontId="20" fillId="16" borderId="0" applyNumberFormat="0" applyBorder="0" applyAlignment="0" applyProtection="0"/>
    <xf numFmtId="0" fontId="21" fillId="55" borderId="0" applyNumberFormat="0" applyBorder="0" applyAlignment="0" applyProtection="0"/>
    <xf numFmtId="0" fontId="44" fillId="42" borderId="0" applyNumberFormat="0" applyBorder="0" applyAlignment="0" applyProtection="0"/>
    <xf numFmtId="0" fontId="44" fillId="42" borderId="0" applyNumberFormat="0" applyBorder="0" applyAlignment="0" applyProtection="0"/>
    <xf numFmtId="0" fontId="20" fillId="16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44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58" borderId="0" applyNumberFormat="0" applyBorder="0" applyAlignment="0" applyProtection="0"/>
    <xf numFmtId="0" fontId="20" fillId="58" borderId="0" applyNumberFormat="0" applyBorder="0" applyAlignment="0" applyProtection="0"/>
    <xf numFmtId="0" fontId="44" fillId="37" borderId="0" applyNumberFormat="0" applyBorder="0" applyAlignment="0" applyProtection="0"/>
    <xf numFmtId="0" fontId="45" fillId="58" borderId="0" applyNumberFormat="0" applyBorder="0" applyAlignment="0" applyProtection="0"/>
    <xf numFmtId="0" fontId="46" fillId="20" borderId="0" applyNumberFormat="0" applyBorder="0" applyAlignment="0" applyProtection="0"/>
    <xf numFmtId="0" fontId="46" fillId="58" borderId="0" applyNumberFormat="0" applyBorder="0" applyAlignment="0" applyProtection="0"/>
    <xf numFmtId="0" fontId="47" fillId="56" borderId="0" applyNumberFormat="0" applyBorder="0" applyAlignment="0" applyProtection="0"/>
    <xf numFmtId="0" fontId="46" fillId="56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44" fillId="58" borderId="0" applyNumberFormat="0" applyBorder="0" applyAlignment="0" applyProtection="0"/>
    <xf numFmtId="0" fontId="20" fillId="20" borderId="0" applyNumberFormat="0" applyBorder="0" applyAlignment="0" applyProtection="0"/>
    <xf numFmtId="0" fontId="21" fillId="57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20" fillId="20" borderId="0" applyNumberFormat="0" applyBorder="0" applyAlignment="0" applyProtection="0"/>
    <xf numFmtId="0" fontId="20" fillId="58" borderId="0" applyNumberFormat="0" applyBorder="0" applyAlignment="0" applyProtection="0"/>
    <xf numFmtId="0" fontId="20" fillId="58" borderId="0" applyNumberFormat="0" applyBorder="0" applyAlignment="0" applyProtection="0"/>
    <xf numFmtId="0" fontId="44" fillId="58" borderId="0" applyNumberFormat="0" applyBorder="0" applyAlignment="0" applyProtection="0"/>
    <xf numFmtId="0" fontId="20" fillId="58" borderId="0" applyNumberFormat="0" applyBorder="0" applyAlignment="0" applyProtection="0"/>
    <xf numFmtId="0" fontId="20" fillId="58" borderId="0" applyNumberFormat="0" applyBorder="0" applyAlignment="0" applyProtection="0"/>
    <xf numFmtId="0" fontId="20" fillId="58" borderId="0" applyNumberFormat="0" applyBorder="0" applyAlignment="0" applyProtection="0"/>
    <xf numFmtId="0" fontId="20" fillId="58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44" fillId="53" borderId="0" applyNumberFormat="0" applyBorder="0" applyAlignment="0" applyProtection="0"/>
    <xf numFmtId="0" fontId="45" fillId="43" borderId="0" applyNumberFormat="0" applyBorder="0" applyAlignment="0" applyProtection="0"/>
    <xf numFmtId="0" fontId="46" fillId="24" borderId="0" applyNumberFormat="0" applyBorder="0" applyAlignment="0" applyProtection="0"/>
    <xf numFmtId="0" fontId="46" fillId="43" borderId="0" applyNumberFormat="0" applyBorder="0" applyAlignment="0" applyProtection="0"/>
    <xf numFmtId="0" fontId="47" fillId="64" borderId="0" applyNumberFormat="0" applyBorder="0" applyAlignment="0" applyProtection="0"/>
    <xf numFmtId="0" fontId="46" fillId="64" borderId="0" applyNumberFormat="0" applyBorder="0" applyAlignment="0" applyProtection="0"/>
    <xf numFmtId="0" fontId="21" fillId="65" borderId="0" applyNumberFormat="0" applyBorder="0" applyAlignment="0" applyProtection="0"/>
    <xf numFmtId="0" fontId="21" fillId="65" borderId="0" applyNumberFormat="0" applyBorder="0" applyAlignment="0" applyProtection="0"/>
    <xf numFmtId="0" fontId="44" fillId="43" borderId="0" applyNumberFormat="0" applyBorder="0" applyAlignment="0" applyProtection="0"/>
    <xf numFmtId="0" fontId="20" fillId="24" borderId="0" applyNumberFormat="0" applyBorder="0" applyAlignment="0" applyProtection="0"/>
    <xf numFmtId="0" fontId="21" fillId="65" borderId="0" applyNumberFormat="0" applyBorder="0" applyAlignment="0" applyProtection="0"/>
    <xf numFmtId="0" fontId="44" fillId="64" borderId="0" applyNumberFormat="0" applyBorder="0" applyAlignment="0" applyProtection="0"/>
    <xf numFmtId="0" fontId="44" fillId="64" borderId="0" applyNumberFormat="0" applyBorder="0" applyAlignment="0" applyProtection="0"/>
    <xf numFmtId="0" fontId="20" fillId="24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44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44" fillId="60" borderId="0" applyNumberFormat="0" applyBorder="0" applyAlignment="0" applyProtection="0"/>
    <xf numFmtId="0" fontId="45" fillId="50" borderId="0" applyNumberFormat="0" applyBorder="0" applyAlignment="0" applyProtection="0"/>
    <xf numFmtId="0" fontId="46" fillId="28" borderId="0" applyNumberFormat="0" applyBorder="0" applyAlignment="0" applyProtection="0"/>
    <xf numFmtId="0" fontId="46" fillId="50" borderId="0" applyNumberFormat="0" applyBorder="0" applyAlignment="0" applyProtection="0"/>
    <xf numFmtId="0" fontId="47" fillId="60" borderId="0" applyNumberFormat="0" applyBorder="0" applyAlignment="0" applyProtection="0"/>
    <xf numFmtId="0" fontId="21" fillId="66" borderId="0" applyNumberFormat="0" applyBorder="0" applyAlignment="0" applyProtection="0"/>
    <xf numFmtId="0" fontId="21" fillId="66" borderId="0" applyNumberFormat="0" applyBorder="0" applyAlignment="0" applyProtection="0"/>
    <xf numFmtId="0" fontId="44" fillId="50" borderId="0" applyNumberFormat="0" applyBorder="0" applyAlignment="0" applyProtection="0"/>
    <xf numFmtId="0" fontId="20" fillId="28" borderId="0" applyNumberFormat="0" applyBorder="0" applyAlignment="0" applyProtection="0"/>
    <xf numFmtId="0" fontId="21" fillId="66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20" fillId="28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44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50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44" fillId="42" borderId="0" applyNumberFormat="0" applyBorder="0" applyAlignment="0" applyProtection="0"/>
    <xf numFmtId="0" fontId="45" fillId="42" borderId="0" applyNumberFormat="0" applyBorder="0" applyAlignment="0" applyProtection="0"/>
    <xf numFmtId="0" fontId="46" fillId="32" borderId="0" applyNumberFormat="0" applyBorder="0" applyAlignment="0" applyProtection="0"/>
    <xf numFmtId="0" fontId="46" fillId="42" borderId="0" applyNumberFormat="0" applyBorder="0" applyAlignment="0" applyProtection="0"/>
    <xf numFmtId="0" fontId="47" fillId="67" borderId="0" applyNumberFormat="0" applyBorder="0" applyAlignment="0" applyProtection="0"/>
    <xf numFmtId="0" fontId="46" fillId="67" borderId="0" applyNumberFormat="0" applyBorder="0" applyAlignment="0" applyProtection="0"/>
    <xf numFmtId="0" fontId="21" fillId="68" borderId="0" applyNumberFormat="0" applyBorder="0" applyAlignment="0" applyProtection="0"/>
    <xf numFmtId="0" fontId="21" fillId="68" borderId="0" applyNumberFormat="0" applyBorder="0" applyAlignment="0" applyProtection="0"/>
    <xf numFmtId="0" fontId="44" fillId="42" borderId="0" applyNumberFormat="0" applyBorder="0" applyAlignment="0" applyProtection="0"/>
    <xf numFmtId="0" fontId="20" fillId="32" borderId="0" applyNumberFormat="0" applyBorder="0" applyAlignment="0" applyProtection="0"/>
    <xf numFmtId="0" fontId="21" fillId="68" borderId="0" applyNumberFormat="0" applyBorder="0" applyAlignment="0" applyProtection="0"/>
    <xf numFmtId="0" fontId="44" fillId="67" borderId="0" applyNumberFormat="0" applyBorder="0" applyAlignment="0" applyProtection="0"/>
    <xf numFmtId="0" fontId="44" fillId="67" borderId="0" applyNumberFormat="0" applyBorder="0" applyAlignment="0" applyProtection="0"/>
    <xf numFmtId="0" fontId="20" fillId="3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44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174" fontId="38" fillId="0" borderId="22">
      <alignment horizontal="right"/>
    </xf>
    <xf numFmtId="0" fontId="20" fillId="69" borderId="0" applyNumberFormat="0" applyBorder="0" applyAlignment="0" applyProtection="0"/>
    <xf numFmtId="0" fontId="20" fillId="69" borderId="0" applyNumberFormat="0" applyBorder="0" applyAlignment="0" applyProtection="0"/>
    <xf numFmtId="0" fontId="44" fillId="60" borderId="0" applyNumberFormat="0" applyBorder="0" applyAlignment="0" applyProtection="0"/>
    <xf numFmtId="0" fontId="45" fillId="69" borderId="0" applyNumberFormat="0" applyBorder="0" applyAlignment="0" applyProtection="0"/>
    <xf numFmtId="0" fontId="46" fillId="9" borderId="0" applyNumberFormat="0" applyBorder="0" applyAlignment="0" applyProtection="0"/>
    <xf numFmtId="0" fontId="46" fillId="69" borderId="0" applyNumberFormat="0" applyBorder="0" applyAlignment="0" applyProtection="0"/>
    <xf numFmtId="0" fontId="47" fillId="70" borderId="0" applyNumberFormat="0" applyBorder="0" applyAlignment="0" applyProtection="0"/>
    <xf numFmtId="0" fontId="21" fillId="71" borderId="0" applyNumberFormat="0" applyBorder="0" applyAlignment="0" applyProtection="0"/>
    <xf numFmtId="0" fontId="21" fillId="71" borderId="0" applyNumberFormat="0" applyBorder="0" applyAlignment="0" applyProtection="0"/>
    <xf numFmtId="0" fontId="44" fillId="69" borderId="0" applyNumberFormat="0" applyBorder="0" applyAlignment="0" applyProtection="0"/>
    <xf numFmtId="0" fontId="20" fillId="9" borderId="0" applyNumberFormat="0" applyBorder="0" applyAlignment="0" applyProtection="0"/>
    <xf numFmtId="0" fontId="21" fillId="71" borderId="0" applyNumberFormat="0" applyBorder="0" applyAlignment="0" applyProtection="0"/>
    <xf numFmtId="0" fontId="44" fillId="70" borderId="0" applyNumberFormat="0" applyBorder="0" applyAlignment="0" applyProtection="0"/>
    <xf numFmtId="0" fontId="44" fillId="70" borderId="0" applyNumberFormat="0" applyBorder="0" applyAlignment="0" applyProtection="0"/>
    <xf numFmtId="0" fontId="20" fillId="9" borderId="0" applyNumberFormat="0" applyBorder="0" applyAlignment="0" applyProtection="0"/>
    <xf numFmtId="0" fontId="20" fillId="69" borderId="0" applyNumberFormat="0" applyBorder="0" applyAlignment="0" applyProtection="0"/>
    <xf numFmtId="0" fontId="20" fillId="69" borderId="0" applyNumberFormat="0" applyBorder="0" applyAlignment="0" applyProtection="0"/>
    <xf numFmtId="0" fontId="44" fillId="69" borderId="0" applyNumberFormat="0" applyBorder="0" applyAlignment="0" applyProtection="0"/>
    <xf numFmtId="0" fontId="20" fillId="69" borderId="0" applyNumberFormat="0" applyBorder="0" applyAlignment="0" applyProtection="0"/>
    <xf numFmtId="0" fontId="20" fillId="69" borderId="0" applyNumberFormat="0" applyBorder="0" applyAlignment="0" applyProtection="0"/>
    <xf numFmtId="0" fontId="20" fillId="69" borderId="0" applyNumberFormat="0" applyBorder="0" applyAlignment="0" applyProtection="0"/>
    <xf numFmtId="0" fontId="20" fillId="69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44" fillId="72" borderId="0" applyNumberFormat="0" applyBorder="0" applyAlignment="0" applyProtection="0"/>
    <xf numFmtId="0" fontId="45" fillId="63" borderId="0" applyNumberFormat="0" applyBorder="0" applyAlignment="0" applyProtection="0"/>
    <xf numFmtId="0" fontId="46" fillId="13" borderId="0" applyNumberFormat="0" applyBorder="0" applyAlignment="0" applyProtection="0"/>
    <xf numFmtId="0" fontId="46" fillId="63" borderId="0" applyNumberFormat="0" applyBorder="0" applyAlignment="0" applyProtection="0"/>
    <xf numFmtId="0" fontId="47" fillId="72" borderId="0" applyNumberFormat="0" applyBorder="0" applyAlignment="0" applyProtection="0"/>
    <xf numFmtId="0" fontId="21" fillId="73" borderId="0" applyNumberFormat="0" applyBorder="0" applyAlignment="0" applyProtection="0"/>
    <xf numFmtId="0" fontId="21" fillId="73" borderId="0" applyNumberFormat="0" applyBorder="0" applyAlignment="0" applyProtection="0"/>
    <xf numFmtId="0" fontId="44" fillId="63" borderId="0" applyNumberFormat="0" applyBorder="0" applyAlignment="0" applyProtection="0"/>
    <xf numFmtId="0" fontId="20" fillId="13" borderId="0" applyNumberFormat="0" applyBorder="0" applyAlignment="0" applyProtection="0"/>
    <xf numFmtId="0" fontId="21" fillId="73" borderId="0" applyNumberFormat="0" applyBorder="0" applyAlignment="0" applyProtection="0"/>
    <xf numFmtId="0" fontId="44" fillId="72" borderId="0" applyNumberFormat="0" applyBorder="0" applyAlignment="0" applyProtection="0"/>
    <xf numFmtId="0" fontId="44" fillId="72" borderId="0" applyNumberFormat="0" applyBorder="0" applyAlignment="0" applyProtection="0"/>
    <xf numFmtId="0" fontId="20" fillId="1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44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58" borderId="0" applyNumberFormat="0" applyBorder="0" applyAlignment="0" applyProtection="0"/>
    <xf numFmtId="0" fontId="20" fillId="58" borderId="0" applyNumberFormat="0" applyBorder="0" applyAlignment="0" applyProtection="0"/>
    <xf numFmtId="0" fontId="44" fillId="74" borderId="0" applyNumberFormat="0" applyBorder="0" applyAlignment="0" applyProtection="0"/>
    <xf numFmtId="0" fontId="45" fillId="58" borderId="0" applyNumberFormat="0" applyBorder="0" applyAlignment="0" applyProtection="0"/>
    <xf numFmtId="0" fontId="46" fillId="17" borderId="0" applyNumberFormat="0" applyBorder="0" applyAlignment="0" applyProtection="0"/>
    <xf numFmtId="0" fontId="46" fillId="58" borderId="0" applyNumberFormat="0" applyBorder="0" applyAlignment="0" applyProtection="0"/>
    <xf numFmtId="0" fontId="47" fillId="74" borderId="0" applyNumberFormat="0" applyBorder="0" applyAlignment="0" applyProtection="0"/>
    <xf numFmtId="0" fontId="21" fillId="75" borderId="0" applyNumberFormat="0" applyBorder="0" applyAlignment="0" applyProtection="0"/>
    <xf numFmtId="0" fontId="21" fillId="75" borderId="0" applyNumberFormat="0" applyBorder="0" applyAlignment="0" applyProtection="0"/>
    <xf numFmtId="0" fontId="44" fillId="58" borderId="0" applyNumberFormat="0" applyBorder="0" applyAlignment="0" applyProtection="0"/>
    <xf numFmtId="0" fontId="20" fillId="17" borderId="0" applyNumberFormat="0" applyBorder="0" applyAlignment="0" applyProtection="0"/>
    <xf numFmtId="0" fontId="21" fillId="75" borderId="0" applyNumberFormat="0" applyBorder="0" applyAlignment="0" applyProtection="0"/>
    <xf numFmtId="0" fontId="44" fillId="74" borderId="0" applyNumberFormat="0" applyBorder="0" applyAlignment="0" applyProtection="0"/>
    <xf numFmtId="0" fontId="44" fillId="74" borderId="0" applyNumberFormat="0" applyBorder="0" applyAlignment="0" applyProtection="0"/>
    <xf numFmtId="0" fontId="20" fillId="17" borderId="0" applyNumberFormat="0" applyBorder="0" applyAlignment="0" applyProtection="0"/>
    <xf numFmtId="0" fontId="20" fillId="58" borderId="0" applyNumberFormat="0" applyBorder="0" applyAlignment="0" applyProtection="0"/>
    <xf numFmtId="0" fontId="20" fillId="58" borderId="0" applyNumberFormat="0" applyBorder="0" applyAlignment="0" applyProtection="0"/>
    <xf numFmtId="0" fontId="44" fillId="58" borderId="0" applyNumberFormat="0" applyBorder="0" applyAlignment="0" applyProtection="0"/>
    <xf numFmtId="0" fontId="20" fillId="58" borderId="0" applyNumberFormat="0" applyBorder="0" applyAlignment="0" applyProtection="0"/>
    <xf numFmtId="0" fontId="20" fillId="58" borderId="0" applyNumberFormat="0" applyBorder="0" applyAlignment="0" applyProtection="0"/>
    <xf numFmtId="0" fontId="20" fillId="58" borderId="0" applyNumberFormat="0" applyBorder="0" applyAlignment="0" applyProtection="0"/>
    <xf numFmtId="0" fontId="20" fillId="58" borderId="0" applyNumberFormat="0" applyBorder="0" applyAlignment="0" applyProtection="0"/>
    <xf numFmtId="0" fontId="20" fillId="76" borderId="0" applyNumberFormat="0" applyBorder="0" applyAlignment="0" applyProtection="0"/>
    <xf numFmtId="0" fontId="20" fillId="76" borderId="0" applyNumberFormat="0" applyBorder="0" applyAlignment="0" applyProtection="0"/>
    <xf numFmtId="0" fontId="44" fillId="76" borderId="0" applyNumberFormat="0" applyBorder="0" applyAlignment="0" applyProtection="0"/>
    <xf numFmtId="0" fontId="45" fillId="76" borderId="0" applyNumberFormat="0" applyBorder="0" applyAlignment="0" applyProtection="0"/>
    <xf numFmtId="0" fontId="46" fillId="21" borderId="0" applyNumberFormat="0" applyBorder="0" applyAlignment="0" applyProtection="0"/>
    <xf numFmtId="0" fontId="46" fillId="76" borderId="0" applyNumberFormat="0" applyBorder="0" applyAlignment="0" applyProtection="0"/>
    <xf numFmtId="0" fontId="47" fillId="64" borderId="0" applyNumberFormat="0" applyBorder="0" applyAlignment="0" applyProtection="0"/>
    <xf numFmtId="0" fontId="21" fillId="65" borderId="0" applyNumberFormat="0" applyBorder="0" applyAlignment="0" applyProtection="0"/>
    <xf numFmtId="0" fontId="21" fillId="65" borderId="0" applyNumberFormat="0" applyBorder="0" applyAlignment="0" applyProtection="0"/>
    <xf numFmtId="0" fontId="44" fillId="76" borderId="0" applyNumberFormat="0" applyBorder="0" applyAlignment="0" applyProtection="0"/>
    <xf numFmtId="0" fontId="20" fillId="21" borderId="0" applyNumberFormat="0" applyBorder="0" applyAlignment="0" applyProtection="0"/>
    <xf numFmtId="0" fontId="21" fillId="65" borderId="0" applyNumberFormat="0" applyBorder="0" applyAlignment="0" applyProtection="0"/>
    <xf numFmtId="0" fontId="44" fillId="64" borderId="0" applyNumberFormat="0" applyBorder="0" applyAlignment="0" applyProtection="0"/>
    <xf numFmtId="0" fontId="44" fillId="64" borderId="0" applyNumberFormat="0" applyBorder="0" applyAlignment="0" applyProtection="0"/>
    <xf numFmtId="0" fontId="20" fillId="21" borderId="0" applyNumberFormat="0" applyBorder="0" applyAlignment="0" applyProtection="0"/>
    <xf numFmtId="0" fontId="20" fillId="76" borderId="0" applyNumberFormat="0" applyBorder="0" applyAlignment="0" applyProtection="0"/>
    <xf numFmtId="0" fontId="20" fillId="76" borderId="0" applyNumberFormat="0" applyBorder="0" applyAlignment="0" applyProtection="0"/>
    <xf numFmtId="0" fontId="44" fillId="76" borderId="0" applyNumberFormat="0" applyBorder="0" applyAlignment="0" applyProtection="0"/>
    <xf numFmtId="0" fontId="20" fillId="76" borderId="0" applyNumberFormat="0" applyBorder="0" applyAlignment="0" applyProtection="0"/>
    <xf numFmtId="0" fontId="20" fillId="76" borderId="0" applyNumberFormat="0" applyBorder="0" applyAlignment="0" applyProtection="0"/>
    <xf numFmtId="0" fontId="20" fillId="76" borderId="0" applyNumberFormat="0" applyBorder="0" applyAlignment="0" applyProtection="0"/>
    <xf numFmtId="0" fontId="20" fillId="76" borderId="0" applyNumberFormat="0" applyBorder="0" applyAlignment="0" applyProtection="0"/>
    <xf numFmtId="0" fontId="20" fillId="25" borderId="0" applyNumberFormat="0" applyBorder="0" applyAlignment="0" applyProtection="0"/>
    <xf numFmtId="0" fontId="44" fillId="60" borderId="0" applyNumberFormat="0" applyBorder="0" applyAlignment="0" applyProtection="0"/>
    <xf numFmtId="0" fontId="45" fillId="60" borderId="0" applyNumberFormat="0" applyBorder="0" applyAlignment="0" applyProtection="0"/>
    <xf numFmtId="0" fontId="46" fillId="25" borderId="0" applyNumberFormat="0" applyBorder="0" applyAlignment="0" applyProtection="0"/>
    <xf numFmtId="0" fontId="21" fillId="66" borderId="0" applyNumberFormat="0" applyBorder="0" applyAlignment="0" applyProtection="0"/>
    <xf numFmtId="0" fontId="21" fillId="66" borderId="0" applyNumberFormat="0" applyBorder="0" applyAlignment="0" applyProtection="0"/>
    <xf numFmtId="0" fontId="44" fillId="60" borderId="0" applyNumberFormat="0" applyBorder="0" applyAlignment="0" applyProtection="0"/>
    <xf numFmtId="0" fontId="20" fillId="25" borderId="0" applyNumberFormat="0" applyBorder="0" applyAlignment="0" applyProtection="0"/>
    <xf numFmtId="0" fontId="21" fillId="66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72" borderId="0" applyNumberFormat="0" applyBorder="0" applyAlignment="0" applyProtection="0"/>
    <xf numFmtId="0" fontId="20" fillId="72" borderId="0" applyNumberFormat="0" applyBorder="0" applyAlignment="0" applyProtection="0"/>
    <xf numFmtId="0" fontId="44" fillId="63" borderId="0" applyNumberFormat="0" applyBorder="0" applyAlignment="0" applyProtection="0"/>
    <xf numFmtId="0" fontId="45" fillId="72" borderId="0" applyNumberFormat="0" applyBorder="0" applyAlignment="0" applyProtection="0"/>
    <xf numFmtId="0" fontId="46" fillId="29" borderId="0" applyNumberFormat="0" applyBorder="0" applyAlignment="0" applyProtection="0"/>
    <xf numFmtId="0" fontId="46" fillId="72" borderId="0" applyNumberFormat="0" applyBorder="0" applyAlignment="0" applyProtection="0"/>
    <xf numFmtId="0" fontId="47" fillId="63" borderId="0" applyNumberFormat="0" applyBorder="0" applyAlignment="0" applyProtection="0"/>
    <xf numFmtId="0" fontId="21" fillId="77" borderId="0" applyNumberFormat="0" applyBorder="0" applyAlignment="0" applyProtection="0"/>
    <xf numFmtId="0" fontId="21" fillId="77" borderId="0" applyNumberFormat="0" applyBorder="0" applyAlignment="0" applyProtection="0"/>
    <xf numFmtId="0" fontId="44" fillId="72" borderId="0" applyNumberFormat="0" applyBorder="0" applyAlignment="0" applyProtection="0"/>
    <xf numFmtId="0" fontId="20" fillId="29" borderId="0" applyNumberFormat="0" applyBorder="0" applyAlignment="0" applyProtection="0"/>
    <xf numFmtId="0" fontId="21" fillId="77" borderId="0" applyNumberFormat="0" applyBorder="0" applyAlignment="0" applyProtection="0"/>
    <xf numFmtId="0" fontId="44" fillId="63" borderId="0" applyNumberFormat="0" applyBorder="0" applyAlignment="0" applyProtection="0"/>
    <xf numFmtId="0" fontId="44" fillId="63" borderId="0" applyNumberFormat="0" applyBorder="0" applyAlignment="0" applyProtection="0"/>
    <xf numFmtId="0" fontId="20" fillId="29" borderId="0" applyNumberFormat="0" applyBorder="0" applyAlignment="0" applyProtection="0"/>
    <xf numFmtId="0" fontId="20" fillId="72" borderId="0" applyNumberFormat="0" applyBorder="0" applyAlignment="0" applyProtection="0"/>
    <xf numFmtId="0" fontId="20" fillId="72" borderId="0" applyNumberFormat="0" applyBorder="0" applyAlignment="0" applyProtection="0"/>
    <xf numFmtId="0" fontId="44" fillId="72" borderId="0" applyNumberFormat="0" applyBorder="0" applyAlignment="0" applyProtection="0"/>
    <xf numFmtId="0" fontId="20" fillId="72" borderId="0" applyNumberFormat="0" applyBorder="0" applyAlignment="0" applyProtection="0"/>
    <xf numFmtId="0" fontId="20" fillId="72" borderId="0" applyNumberFormat="0" applyBorder="0" applyAlignment="0" applyProtection="0"/>
    <xf numFmtId="0" fontId="20" fillId="72" borderId="0" applyNumberFormat="0" applyBorder="0" applyAlignment="0" applyProtection="0"/>
    <xf numFmtId="0" fontId="20" fillId="72" borderId="0" applyNumberFormat="0" applyBorder="0" applyAlignment="0" applyProtection="0"/>
    <xf numFmtId="41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2" fontId="21" fillId="0" borderId="0" applyFont="0" applyFill="0" applyBorder="0" applyAlignment="0" applyProtection="0"/>
    <xf numFmtId="230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173" fontId="38" fillId="0" borderId="22">
      <alignment horizontal="right"/>
    </xf>
    <xf numFmtId="173" fontId="38" fillId="0" borderId="22" applyFill="0">
      <alignment horizontal="right"/>
    </xf>
    <xf numFmtId="231" fontId="38" fillId="0" borderId="22">
      <alignment horizontal="right"/>
    </xf>
    <xf numFmtId="3" fontId="21" fillId="0" borderId="22" applyFill="0">
      <alignment horizontal="right"/>
    </xf>
    <xf numFmtId="232" fontId="38" fillId="0" borderId="22" applyFill="0">
      <alignment horizontal="right"/>
    </xf>
    <xf numFmtId="3" fontId="33" fillId="0" borderId="22" applyFill="0">
      <alignment horizontal="right"/>
    </xf>
    <xf numFmtId="233" fontId="21" fillId="78" borderId="30">
      <alignment horizontal="center" vertical="center"/>
    </xf>
    <xf numFmtId="234" fontId="38" fillId="0" borderId="0"/>
    <xf numFmtId="0" fontId="33" fillId="0" borderId="0" applyFont="0" applyFill="0" applyBorder="0" applyAlignment="0" applyProtection="0">
      <alignment horizontal="right"/>
    </xf>
    <xf numFmtId="0" fontId="21" fillId="0" borderId="0"/>
    <xf numFmtId="0" fontId="21" fillId="0" borderId="0"/>
    <xf numFmtId="0" fontId="21" fillId="0" borderId="0"/>
    <xf numFmtId="0" fontId="4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31" applyFont="0" applyFill="0" applyBorder="0" applyAlignment="0" applyProtection="0"/>
    <xf numFmtId="0" fontId="21" fillId="79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40" fillId="79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4" fillId="8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0" borderId="0">
      <alignment horizontal="center"/>
      <protection locked="0"/>
    </xf>
    <xf numFmtId="235" fontId="38" fillId="0" borderId="22">
      <alignment horizontal="right"/>
      <protection locked="0"/>
    </xf>
    <xf numFmtId="0" fontId="21" fillId="0" borderId="0"/>
    <xf numFmtId="6" fontId="25" fillId="0" borderId="22" applyNumberFormat="0" applyFont="0" applyBorder="0" applyProtection="0">
      <alignment horizontal="right"/>
    </xf>
    <xf numFmtId="0" fontId="21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204" fontId="50" fillId="0" borderId="32">
      <alignment horizontal="center" vertical="top"/>
    </xf>
    <xf numFmtId="236" fontId="21" fillId="0" borderId="0" applyFont="0" applyFill="0" applyBorder="0" applyAlignment="0" applyProtection="0">
      <alignment vertical="center"/>
    </xf>
    <xf numFmtId="236" fontId="21" fillId="0" borderId="0" applyFont="0" applyFill="0" applyBorder="0" applyAlignment="0" applyProtection="0">
      <alignment vertical="center"/>
    </xf>
    <xf numFmtId="236" fontId="21" fillId="0" borderId="0" applyFont="0" applyFill="0" applyBorder="0" applyAlignment="0" applyProtection="0">
      <alignment vertical="center"/>
    </xf>
    <xf numFmtId="237" fontId="21" fillId="0" borderId="0" applyFont="0" applyFill="0" applyBorder="0" applyAlignment="0" applyProtection="0">
      <alignment vertical="center"/>
    </xf>
    <xf numFmtId="237" fontId="21" fillId="0" borderId="0" applyFont="0" applyFill="0" applyBorder="0" applyAlignment="0" applyProtection="0">
      <alignment vertical="center"/>
    </xf>
    <xf numFmtId="237" fontId="21" fillId="0" borderId="0" applyFont="0" applyFill="0" applyBorder="0" applyAlignment="0" applyProtection="0">
      <alignment vertical="center"/>
    </xf>
    <xf numFmtId="0" fontId="10" fillId="48" borderId="0" applyNumberFormat="0" applyBorder="0" applyAlignment="0" applyProtection="0"/>
    <xf numFmtId="0" fontId="10" fillId="48" borderId="0" applyNumberFormat="0" applyBorder="0" applyAlignment="0" applyProtection="0"/>
    <xf numFmtId="0" fontId="51" fillId="43" borderId="0" applyNumberFormat="0" applyBorder="0" applyAlignment="0" applyProtection="0"/>
    <xf numFmtId="0" fontId="52" fillId="48" borderId="0" applyNumberFormat="0" applyBorder="0" applyAlignment="0" applyProtection="0"/>
    <xf numFmtId="0" fontId="53" fillId="3" borderId="0" applyNumberFormat="0" applyBorder="0" applyAlignment="0" applyProtection="0"/>
    <xf numFmtId="0" fontId="53" fillId="48" borderId="0" applyNumberFormat="0" applyBorder="0" applyAlignment="0" applyProtection="0"/>
    <xf numFmtId="0" fontId="54" fillId="43" borderId="0" applyNumberFormat="0" applyBorder="0" applyAlignment="0" applyProtection="0"/>
    <xf numFmtId="0" fontId="55" fillId="44" borderId="0" applyNumberFormat="0" applyBorder="0" applyAlignment="0" applyProtection="0"/>
    <xf numFmtId="0" fontId="51" fillId="48" borderId="0" applyNumberFormat="0" applyBorder="0" applyAlignment="0" applyProtection="0"/>
    <xf numFmtId="0" fontId="51" fillId="43" borderId="0" applyNumberFormat="0" applyBorder="0" applyAlignment="0" applyProtection="0"/>
    <xf numFmtId="0" fontId="55" fillId="44" borderId="0" applyNumberFormat="0" applyBorder="0" applyAlignment="0" applyProtection="0"/>
    <xf numFmtId="0" fontId="51" fillId="43" borderId="0" applyNumberFormat="0" applyBorder="0" applyAlignment="0" applyProtection="0"/>
    <xf numFmtId="0" fontId="51" fillId="43" borderId="0" applyNumberFormat="0" applyBorder="0" applyAlignment="0" applyProtection="0"/>
    <xf numFmtId="0" fontId="10" fillId="3" borderId="0" applyNumberFormat="0" applyBorder="0" applyAlignment="0" applyProtection="0"/>
    <xf numFmtId="0" fontId="10" fillId="48" borderId="0" applyNumberFormat="0" applyBorder="0" applyAlignment="0" applyProtection="0"/>
    <xf numFmtId="0" fontId="10" fillId="48" borderId="0" applyNumberFormat="0" applyBorder="0" applyAlignment="0" applyProtection="0"/>
    <xf numFmtId="0" fontId="51" fillId="48" borderId="0" applyNumberFormat="0" applyBorder="0" applyAlignment="0" applyProtection="0"/>
    <xf numFmtId="0" fontId="10" fillId="48" borderId="0" applyNumberFormat="0" applyBorder="0" applyAlignment="0" applyProtection="0"/>
    <xf numFmtId="0" fontId="10" fillId="48" borderId="0" applyNumberFormat="0" applyBorder="0" applyAlignment="0" applyProtection="0"/>
    <xf numFmtId="0" fontId="10" fillId="48" borderId="0" applyNumberFormat="0" applyBorder="0" applyAlignment="0" applyProtection="0"/>
    <xf numFmtId="0" fontId="10" fillId="48" borderId="0" applyNumberFormat="0" applyBorder="0" applyAlignment="0" applyProtection="0"/>
    <xf numFmtId="3" fontId="21" fillId="0" borderId="0"/>
    <xf numFmtId="205" fontId="21" fillId="0" borderId="0" applyNumberFormat="0" applyFill="0" applyBorder="0" applyAlignment="0" applyProtection="0"/>
    <xf numFmtId="238" fontId="21" fillId="0" borderId="0" applyNumberFormat="0" applyFont="0" applyAlignment="0"/>
    <xf numFmtId="0" fontId="21" fillId="0" borderId="0" applyNumberFormat="0" applyFill="0" applyBorder="0" applyAlignment="0" applyProtection="0"/>
    <xf numFmtId="1" fontId="21" fillId="36" borderId="33">
      <alignment horizontal="center"/>
    </xf>
    <xf numFmtId="0" fontId="21" fillId="36" borderId="34">
      <alignment horizontal="center"/>
    </xf>
    <xf numFmtId="7" fontId="56" fillId="0" borderId="0">
      <alignment horizontal="right"/>
      <protection locked="0"/>
    </xf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Alignment="0" applyProtection="0">
      <alignment horizontal="center"/>
    </xf>
    <xf numFmtId="239" fontId="21" fillId="0" borderId="35"/>
    <xf numFmtId="0" fontId="21" fillId="0" borderId="10" applyNumberFormat="0" applyFill="0" applyAlignment="0" applyProtection="0"/>
    <xf numFmtId="0" fontId="21" fillId="0" borderId="36" applyNumberFormat="0" applyFont="0" applyFill="0" applyAlignment="0" applyProtection="0"/>
    <xf numFmtId="0" fontId="21" fillId="0" borderId="37" applyNumberFormat="0" applyFont="0" applyFill="0" applyAlignment="0" applyProtection="0"/>
    <xf numFmtId="0" fontId="57" fillId="0" borderId="38" applyNumberFormat="0" applyFont="0" applyFill="0" applyAlignment="0" applyProtection="0">
      <alignment horizontal="centerContinuous"/>
    </xf>
    <xf numFmtId="0" fontId="57" fillId="0" borderId="38" applyNumberFormat="0" applyFont="0" applyFill="0" applyAlignment="0" applyProtection="0">
      <alignment horizontal="centerContinuous"/>
    </xf>
    <xf numFmtId="0" fontId="57" fillId="0" borderId="38" applyNumberFormat="0" applyFont="0" applyFill="0" applyAlignment="0" applyProtection="0">
      <alignment horizontal="centerContinuous"/>
    </xf>
    <xf numFmtId="240" fontId="58" fillId="0" borderId="0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1" fontId="21" fillId="81" borderId="13" applyFont="0" applyFill="0" applyBorder="0" applyAlignment="0" applyProtection="0"/>
    <xf numFmtId="242" fontId="21" fillId="81" borderId="15" applyFont="0" applyFill="0" applyBorder="0" applyAlignment="0" applyProtection="0"/>
    <xf numFmtId="242" fontId="21" fillId="81" borderId="15" applyFont="0" applyFill="0" applyBorder="0" applyAlignment="0" applyProtection="0"/>
    <xf numFmtId="240" fontId="58" fillId="0" borderId="0" applyFont="0" applyFill="0" applyBorder="0" applyAlignment="0" applyProtection="0"/>
    <xf numFmtId="0" fontId="21" fillId="0" borderId="0"/>
    <xf numFmtId="0" fontId="21" fillId="0" borderId="0">
      <alignment horizontal="right"/>
    </xf>
    <xf numFmtId="243" fontId="21" fillId="0" borderId="0" applyNumberFormat="0" applyFill="0" applyBorder="0" applyAlignment="0" applyProtection="0"/>
    <xf numFmtId="244" fontId="21" fillId="0" borderId="0" applyFill="0" applyBorder="0" applyAlignment="0"/>
    <xf numFmtId="0" fontId="21" fillId="0" borderId="0" applyFill="0" applyBorder="0" applyAlignment="0"/>
    <xf numFmtId="245" fontId="21" fillId="0" borderId="0" applyFill="0" applyBorder="0" applyAlignment="0"/>
    <xf numFmtId="246" fontId="21" fillId="0" borderId="0" applyFill="0" applyBorder="0" applyAlignment="0"/>
    <xf numFmtId="0" fontId="21" fillId="0" borderId="0" applyFill="0" applyBorder="0" applyAlignment="0"/>
    <xf numFmtId="244" fontId="21" fillId="0" borderId="0" applyFill="0" applyBorder="0" applyAlignment="0"/>
    <xf numFmtId="0" fontId="21" fillId="0" borderId="0" applyFill="0" applyBorder="0" applyAlignment="0"/>
    <xf numFmtId="0" fontId="21" fillId="0" borderId="0" applyFill="0" applyBorder="0" applyAlignment="0"/>
    <xf numFmtId="0" fontId="59" fillId="82" borderId="4" applyNumberFormat="0" applyAlignment="0" applyProtection="0"/>
    <xf numFmtId="0" fontId="59" fillId="82" borderId="4" applyNumberFormat="0" applyAlignment="0" applyProtection="0"/>
    <xf numFmtId="0" fontId="60" fillId="82" borderId="39" applyNumberFormat="0" applyAlignment="0" applyProtection="0"/>
    <xf numFmtId="0" fontId="60" fillId="82" borderId="39" applyNumberFormat="0" applyAlignment="0" applyProtection="0"/>
    <xf numFmtId="0" fontId="60" fillId="82" borderId="39" applyNumberFormat="0" applyAlignment="0" applyProtection="0"/>
    <xf numFmtId="0" fontId="60" fillId="82" borderId="39" applyNumberFormat="0" applyAlignment="0" applyProtection="0"/>
    <xf numFmtId="0" fontId="60" fillId="82" borderId="39" applyNumberFormat="0" applyAlignment="0" applyProtection="0"/>
    <xf numFmtId="0" fontId="61" fillId="82" borderId="39" applyNumberFormat="0" applyAlignment="0" applyProtection="0"/>
    <xf numFmtId="0" fontId="61" fillId="82" borderId="39" applyNumberFormat="0" applyAlignment="0" applyProtection="0"/>
    <xf numFmtId="0" fontId="61" fillId="82" borderId="39" applyNumberFormat="0" applyAlignment="0" applyProtection="0"/>
    <xf numFmtId="0" fontId="61" fillId="82" borderId="39" applyNumberFormat="0" applyAlignment="0" applyProtection="0"/>
    <xf numFmtId="0" fontId="61" fillId="82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1" fillId="82" borderId="39" applyNumberFormat="0" applyAlignment="0" applyProtection="0"/>
    <xf numFmtId="0" fontId="61" fillId="82" borderId="39" applyNumberFormat="0" applyAlignment="0" applyProtection="0"/>
    <xf numFmtId="0" fontId="61" fillId="82" borderId="39" applyNumberFormat="0" applyAlignment="0" applyProtection="0"/>
    <xf numFmtId="0" fontId="61" fillId="82" borderId="39" applyNumberFormat="0" applyAlignment="0" applyProtection="0"/>
    <xf numFmtId="0" fontId="61" fillId="82" borderId="39" applyNumberFormat="0" applyAlignment="0" applyProtection="0"/>
    <xf numFmtId="0" fontId="61" fillId="82" borderId="39" applyNumberFormat="0" applyAlignment="0" applyProtection="0"/>
    <xf numFmtId="0" fontId="63" fillId="6" borderId="4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4" fillId="53" borderId="39" applyNumberFormat="0" applyAlignment="0" applyProtection="0"/>
    <xf numFmtId="0" fontId="62" fillId="8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6" fillId="82" borderId="39" applyNumberFormat="0" applyAlignment="0" applyProtection="0"/>
    <xf numFmtId="0" fontId="66" fillId="82" borderId="39" applyNumberFormat="0" applyAlignment="0" applyProtection="0"/>
    <xf numFmtId="0" fontId="66" fillId="82" borderId="39" applyNumberFormat="0" applyAlignment="0" applyProtection="0"/>
    <xf numFmtId="0" fontId="66" fillId="82" borderId="39" applyNumberFormat="0" applyAlignment="0" applyProtection="0"/>
    <xf numFmtId="0" fontId="66" fillId="82" borderId="39" applyNumberFormat="0" applyAlignment="0" applyProtection="0"/>
    <xf numFmtId="0" fontId="66" fillId="82" borderId="39" applyNumberFormat="0" applyAlignment="0" applyProtection="0"/>
    <xf numFmtId="0" fontId="66" fillId="82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5" fillId="5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2" fillId="8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60" fillId="53" borderId="39" applyNumberFormat="0" applyAlignment="0" applyProtection="0"/>
    <xf numFmtId="0" fontId="14" fillId="6" borderId="4" applyNumberFormat="0" applyAlignment="0" applyProtection="0"/>
    <xf numFmtId="0" fontId="59" fillId="82" borderId="4" applyNumberFormat="0" applyAlignment="0" applyProtection="0"/>
    <xf numFmtId="0" fontId="62" fillId="83" borderId="39" applyNumberFormat="0" applyAlignment="0" applyProtection="0"/>
    <xf numFmtId="0" fontId="66" fillId="82" borderId="39" applyNumberFormat="0" applyAlignment="0" applyProtection="0"/>
    <xf numFmtId="0" fontId="66" fillId="82" borderId="39" applyNumberFormat="0" applyAlignment="0" applyProtection="0"/>
    <xf numFmtId="0" fontId="66" fillId="82" borderId="39" applyNumberFormat="0" applyAlignment="0" applyProtection="0"/>
    <xf numFmtId="0" fontId="66" fillId="82" borderId="39" applyNumberFormat="0" applyAlignment="0" applyProtection="0"/>
    <xf numFmtId="0" fontId="66" fillId="82" borderId="39" applyNumberFormat="0" applyAlignment="0" applyProtection="0"/>
    <xf numFmtId="0" fontId="66" fillId="82" borderId="39" applyNumberFormat="0" applyAlignment="0" applyProtection="0"/>
    <xf numFmtId="0" fontId="66" fillId="82" borderId="39" applyNumberFormat="0" applyAlignment="0" applyProtection="0"/>
    <xf numFmtId="0" fontId="59" fillId="82" borderId="4" applyNumberFormat="0" applyAlignment="0" applyProtection="0"/>
    <xf numFmtId="0" fontId="59" fillId="82" borderId="4" applyNumberFormat="0" applyAlignment="0" applyProtection="0"/>
    <xf numFmtId="0" fontId="59" fillId="82" borderId="4" applyNumberFormat="0" applyAlignment="0" applyProtection="0"/>
    <xf numFmtId="0" fontId="59" fillId="82" borderId="4" applyNumberFormat="0" applyAlignment="0" applyProtection="0"/>
    <xf numFmtId="247" fontId="67" fillId="0" borderId="0" applyFont="0" applyFill="0" applyBorder="0" applyAlignment="0">
      <alignment horizontal="center"/>
    </xf>
    <xf numFmtId="248" fontId="62" fillId="84" borderId="0" applyNumberFormat="0" applyFont="0" applyBorder="0" applyAlignment="0">
      <protection locked="0"/>
    </xf>
    <xf numFmtId="0" fontId="21" fillId="0" borderId="10" applyBorder="0">
      <alignment horizontal="centerContinuous"/>
    </xf>
    <xf numFmtId="249" fontId="21" fillId="0" borderId="0" applyNumberFormat="0" applyFont="0" applyFill="0" applyBorder="0" applyProtection="0">
      <alignment horizontal="centerContinuous" vertical="center"/>
    </xf>
    <xf numFmtId="0" fontId="21" fillId="0" borderId="0"/>
    <xf numFmtId="250" fontId="38" fillId="0" borderId="0" applyFont="0" applyFill="0" applyBorder="0" applyProtection="0">
      <alignment horizontal="center" vertical="center"/>
    </xf>
    <xf numFmtId="0" fontId="16" fillId="7" borderId="7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9" fillId="85" borderId="40" applyNumberFormat="0" applyAlignment="0" applyProtection="0"/>
    <xf numFmtId="0" fontId="70" fillId="7" borderId="7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71" fillId="86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69" fillId="85" borderId="40" applyNumberFormat="0" applyAlignment="0" applyProtection="0"/>
    <xf numFmtId="0" fontId="71" fillId="86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68" fillId="85" borderId="40" applyNumberFormat="0" applyAlignment="0" applyProtection="0"/>
    <xf numFmtId="0" fontId="16" fillId="7" borderId="7" applyNumberFormat="0" applyAlignment="0" applyProtection="0"/>
    <xf numFmtId="0" fontId="16" fillId="7" borderId="7" applyNumberFormat="0" applyAlignment="0" applyProtection="0"/>
    <xf numFmtId="0" fontId="16" fillId="7" borderId="7" applyNumberFormat="0" applyAlignment="0" applyProtection="0"/>
    <xf numFmtId="0" fontId="16" fillId="7" borderId="7" applyNumberFormat="0" applyAlignment="0" applyProtection="0"/>
    <xf numFmtId="0" fontId="16" fillId="7" borderId="7" applyNumberFormat="0" applyAlignment="0" applyProtection="0"/>
    <xf numFmtId="0" fontId="16" fillId="7" borderId="7" applyNumberFormat="0" applyAlignment="0" applyProtection="0"/>
    <xf numFmtId="251" fontId="21" fillId="0" borderId="0"/>
    <xf numFmtId="0" fontId="2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21" fillId="87" borderId="0"/>
    <xf numFmtId="0" fontId="21" fillId="87" borderId="0"/>
    <xf numFmtId="0" fontId="21" fillId="87" borderId="0"/>
    <xf numFmtId="0" fontId="21" fillId="87" borderId="0"/>
    <xf numFmtId="0" fontId="21" fillId="87" borderId="0"/>
    <xf numFmtId="0" fontId="73" fillId="87" borderId="0"/>
    <xf numFmtId="0" fontId="21" fillId="0" borderId="10" applyNumberFormat="0" applyFill="0" applyBorder="0" applyAlignment="0" applyProtection="0">
      <alignment horizontal="center"/>
    </xf>
    <xf numFmtId="239" fontId="21" fillId="0" borderId="10">
      <alignment horizontal="right"/>
    </xf>
    <xf numFmtId="0" fontId="21" fillId="0" borderId="0">
      <alignment horizontal="center" wrapText="1"/>
      <protection hidden="1"/>
    </xf>
    <xf numFmtId="0" fontId="74" fillId="0" borderId="21">
      <alignment horizontal="center"/>
    </xf>
    <xf numFmtId="0" fontId="21" fillId="0" borderId="0" applyNumberFormat="0" applyFill="0" applyBorder="0" applyProtection="0">
      <alignment wrapText="1"/>
    </xf>
    <xf numFmtId="0" fontId="21" fillId="0" borderId="0" applyNumberFormat="0" applyFill="0" applyBorder="0" applyProtection="0"/>
    <xf numFmtId="0" fontId="21" fillId="0" borderId="0" applyNumberFormat="0" applyFill="0" applyBorder="0" applyProtection="0">
      <alignment horizontal="center" wrapText="1"/>
    </xf>
    <xf numFmtId="0" fontId="21" fillId="0" borderId="10" applyNumberFormat="0" applyFill="0" applyProtection="0">
      <alignment horizontal="right" wrapText="1"/>
    </xf>
    <xf numFmtId="0" fontId="21" fillId="0" borderId="10" applyNumberFormat="0" applyFill="0" applyProtection="0">
      <alignment horizontal="left" wrapText="1"/>
    </xf>
    <xf numFmtId="0" fontId="61" fillId="88" borderId="0">
      <alignment horizontal="left"/>
    </xf>
    <xf numFmtId="0" fontId="69" fillId="88" borderId="0">
      <alignment horizontal="left"/>
    </xf>
    <xf numFmtId="0" fontId="75" fillId="88" borderId="0">
      <alignment horizontal="right"/>
    </xf>
    <xf numFmtId="0" fontId="76" fillId="88" borderId="0">
      <alignment horizontal="right"/>
    </xf>
    <xf numFmtId="0" fontId="77" fillId="82" borderId="0">
      <alignment horizontal="center"/>
    </xf>
    <xf numFmtId="0" fontId="77" fillId="82" borderId="0">
      <alignment horizontal="center"/>
    </xf>
    <xf numFmtId="0" fontId="21" fillId="89" borderId="0"/>
    <xf numFmtId="0" fontId="75" fillId="88" borderId="0">
      <alignment horizontal="right"/>
    </xf>
    <xf numFmtId="0" fontId="76" fillId="88" borderId="0">
      <alignment horizontal="right"/>
    </xf>
    <xf numFmtId="0" fontId="78" fillId="82" borderId="0">
      <alignment horizontal="left"/>
    </xf>
    <xf numFmtId="0" fontId="78" fillId="82" borderId="0">
      <alignment horizontal="left"/>
    </xf>
    <xf numFmtId="252" fontId="21" fillId="0" borderId="0"/>
    <xf numFmtId="253" fontId="21" fillId="0" borderId="0"/>
    <xf numFmtId="252" fontId="79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3" fontId="21" fillId="0" borderId="0"/>
    <xf numFmtId="253" fontId="21" fillId="0" borderId="0"/>
    <xf numFmtId="253" fontId="21" fillId="0" borderId="0"/>
    <xf numFmtId="253" fontId="21" fillId="0" borderId="0"/>
    <xf numFmtId="252" fontId="21" fillId="0" borderId="0"/>
    <xf numFmtId="253" fontId="21" fillId="0" borderId="0"/>
    <xf numFmtId="252" fontId="79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3" fontId="21" fillId="0" borderId="0"/>
    <xf numFmtId="253" fontId="21" fillId="0" borderId="0"/>
    <xf numFmtId="253" fontId="21" fillId="0" borderId="0"/>
    <xf numFmtId="253" fontId="21" fillId="0" borderId="0"/>
    <xf numFmtId="252" fontId="21" fillId="0" borderId="0"/>
    <xf numFmtId="253" fontId="21" fillId="0" borderId="0"/>
    <xf numFmtId="252" fontId="79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3" fontId="21" fillId="0" borderId="0"/>
    <xf numFmtId="253" fontId="21" fillId="0" borderId="0"/>
    <xf numFmtId="253" fontId="21" fillId="0" borderId="0"/>
    <xf numFmtId="253" fontId="21" fillId="0" borderId="0"/>
    <xf numFmtId="252" fontId="21" fillId="0" borderId="0"/>
    <xf numFmtId="253" fontId="21" fillId="0" borderId="0"/>
    <xf numFmtId="252" fontId="79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3" fontId="21" fillId="0" borderId="0"/>
    <xf numFmtId="253" fontId="21" fillId="0" borderId="0"/>
    <xf numFmtId="253" fontId="21" fillId="0" borderId="0"/>
    <xf numFmtId="253" fontId="21" fillId="0" borderId="0"/>
    <xf numFmtId="252" fontId="21" fillId="0" borderId="0"/>
    <xf numFmtId="253" fontId="21" fillId="0" borderId="0"/>
    <xf numFmtId="252" fontId="79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3" fontId="21" fillId="0" borderId="0"/>
    <xf numFmtId="253" fontId="21" fillId="0" borderId="0"/>
    <xf numFmtId="253" fontId="21" fillId="0" borderId="0"/>
    <xf numFmtId="253" fontId="21" fillId="0" borderId="0"/>
    <xf numFmtId="252" fontId="21" fillId="0" borderId="0"/>
    <xf numFmtId="253" fontId="21" fillId="0" borderId="0"/>
    <xf numFmtId="252" fontId="79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3" fontId="21" fillId="0" borderId="0"/>
    <xf numFmtId="253" fontId="21" fillId="0" borderId="0"/>
    <xf numFmtId="253" fontId="21" fillId="0" borderId="0"/>
    <xf numFmtId="253" fontId="21" fillId="0" borderId="0"/>
    <xf numFmtId="252" fontId="21" fillId="0" borderId="0"/>
    <xf numFmtId="253" fontId="21" fillId="0" borderId="0"/>
    <xf numFmtId="252" fontId="79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3" fontId="21" fillId="0" borderId="0"/>
    <xf numFmtId="253" fontId="21" fillId="0" borderId="0"/>
    <xf numFmtId="253" fontId="21" fillId="0" borderId="0"/>
    <xf numFmtId="253" fontId="21" fillId="0" borderId="0"/>
    <xf numFmtId="252" fontId="21" fillId="0" borderId="0"/>
    <xf numFmtId="253" fontId="21" fillId="0" borderId="0"/>
    <xf numFmtId="252" fontId="79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2" fontId="21" fillId="0" borderId="0"/>
    <xf numFmtId="253" fontId="21" fillId="0" borderId="0"/>
    <xf numFmtId="253" fontId="21" fillId="0" borderId="0"/>
    <xf numFmtId="253" fontId="21" fillId="0" borderId="0"/>
    <xf numFmtId="253" fontId="21" fillId="0" borderId="0"/>
    <xf numFmtId="254" fontId="21" fillId="0" borderId="0" applyFont="0" applyFill="0" applyBorder="0" applyAlignment="0" applyProtection="0"/>
    <xf numFmtId="37" fontId="21" fillId="0" borderId="0"/>
    <xf numFmtId="25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244" fontId="21" fillId="0" borderId="0" applyFont="0" applyFill="0" applyBorder="0" applyAlignment="0" applyProtection="0"/>
    <xf numFmtId="255" fontId="21" fillId="0" borderId="0" applyFont="0" applyFill="0" applyBorder="0" applyAlignment="0" applyProtection="0"/>
    <xf numFmtId="168" fontId="21" fillId="0" borderId="0"/>
    <xf numFmtId="174" fontId="67" fillId="0" borderId="0" applyFont="0" applyFill="0" applyBorder="0" applyAlignment="0" applyProtection="0">
      <alignment horizontal="center"/>
    </xf>
    <xf numFmtId="38" fontId="21" fillId="0" borderId="0" applyFont="0" applyFill="0" applyBorder="0" applyAlignment="0"/>
    <xf numFmtId="256" fontId="80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39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8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8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81" fillId="0" borderId="0" applyFont="0" applyFill="0" applyBorder="0" applyAlignment="0" applyProtection="0"/>
    <xf numFmtId="257" fontId="21" fillId="0" borderId="0" applyFont="0" applyFill="0" applyBorder="0" applyAlignment="0" applyProtection="0">
      <alignment horizontal="right"/>
    </xf>
    <xf numFmtId="257" fontId="21" fillId="0" borderId="0" applyFont="0" applyFill="0" applyBorder="0" applyAlignment="0" applyProtection="0">
      <alignment horizontal="right"/>
    </xf>
    <xf numFmtId="257" fontId="21" fillId="0" borderId="0" applyFont="0" applyFill="0" applyBorder="0" applyAlignment="0" applyProtection="0">
      <alignment horizontal="right"/>
    </xf>
    <xf numFmtId="257" fontId="21" fillId="0" borderId="0" applyFont="0" applyFill="0" applyBorder="0" applyAlignment="0" applyProtection="0">
      <alignment horizontal="right"/>
    </xf>
    <xf numFmtId="257" fontId="21" fillId="0" borderId="0" applyFont="0" applyFill="0" applyBorder="0" applyAlignment="0" applyProtection="0">
      <alignment horizontal="right"/>
    </xf>
    <xf numFmtId="257" fontId="21" fillId="0" borderId="0" applyFont="0" applyFill="0" applyBorder="0" applyAlignment="0" applyProtection="0">
      <alignment horizontal="right"/>
    </xf>
    <xf numFmtId="257" fontId="21" fillId="0" borderId="0" applyFont="0" applyFill="0" applyBorder="0" applyAlignment="0" applyProtection="0">
      <alignment horizontal="right"/>
    </xf>
    <xf numFmtId="257" fontId="21" fillId="0" borderId="0" applyFont="0" applyFill="0" applyBorder="0" applyAlignment="0" applyProtection="0">
      <alignment horizontal="right"/>
    </xf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258" fontId="80" fillId="0" borderId="0" applyFont="0" applyFill="0" applyBorder="0" applyAlignment="0" applyProtection="0"/>
    <xf numFmtId="257" fontId="80" fillId="0" borderId="0" applyFont="0" applyFill="0" applyBorder="0" applyAlignment="0" applyProtection="0">
      <alignment horizontal="right"/>
    </xf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259" fontId="80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1" fillId="0" borderId="0" applyFont="0" applyFill="0" applyBorder="0" applyAlignment="0" applyProtection="0"/>
    <xf numFmtId="40" fontId="21" fillId="0" borderId="0" applyFont="0" applyFill="0" applyBorder="0" applyAlignment="0" applyProtection="0"/>
    <xf numFmtId="40" fontId="21" fillId="0" borderId="0" applyFont="0" applyFill="0" applyBorder="0" applyAlignment="0" applyProtection="0"/>
    <xf numFmtId="40" fontId="21" fillId="0" borderId="0" applyFont="0" applyFill="0" applyBorder="0" applyAlignment="0" applyProtection="0"/>
    <xf numFmtId="40" fontId="21" fillId="0" borderId="0" applyFont="0" applyFill="0" applyBorder="0" applyAlignment="0" applyProtection="0"/>
    <xf numFmtId="40" fontId="21" fillId="0" borderId="0" applyFont="0" applyFill="0" applyBorder="0" applyAlignment="0" applyProtection="0"/>
    <xf numFmtId="40" fontId="21" fillId="0" borderId="0" applyFont="0" applyFill="0" applyBorder="0" applyAlignment="0" applyProtection="0"/>
    <xf numFmtId="40" fontId="21" fillId="0" borderId="0" applyFont="0" applyFill="0" applyBorder="0" applyAlignment="0" applyProtection="0"/>
    <xf numFmtId="40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260" fontId="80" fillId="0" borderId="0" applyFont="0" applyFill="0" applyBorder="0" applyAlignment="0" applyProtection="0"/>
    <xf numFmtId="205" fontId="21" fillId="0" borderId="0"/>
    <xf numFmtId="3" fontId="82" fillId="0" borderId="0"/>
    <xf numFmtId="261" fontId="21" fillId="0" borderId="0" applyFont="0" applyFill="0" applyBorder="0" applyAlignment="0" applyProtection="0"/>
    <xf numFmtId="37" fontId="21" fillId="0" borderId="0" applyFill="0" applyBorder="0" applyAlignment="0" applyProtection="0"/>
    <xf numFmtId="0" fontId="35" fillId="0" borderId="0"/>
    <xf numFmtId="0" fontId="35" fillId="0" borderId="0"/>
    <xf numFmtId="37" fontId="21" fillId="0" borderId="0" applyFill="0" applyBorder="0" applyAlignment="0" applyProtection="0"/>
    <xf numFmtId="37" fontId="21" fillId="0" borderId="0" applyFill="0" applyBorder="0" applyAlignment="0" applyProtection="0"/>
    <xf numFmtId="37" fontId="21" fillId="0" borderId="0" applyFill="0" applyBorder="0" applyAlignment="0" applyProtection="0"/>
    <xf numFmtId="37" fontId="21" fillId="0" borderId="0" applyFill="0" applyBorder="0" applyAlignment="0" applyProtection="0"/>
    <xf numFmtId="37" fontId="21" fillId="0" borderId="0" applyFill="0" applyBorder="0" applyAlignment="0" applyProtection="0"/>
    <xf numFmtId="37" fontId="21" fillId="0" borderId="0" applyFill="0" applyBorder="0" applyAlignment="0" applyProtection="0"/>
    <xf numFmtId="3" fontId="21" fillId="0" borderId="0" applyFont="0" applyFill="0" applyBorder="0" applyAlignment="0" applyProtection="0"/>
    <xf numFmtId="37" fontId="21" fillId="0" borderId="0" applyFill="0" applyBorder="0" applyAlignment="0" applyProtection="0"/>
    <xf numFmtId="37" fontId="21" fillId="0" borderId="0" applyFill="0" applyBorder="0" applyAlignment="0" applyProtection="0"/>
    <xf numFmtId="37" fontId="21" fillId="0" borderId="0" applyFill="0" applyBorder="0" applyAlignment="0" applyProtection="0"/>
    <xf numFmtId="37" fontId="21" fillId="0" borderId="0" applyFill="0" applyBorder="0" applyAlignment="0" applyProtection="0"/>
    <xf numFmtId="37" fontId="21" fillId="0" borderId="0" applyFill="0" applyBorder="0" applyAlignment="0" applyProtection="0"/>
    <xf numFmtId="37" fontId="21" fillId="0" borderId="0" applyFill="0" applyBorder="0" applyAlignment="0" applyProtection="0"/>
    <xf numFmtId="37" fontId="21" fillId="0" borderId="0" applyFill="0" applyBorder="0" applyAlignment="0" applyProtection="0"/>
    <xf numFmtId="164" fontId="21" fillId="0" borderId="0" applyFont="0" applyFill="0" applyBorder="0" applyAlignment="0" applyProtection="0">
      <alignment horizontal="left" vertical="center"/>
    </xf>
    <xf numFmtId="255" fontId="21" fillId="0" borderId="0" applyFont="0" applyFill="0" applyBorder="0" applyAlignment="0" applyProtection="0">
      <alignment horizontal="left" vertical="center"/>
    </xf>
    <xf numFmtId="0" fontId="83" fillId="0" borderId="0"/>
    <xf numFmtId="255" fontId="21" fillId="0" borderId="0" applyFont="0" applyFill="0" applyBorder="0" applyAlignment="0" applyProtection="0">
      <alignment horizontal="left" vertical="center"/>
    </xf>
    <xf numFmtId="255" fontId="21" fillId="0" borderId="0" applyFont="0" applyFill="0" applyBorder="0" applyAlignment="0" applyProtection="0">
      <alignment horizontal="left" vertical="center"/>
    </xf>
    <xf numFmtId="262" fontId="21" fillId="0" borderId="0" applyFont="0" applyFill="0" applyBorder="0" applyAlignment="0" applyProtection="0">
      <alignment horizontal="left" vertical="center"/>
    </xf>
    <xf numFmtId="262" fontId="21" fillId="0" borderId="0" applyFont="0" applyFill="0" applyBorder="0" applyAlignment="0" applyProtection="0">
      <alignment horizontal="left" vertical="center"/>
    </xf>
    <xf numFmtId="262" fontId="21" fillId="0" borderId="0" applyFont="0" applyFill="0" applyBorder="0" applyAlignment="0" applyProtection="0">
      <alignment horizontal="left"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84" fillId="0" borderId="0"/>
    <xf numFmtId="0" fontId="21" fillId="90" borderId="0">
      <alignment horizontal="center" vertical="center" wrapText="1"/>
    </xf>
    <xf numFmtId="0" fontId="21" fillId="0" borderId="0" applyFill="0" applyBorder="0" applyProtection="0">
      <protection locked="0"/>
    </xf>
    <xf numFmtId="239" fontId="21" fillId="0" borderId="0" applyFill="0" applyBorder="0">
      <alignment horizontal="left"/>
    </xf>
    <xf numFmtId="204" fontId="85" fillId="36" borderId="32">
      <alignment vertical="top"/>
    </xf>
    <xf numFmtId="204" fontId="50" fillId="0" borderId="32">
      <alignment vertical="top"/>
    </xf>
    <xf numFmtId="0" fontId="21" fillId="0" borderId="0" applyNumberFormat="0" applyAlignment="0">
      <alignment horizontal="left"/>
    </xf>
    <xf numFmtId="0" fontId="21" fillId="0" borderId="0">
      <alignment horizontal="left"/>
    </xf>
    <xf numFmtId="0" fontId="21" fillId="0" borderId="0"/>
    <xf numFmtId="0" fontId="21" fillId="0" borderId="0">
      <alignment horizontal="left"/>
    </xf>
    <xf numFmtId="169" fontId="21" fillId="0" borderId="0" applyFill="0" applyBorder="0">
      <alignment horizontal="right"/>
      <protection locked="0"/>
    </xf>
    <xf numFmtId="0" fontId="21" fillId="0" borderId="0"/>
    <xf numFmtId="0" fontId="86" fillId="0" borderId="0"/>
    <xf numFmtId="0" fontId="86" fillId="0" borderId="0"/>
    <xf numFmtId="228" fontId="21" fillId="0" borderId="0" applyFont="0" applyFill="0" applyBorder="0" applyAlignment="0" applyProtection="0"/>
    <xf numFmtId="263" fontId="21" fillId="0" borderId="0" applyFont="0" applyFill="0" applyBorder="0" applyAlignment="0" applyProtection="0">
      <protection locked="0"/>
    </xf>
    <xf numFmtId="264" fontId="21" fillId="0" borderId="0"/>
    <xf numFmtId="265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266" fontId="21" fillId="0" borderId="0" applyFont="0" applyFill="0" applyBorder="0" applyAlignment="0" applyProtection="0"/>
    <xf numFmtId="8" fontId="21" fillId="0" borderId="41">
      <protection locked="0"/>
    </xf>
    <xf numFmtId="8" fontId="21" fillId="0" borderId="41">
      <protection locked="0"/>
    </xf>
    <xf numFmtId="8" fontId="21" fillId="0" borderId="41">
      <protection locked="0"/>
    </xf>
    <xf numFmtId="8" fontId="21" fillId="0" borderId="41">
      <protection locked="0"/>
    </xf>
    <xf numFmtId="8" fontId="21" fillId="0" borderId="41">
      <protection locked="0"/>
    </xf>
    <xf numFmtId="8" fontId="21" fillId="0" borderId="41">
      <protection locked="0"/>
    </xf>
    <xf numFmtId="8" fontId="21" fillId="0" borderId="41">
      <protection locked="0"/>
    </xf>
    <xf numFmtId="8" fontId="21" fillId="0" borderId="41">
      <protection locked="0"/>
    </xf>
    <xf numFmtId="8" fontId="21" fillId="0" borderId="41">
      <protection locked="0"/>
    </xf>
    <xf numFmtId="8" fontId="21" fillId="0" borderId="41">
      <protection locked="0"/>
    </xf>
    <xf numFmtId="267" fontId="33" fillId="0" borderId="0" applyFont="0" applyFill="0" applyBorder="0" applyAlignment="0" applyProtection="0"/>
    <xf numFmtId="6" fontId="21" fillId="91" borderId="0" applyFont="0" applyFill="0" applyBorder="0" applyAlignment="0" applyProtection="0"/>
    <xf numFmtId="44" fontId="62" fillId="0" borderId="0" applyFont="0" applyFill="0" applyBorder="0" applyAlignment="0" applyProtection="0"/>
    <xf numFmtId="44" fontId="40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40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40" fillId="0" borderId="0" applyFont="0" applyFill="0" applyBorder="0" applyAlignment="0" applyProtection="0"/>
    <xf numFmtId="44" fontId="40" fillId="0" borderId="0" applyFont="0" applyFill="0" applyBorder="0" applyAlignment="0" applyProtection="0"/>
    <xf numFmtId="44" fontId="40" fillId="0" borderId="0" applyFont="0" applyFill="0" applyBorder="0" applyAlignment="0" applyProtection="0"/>
    <xf numFmtId="44" fontId="40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0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40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40" fillId="0" borderId="0" applyFont="0" applyFill="0" applyBorder="0" applyAlignment="0" applyProtection="0"/>
    <xf numFmtId="268" fontId="21" fillId="0" borderId="0" applyFont="0" applyFill="0" applyBorder="0" applyAlignment="0" applyProtection="0">
      <alignment horizontal="right"/>
    </xf>
    <xf numFmtId="268" fontId="21" fillId="0" borderId="0" applyFont="0" applyFill="0" applyBorder="0" applyAlignment="0" applyProtection="0">
      <alignment horizontal="right"/>
    </xf>
    <xf numFmtId="268" fontId="21" fillId="0" borderId="0" applyFont="0" applyFill="0" applyBorder="0" applyAlignment="0" applyProtection="0">
      <alignment horizontal="right"/>
    </xf>
    <xf numFmtId="268" fontId="21" fillId="0" borderId="0" applyFont="0" applyFill="0" applyBorder="0" applyAlignment="0" applyProtection="0">
      <alignment horizontal="right"/>
    </xf>
    <xf numFmtId="268" fontId="21" fillId="0" borderId="0" applyFont="0" applyFill="0" applyBorder="0" applyAlignment="0" applyProtection="0">
      <alignment horizontal="right"/>
    </xf>
    <xf numFmtId="268" fontId="21" fillId="0" borderId="0" applyFont="0" applyFill="0" applyBorder="0" applyAlignment="0" applyProtection="0">
      <alignment horizontal="right"/>
    </xf>
    <xf numFmtId="268" fontId="21" fillId="0" borderId="0" applyFont="0" applyFill="0" applyBorder="0" applyAlignment="0" applyProtection="0">
      <alignment horizontal="right"/>
    </xf>
    <xf numFmtId="268" fontId="21" fillId="0" borderId="0" applyFont="0" applyFill="0" applyBorder="0" applyAlignment="0" applyProtection="0">
      <alignment horizontal="right"/>
    </xf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>
      <alignment wrapText="1"/>
    </xf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269" fontId="87" fillId="0" borderId="0" applyFont="0" applyFill="0" applyBorder="0" applyAlignment="0" applyProtection="0"/>
    <xf numFmtId="268" fontId="80" fillId="0" borderId="0" applyFont="0" applyFill="0" applyBorder="0" applyAlignment="0" applyProtection="0">
      <alignment horizontal="right"/>
    </xf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0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>
      <alignment wrapText="1"/>
    </xf>
    <xf numFmtId="44" fontId="88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270" fontId="87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41" fillId="0" borderId="0" applyFont="0" applyFill="0" applyBorder="0" applyAlignment="0" applyProtection="0"/>
    <xf numFmtId="8" fontId="21" fillId="0" borderId="0" applyFont="0" applyFill="0" applyBorder="0" applyAlignment="0" applyProtection="0"/>
    <xf numFmtId="8" fontId="21" fillId="0" borderId="0" applyFont="0" applyFill="0" applyBorder="0" applyAlignment="0" applyProtection="0"/>
    <xf numFmtId="8" fontId="21" fillId="0" borderId="0" applyFont="0" applyFill="0" applyBorder="0" applyAlignment="0" applyProtection="0"/>
    <xf numFmtId="8" fontId="21" fillId="0" borderId="0" applyFont="0" applyFill="0" applyBorder="0" applyAlignment="0" applyProtection="0"/>
    <xf numFmtId="8" fontId="21" fillId="0" borderId="0" applyFont="0" applyFill="0" applyBorder="0" applyAlignment="0" applyProtection="0"/>
    <xf numFmtId="8" fontId="21" fillId="0" borderId="0" applyFont="0" applyFill="0" applyBorder="0" applyAlignment="0" applyProtection="0"/>
    <xf numFmtId="8" fontId="21" fillId="0" borderId="0" applyFont="0" applyFill="0" applyBorder="0" applyAlignment="0" applyProtection="0"/>
    <xf numFmtId="8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4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40" fillId="0" borderId="0" applyFont="0" applyFill="0" applyBorder="0" applyAlignment="0" applyProtection="0"/>
    <xf numFmtId="44" fontId="40" fillId="0" borderId="0" applyFont="0" applyFill="0" applyBorder="0" applyAlignment="0" applyProtection="0"/>
    <xf numFmtId="44" fontId="40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40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40" fillId="0" borderId="0" applyFont="0" applyFill="0" applyBorder="0" applyAlignment="0" applyProtection="0"/>
    <xf numFmtId="44" fontId="40" fillId="0" borderId="0" applyFont="0" applyFill="0" applyBorder="0" applyAlignment="0" applyProtection="0"/>
    <xf numFmtId="44" fontId="40" fillId="0" borderId="0" applyFont="0" applyFill="0" applyBorder="0" applyAlignment="0" applyProtection="0"/>
    <xf numFmtId="44" fontId="40" fillId="0" borderId="0" applyFont="0" applyFill="0" applyBorder="0" applyAlignment="0" applyProtection="0"/>
    <xf numFmtId="44" fontId="40" fillId="0" borderId="0" applyFont="0" applyFill="0" applyBorder="0" applyAlignment="0" applyProtection="0"/>
    <xf numFmtId="44" fontId="40" fillId="0" borderId="0" applyFont="0" applyFill="0" applyBorder="0" applyAlignment="0" applyProtection="0"/>
    <xf numFmtId="44" fontId="40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40" fillId="0" borderId="0" applyFont="0" applyFill="0" applyBorder="0" applyAlignment="0" applyProtection="0"/>
    <xf numFmtId="44" fontId="40" fillId="0" borderId="0" applyFont="0" applyFill="0" applyBorder="0" applyAlignment="0" applyProtection="0"/>
    <xf numFmtId="44" fontId="40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40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40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40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271" fontId="38" fillId="0" borderId="0" applyFont="0" applyFill="0" applyBorder="0" applyAlignment="0" applyProtection="0"/>
    <xf numFmtId="272" fontId="21" fillId="0" borderId="0" applyFont="0" applyFill="0" applyBorder="0" applyProtection="0">
      <alignment horizontal="right"/>
    </xf>
    <xf numFmtId="273" fontId="21" fillId="0" borderId="0" applyFont="0" applyFill="0" applyBorder="0" applyAlignment="0" applyProtection="0"/>
    <xf numFmtId="274" fontId="21" fillId="0" borderId="0" applyFont="0" applyFill="0" applyBorder="0" applyAlignment="0" applyProtection="0"/>
    <xf numFmtId="275" fontId="38" fillId="0" borderId="0" applyFont="0" applyFill="0" applyBorder="0" applyAlignment="0" applyProtection="0">
      <alignment vertical="center"/>
    </xf>
    <xf numFmtId="273" fontId="38" fillId="0" borderId="0" applyFont="0" applyFill="0" applyBorder="0" applyProtection="0">
      <alignment horizontal="right"/>
    </xf>
    <xf numFmtId="0" fontId="21" fillId="0" borderId="0" applyFont="0" applyFill="0" applyBorder="0" applyProtection="0">
      <alignment horizontal="right"/>
    </xf>
    <xf numFmtId="276" fontId="38" fillId="0" borderId="0" applyFont="0" applyFill="0" applyBorder="0" applyProtection="0">
      <alignment horizontal="right"/>
    </xf>
    <xf numFmtId="250" fontId="21" fillId="0" borderId="0" applyFont="0" applyFill="0" applyBorder="0" applyProtection="0">
      <alignment horizontal="right"/>
    </xf>
    <xf numFmtId="0" fontId="25" fillId="0" borderId="0" applyFont="0" applyFill="0" applyBorder="0" applyAlignment="0" applyProtection="0">
      <alignment vertical="center"/>
    </xf>
    <xf numFmtId="7" fontId="21" fillId="0" borderId="0" applyFill="0" applyBorder="0" applyProtection="0"/>
    <xf numFmtId="0" fontId="21" fillId="35" borderId="0" applyFont="0" applyBorder="0"/>
    <xf numFmtId="277" fontId="21" fillId="0" borderId="0"/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278" fontId="34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239" fontId="21" fillId="35" borderId="19">
      <alignment horizontal="right"/>
    </xf>
    <xf numFmtId="239" fontId="21" fillId="35" borderId="19">
      <alignment horizontal="right"/>
    </xf>
    <xf numFmtId="239" fontId="21" fillId="35" borderId="19">
      <alignment horizontal="right"/>
    </xf>
    <xf numFmtId="239" fontId="21" fillId="35" borderId="19">
      <alignment horizontal="right"/>
    </xf>
    <xf numFmtId="239" fontId="21" fillId="35" borderId="19">
      <alignment horizontal="right"/>
    </xf>
    <xf numFmtId="239" fontId="21" fillId="35" borderId="19">
      <alignment horizontal="right"/>
    </xf>
    <xf numFmtId="239" fontId="21" fillId="35" borderId="19">
      <alignment horizontal="right"/>
    </xf>
    <xf numFmtId="239" fontId="21" fillId="35" borderId="19">
      <alignment horizontal="right"/>
    </xf>
    <xf numFmtId="278" fontId="34" fillId="35" borderId="19">
      <alignment horizontal="right"/>
    </xf>
    <xf numFmtId="278" fontId="34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31" fillId="92" borderId="0"/>
    <xf numFmtId="0" fontId="21" fillId="0" borderId="0">
      <alignment horizontal="right"/>
    </xf>
    <xf numFmtId="3" fontId="21" fillId="0" borderId="0"/>
    <xf numFmtId="3" fontId="21" fillId="0" borderId="0"/>
    <xf numFmtId="3" fontId="21" fillId="0" borderId="0"/>
    <xf numFmtId="3" fontId="21" fillId="0" borderId="0"/>
    <xf numFmtId="3" fontId="21" fillId="0" borderId="0"/>
    <xf numFmtId="3" fontId="89" fillId="0" borderId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40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0" borderId="0" applyNumberFormat="0" applyFont="0" applyFill="0" applyBorder="0" applyAlignment="0" applyProtection="0"/>
    <xf numFmtId="0" fontId="21" fillId="93" borderId="0" applyNumberFormat="0" applyFont="0" applyBorder="0" applyAlignment="0" applyProtection="0"/>
    <xf numFmtId="0" fontId="21" fillId="94" borderId="0" applyNumberFormat="0" applyFont="0" applyBorder="0" applyAlignment="0" applyProtection="0"/>
    <xf numFmtId="0" fontId="21" fillId="94" borderId="0" applyNumberFormat="0" applyFont="0" applyBorder="0" applyAlignment="0" applyProtection="0"/>
    <xf numFmtId="0" fontId="21" fillId="94" borderId="0" applyNumberFormat="0" applyFont="0" applyBorder="0" applyAlignment="0" applyProtection="0"/>
    <xf numFmtId="0" fontId="21" fillId="94" borderId="0" applyNumberFormat="0" applyFont="0" applyBorder="0" applyAlignment="0" applyProtection="0"/>
    <xf numFmtId="0" fontId="21" fillId="94" borderId="0" applyNumberFormat="0" applyFont="0" applyBorder="0" applyAlignment="0" applyProtection="0"/>
    <xf numFmtId="0" fontId="21" fillId="94" borderId="0" applyNumberFormat="0" applyFont="0" applyBorder="0" applyAlignment="0" applyProtection="0"/>
    <xf numFmtId="0" fontId="21" fillId="94" borderId="0" applyNumberFormat="0" applyFont="0" applyBorder="0" applyAlignment="0" applyProtection="0"/>
    <xf numFmtId="0" fontId="21" fillId="94" borderId="0" applyNumberFormat="0" applyFont="0" applyBorder="0" applyAlignment="0" applyProtection="0"/>
    <xf numFmtId="0" fontId="21" fillId="94" borderId="0" applyNumberFormat="0" applyFont="0" applyBorder="0" applyAlignment="0" applyProtection="0"/>
    <xf numFmtId="0" fontId="40" fillId="93" borderId="0" applyNumberFormat="0" applyFont="0" applyBorder="0" applyAlignment="0" applyProtection="0"/>
    <xf numFmtId="0" fontId="21" fillId="94" borderId="0" applyNumberFormat="0" applyFont="0" applyBorder="0" applyAlignment="0" applyProtection="0"/>
    <xf numFmtId="0" fontId="21" fillId="94" borderId="0" applyNumberFormat="0" applyFont="0" applyBorder="0" applyAlignment="0" applyProtection="0"/>
    <xf numFmtId="0" fontId="21" fillId="94" borderId="0" applyNumberFormat="0" applyFont="0" applyBorder="0" applyAlignment="0" applyProtection="0"/>
    <xf numFmtId="0" fontId="21" fillId="94" borderId="0" applyNumberFormat="0" applyFont="0" applyBorder="0" applyAlignment="0" applyProtection="0"/>
    <xf numFmtId="0" fontId="21" fillId="94" borderId="0" applyNumberFormat="0" applyFont="0" applyBorder="0" applyAlignment="0" applyProtection="0"/>
    <xf numFmtId="0" fontId="21" fillId="94" borderId="0" applyNumberFormat="0" applyFont="0" applyBorder="0" applyAlignment="0" applyProtection="0"/>
    <xf numFmtId="0" fontId="21" fillId="94" borderId="0" applyNumberFormat="0" applyFont="0" applyBorder="0" applyAlignment="0" applyProtection="0"/>
    <xf numFmtId="0" fontId="21" fillId="94" borderId="0" applyNumberFormat="0" applyFont="0" applyBorder="0" applyAlignment="0" applyProtection="0"/>
    <xf numFmtId="0" fontId="21" fillId="94" borderId="0" applyNumberFormat="0" applyFont="0" applyBorder="0" applyAlignment="0" applyProtection="0"/>
    <xf numFmtId="0" fontId="21" fillId="94" borderId="0" applyNumberFormat="0" applyFont="0" applyBorder="0" applyAlignment="0" applyProtection="0"/>
    <xf numFmtId="0" fontId="21" fillId="94" borderId="0" applyNumberFormat="0" applyFont="0" applyBorder="0" applyAlignment="0" applyProtection="0"/>
    <xf numFmtId="0" fontId="21" fillId="94" borderId="0" applyNumberFormat="0" applyFont="0" applyBorder="0" applyAlignment="0" applyProtection="0"/>
    <xf numFmtId="0" fontId="21" fillId="94" borderId="0" applyNumberFormat="0" applyFont="0" applyBorder="0" applyAlignment="0" applyProtection="0"/>
    <xf numFmtId="0" fontId="21" fillId="94" borderId="0" applyNumberFormat="0" applyFont="0" applyBorder="0" applyAlignment="0" applyProtection="0"/>
    <xf numFmtId="0" fontId="21" fillId="94" borderId="0" applyNumberFormat="0" applyFont="0" applyBorder="0" applyAlignment="0" applyProtection="0"/>
    <xf numFmtId="0" fontId="21" fillId="94" borderId="0" applyNumberFormat="0" applyFont="0" applyBorder="0" applyAlignment="0" applyProtection="0"/>
    <xf numFmtId="0" fontId="21" fillId="94" borderId="0" applyNumberFormat="0" applyFont="0" applyBorder="0" applyAlignment="0" applyProtection="0"/>
    <xf numFmtId="0" fontId="21" fillId="94" borderId="0" applyNumberFormat="0" applyFont="0" applyBorder="0" applyAlignment="0" applyProtection="0"/>
    <xf numFmtId="0" fontId="21" fillId="94" borderId="0" applyNumberFormat="0" applyFont="0" applyBorder="0" applyAlignment="0" applyProtection="0"/>
    <xf numFmtId="0" fontId="21" fillId="94" borderId="0" applyNumberFormat="0" applyFont="0" applyBorder="0" applyAlignment="0" applyProtection="0"/>
    <xf numFmtId="0" fontId="21" fillId="94" borderId="0" applyNumberFormat="0" applyFont="0" applyBorder="0" applyAlignment="0" applyProtection="0"/>
    <xf numFmtId="0" fontId="21" fillId="94" borderId="0" applyNumberFormat="0" applyFont="0" applyBorder="0" applyAlignment="0" applyProtection="0"/>
    <xf numFmtId="0" fontId="21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4" fillId="94" borderId="0" applyNumberFormat="0" applyFont="0" applyBorder="0" applyAlignment="0" applyProtection="0"/>
    <xf numFmtId="0" fontId="21" fillId="94" borderId="0" applyNumberFormat="0" applyFont="0" applyBorder="0" applyAlignment="0" applyProtection="0"/>
    <xf numFmtId="0" fontId="21" fillId="94" borderId="0" applyNumberFormat="0" applyFont="0" applyBorder="0" applyAlignment="0" applyProtection="0"/>
    <xf numFmtId="8" fontId="90" fillId="0" borderId="0" applyNumberFormat="0" applyFill="0" applyBorder="0" applyAlignment="0"/>
    <xf numFmtId="204" fontId="91" fillId="0" borderId="0">
      <alignment horizontal="left" vertical="top" wrapText="1"/>
      <protection locked="0"/>
    </xf>
    <xf numFmtId="0" fontId="31" fillId="0" borderId="0"/>
    <xf numFmtId="14" fontId="38" fillId="0" borderId="0"/>
    <xf numFmtId="17" fontId="21" fillId="0" borderId="0" applyFill="0" applyBorder="0">
      <alignment horizontal="right"/>
    </xf>
    <xf numFmtId="279" fontId="21" fillId="0" borderId="0">
      <protection locked="0"/>
    </xf>
    <xf numFmtId="279" fontId="21" fillId="0" borderId="0">
      <protection locked="0"/>
    </xf>
    <xf numFmtId="266" fontId="21" fillId="0" borderId="0" applyFont="0" applyFill="0" applyBorder="0" applyAlignment="0" applyProtection="0"/>
    <xf numFmtId="280" fontId="80" fillId="0" borderId="0" applyFont="0" applyFill="0" applyBorder="0" applyAlignment="0" applyProtection="0"/>
    <xf numFmtId="14" fontId="21" fillId="0" borderId="0" applyFill="0" applyBorder="0" applyAlignment="0"/>
    <xf numFmtId="15" fontId="21" fillId="0" borderId="0" applyFont="0" applyFill="0" applyBorder="0" applyAlignment="0" applyProtection="0"/>
    <xf numFmtId="14" fontId="21" fillId="0" borderId="0" applyFont="0" applyFill="0" applyBorder="0" applyAlignment="0" applyProtection="0"/>
    <xf numFmtId="281" fontId="21" fillId="0" borderId="0">
      <protection locked="0"/>
    </xf>
    <xf numFmtId="14" fontId="92" fillId="0" borderId="0">
      <alignment horizontal="right"/>
      <protection locked="0"/>
    </xf>
    <xf numFmtId="15" fontId="33" fillId="0" borderId="0" applyFont="0" applyFill="0" applyBorder="0" applyAlignment="0" applyProtection="0">
      <alignment horizontal="center"/>
    </xf>
    <xf numFmtId="282" fontId="21" fillId="0" borderId="0" applyFill="0" applyBorder="0" applyAlignment="0" applyProtection="0"/>
    <xf numFmtId="265" fontId="21" fillId="0" borderId="0"/>
    <xf numFmtId="249" fontId="21" fillId="0" borderId="0" applyFont="0" applyFill="0" applyBorder="0" applyAlignment="0" applyProtection="0"/>
    <xf numFmtId="262" fontId="21" fillId="0" borderId="0" applyFont="0" applyFill="0" applyBorder="0" applyAlignment="0" applyProtection="0"/>
    <xf numFmtId="7" fontId="21" fillId="0" borderId="0"/>
    <xf numFmtId="0" fontId="93" fillId="0" borderId="0" applyFont="0" applyFill="0" applyBorder="0" applyAlignment="0" applyProtection="0"/>
    <xf numFmtId="283" fontId="21" fillId="0" borderId="0" applyFont="0" applyFill="0" applyBorder="0" applyAlignment="0" applyProtection="0"/>
    <xf numFmtId="284" fontId="21" fillId="0" borderId="0" applyFont="0" applyFill="0" applyBorder="0" applyAlignment="0" applyProtection="0"/>
    <xf numFmtId="177" fontId="33" fillId="0" borderId="0"/>
    <xf numFmtId="177" fontId="94" fillId="0" borderId="0">
      <protection locked="0"/>
    </xf>
    <xf numFmtId="7" fontId="33" fillId="0" borderId="0"/>
    <xf numFmtId="0" fontId="21" fillId="0" borderId="0" applyFont="0" applyFill="0" applyBorder="0" applyAlignment="0" applyProtection="0"/>
    <xf numFmtId="285" fontId="21" fillId="0" borderId="42" applyNumberFormat="0" applyFont="0" applyFill="0" applyAlignment="0" applyProtection="0"/>
    <xf numFmtId="42" fontId="95" fillId="0" borderId="0" applyFill="0" applyBorder="0" applyAlignment="0" applyProtection="0"/>
    <xf numFmtId="286" fontId="21" fillId="95" borderId="0">
      <alignment vertical="center"/>
    </xf>
    <xf numFmtId="286" fontId="21" fillId="0" borderId="0">
      <alignment vertical="center"/>
    </xf>
    <xf numFmtId="286" fontId="21" fillId="0" borderId="0">
      <alignment vertical="center"/>
    </xf>
    <xf numFmtId="286" fontId="21" fillId="34" borderId="0" applyNumberFormat="0">
      <alignment vertical="center"/>
    </xf>
    <xf numFmtId="286" fontId="21" fillId="34" borderId="0">
      <alignment horizontal="right" vertical="center"/>
    </xf>
    <xf numFmtId="14" fontId="21" fillId="34" borderId="0">
      <alignment horizontal="center" vertical="center"/>
    </xf>
    <xf numFmtId="17" fontId="21" fillId="34" borderId="0">
      <alignment horizontal="center" vertical="center"/>
    </xf>
    <xf numFmtId="286" fontId="21" fillId="0" borderId="0">
      <alignment vertical="center"/>
    </xf>
    <xf numFmtId="286" fontId="21" fillId="34" borderId="0">
      <alignment vertical="center"/>
    </xf>
    <xf numFmtId="286" fontId="21" fillId="34" borderId="0">
      <alignment vertical="center"/>
    </xf>
    <xf numFmtId="0" fontId="21" fillId="34" borderId="43">
      <alignment vertical="center"/>
    </xf>
    <xf numFmtId="0" fontId="21" fillId="34" borderId="43">
      <alignment vertical="center"/>
    </xf>
    <xf numFmtId="37" fontId="21" fillId="34" borderId="0">
      <alignment horizontal="left" vertical="center"/>
    </xf>
    <xf numFmtId="3" fontId="21" fillId="34" borderId="0">
      <alignment horizontal="right" vertical="center"/>
    </xf>
    <xf numFmtId="273" fontId="21" fillId="34" borderId="0">
      <alignment horizontal="right" vertical="center"/>
    </xf>
    <xf numFmtId="0" fontId="21" fillId="34" borderId="0">
      <alignment horizontal="right" vertical="center"/>
    </xf>
    <xf numFmtId="0" fontId="21" fillId="34" borderId="0">
      <alignment horizontal="right" vertical="center"/>
    </xf>
    <xf numFmtId="0" fontId="21" fillId="34" borderId="14">
      <alignment horizontal="right" vertical="center"/>
    </xf>
    <xf numFmtId="0" fontId="21" fillId="34" borderId="14">
      <alignment horizontal="right" vertical="center"/>
    </xf>
    <xf numFmtId="0" fontId="21" fillId="34" borderId="14">
      <alignment horizontal="right" vertical="center"/>
    </xf>
    <xf numFmtId="0" fontId="21" fillId="34" borderId="14">
      <alignment horizontal="right" vertical="center"/>
    </xf>
    <xf numFmtId="0" fontId="21" fillId="34" borderId="14">
      <alignment horizontal="right" vertical="center"/>
    </xf>
    <xf numFmtId="0" fontId="21" fillId="34" borderId="14">
      <alignment horizontal="right" vertical="center"/>
    </xf>
    <xf numFmtId="0" fontId="21" fillId="34" borderId="14">
      <alignment horizontal="right" vertical="center"/>
    </xf>
    <xf numFmtId="0" fontId="21" fillId="34" borderId="14">
      <alignment horizontal="right" vertical="center"/>
    </xf>
    <xf numFmtId="0" fontId="21" fillId="34" borderId="14">
      <alignment horizontal="right" vertical="center"/>
    </xf>
    <xf numFmtId="0" fontId="21" fillId="34" borderId="43">
      <alignment horizontal="right" vertical="center"/>
    </xf>
    <xf numFmtId="287" fontId="21" fillId="34" borderId="0">
      <alignment horizontal="right" vertical="center"/>
    </xf>
    <xf numFmtId="4" fontId="21" fillId="34" borderId="0">
      <alignment horizontal="right" vertical="center"/>
    </xf>
    <xf numFmtId="287" fontId="21" fillId="34" borderId="10">
      <alignment horizontal="right" vertical="center"/>
    </xf>
    <xf numFmtId="0" fontId="21" fillId="34" borderId="10">
      <alignment horizontal="right" vertical="center"/>
    </xf>
    <xf numFmtId="0" fontId="21" fillId="34" borderId="0">
      <alignment horizontal="right" vertical="center"/>
    </xf>
    <xf numFmtId="288" fontId="21" fillId="34" borderId="0">
      <alignment horizontal="right" vertical="center"/>
    </xf>
    <xf numFmtId="286" fontId="21" fillId="0" borderId="0">
      <alignment vertical="center"/>
    </xf>
    <xf numFmtId="286" fontId="21" fillId="34" borderId="10" applyBorder="0">
      <alignment horizontal="left" vertical="center"/>
    </xf>
    <xf numFmtId="286" fontId="21" fillId="34" borderId="0">
      <alignment horizontal="left" vertical="center"/>
    </xf>
    <xf numFmtId="286" fontId="21" fillId="34" borderId="44">
      <alignment horizontal="left"/>
    </xf>
    <xf numFmtId="286" fontId="21" fillId="34" borderId="45">
      <alignment vertical="center"/>
    </xf>
    <xf numFmtId="286" fontId="21" fillId="34" borderId="46">
      <alignment vertical="center"/>
    </xf>
    <xf numFmtId="286" fontId="21" fillId="34" borderId="14">
      <alignment vertical="center"/>
    </xf>
    <xf numFmtId="286" fontId="21" fillId="34" borderId="14">
      <alignment vertical="center"/>
    </xf>
    <xf numFmtId="286" fontId="21" fillId="34" borderId="14">
      <alignment vertical="center"/>
    </xf>
    <xf numFmtId="286" fontId="21" fillId="34" borderId="14">
      <alignment vertical="center"/>
    </xf>
    <xf numFmtId="286" fontId="21" fillId="34" borderId="14">
      <alignment vertical="center"/>
    </xf>
    <xf numFmtId="286" fontId="21" fillId="34" borderId="14">
      <alignment vertical="center"/>
    </xf>
    <xf numFmtId="286" fontId="21" fillId="34" borderId="14">
      <alignment vertical="center"/>
    </xf>
    <xf numFmtId="286" fontId="21" fillId="34" borderId="14">
      <alignment vertical="center"/>
    </xf>
    <xf numFmtId="286" fontId="21" fillId="34" borderId="14">
      <alignment vertical="center"/>
    </xf>
    <xf numFmtId="286" fontId="21" fillId="34" borderId="47">
      <alignment horizontal="center" vertical="center"/>
    </xf>
    <xf numFmtId="286" fontId="21" fillId="0" borderId="0">
      <alignment vertical="center"/>
    </xf>
    <xf numFmtId="286" fontId="21" fillId="0" borderId="0">
      <alignment vertical="center"/>
    </xf>
    <xf numFmtId="286" fontId="21" fillId="0" borderId="0">
      <alignment vertical="center"/>
    </xf>
    <xf numFmtId="244" fontId="21" fillId="0" borderId="0" applyFill="0" applyBorder="0" applyAlignment="0"/>
    <xf numFmtId="0" fontId="21" fillId="0" borderId="0" applyFill="0" applyBorder="0" applyAlignment="0"/>
    <xf numFmtId="244" fontId="21" fillId="0" borderId="0" applyFill="0" applyBorder="0" applyAlignment="0"/>
    <xf numFmtId="0" fontId="21" fillId="0" borderId="0" applyFill="0" applyBorder="0" applyAlignment="0"/>
    <xf numFmtId="0" fontId="21" fillId="0" borderId="0" applyFill="0" applyBorder="0" applyAlignment="0"/>
    <xf numFmtId="0" fontId="21" fillId="0" borderId="0" applyNumberFormat="0" applyAlignment="0">
      <alignment horizontal="left"/>
    </xf>
    <xf numFmtId="0" fontId="21" fillId="0" borderId="0"/>
    <xf numFmtId="0" fontId="21" fillId="0" borderId="0"/>
    <xf numFmtId="0" fontId="21" fillId="0" borderId="0"/>
    <xf numFmtId="0" fontId="21" fillId="0" borderId="0"/>
    <xf numFmtId="39" fontId="34" fillId="96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96" fillId="0" borderId="0"/>
    <xf numFmtId="204" fontId="21" fillId="0" borderId="0" applyFont="0" applyFill="0" applyBorder="0" applyAlignment="0" applyProtection="0"/>
    <xf numFmtId="204" fontId="21" fillId="0" borderId="0" applyFont="0" applyFill="0" applyBorder="0" applyAlignment="0" applyProtection="0"/>
    <xf numFmtId="204" fontId="21" fillId="0" borderId="0" applyFont="0" applyFill="0" applyBorder="0" applyAlignment="0" applyProtection="0"/>
    <xf numFmtId="204" fontId="21" fillId="0" borderId="0" applyFont="0" applyFill="0" applyBorder="0" applyAlignment="0" applyProtection="0"/>
    <xf numFmtId="204" fontId="21" fillId="0" borderId="0" applyFont="0" applyFill="0" applyBorder="0" applyAlignment="0" applyProtection="0"/>
    <xf numFmtId="204" fontId="21" fillId="0" borderId="0" applyFont="0" applyFill="0" applyBorder="0" applyAlignment="0" applyProtection="0"/>
    <xf numFmtId="204" fontId="21" fillId="0" borderId="0" applyFont="0" applyFill="0" applyBorder="0" applyAlignment="0" applyProtection="0"/>
    <xf numFmtId="204" fontId="21" fillId="0" borderId="0" applyFont="0" applyFill="0" applyBorder="0" applyAlignment="0" applyProtection="0"/>
    <xf numFmtId="204" fontId="21" fillId="0" borderId="0" applyFont="0" applyFill="0" applyBorder="0" applyAlignment="0" applyProtection="0"/>
    <xf numFmtId="204" fontId="21" fillId="0" borderId="0" applyFont="0" applyFill="0" applyBorder="0" applyAlignment="0" applyProtection="0"/>
    <xf numFmtId="204" fontId="21" fillId="0" borderId="0" applyFont="0" applyFill="0" applyBorder="0" applyAlignment="0" applyProtection="0"/>
    <xf numFmtId="204" fontId="21" fillId="0" borderId="0" applyFont="0" applyFill="0" applyBorder="0" applyAlignment="0" applyProtection="0"/>
    <xf numFmtId="204" fontId="21" fillId="0" borderId="0" applyFont="0" applyFill="0" applyBorder="0" applyAlignment="0" applyProtection="0"/>
    <xf numFmtId="204" fontId="21" fillId="0" borderId="0" applyFont="0" applyFill="0" applyBorder="0" applyAlignment="0" applyProtection="0"/>
    <xf numFmtId="204" fontId="21" fillId="0" borderId="0" applyFont="0" applyFill="0" applyBorder="0" applyAlignment="0" applyProtection="0"/>
    <xf numFmtId="204" fontId="21" fillId="0" borderId="0" applyFont="0" applyFill="0" applyBorder="0" applyAlignment="0" applyProtection="0"/>
    <xf numFmtId="204" fontId="21" fillId="0" borderId="0" applyFont="0" applyFill="0" applyBorder="0" applyAlignment="0" applyProtection="0"/>
    <xf numFmtId="204" fontId="21" fillId="0" borderId="0" applyFont="0" applyFill="0" applyBorder="0" applyAlignment="0" applyProtection="0"/>
    <xf numFmtId="204" fontId="21" fillId="0" borderId="0" applyFont="0" applyFill="0" applyBorder="0" applyAlignment="0" applyProtection="0"/>
    <xf numFmtId="204" fontId="21" fillId="0" borderId="0" applyFont="0" applyFill="0" applyBorder="0" applyAlignment="0" applyProtection="0"/>
    <xf numFmtId="204" fontId="21" fillId="0" borderId="0" applyFont="0" applyFill="0" applyBorder="0" applyAlignment="0" applyProtection="0"/>
    <xf numFmtId="204" fontId="21" fillId="0" borderId="0" applyFont="0" applyFill="0" applyBorder="0" applyAlignment="0" applyProtection="0"/>
    <xf numFmtId="204" fontId="21" fillId="0" borderId="0" applyFont="0" applyFill="0" applyBorder="0" applyAlignment="0" applyProtection="0"/>
    <xf numFmtId="204" fontId="21" fillId="0" borderId="0" applyFont="0" applyFill="0" applyBorder="0" applyAlignment="0" applyProtection="0"/>
    <xf numFmtId="204" fontId="21" fillId="0" borderId="0" applyFont="0" applyFill="0" applyBorder="0" applyAlignment="0" applyProtection="0"/>
    <xf numFmtId="204" fontId="21" fillId="0" borderId="0" applyFont="0" applyFill="0" applyBorder="0" applyAlignment="0" applyProtection="0"/>
    <xf numFmtId="289" fontId="21" fillId="0" borderId="17"/>
    <xf numFmtId="289" fontId="21" fillId="0" borderId="17"/>
    <xf numFmtId="289" fontId="21" fillId="0" borderId="17"/>
    <xf numFmtId="289" fontId="21" fillId="0" borderId="17"/>
    <xf numFmtId="289" fontId="21" fillId="0" borderId="17"/>
    <xf numFmtId="289" fontId="21" fillId="0" borderId="17"/>
    <xf numFmtId="0" fontId="18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290" fontId="21" fillId="0" borderId="0">
      <protection locked="0"/>
    </xf>
    <xf numFmtId="279" fontId="21" fillId="0" borderId="0">
      <protection locked="0"/>
    </xf>
    <xf numFmtId="279" fontId="21" fillId="0" borderId="0">
      <protection locked="0"/>
    </xf>
    <xf numFmtId="290" fontId="21" fillId="0" borderId="0">
      <protection locked="0"/>
    </xf>
    <xf numFmtId="279" fontId="21" fillId="0" borderId="0">
      <protection locked="0"/>
    </xf>
    <xf numFmtId="279" fontId="21" fillId="0" borderId="0">
      <protection locked="0"/>
    </xf>
    <xf numFmtId="290" fontId="21" fillId="0" borderId="0">
      <protection locked="0"/>
    </xf>
    <xf numFmtId="279" fontId="21" fillId="0" borderId="0">
      <protection locked="0"/>
    </xf>
    <xf numFmtId="279" fontId="21" fillId="0" borderId="0">
      <protection locked="0"/>
    </xf>
    <xf numFmtId="290" fontId="21" fillId="0" borderId="0">
      <protection locked="0"/>
    </xf>
    <xf numFmtId="279" fontId="21" fillId="0" borderId="0">
      <protection locked="0"/>
    </xf>
    <xf numFmtId="279" fontId="21" fillId="0" borderId="0">
      <protection locked="0"/>
    </xf>
    <xf numFmtId="290" fontId="21" fillId="0" borderId="0">
      <protection locked="0"/>
    </xf>
    <xf numFmtId="279" fontId="21" fillId="0" borderId="0">
      <protection locked="0"/>
    </xf>
    <xf numFmtId="279" fontId="21" fillId="0" borderId="0">
      <protection locked="0"/>
    </xf>
    <xf numFmtId="290" fontId="21" fillId="0" borderId="0">
      <protection locked="0"/>
    </xf>
    <xf numFmtId="279" fontId="21" fillId="0" borderId="0">
      <protection locked="0"/>
    </xf>
    <xf numFmtId="279" fontId="21" fillId="0" borderId="0">
      <protection locked="0"/>
    </xf>
    <xf numFmtId="290" fontId="21" fillId="0" borderId="0">
      <protection locked="0"/>
    </xf>
    <xf numFmtId="279" fontId="21" fillId="0" borderId="0">
      <protection locked="0"/>
    </xf>
    <xf numFmtId="279" fontId="21" fillId="0" borderId="0">
      <protection locked="0"/>
    </xf>
    <xf numFmtId="0" fontId="31" fillId="0" borderId="0"/>
    <xf numFmtId="291" fontId="21" fillId="0" borderId="0">
      <protection locked="0"/>
    </xf>
    <xf numFmtId="279" fontId="21" fillId="0" borderId="0">
      <protection locked="0"/>
    </xf>
    <xf numFmtId="279" fontId="21" fillId="0" borderId="0">
      <protection locked="0"/>
    </xf>
    <xf numFmtId="1" fontId="21" fillId="0" borderId="0" applyFont="0" applyFill="0" applyBorder="0" applyAlignment="0" applyProtection="0">
      <alignment vertical="center"/>
    </xf>
    <xf numFmtId="286" fontId="21" fillId="0" borderId="0" applyFont="0" applyFill="0" applyBorder="0" applyAlignment="0" applyProtection="0">
      <alignment horizontal="right" vertical="center"/>
    </xf>
    <xf numFmtId="286" fontId="21" fillId="0" borderId="0" applyFont="0" applyFill="0" applyBorder="0" applyAlignment="0" applyProtection="0">
      <alignment horizontal="right" vertical="center"/>
    </xf>
    <xf numFmtId="286" fontId="21" fillId="0" borderId="0" applyFont="0" applyFill="0" applyBorder="0" applyAlignment="0" applyProtection="0">
      <alignment horizontal="right" vertical="center"/>
    </xf>
    <xf numFmtId="292" fontId="21" fillId="0" borderId="0" applyFill="0" applyBorder="0" applyProtection="0"/>
    <xf numFmtId="0" fontId="21" fillId="0" borderId="0">
      <alignment horizontal="left"/>
    </xf>
    <xf numFmtId="0" fontId="21" fillId="0" borderId="0">
      <alignment horizontal="left"/>
    </xf>
    <xf numFmtId="0" fontId="21" fillId="0" borderId="0"/>
    <xf numFmtId="0" fontId="21" fillId="0" borderId="0">
      <alignment horizontal="left"/>
    </xf>
    <xf numFmtId="0" fontId="21" fillId="0" borderId="0"/>
    <xf numFmtId="0" fontId="21" fillId="0" borderId="0" applyNumberFormat="0" applyFill="0" applyBorder="0" applyAlignment="0" applyProtection="0"/>
    <xf numFmtId="243" fontId="21" fillId="0" borderId="0" applyNumberFormat="0" applyFill="0" applyBorder="0" applyAlignment="0" applyProtection="0"/>
    <xf numFmtId="0" fontId="21" fillId="0" borderId="48"/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293" fontId="34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34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293" fontId="34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294" fontId="21" fillId="35" borderId="19">
      <alignment horizontal="right"/>
    </xf>
    <xf numFmtId="294" fontId="21" fillId="35" borderId="19">
      <alignment horizontal="right"/>
    </xf>
    <xf numFmtId="294" fontId="21" fillId="35" borderId="19">
      <alignment horizontal="right"/>
    </xf>
    <xf numFmtId="294" fontId="21" fillId="35" borderId="19">
      <alignment horizontal="right"/>
    </xf>
    <xf numFmtId="294" fontId="21" fillId="35" borderId="19">
      <alignment horizontal="right"/>
    </xf>
    <xf numFmtId="294" fontId="21" fillId="35" borderId="19">
      <alignment horizontal="right"/>
    </xf>
    <xf numFmtId="294" fontId="21" fillId="35" borderId="19">
      <alignment horizontal="right"/>
    </xf>
    <xf numFmtId="294" fontId="21" fillId="35" borderId="19">
      <alignment horizontal="right"/>
    </xf>
    <xf numFmtId="0" fontId="21" fillId="0" borderId="0"/>
    <xf numFmtId="0" fontId="99" fillId="50" borderId="0" applyNumberFormat="0" applyBorder="0" applyAlignment="0" applyProtection="0"/>
    <xf numFmtId="0" fontId="100" fillId="2" borderId="0" applyNumberFormat="0" applyBorder="0" applyAlignment="0" applyProtection="0"/>
    <xf numFmtId="0" fontId="101" fillId="47" borderId="0" applyNumberFormat="0" applyBorder="0" applyAlignment="0" applyProtection="0"/>
    <xf numFmtId="0" fontId="102" fillId="50" borderId="0" applyNumberFormat="0" applyBorder="0" applyAlignment="0" applyProtection="0"/>
    <xf numFmtId="0" fontId="102" fillId="46" borderId="0" applyNumberFormat="0" applyBorder="0" applyAlignment="0" applyProtection="0"/>
    <xf numFmtId="0" fontId="102" fillId="46" borderId="0" applyNumberFormat="0" applyBorder="0" applyAlignment="0" applyProtection="0"/>
    <xf numFmtId="0" fontId="102" fillId="46" borderId="0" applyNumberFormat="0" applyBorder="0" applyAlignment="0" applyProtection="0"/>
    <xf numFmtId="0" fontId="9" fillId="2" borderId="0" applyNumberFormat="0" applyBorder="0" applyAlignment="0" applyProtection="0"/>
    <xf numFmtId="0" fontId="102" fillId="50" borderId="0" applyNumberFormat="0" applyBorder="0" applyAlignment="0" applyProtection="0"/>
    <xf numFmtId="0" fontId="21" fillId="0" borderId="0" applyNumberFormat="0" applyFill="0" applyBorder="0" applyProtection="0">
      <alignment wrapText="1"/>
    </xf>
    <xf numFmtId="0" fontId="21" fillId="0" borderId="0" applyNumberFormat="0" applyFill="0" applyBorder="0" applyProtection="0">
      <alignment wrapText="1"/>
    </xf>
    <xf numFmtId="295" fontId="21" fillId="0" borderId="0"/>
    <xf numFmtId="38" fontId="62" fillId="35" borderId="0" applyNumberFormat="0" applyBorder="0" applyAlignment="0" applyProtection="0"/>
    <xf numFmtId="1" fontId="21" fillId="35" borderId="33">
      <alignment horizontal="center" vertical="center"/>
    </xf>
    <xf numFmtId="166" fontId="21" fillId="97" borderId="17" applyNumberFormat="0" applyFont="0" applyBorder="0" applyAlignment="0" applyProtection="0"/>
    <xf numFmtId="166" fontId="21" fillId="97" borderId="17" applyNumberFormat="0" applyFont="0" applyBorder="0" applyAlignment="0" applyProtection="0"/>
    <xf numFmtId="166" fontId="21" fillId="97" borderId="17" applyNumberFormat="0" applyFont="0" applyBorder="0" applyAlignment="0" applyProtection="0"/>
    <xf numFmtId="166" fontId="21" fillId="97" borderId="17" applyNumberFormat="0" applyFont="0" applyBorder="0" applyAlignment="0" applyProtection="0"/>
    <xf numFmtId="166" fontId="21" fillId="97" borderId="17" applyNumberFormat="0" applyFont="0" applyBorder="0" applyAlignment="0" applyProtection="0"/>
    <xf numFmtId="166" fontId="21" fillId="97" borderId="17" applyNumberFormat="0" applyFont="0" applyBorder="0" applyAlignment="0" applyProtection="0"/>
    <xf numFmtId="166" fontId="21" fillId="97" borderId="17" applyNumberFormat="0" applyFont="0" applyBorder="0" applyAlignment="0" applyProtection="0"/>
    <xf numFmtId="166" fontId="21" fillId="97" borderId="17" applyNumberFormat="0" applyFont="0" applyBorder="0" applyAlignment="0" applyProtection="0"/>
    <xf numFmtId="166" fontId="21" fillId="97" borderId="17" applyNumberFormat="0" applyFont="0" applyBorder="0" applyAlignment="0" applyProtection="0"/>
    <xf numFmtId="166" fontId="21" fillId="97" borderId="17" applyNumberFormat="0" applyFont="0" applyBorder="0" applyAlignment="0" applyProtection="0"/>
    <xf numFmtId="166" fontId="21" fillId="97" borderId="17" applyNumberFormat="0" applyFont="0" applyBorder="0" applyAlignment="0" applyProtection="0"/>
    <xf numFmtId="166" fontId="21" fillId="97" borderId="17" applyNumberFormat="0" applyFont="0" applyBorder="0" applyAlignment="0" applyProtection="0"/>
    <xf numFmtId="166" fontId="21" fillId="97" borderId="17" applyNumberFormat="0" applyFont="0" applyBorder="0" applyAlignment="0" applyProtection="0"/>
    <xf numFmtId="296" fontId="21" fillId="98" borderId="17" applyNumberFormat="0" applyFont="0" applyAlignment="0"/>
    <xf numFmtId="296" fontId="21" fillId="98" borderId="17" applyNumberFormat="0" applyFont="0" applyAlignment="0"/>
    <xf numFmtId="296" fontId="21" fillId="98" borderId="17" applyNumberFormat="0" applyFont="0" applyAlignment="0"/>
    <xf numFmtId="296" fontId="21" fillId="98" borderId="17" applyNumberFormat="0" applyFont="0" applyAlignment="0"/>
    <xf numFmtId="296" fontId="21" fillId="98" borderId="17" applyNumberFormat="0" applyFont="0" applyAlignment="0"/>
    <xf numFmtId="296" fontId="21" fillId="98" borderId="17" applyNumberFormat="0" applyFont="0" applyAlignment="0"/>
    <xf numFmtId="297" fontId="21" fillId="0" borderId="0" applyFont="0" applyFill="0" applyBorder="0" applyAlignment="0" applyProtection="0">
      <alignment horizontal="right"/>
    </xf>
    <xf numFmtId="205" fontId="103" fillId="97" borderId="0" applyNumberFormat="0" applyFont="0" applyAlignment="0"/>
    <xf numFmtId="0" fontId="21" fillId="0" borderId="0" applyNumberFormat="0" applyFill="0" applyBorder="0" applyAlignment="0" applyProtection="0"/>
    <xf numFmtId="0" fontId="21" fillId="0" borderId="0">
      <alignment horizontal="left"/>
    </xf>
    <xf numFmtId="0" fontId="21" fillId="0" borderId="0" applyProtection="0">
      <alignment horizontal="right" vertical="top"/>
    </xf>
    <xf numFmtId="0" fontId="104" fillId="0" borderId="20" applyNumberFormat="0" applyAlignment="0" applyProtection="0">
      <alignment horizontal="left" vertical="center"/>
    </xf>
    <xf numFmtId="0" fontId="21" fillId="0" borderId="20" applyNumberFormat="0" applyAlignment="0" applyProtection="0">
      <alignment horizontal="left" vertical="center"/>
    </xf>
    <xf numFmtId="0" fontId="21" fillId="0" borderId="20" applyNumberFormat="0" applyAlignment="0" applyProtection="0">
      <alignment horizontal="left" vertical="center"/>
    </xf>
    <xf numFmtId="0" fontId="21" fillId="0" borderId="20" applyNumberFormat="0" applyAlignment="0" applyProtection="0">
      <alignment horizontal="left" vertical="center"/>
    </xf>
    <xf numFmtId="0" fontId="21" fillId="0" borderId="20" applyNumberFormat="0" applyAlignment="0" applyProtection="0">
      <alignment horizontal="left" vertical="center"/>
    </xf>
    <xf numFmtId="0" fontId="104" fillId="0" borderId="20" applyNumberFormat="0" applyAlignment="0" applyProtection="0">
      <alignment horizontal="left" vertical="center"/>
    </xf>
    <xf numFmtId="0" fontId="104" fillId="0" borderId="11">
      <alignment horizontal="left" vertical="center"/>
    </xf>
    <xf numFmtId="0" fontId="21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21" fillId="0" borderId="11">
      <alignment horizontal="left" vertical="center"/>
    </xf>
    <xf numFmtId="0" fontId="21" fillId="0" borderId="11">
      <alignment horizontal="left" vertical="center"/>
    </xf>
    <xf numFmtId="0" fontId="21" fillId="0" borderId="11">
      <alignment horizontal="left" vertical="center"/>
    </xf>
    <xf numFmtId="0" fontId="21" fillId="0" borderId="11">
      <alignment horizontal="left" vertical="center"/>
    </xf>
    <xf numFmtId="0" fontId="21" fillId="0" borderId="11">
      <alignment horizontal="left" vertical="center"/>
    </xf>
    <xf numFmtId="0" fontId="21" fillId="0" borderId="11">
      <alignment horizontal="left" vertical="center"/>
    </xf>
    <xf numFmtId="0" fontId="21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21" fillId="0" borderId="11">
      <alignment horizontal="left" vertical="center"/>
    </xf>
    <xf numFmtId="0" fontId="21" fillId="0" borderId="11">
      <alignment horizontal="left" vertical="center"/>
    </xf>
    <xf numFmtId="0" fontId="21" fillId="0" borderId="11">
      <alignment horizontal="left" vertical="center"/>
    </xf>
    <xf numFmtId="0" fontId="21" fillId="0" borderId="11">
      <alignment horizontal="left" vertical="center"/>
    </xf>
    <xf numFmtId="0" fontId="21" fillId="0" borderId="11">
      <alignment horizontal="left" vertical="center"/>
    </xf>
    <xf numFmtId="0" fontId="21" fillId="0" borderId="11">
      <alignment horizontal="left" vertical="center"/>
    </xf>
    <xf numFmtId="0" fontId="21" fillId="0" borderId="11">
      <alignment horizontal="left" vertical="center"/>
    </xf>
    <xf numFmtId="0" fontId="21" fillId="0" borderId="11">
      <alignment horizontal="left" vertical="center"/>
    </xf>
    <xf numFmtId="0" fontId="21" fillId="0" borderId="11">
      <alignment horizontal="left" vertical="center"/>
    </xf>
    <xf numFmtId="0" fontId="21" fillId="0" borderId="11">
      <alignment horizontal="left" vertical="center"/>
    </xf>
    <xf numFmtId="0" fontId="21" fillId="0" borderId="11">
      <alignment horizontal="left" vertical="center"/>
    </xf>
    <xf numFmtId="0" fontId="21" fillId="0" borderId="11">
      <alignment horizontal="left" vertical="center"/>
    </xf>
    <xf numFmtId="0" fontId="21" fillId="0" borderId="11">
      <alignment horizontal="left" vertical="center"/>
    </xf>
    <xf numFmtId="0" fontId="21" fillId="0" borderId="11">
      <alignment horizontal="left" vertical="center"/>
    </xf>
    <xf numFmtId="0" fontId="21" fillId="0" borderId="11">
      <alignment horizontal="left" vertical="center"/>
    </xf>
    <xf numFmtId="0" fontId="21" fillId="0" borderId="11">
      <alignment horizontal="left" vertical="center"/>
    </xf>
    <xf numFmtId="0" fontId="21" fillId="0" borderId="11">
      <alignment horizontal="left" vertical="center"/>
    </xf>
    <xf numFmtId="0" fontId="21" fillId="0" borderId="11">
      <alignment horizontal="left" vertical="center"/>
    </xf>
    <xf numFmtId="0" fontId="21" fillId="0" borderId="11">
      <alignment horizontal="left" vertical="center"/>
    </xf>
    <xf numFmtId="0" fontId="21" fillId="0" borderId="11">
      <alignment horizontal="left" vertical="center"/>
    </xf>
    <xf numFmtId="0" fontId="21" fillId="0" borderId="11">
      <alignment horizontal="left" vertical="center"/>
    </xf>
    <xf numFmtId="0" fontId="21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104" fillId="0" borderId="11">
      <alignment horizontal="left" vertical="center"/>
    </xf>
    <xf numFmtId="0" fontId="21" fillId="0" borderId="0">
      <alignment horizontal="center"/>
    </xf>
    <xf numFmtId="0" fontId="21" fillId="0" borderId="0">
      <alignment horizontal="center"/>
    </xf>
    <xf numFmtId="0" fontId="105" fillId="0" borderId="49" applyNumberFormat="0" applyFill="0" applyAlignment="0" applyProtection="0"/>
    <xf numFmtId="0" fontId="106" fillId="0" borderId="1" applyNumberFormat="0" applyFill="0" applyAlignment="0" applyProtection="0"/>
    <xf numFmtId="0" fontId="60" fillId="0" borderId="50" applyNumberFormat="0" applyFill="0" applyAlignment="0" applyProtection="0"/>
    <xf numFmtId="0" fontId="107" fillId="0" borderId="49" applyNumberFormat="0" applyFill="0" applyAlignment="0" applyProtection="0"/>
    <xf numFmtId="0" fontId="108" fillId="0" borderId="50" applyNumberFormat="0" applyFill="0" applyAlignment="0" applyProtection="0"/>
    <xf numFmtId="0" fontId="108" fillId="0" borderId="50" applyNumberFormat="0" applyFill="0" applyAlignment="0" applyProtection="0"/>
    <xf numFmtId="0" fontId="108" fillId="0" borderId="50" applyNumberFormat="0" applyFill="0" applyAlignment="0" applyProtection="0"/>
    <xf numFmtId="0" fontId="6" fillId="0" borderId="1" applyNumberFormat="0" applyFill="0" applyAlignment="0" applyProtection="0"/>
    <xf numFmtId="0" fontId="107" fillId="0" borderId="49" applyNumberFormat="0" applyFill="0" applyAlignment="0" applyProtection="0"/>
    <xf numFmtId="0" fontId="21" fillId="0" borderId="0">
      <alignment horizontal="left"/>
    </xf>
    <xf numFmtId="0" fontId="21" fillId="0" borderId="18">
      <alignment horizontal="left" vertical="top"/>
    </xf>
    <xf numFmtId="0" fontId="109" fillId="0" borderId="51" applyNumberFormat="0" applyFill="0" applyAlignment="0" applyProtection="0"/>
    <xf numFmtId="0" fontId="110" fillId="0" borderId="2" applyNumberFormat="0" applyFill="0" applyAlignment="0" applyProtection="0"/>
    <xf numFmtId="0" fontId="111" fillId="0" borderId="52" applyNumberFormat="0" applyFill="0" applyAlignment="0" applyProtection="0"/>
    <xf numFmtId="0" fontId="112" fillId="0" borderId="51" applyNumberFormat="0" applyFill="0" applyAlignment="0" applyProtection="0"/>
    <xf numFmtId="0" fontId="113" fillId="0" borderId="52" applyNumberFormat="0" applyFill="0" applyAlignment="0" applyProtection="0"/>
    <xf numFmtId="0" fontId="113" fillId="0" borderId="52" applyNumberFormat="0" applyFill="0" applyAlignment="0" applyProtection="0"/>
    <xf numFmtId="0" fontId="113" fillId="0" borderId="52" applyNumberFormat="0" applyFill="0" applyAlignment="0" applyProtection="0"/>
    <xf numFmtId="0" fontId="7" fillId="0" borderId="2" applyNumberFormat="0" applyFill="0" applyAlignment="0" applyProtection="0"/>
    <xf numFmtId="0" fontId="112" fillId="0" borderId="51" applyNumberFormat="0" applyFill="0" applyAlignment="0" applyProtection="0"/>
    <xf numFmtId="0" fontId="21" fillId="0" borderId="0">
      <alignment horizontal="left"/>
    </xf>
    <xf numFmtId="0" fontId="21" fillId="0" borderId="18">
      <alignment horizontal="left" vertical="top"/>
    </xf>
    <xf numFmtId="0" fontId="114" fillId="0" borderId="53" applyNumberFormat="0" applyFill="0" applyAlignment="0" applyProtection="0"/>
    <xf numFmtId="0" fontId="115" fillId="0" borderId="3" applyNumberFormat="0" applyFill="0" applyAlignment="0" applyProtection="0"/>
    <xf numFmtId="0" fontId="68" fillId="0" borderId="54" applyNumberFormat="0" applyFill="0" applyAlignment="0" applyProtection="0"/>
    <xf numFmtId="0" fontId="116" fillId="0" borderId="53" applyNumberFormat="0" applyFill="0" applyAlignment="0" applyProtection="0"/>
    <xf numFmtId="0" fontId="117" fillId="0" borderId="54" applyNumberFormat="0" applyFill="0" applyAlignment="0" applyProtection="0"/>
    <xf numFmtId="0" fontId="117" fillId="0" borderId="54" applyNumberFormat="0" applyFill="0" applyAlignment="0" applyProtection="0"/>
    <xf numFmtId="0" fontId="117" fillId="0" borderId="54" applyNumberFormat="0" applyFill="0" applyAlignment="0" applyProtection="0"/>
    <xf numFmtId="0" fontId="8" fillId="0" borderId="3" applyNumberFormat="0" applyFill="0" applyAlignment="0" applyProtection="0"/>
    <xf numFmtId="0" fontId="116" fillId="0" borderId="53" applyNumberFormat="0" applyFill="0" applyAlignment="0" applyProtection="0"/>
    <xf numFmtId="0" fontId="21" fillId="0" borderId="0">
      <alignment horizontal="left"/>
    </xf>
    <xf numFmtId="0" fontId="114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239" fontId="118" fillId="0" borderId="0">
      <alignment horizontal="right"/>
    </xf>
    <xf numFmtId="0" fontId="21" fillId="0" borderId="0" applyFill="0" applyAlignment="0" applyProtection="0">
      <protection locked="0"/>
    </xf>
    <xf numFmtId="239" fontId="118" fillId="0" borderId="0">
      <alignment horizontal="left"/>
    </xf>
    <xf numFmtId="0" fontId="21" fillId="0" borderId="0"/>
    <xf numFmtId="0" fontId="21" fillId="0" borderId="36" applyFill="0" applyAlignment="0" applyProtection="0">
      <protection locked="0"/>
    </xf>
    <xf numFmtId="298" fontId="21" fillId="0" borderId="0">
      <protection locked="0"/>
    </xf>
    <xf numFmtId="279" fontId="21" fillId="0" borderId="0">
      <protection locked="0"/>
    </xf>
    <xf numFmtId="279" fontId="21" fillId="0" borderId="0">
      <protection locked="0"/>
    </xf>
    <xf numFmtId="298" fontId="21" fillId="0" borderId="0">
      <protection locked="0"/>
    </xf>
    <xf numFmtId="279" fontId="21" fillId="0" borderId="0">
      <protection locked="0"/>
    </xf>
    <xf numFmtId="279" fontId="21" fillId="0" borderId="0">
      <protection locked="0"/>
    </xf>
    <xf numFmtId="0" fontId="119" fillId="0" borderId="55" applyNumberFormat="0" applyFill="0" applyBorder="0" applyAlignment="0" applyProtection="0">
      <alignment horizontal="left"/>
    </xf>
    <xf numFmtId="182" fontId="120" fillId="0" borderId="0" applyFont="0" applyFill="0" applyBorder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21" fillId="0" borderId="56" applyNumberFormat="0" applyFill="0" applyAlignment="0" applyProtection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>
      <alignment vertical="top"/>
      <protection locked="0"/>
    </xf>
    <xf numFmtId="0" fontId="123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10" fontId="62" fillId="98" borderId="17" applyNumberFormat="0" applyBorder="0" applyAlignment="0" applyProtection="0"/>
    <xf numFmtId="10" fontId="62" fillId="98" borderId="17" applyNumberFormat="0" applyBorder="0" applyAlignment="0" applyProtection="0"/>
    <xf numFmtId="10" fontId="62" fillId="98" borderId="17" applyNumberFormat="0" applyBorder="0" applyAlignment="0" applyProtection="0"/>
    <xf numFmtId="10" fontId="62" fillId="98" borderId="17" applyNumberFormat="0" applyBorder="0" applyAlignment="0" applyProtection="0"/>
    <xf numFmtId="10" fontId="62" fillId="98" borderId="17" applyNumberFormat="0" applyBorder="0" applyAlignment="0" applyProtection="0"/>
    <xf numFmtId="10" fontId="62" fillId="98" borderId="17" applyNumberFormat="0" applyBorder="0" applyAlignment="0" applyProtection="0"/>
    <xf numFmtId="10" fontId="62" fillId="98" borderId="17" applyNumberFormat="0" applyBorder="0" applyAlignment="0" applyProtection="0"/>
    <xf numFmtId="10" fontId="62" fillId="98" borderId="17" applyNumberFormat="0" applyBorder="0" applyAlignment="0" applyProtection="0"/>
    <xf numFmtId="10" fontId="62" fillId="98" borderId="17" applyNumberFormat="0" applyBorder="0" applyAlignment="0" applyProtection="0"/>
    <xf numFmtId="10" fontId="62" fillId="98" borderId="17" applyNumberFormat="0" applyBorder="0" applyAlignment="0" applyProtection="0"/>
    <xf numFmtId="10" fontId="62" fillId="98" borderId="17" applyNumberFormat="0" applyBorder="0" applyAlignment="0" applyProtection="0"/>
    <xf numFmtId="10" fontId="62" fillId="98" borderId="17" applyNumberFormat="0" applyBorder="0" applyAlignment="0" applyProtection="0"/>
    <xf numFmtId="10" fontId="62" fillId="98" borderId="17" applyNumberFormat="0" applyBorder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12" fillId="5" borderId="4" applyNumberFormat="0" applyAlignment="0" applyProtection="0"/>
    <xf numFmtId="0" fontId="125" fillId="37" borderId="39" applyNumberFormat="0" applyAlignment="0" applyProtection="0"/>
    <xf numFmtId="0" fontId="125" fillId="37" borderId="39" applyNumberFormat="0" applyAlignment="0" applyProtection="0"/>
    <xf numFmtId="0" fontId="125" fillId="37" borderId="39" applyNumberFormat="0" applyAlignment="0" applyProtection="0"/>
    <xf numFmtId="0" fontId="125" fillId="37" borderId="39" applyNumberFormat="0" applyAlignment="0" applyProtection="0"/>
    <xf numFmtId="0" fontId="125" fillId="37" borderId="39" applyNumberFormat="0" applyAlignment="0" applyProtection="0"/>
    <xf numFmtId="0" fontId="125" fillId="37" borderId="39" applyNumberFormat="0" applyAlignment="0" applyProtection="0"/>
    <xf numFmtId="0" fontId="125" fillId="37" borderId="39" applyNumberFormat="0" applyAlignment="0" applyProtection="0"/>
    <xf numFmtId="0" fontId="124" fillId="37" borderId="39" applyNumberFormat="0" applyAlignment="0" applyProtection="0"/>
    <xf numFmtId="0" fontId="124" fillId="37" borderId="39" applyNumberFormat="0" applyAlignment="0" applyProtection="0"/>
    <xf numFmtId="0" fontId="124" fillId="37" borderId="39" applyNumberFormat="0" applyAlignment="0" applyProtection="0"/>
    <xf numFmtId="0" fontId="124" fillId="37" borderId="39" applyNumberFormat="0" applyAlignment="0" applyProtection="0"/>
    <xf numFmtId="0" fontId="124" fillId="37" borderId="39" applyNumberFormat="0" applyAlignment="0" applyProtection="0"/>
    <xf numFmtId="0" fontId="124" fillId="37" borderId="39" applyNumberFormat="0" applyAlignment="0" applyProtection="0"/>
    <xf numFmtId="0" fontId="124" fillId="37" borderId="39" applyNumberFormat="0" applyAlignment="0" applyProtection="0"/>
    <xf numFmtId="0" fontId="125" fillId="37" borderId="39" applyNumberFormat="0" applyAlignment="0" applyProtection="0"/>
    <xf numFmtId="0" fontId="125" fillId="37" borderId="39" applyNumberFormat="0" applyAlignment="0" applyProtection="0"/>
    <xf numFmtId="0" fontId="125" fillId="37" borderId="39" applyNumberFormat="0" applyAlignment="0" applyProtection="0"/>
    <xf numFmtId="0" fontId="125" fillId="37" borderId="39" applyNumberFormat="0" applyAlignment="0" applyProtection="0"/>
    <xf numFmtId="0" fontId="125" fillId="37" borderId="39" applyNumberFormat="0" applyAlignment="0" applyProtection="0"/>
    <xf numFmtId="0" fontId="125" fillId="37" borderId="39" applyNumberFormat="0" applyAlignment="0" applyProtection="0"/>
    <xf numFmtId="0" fontId="125" fillId="37" borderId="39" applyNumberFormat="0" applyAlignment="0" applyProtection="0"/>
    <xf numFmtId="0" fontId="125" fillId="37" borderId="39" applyNumberFormat="0" applyAlignment="0" applyProtection="0"/>
    <xf numFmtId="0" fontId="125" fillId="37" borderId="39" applyNumberFormat="0" applyAlignment="0" applyProtection="0"/>
    <xf numFmtId="0" fontId="125" fillId="37" borderId="39" applyNumberFormat="0" applyAlignment="0" applyProtection="0"/>
    <xf numFmtId="0" fontId="125" fillId="37" borderId="39" applyNumberFormat="0" applyAlignment="0" applyProtection="0"/>
    <xf numFmtId="0" fontId="125" fillId="37" borderId="39" applyNumberFormat="0" applyAlignment="0" applyProtection="0"/>
    <xf numFmtId="0" fontId="125" fillId="37" borderId="39" applyNumberFormat="0" applyAlignment="0" applyProtection="0"/>
    <xf numFmtId="0" fontId="125" fillId="37" borderId="39" applyNumberFormat="0" applyAlignment="0" applyProtection="0"/>
    <xf numFmtId="0" fontId="124" fillId="37" borderId="39" applyNumberFormat="0" applyAlignment="0" applyProtection="0"/>
    <xf numFmtId="0" fontId="124" fillId="37" borderId="39" applyNumberFormat="0" applyAlignment="0" applyProtection="0"/>
    <xf numFmtId="0" fontId="124" fillId="37" borderId="39" applyNumberFormat="0" applyAlignment="0" applyProtection="0"/>
    <xf numFmtId="0" fontId="124" fillId="37" borderId="39" applyNumberFormat="0" applyAlignment="0" applyProtection="0"/>
    <xf numFmtId="0" fontId="124" fillId="37" borderId="39" applyNumberFormat="0" applyAlignment="0" applyProtection="0"/>
    <xf numFmtId="0" fontId="124" fillId="37" borderId="39" applyNumberFormat="0" applyAlignment="0" applyProtection="0"/>
    <xf numFmtId="0" fontId="124" fillId="37" borderId="39" applyNumberFormat="0" applyAlignment="0" applyProtection="0"/>
    <xf numFmtId="0" fontId="125" fillId="37" borderId="39" applyNumberFormat="0" applyAlignment="0" applyProtection="0"/>
    <xf numFmtId="0" fontId="125" fillId="37" borderId="39" applyNumberFormat="0" applyAlignment="0" applyProtection="0"/>
    <xf numFmtId="0" fontId="125" fillId="37" borderId="39" applyNumberFormat="0" applyAlignment="0" applyProtection="0"/>
    <xf numFmtId="0" fontId="125" fillId="37" borderId="39" applyNumberFormat="0" applyAlignment="0" applyProtection="0"/>
    <xf numFmtId="0" fontId="125" fillId="37" borderId="39" applyNumberFormat="0" applyAlignment="0" applyProtection="0"/>
    <xf numFmtId="0" fontId="125" fillId="37" borderId="39" applyNumberFormat="0" applyAlignment="0" applyProtection="0"/>
    <xf numFmtId="0" fontId="125" fillId="37" borderId="39" applyNumberFormat="0" applyAlignment="0" applyProtection="0"/>
    <xf numFmtId="0" fontId="125" fillId="37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125" fillId="37" borderId="39" applyNumberFormat="0" applyAlignment="0" applyProtection="0"/>
    <xf numFmtId="0" fontId="125" fillId="37" borderId="39" applyNumberFormat="0" applyAlignment="0" applyProtection="0"/>
    <xf numFmtId="0" fontId="125" fillId="37" borderId="39" applyNumberFormat="0" applyAlignment="0" applyProtection="0"/>
    <xf numFmtId="0" fontId="125" fillId="37" borderId="39" applyNumberFormat="0" applyAlignment="0" applyProtection="0"/>
    <xf numFmtId="0" fontId="125" fillId="37" borderId="39" applyNumberFormat="0" applyAlignment="0" applyProtection="0"/>
    <xf numFmtId="0" fontId="125" fillId="37" borderId="39" applyNumberFormat="0" applyAlignment="0" applyProtection="0"/>
    <xf numFmtId="0" fontId="126" fillId="5" borderId="4" applyNumberFormat="0" applyAlignment="0" applyProtection="0"/>
    <xf numFmtId="0" fontId="124" fillId="37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4" fillId="37" borderId="39" applyNumberFormat="0" applyAlignment="0" applyProtection="0"/>
    <xf numFmtId="0" fontId="124" fillId="37" borderId="39" applyNumberFormat="0" applyAlignment="0" applyProtection="0"/>
    <xf numFmtId="0" fontId="124" fillId="37" borderId="39" applyNumberFormat="0" applyAlignment="0" applyProtection="0"/>
    <xf numFmtId="0" fontId="124" fillId="37" borderId="39" applyNumberFormat="0" applyAlignment="0" applyProtection="0"/>
    <xf numFmtId="0" fontId="124" fillId="37" borderId="39" applyNumberFormat="0" applyAlignment="0" applyProtection="0"/>
    <xf numFmtId="0" fontId="124" fillId="37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124" fillId="37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4" fillId="37" borderId="39" applyNumberFormat="0" applyAlignment="0" applyProtection="0"/>
    <xf numFmtId="0" fontId="124" fillId="37" borderId="39" applyNumberFormat="0" applyAlignment="0" applyProtection="0"/>
    <xf numFmtId="0" fontId="124" fillId="37" borderId="39" applyNumberFormat="0" applyAlignment="0" applyProtection="0"/>
    <xf numFmtId="0" fontId="124" fillId="37" borderId="39" applyNumberFormat="0" applyAlignment="0" applyProtection="0"/>
    <xf numFmtId="0" fontId="124" fillId="37" borderId="39" applyNumberFormat="0" applyAlignment="0" applyProtection="0"/>
    <xf numFmtId="0" fontId="124" fillId="37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128" fillId="39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44" fillId="52" borderId="39" applyNumberFormat="0" applyAlignment="0" applyProtection="0"/>
    <xf numFmtId="0" fontId="126" fillId="5" borderId="4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4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7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0" fontId="124" fillId="39" borderId="39" applyNumberFormat="0" applyAlignment="0" applyProtection="0"/>
    <xf numFmtId="285" fontId="21" fillId="0" borderId="0" applyFill="0" applyBorder="0" applyProtection="0"/>
    <xf numFmtId="299" fontId="21" fillId="0" borderId="0" applyFill="0" applyBorder="0" applyProtection="0"/>
    <xf numFmtId="285" fontId="21" fillId="0" borderId="0" applyFill="0" applyBorder="0" applyProtection="0"/>
    <xf numFmtId="14" fontId="21" fillId="0" borderId="0" applyFill="0" applyBorder="0" applyProtection="0"/>
    <xf numFmtId="277" fontId="21" fillId="0" borderId="0" applyFill="0" applyBorder="0" applyProtection="0"/>
    <xf numFmtId="0" fontId="129" fillId="37" borderId="0" applyNumberFormat="0" applyFont="0" applyBorder="0" applyAlignment="0">
      <alignment horizontal="right" vertical="top"/>
      <protection locked="0"/>
    </xf>
    <xf numFmtId="1" fontId="21" fillId="0" borderId="0" applyNumberFormat="0" applyFont="0" applyBorder="0" applyAlignment="0">
      <alignment horizontal="left" vertical="center"/>
      <protection locked="0"/>
    </xf>
    <xf numFmtId="1" fontId="21" fillId="0" borderId="0" applyNumberFormat="0" applyFont="0" applyBorder="0" applyAlignment="0">
      <alignment horizontal="left" vertical="center"/>
      <protection locked="0"/>
    </xf>
    <xf numFmtId="1" fontId="21" fillId="0" borderId="0" applyNumberFormat="0" applyFont="0" applyBorder="0" applyAlignment="0">
      <alignment horizontal="left" vertical="center"/>
      <protection locked="0"/>
    </xf>
    <xf numFmtId="38" fontId="21" fillId="0" borderId="0" applyNumberFormat="0" applyFill="0" applyBorder="0" applyAlignment="0">
      <protection locked="0"/>
    </xf>
    <xf numFmtId="0" fontId="129" fillId="37" borderId="0" applyNumberFormat="0" applyFont="0" applyBorder="0" applyAlignment="0">
      <alignment horizontal="right" vertical="top"/>
      <protection locked="0"/>
    </xf>
    <xf numFmtId="0" fontId="21" fillId="0" borderId="0" applyFill="0" applyBorder="0">
      <alignment horizontal="right"/>
      <protection locked="0"/>
    </xf>
    <xf numFmtId="0" fontId="21" fillId="0" borderId="0"/>
    <xf numFmtId="247" fontId="130" fillId="0" borderId="0">
      <alignment horizontal="center"/>
    </xf>
    <xf numFmtId="300" fontId="21" fillId="0" borderId="0" applyFill="0" applyBorder="0">
      <alignment horizontal="right"/>
      <protection locked="0"/>
    </xf>
    <xf numFmtId="243" fontId="21" fillId="0" borderId="0" applyNumberFormat="0" applyFill="0" applyBorder="0" applyAlignment="0" applyProtection="0"/>
    <xf numFmtId="243" fontId="21" fillId="0" borderId="0" applyNumberFormat="0" applyFill="0" applyBorder="0" applyAlignment="0" applyProtection="0"/>
    <xf numFmtId="243" fontId="21" fillId="0" borderId="0" applyNumberFormat="0" applyFill="0" applyBorder="0" applyAlignment="0" applyProtection="0"/>
    <xf numFmtId="0" fontId="21" fillId="99" borderId="57">
      <alignment horizontal="left" vertical="center" wrapText="1"/>
    </xf>
    <xf numFmtId="0" fontId="21" fillId="99" borderId="57">
      <alignment horizontal="left" vertical="center" wrapText="1"/>
    </xf>
    <xf numFmtId="0" fontId="21" fillId="99" borderId="57">
      <alignment horizontal="left" vertical="center" wrapText="1"/>
    </xf>
    <xf numFmtId="0" fontId="21" fillId="99" borderId="57">
      <alignment horizontal="left" vertical="center" wrapText="1"/>
    </xf>
    <xf numFmtId="0" fontId="21" fillId="99" borderId="57">
      <alignment horizontal="left" vertical="center" wrapText="1"/>
    </xf>
    <xf numFmtId="0" fontId="21" fillId="99" borderId="57">
      <alignment horizontal="left" vertical="center" wrapText="1"/>
    </xf>
    <xf numFmtId="0" fontId="21" fillId="99" borderId="57">
      <alignment horizontal="left" vertical="center" wrapText="1"/>
    </xf>
    <xf numFmtId="0" fontId="21" fillId="99" borderId="57">
      <alignment horizontal="left" vertical="center" wrapText="1"/>
    </xf>
    <xf numFmtId="0" fontId="21" fillId="99" borderId="57">
      <alignment horizontal="left" vertical="center" wrapText="1"/>
    </xf>
    <xf numFmtId="0" fontId="21" fillId="99" borderId="57">
      <alignment horizontal="left" vertical="center" wrapText="1"/>
    </xf>
    <xf numFmtId="0" fontId="21" fillId="0" borderId="0" applyNumberFormat="0" applyFill="0" applyBorder="0" applyProtection="0">
      <alignment horizontal="left" vertical="center"/>
    </xf>
    <xf numFmtId="204" fontId="131" fillId="0" borderId="0">
      <alignment vertical="top"/>
    </xf>
    <xf numFmtId="248" fontId="33" fillId="0" borderId="0">
      <alignment horizontal="left"/>
    </xf>
    <xf numFmtId="0" fontId="21" fillId="0" borderId="0" applyNumberFormat="0" applyFill="0" applyBorder="0" applyProtection="0">
      <alignment horizontal="left"/>
    </xf>
    <xf numFmtId="0" fontId="21" fillId="0" borderId="0" applyNumberFormat="0" applyFill="0" applyBorder="0" applyProtection="0">
      <alignment horizontal="left"/>
    </xf>
    <xf numFmtId="0" fontId="132" fillId="0" borderId="0"/>
    <xf numFmtId="0" fontId="21" fillId="0" borderId="0"/>
    <xf numFmtId="0" fontId="21" fillId="80" borderId="0" applyNumberFormat="0" applyFont="0" applyBorder="0" applyAlignment="0" applyProtection="0"/>
    <xf numFmtId="0" fontId="21" fillId="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0" borderId="0" applyNumberFormat="0" applyFont="0" applyBorder="0" applyAlignment="0" applyProtection="0"/>
    <xf numFmtId="0" fontId="21" fillId="0" borderId="0" applyNumberFormat="0" applyFont="0" applyBorder="0" applyAlignment="0" applyProtection="0"/>
    <xf numFmtId="0" fontId="21" fillId="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80" borderId="0" applyNumberFormat="0" applyFont="0" applyBorder="0" applyAlignment="0" applyProtection="0"/>
    <xf numFmtId="0" fontId="21" fillId="0" borderId="0" applyNumberFormat="0" applyFont="0" applyBorder="0" applyAlignment="0" applyProtection="0"/>
    <xf numFmtId="0" fontId="21" fillId="0" borderId="0" applyNumberFormat="0" applyFont="0" applyBorder="0" applyAlignment="0" applyProtection="0"/>
    <xf numFmtId="0" fontId="21" fillId="0" borderId="0" applyNumberFormat="0" applyFont="0" applyBorder="0" applyAlignment="0" applyProtection="0"/>
    <xf numFmtId="0" fontId="21" fillId="0" borderId="0" applyNumberFormat="0" applyFont="0" applyBorder="0" applyAlignment="0" applyProtection="0"/>
    <xf numFmtId="301" fontId="21" fillId="0" borderId="0">
      <protection locked="0"/>
    </xf>
    <xf numFmtId="0" fontId="61" fillId="88" borderId="0">
      <alignment horizontal="left"/>
    </xf>
    <xf numFmtId="0" fontId="69" fillId="88" borderId="0">
      <alignment horizontal="left"/>
    </xf>
    <xf numFmtId="0" fontId="133" fillId="82" borderId="0">
      <alignment horizontal="left"/>
    </xf>
    <xf numFmtId="0" fontId="133" fillId="82" borderId="0">
      <alignment horizontal="left"/>
    </xf>
    <xf numFmtId="282" fontId="21" fillId="0" borderId="0" applyFill="0" applyBorder="0" applyAlignment="0" applyProtection="0"/>
    <xf numFmtId="244" fontId="21" fillId="0" borderId="0" applyFill="0" applyBorder="0" applyAlignment="0"/>
    <xf numFmtId="0" fontId="21" fillId="0" borderId="0" applyFill="0" applyBorder="0" applyAlignment="0"/>
    <xf numFmtId="244" fontId="21" fillId="0" borderId="0" applyFill="0" applyBorder="0" applyAlignment="0"/>
    <xf numFmtId="0" fontId="21" fillId="0" borderId="0" applyFill="0" applyBorder="0" applyAlignment="0"/>
    <xf numFmtId="0" fontId="21" fillId="0" borderId="0" applyFill="0" applyBorder="0" applyAlignment="0"/>
    <xf numFmtId="0" fontId="134" fillId="0" borderId="58" applyNumberFormat="0" applyFill="0" applyAlignment="0" applyProtection="0"/>
    <xf numFmtId="0" fontId="135" fillId="0" borderId="6" applyNumberFormat="0" applyFill="0" applyAlignment="0" applyProtection="0"/>
    <xf numFmtId="0" fontId="136" fillId="0" borderId="59" applyNumberFormat="0" applyFill="0" applyAlignment="0" applyProtection="0"/>
    <xf numFmtId="0" fontId="101" fillId="0" borderId="58" applyNumberFormat="0" applyFill="0" applyAlignment="0" applyProtection="0"/>
    <xf numFmtId="0" fontId="111" fillId="0" borderId="59" applyNumberFormat="0" applyFill="0" applyAlignment="0" applyProtection="0"/>
    <xf numFmtId="0" fontId="111" fillId="0" borderId="59" applyNumberFormat="0" applyFill="0" applyAlignment="0" applyProtection="0"/>
    <xf numFmtId="0" fontId="15" fillId="0" borderId="6" applyNumberFormat="0" applyFill="0" applyAlignment="0" applyProtection="0"/>
    <xf numFmtId="0" fontId="101" fillId="0" borderId="58" applyNumberFormat="0" applyFill="0" applyAlignment="0" applyProtection="0"/>
    <xf numFmtId="0" fontId="49" fillId="0" borderId="0" applyNumberFormat="0" applyFont="0" applyBorder="0" applyAlignment="0" applyProtection="0">
      <alignment horizontal="center"/>
      <protection hidden="1"/>
    </xf>
    <xf numFmtId="167" fontId="21" fillId="0" borderId="0" applyFont="0" applyFill="0" applyBorder="0" applyAlignment="0" applyProtection="0"/>
    <xf numFmtId="0" fontId="21" fillId="100" borderId="0" applyNumberFormat="0" applyFont="0" applyBorder="0" applyAlignment="0" applyProtection="0"/>
    <xf numFmtId="0" fontId="21" fillId="101" borderId="0" applyNumberFormat="0" applyFont="0" applyBorder="0" applyAlignment="0" applyProtection="0"/>
    <xf numFmtId="0" fontId="21" fillId="101" borderId="0" applyNumberFormat="0" applyFont="0" applyBorder="0" applyAlignment="0" applyProtection="0"/>
    <xf numFmtId="0" fontId="21" fillId="101" borderId="0" applyNumberFormat="0" applyFont="0" applyBorder="0" applyAlignment="0" applyProtection="0"/>
    <xf numFmtId="0" fontId="21" fillId="101" borderId="0" applyNumberFormat="0" applyFont="0" applyBorder="0" applyAlignment="0" applyProtection="0"/>
    <xf numFmtId="0" fontId="21" fillId="101" borderId="0" applyNumberFormat="0" applyFont="0" applyBorder="0" applyAlignment="0" applyProtection="0"/>
    <xf numFmtId="0" fontId="21" fillId="101" borderId="0" applyNumberFormat="0" applyFont="0" applyBorder="0" applyAlignment="0" applyProtection="0"/>
    <xf numFmtId="0" fontId="21" fillId="101" borderId="0" applyNumberFormat="0" applyFont="0" applyBorder="0" applyAlignment="0" applyProtection="0"/>
    <xf numFmtId="0" fontId="21" fillId="101" borderId="0" applyNumberFormat="0" applyFont="0" applyBorder="0" applyAlignment="0" applyProtection="0"/>
    <xf numFmtId="0" fontId="21" fillId="101" borderId="0" applyNumberFormat="0" applyFont="0" applyBorder="0" applyAlignment="0" applyProtection="0"/>
    <xf numFmtId="0" fontId="40" fillId="100" borderId="0" applyNumberFormat="0" applyFont="0" applyBorder="0" applyAlignment="0" applyProtection="0"/>
    <xf numFmtId="0" fontId="21" fillId="101" borderId="0" applyNumberFormat="0" applyFont="0" applyBorder="0" applyAlignment="0" applyProtection="0"/>
    <xf numFmtId="0" fontId="21" fillId="101" borderId="0" applyNumberFormat="0" applyFont="0" applyBorder="0" applyAlignment="0" applyProtection="0"/>
    <xf numFmtId="0" fontId="21" fillId="101" borderId="0" applyNumberFormat="0" applyFont="0" applyBorder="0" applyAlignment="0" applyProtection="0"/>
    <xf numFmtId="0" fontId="21" fillId="101" borderId="0" applyNumberFormat="0" applyFont="0" applyBorder="0" applyAlignment="0" applyProtection="0"/>
    <xf numFmtId="0" fontId="21" fillId="101" borderId="0" applyNumberFormat="0" applyFont="0" applyBorder="0" applyAlignment="0" applyProtection="0"/>
    <xf numFmtId="0" fontId="21" fillId="101" borderId="0" applyNumberFormat="0" applyFont="0" applyBorder="0" applyAlignment="0" applyProtection="0"/>
    <xf numFmtId="0" fontId="21" fillId="101" borderId="0" applyNumberFormat="0" applyFont="0" applyBorder="0" applyAlignment="0" applyProtection="0"/>
    <xf numFmtId="0" fontId="21" fillId="101" borderId="0" applyNumberFormat="0" applyFont="0" applyBorder="0" applyAlignment="0" applyProtection="0"/>
    <xf numFmtId="0" fontId="21" fillId="101" borderId="0" applyNumberFormat="0" applyFont="0" applyBorder="0" applyAlignment="0" applyProtection="0"/>
    <xf numFmtId="0" fontId="21" fillId="101" borderId="0" applyNumberFormat="0" applyFont="0" applyBorder="0" applyAlignment="0" applyProtection="0"/>
    <xf numFmtId="0" fontId="21" fillId="101" borderId="0" applyNumberFormat="0" applyFont="0" applyBorder="0" applyAlignment="0" applyProtection="0"/>
    <xf numFmtId="0" fontId="21" fillId="101" borderId="0" applyNumberFormat="0" applyFont="0" applyBorder="0" applyAlignment="0" applyProtection="0"/>
    <xf numFmtId="0" fontId="21" fillId="101" borderId="0" applyNumberFormat="0" applyFont="0" applyBorder="0" applyAlignment="0" applyProtection="0"/>
    <xf numFmtId="0" fontId="21" fillId="101" borderId="0" applyNumberFormat="0" applyFont="0" applyBorder="0" applyAlignment="0" applyProtection="0"/>
    <xf numFmtId="0" fontId="21" fillId="101" borderId="0" applyNumberFormat="0" applyFont="0" applyBorder="0" applyAlignment="0" applyProtection="0"/>
    <xf numFmtId="0" fontId="21" fillId="101" borderId="0" applyNumberFormat="0" applyFont="0" applyBorder="0" applyAlignment="0" applyProtection="0"/>
    <xf numFmtId="0" fontId="21" fillId="101" borderId="0" applyNumberFormat="0" applyFont="0" applyBorder="0" applyAlignment="0" applyProtection="0"/>
    <xf numFmtId="0" fontId="21" fillId="101" borderId="0" applyNumberFormat="0" applyFont="0" applyBorder="0" applyAlignment="0" applyProtection="0"/>
    <xf numFmtId="0" fontId="21" fillId="101" borderId="0" applyNumberFormat="0" applyFont="0" applyBorder="0" applyAlignment="0" applyProtection="0"/>
    <xf numFmtId="0" fontId="21" fillId="101" borderId="0" applyNumberFormat="0" applyFont="0" applyBorder="0" applyAlignment="0" applyProtection="0"/>
    <xf numFmtId="0" fontId="21" fillId="101" borderId="0" applyNumberFormat="0" applyFont="0" applyBorder="0" applyAlignment="0" applyProtection="0"/>
    <xf numFmtId="0" fontId="21" fillId="101" borderId="0" applyNumberFormat="0" applyFont="0" applyBorder="0" applyAlignment="0" applyProtection="0"/>
    <xf numFmtId="0" fontId="21" fillId="101" borderId="0" applyNumberFormat="0" applyFont="0" applyBorder="0" applyAlignment="0" applyProtection="0"/>
    <xf numFmtId="0" fontId="21" fillId="101" borderId="0" applyNumberFormat="0" applyFont="0" applyBorder="0" applyAlignment="0" applyProtection="0"/>
    <xf numFmtId="0" fontId="21" fillId="101" borderId="0" applyNumberFormat="0" applyFont="0" applyBorder="0" applyAlignment="0" applyProtection="0"/>
    <xf numFmtId="0" fontId="137" fillId="0" borderId="0"/>
    <xf numFmtId="0" fontId="31" fillId="92" borderId="0"/>
    <xf numFmtId="0" fontId="21" fillId="0" borderId="0">
      <alignment horizontal="right"/>
    </xf>
    <xf numFmtId="0" fontId="21" fillId="0" borderId="0">
      <alignment horizontal="right"/>
    </xf>
    <xf numFmtId="0" fontId="21" fillId="0" borderId="0">
      <alignment horizontal="right"/>
    </xf>
    <xf numFmtId="302" fontId="34" fillId="0" borderId="0">
      <alignment horizontal="right"/>
    </xf>
    <xf numFmtId="0" fontId="21" fillId="0" borderId="0">
      <alignment horizontal="right"/>
    </xf>
    <xf numFmtId="0" fontId="21" fillId="0" borderId="0">
      <alignment horizontal="right"/>
    </xf>
    <xf numFmtId="0" fontId="34" fillId="0" borderId="0">
      <alignment horizontal="right"/>
    </xf>
    <xf numFmtId="0" fontId="21" fillId="0" borderId="0">
      <alignment horizontal="right"/>
    </xf>
    <xf numFmtId="0" fontId="21" fillId="0" borderId="0">
      <alignment horizontal="right"/>
    </xf>
    <xf numFmtId="302" fontId="34" fillId="0" borderId="0">
      <alignment horizontal="right"/>
    </xf>
    <xf numFmtId="0" fontId="21" fillId="0" borderId="0">
      <alignment horizontal="right"/>
    </xf>
    <xf numFmtId="303" fontId="21" fillId="0" borderId="0">
      <alignment horizontal="right"/>
    </xf>
    <xf numFmtId="0" fontId="34" fillId="0" borderId="0">
      <alignment horizontal="right"/>
    </xf>
    <xf numFmtId="0" fontId="34" fillId="0" borderId="0">
      <alignment horizontal="right"/>
    </xf>
    <xf numFmtId="0" fontId="21" fillId="0" borderId="0">
      <alignment horizontal="right"/>
    </xf>
    <xf numFmtId="0" fontId="21" fillId="0" borderId="0">
      <alignment horizontal="right"/>
    </xf>
    <xf numFmtId="0" fontId="21" fillId="0" borderId="0">
      <alignment horizontal="right"/>
    </xf>
    <xf numFmtId="0" fontId="21" fillId="0" borderId="0">
      <alignment horizontal="right"/>
    </xf>
    <xf numFmtId="0" fontId="21" fillId="102" borderId="0" applyBorder="0"/>
    <xf numFmtId="0" fontId="21" fillId="102" borderId="0" applyBorder="0"/>
    <xf numFmtId="0" fontId="21" fillId="102" borderId="0" applyBorder="0"/>
    <xf numFmtId="0" fontId="21" fillId="102" borderId="0" applyBorder="0"/>
    <xf numFmtId="0" fontId="21" fillId="102" borderId="0" applyBorder="0"/>
    <xf numFmtId="0" fontId="138" fillId="102" borderId="0" applyBorder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249" fontId="21" fillId="0" borderId="0" applyFont="0" applyFill="0" applyBorder="0" applyAlignment="0" applyProtection="0"/>
    <xf numFmtId="304" fontId="21" fillId="0" borderId="0" applyFont="0" applyFill="0" applyBorder="0" applyAlignment="0" applyProtection="0"/>
    <xf numFmtId="281" fontId="21" fillId="103" borderId="0" applyFont="0" applyFill="0" applyBorder="0" applyAlignment="0" applyProtection="0">
      <alignment horizontal="center"/>
    </xf>
    <xf numFmtId="305" fontId="21" fillId="103" borderId="0" applyFont="0" applyFill="0" applyBorder="0" applyAlignment="0" applyProtection="0">
      <alignment horizontal="center"/>
    </xf>
    <xf numFmtId="40" fontId="21" fillId="0" borderId="0" applyFont="0" applyFill="0" applyBorder="0" applyAlignment="0" applyProtection="0"/>
    <xf numFmtId="38" fontId="39" fillId="0" borderId="0" applyFont="0" applyFill="0" applyBorder="0" applyAlignment="0" applyProtection="0"/>
    <xf numFmtId="262" fontId="21" fillId="0" borderId="0" applyFont="0" applyFill="0" applyBorder="0" applyAlignment="0" applyProtection="0"/>
    <xf numFmtId="0" fontId="21" fillId="0" borderId="0">
      <alignment horizontal="right"/>
    </xf>
    <xf numFmtId="6" fontId="39" fillId="0" borderId="0" applyFont="0" applyFill="0" applyBorder="0" applyAlignment="0" applyProtection="0"/>
    <xf numFmtId="8" fontId="39" fillId="0" borderId="0" applyFont="0" applyFill="0" applyBorder="0" applyAlignment="0" applyProtection="0"/>
    <xf numFmtId="306" fontId="21" fillId="0" borderId="0"/>
    <xf numFmtId="0" fontId="21" fillId="0" borderId="0"/>
    <xf numFmtId="0" fontId="21" fillId="0" borderId="10" applyFont="0" applyFill="0" applyBorder="0" applyProtection="0"/>
    <xf numFmtId="0" fontId="21" fillId="0" borderId="1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297" fontId="21" fillId="0" borderId="0" applyFont="0" applyFill="0" applyBorder="0" applyAlignment="0" applyProtection="0"/>
    <xf numFmtId="307" fontId="21" fillId="0" borderId="0" applyFont="0" applyFill="0" applyBorder="0" applyAlignment="0" applyProtection="0"/>
    <xf numFmtId="308" fontId="21" fillId="0" borderId="0"/>
    <xf numFmtId="247" fontId="21" fillId="0" borderId="0" applyFont="0" applyFill="0" applyBorder="0" applyAlignment="0" applyProtection="0"/>
    <xf numFmtId="247" fontId="21" fillId="0" borderId="0" applyFont="0" applyFill="0" applyBorder="0" applyAlignment="0" applyProtection="0"/>
    <xf numFmtId="247" fontId="21" fillId="0" borderId="0" applyFont="0" applyFill="0" applyBorder="0" applyAlignment="0" applyProtection="0"/>
    <xf numFmtId="0" fontId="139" fillId="37" borderId="0" applyNumberFormat="0" applyBorder="0" applyAlignment="0" applyProtection="0"/>
    <xf numFmtId="0" fontId="140" fillId="4" borderId="0" applyNumberFormat="0" applyBorder="0" applyAlignment="0" applyProtection="0"/>
    <xf numFmtId="0" fontId="141" fillId="104" borderId="0" applyNumberFormat="0" applyBorder="0" applyAlignment="0" applyProtection="0"/>
    <xf numFmtId="0" fontId="142" fillId="37" borderId="0" applyNumberFormat="0" applyBorder="0" applyAlignment="0" applyProtection="0"/>
    <xf numFmtId="0" fontId="143" fillId="37" borderId="0" applyNumberFormat="0" applyBorder="0" applyAlignment="0" applyProtection="0"/>
    <xf numFmtId="0" fontId="11" fillId="4" borderId="0" applyNumberFormat="0" applyBorder="0" applyAlignment="0" applyProtection="0"/>
    <xf numFmtId="0" fontId="142" fillId="37" borderId="0" applyNumberFormat="0" applyBorder="0" applyAlignment="0" applyProtection="0"/>
    <xf numFmtId="0" fontId="21" fillId="105" borderId="0"/>
    <xf numFmtId="0" fontId="21" fillId="106" borderId="0"/>
    <xf numFmtId="0" fontId="21" fillId="0" borderId="0"/>
    <xf numFmtId="309" fontId="21" fillId="0" borderId="0" applyFont="0" applyFill="0" applyBorder="0" applyAlignment="0" applyProtection="0"/>
    <xf numFmtId="310" fontId="21" fillId="0" borderId="0" applyFont="0" applyFill="0" applyBorder="0" applyAlignment="0" applyProtection="0"/>
    <xf numFmtId="37" fontId="21" fillId="0" borderId="0"/>
    <xf numFmtId="254" fontId="21" fillId="0" borderId="0"/>
    <xf numFmtId="0" fontId="21" fillId="0" borderId="0"/>
    <xf numFmtId="248" fontId="144" fillId="0" borderId="0"/>
    <xf numFmtId="248" fontId="21" fillId="0" borderId="0"/>
    <xf numFmtId="248" fontId="21" fillId="0" borderId="0"/>
    <xf numFmtId="248" fontId="21" fillId="0" borderId="0"/>
    <xf numFmtId="248" fontId="21" fillId="0" borderId="0"/>
    <xf numFmtId="248" fontId="14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45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37" fontId="21" fillId="0" borderId="0" applyFont="0" applyFill="0" applyBorder="0" applyAlignment="0" applyProtection="0"/>
    <xf numFmtId="205" fontId="21" fillId="0" borderId="0" applyFont="0" applyFill="0" applyBorder="0" applyAlignment="0" applyProtection="0"/>
    <xf numFmtId="39" fontId="21" fillId="0" borderId="0" applyFont="0" applyFill="0" applyBorder="0" applyAlignment="0" applyProtection="0"/>
    <xf numFmtId="292" fontId="2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7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6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8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8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4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>
      <alignment wrapText="1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0" fillId="0" borderId="0"/>
    <xf numFmtId="0" fontId="4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4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0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0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41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204" fontId="4" fillId="0" borderId="0"/>
    <xf numFmtId="0" fontId="27" fillId="0" borderId="0"/>
    <xf numFmtId="205" fontId="21" fillId="0" borderId="0">
      <alignment horizontal="left"/>
      <protection locked="0"/>
    </xf>
    <xf numFmtId="205" fontId="21" fillId="0" borderId="0">
      <alignment horizontal="left"/>
      <protection locked="0"/>
    </xf>
    <xf numFmtId="0" fontId="21" fillId="0" borderId="0"/>
    <xf numFmtId="49" fontId="146" fillId="0" borderId="0" applyNumberFormat="0" applyFill="0" applyBorder="0" applyProtection="0"/>
    <xf numFmtId="0" fontId="21" fillId="0" borderId="0"/>
    <xf numFmtId="238" fontId="21" fillId="34" borderId="0" applyBorder="0">
      <alignment vertical="center"/>
    </xf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43" fillId="8" borderId="8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40" fillId="107" borderId="60" applyNumberFormat="0" applyAlignment="0" applyProtection="0"/>
    <xf numFmtId="0" fontId="40" fillId="107" borderId="60" applyNumberFormat="0" applyAlignment="0" applyProtection="0"/>
    <xf numFmtId="0" fontId="40" fillId="107" borderId="60" applyNumberFormat="0" applyAlignment="0" applyProtection="0"/>
    <xf numFmtId="0" fontId="40" fillId="107" borderId="60" applyNumberFormat="0" applyAlignment="0" applyProtection="0"/>
    <xf numFmtId="0" fontId="40" fillId="107" borderId="60" applyNumberFormat="0" applyAlignment="0" applyProtection="0"/>
    <xf numFmtId="0" fontId="40" fillId="107" borderId="60" applyNumberFormat="0" applyAlignment="0" applyProtection="0"/>
    <xf numFmtId="0" fontId="40" fillId="107" borderId="60" applyNumberFormat="0" applyAlignment="0" applyProtection="0"/>
    <xf numFmtId="0" fontId="40" fillId="107" borderId="60" applyNumberFormat="0" applyAlignment="0" applyProtection="0"/>
    <xf numFmtId="0" fontId="40" fillId="107" borderId="60" applyNumberForma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21" fillId="45" borderId="60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1" fillId="45" borderId="60" applyNumberFormat="0" applyFont="0" applyAlignment="0" applyProtection="0"/>
    <xf numFmtId="1" fontId="21" fillId="0" borderId="0">
      <alignment horizontal="right"/>
      <protection locked="0"/>
    </xf>
    <xf numFmtId="286" fontId="21" fillId="0" borderId="0">
      <alignment horizontal="right"/>
      <protection locked="0"/>
    </xf>
    <xf numFmtId="311" fontId="21" fillId="0" borderId="0" applyFill="0" applyBorder="0" applyProtection="0">
      <alignment horizontal="right" wrapText="1"/>
    </xf>
    <xf numFmtId="311" fontId="21" fillId="0" borderId="0" applyFill="0" applyBorder="0" applyProtection="0">
      <alignment horizontal="right" wrapText="1"/>
    </xf>
    <xf numFmtId="2" fontId="21" fillId="0" borderId="0">
      <alignment horizontal="right"/>
      <protection locked="0"/>
    </xf>
    <xf numFmtId="2" fontId="21" fillId="0" borderId="0">
      <alignment horizontal="right"/>
      <protection locked="0"/>
    </xf>
    <xf numFmtId="312" fontId="21" fillId="0" borderId="0" applyFill="0" applyBorder="0" applyProtection="0">
      <alignment horizontal="right" wrapText="1"/>
    </xf>
    <xf numFmtId="312" fontId="21" fillId="0" borderId="0" applyFill="0" applyBorder="0" applyProtection="0">
      <alignment horizontal="right" wrapText="1"/>
    </xf>
    <xf numFmtId="313" fontId="21" fillId="0" borderId="0" applyFill="0" applyBorder="0" applyAlignment="0" applyProtection="0"/>
    <xf numFmtId="243" fontId="21" fillId="0" borderId="0" applyNumberFormat="0" applyFill="0" applyBorder="0" applyAlignment="0" applyProtection="0"/>
    <xf numFmtId="243" fontId="21" fillId="0" borderId="0" applyNumberFormat="0" applyFill="0" applyBorder="0" applyAlignment="0" applyProtection="0"/>
    <xf numFmtId="243" fontId="21" fillId="0" borderId="0" applyNumberFormat="0" applyFill="0" applyBorder="0" applyAlignment="0" applyProtection="0"/>
    <xf numFmtId="311" fontId="21" fillId="0" borderId="0" applyFill="0" applyBorder="0" applyProtection="0">
      <alignment horizontal="right" wrapText="1"/>
    </xf>
    <xf numFmtId="311" fontId="21" fillId="0" borderId="0" applyFill="0" applyBorder="0" applyProtection="0">
      <alignment horizontal="right" wrapText="1"/>
    </xf>
    <xf numFmtId="314" fontId="21" fillId="0" borderId="0" applyFill="0" applyBorder="0" applyProtection="0">
      <alignment horizontal="right" wrapText="1"/>
    </xf>
    <xf numFmtId="314" fontId="21" fillId="0" borderId="0" applyFill="0" applyBorder="0" applyProtection="0">
      <alignment horizontal="right" wrapText="1"/>
    </xf>
    <xf numFmtId="315" fontId="21" fillId="0" borderId="0" applyFont="0" applyFill="0" applyBorder="0" applyAlignment="0" applyProtection="0">
      <alignment vertical="center"/>
    </xf>
    <xf numFmtId="315" fontId="21" fillId="0" borderId="0" applyFont="0" applyFill="0" applyBorder="0" applyAlignment="0" applyProtection="0">
      <alignment vertical="center"/>
    </xf>
    <xf numFmtId="315" fontId="21" fillId="0" borderId="0" applyFont="0" applyFill="0" applyBorder="0" applyAlignment="0" applyProtection="0">
      <alignment vertical="center"/>
    </xf>
    <xf numFmtId="316" fontId="21" fillId="0" borderId="0" applyFont="0" applyFill="0" applyBorder="0" applyAlignment="0" applyProtection="0">
      <alignment vertical="center"/>
    </xf>
    <xf numFmtId="316" fontId="21" fillId="0" borderId="0" applyFont="0" applyFill="0" applyBorder="0" applyAlignment="0" applyProtection="0">
      <alignment vertical="center"/>
    </xf>
    <xf numFmtId="316" fontId="21" fillId="0" borderId="0" applyFont="0" applyFill="0" applyBorder="0" applyAlignment="0" applyProtection="0">
      <alignment vertical="center"/>
    </xf>
    <xf numFmtId="0" fontId="147" fillId="82" borderId="61" applyNumberFormat="0" applyAlignment="0" applyProtection="0"/>
    <xf numFmtId="0" fontId="148" fillId="6" borderId="5" applyNumberFormat="0" applyAlignment="0" applyProtection="0"/>
    <xf numFmtId="0" fontId="21" fillId="83" borderId="61" applyNumberFormat="0" applyAlignment="0" applyProtection="0"/>
    <xf numFmtId="0" fontId="21" fillId="83" borderId="61" applyNumberFormat="0" applyAlignment="0" applyProtection="0"/>
    <xf numFmtId="0" fontId="21" fillId="83" borderId="61" applyNumberFormat="0" applyAlignment="0" applyProtection="0"/>
    <xf numFmtId="0" fontId="21" fillId="83" borderId="61" applyNumberFormat="0" applyAlignment="0" applyProtection="0"/>
    <xf numFmtId="0" fontId="21" fillId="83" borderId="61" applyNumberFormat="0" applyAlignment="0" applyProtection="0"/>
    <xf numFmtId="0" fontId="21" fillId="83" borderId="61" applyNumberFormat="0" applyAlignment="0" applyProtection="0"/>
    <xf numFmtId="0" fontId="21" fillId="83" borderId="61" applyNumberFormat="0" applyAlignment="0" applyProtection="0"/>
    <xf numFmtId="0" fontId="21" fillId="83" borderId="61" applyNumberFormat="0" applyAlignment="0" applyProtection="0"/>
    <xf numFmtId="0" fontId="21" fillId="83" borderId="61" applyNumberFormat="0" applyAlignment="0" applyProtection="0"/>
    <xf numFmtId="0" fontId="21" fillId="83" borderId="61" applyNumberFormat="0" applyAlignment="0" applyProtection="0"/>
    <xf numFmtId="0" fontId="21" fillId="83" borderId="61" applyNumberFormat="0" applyAlignment="0" applyProtection="0"/>
    <xf numFmtId="0" fontId="21" fillId="83" borderId="61" applyNumberFormat="0" applyAlignment="0" applyProtection="0"/>
    <xf numFmtId="0" fontId="21" fillId="83" borderId="61" applyNumberFormat="0" applyAlignment="0" applyProtection="0"/>
    <xf numFmtId="0" fontId="21" fillId="83" borderId="61" applyNumberFormat="0" applyAlignment="0" applyProtection="0"/>
    <xf numFmtId="0" fontId="21" fillId="83" borderId="61" applyNumberFormat="0" applyAlignment="0" applyProtection="0"/>
    <xf numFmtId="0" fontId="21" fillId="83" borderId="61" applyNumberFormat="0" applyAlignment="0" applyProtection="0"/>
    <xf numFmtId="0" fontId="21" fillId="83" borderId="61" applyNumberFormat="0" applyAlignment="0" applyProtection="0"/>
    <xf numFmtId="0" fontId="21" fillId="83" borderId="61" applyNumberFormat="0" applyAlignment="0" applyProtection="0"/>
    <xf numFmtId="0" fontId="149" fillId="82" borderId="61" applyNumberFormat="0" applyAlignment="0" applyProtection="0"/>
    <xf numFmtId="0" fontId="149" fillId="82" borderId="61" applyNumberFormat="0" applyAlignment="0" applyProtection="0"/>
    <xf numFmtId="0" fontId="149" fillId="82" borderId="61" applyNumberFormat="0" applyAlignment="0" applyProtection="0"/>
    <xf numFmtId="0" fontId="149" fillId="82" borderId="61" applyNumberFormat="0" applyAlignment="0" applyProtection="0"/>
    <xf numFmtId="0" fontId="149" fillId="82" borderId="61" applyNumberFormat="0" applyAlignment="0" applyProtection="0"/>
    <xf numFmtId="0" fontId="149" fillId="82" borderId="61" applyNumberFormat="0" applyAlignment="0" applyProtection="0"/>
    <xf numFmtId="0" fontId="149" fillId="82" borderId="61" applyNumberFormat="0" applyAlignment="0" applyProtection="0"/>
    <xf numFmtId="0" fontId="147" fillId="82" borderId="61" applyNumberFormat="0" applyAlignment="0" applyProtection="0"/>
    <xf numFmtId="0" fontId="147" fillId="82" borderId="61" applyNumberFormat="0" applyAlignment="0" applyProtection="0"/>
    <xf numFmtId="0" fontId="147" fillId="82" borderId="61" applyNumberFormat="0" applyAlignment="0" applyProtection="0"/>
    <xf numFmtId="0" fontId="147" fillId="82" borderId="61" applyNumberFormat="0" applyAlignment="0" applyProtection="0"/>
    <xf numFmtId="0" fontId="147" fillId="82" borderId="61" applyNumberFormat="0" applyAlignment="0" applyProtection="0"/>
    <xf numFmtId="0" fontId="147" fillId="82" borderId="61" applyNumberFormat="0" applyAlignment="0" applyProtection="0"/>
    <xf numFmtId="0" fontId="147" fillId="82" borderId="61" applyNumberFormat="0" applyAlignment="0" applyProtection="0"/>
    <xf numFmtId="0" fontId="147" fillId="82" borderId="61" applyNumberFormat="0" applyAlignment="0" applyProtection="0"/>
    <xf numFmtId="0" fontId="149" fillId="82" borderId="61" applyNumberFormat="0" applyAlignment="0" applyProtection="0"/>
    <xf numFmtId="0" fontId="149" fillId="82" borderId="61" applyNumberFormat="0" applyAlignment="0" applyProtection="0"/>
    <xf numFmtId="0" fontId="149" fillId="53" borderId="61" applyNumberFormat="0" applyAlignment="0" applyProtection="0"/>
    <xf numFmtId="0" fontId="149" fillId="53" borderId="61" applyNumberFormat="0" applyAlignment="0" applyProtection="0"/>
    <xf numFmtId="0" fontId="149" fillId="53" borderId="61" applyNumberFormat="0" applyAlignment="0" applyProtection="0"/>
    <xf numFmtId="0" fontId="149" fillId="53" borderId="61" applyNumberFormat="0" applyAlignment="0" applyProtection="0"/>
    <xf numFmtId="0" fontId="149" fillId="53" borderId="61" applyNumberFormat="0" applyAlignment="0" applyProtection="0"/>
    <xf numFmtId="0" fontId="149" fillId="53" borderId="61" applyNumberFormat="0" applyAlignment="0" applyProtection="0"/>
    <xf numFmtId="0" fontId="149" fillId="53" borderId="61" applyNumberFormat="0" applyAlignment="0" applyProtection="0"/>
    <xf numFmtId="0" fontId="149" fillId="53" borderId="61" applyNumberFormat="0" applyAlignment="0" applyProtection="0"/>
    <xf numFmtId="0" fontId="149" fillId="53" borderId="61" applyNumberFormat="0" applyAlignment="0" applyProtection="0"/>
    <xf numFmtId="0" fontId="13" fillId="6" borderId="5" applyNumberFormat="0" applyAlignment="0" applyProtection="0"/>
    <xf numFmtId="0" fontId="149" fillId="82" borderId="61" applyNumberFormat="0" applyAlignment="0" applyProtection="0"/>
    <xf numFmtId="0" fontId="149" fillId="82" borderId="61" applyNumberFormat="0" applyAlignment="0" applyProtection="0"/>
    <xf numFmtId="0" fontId="149" fillId="82" borderId="61" applyNumberFormat="0" applyAlignment="0" applyProtection="0"/>
    <xf numFmtId="0" fontId="149" fillId="82" borderId="61" applyNumberFormat="0" applyAlignment="0" applyProtection="0"/>
    <xf numFmtId="0" fontId="149" fillId="82" borderId="61" applyNumberFormat="0" applyAlignment="0" applyProtection="0"/>
    <xf numFmtId="0" fontId="149" fillId="82" borderId="61" applyNumberFormat="0" applyAlignment="0" applyProtection="0"/>
    <xf numFmtId="0" fontId="149" fillId="82" borderId="61" applyNumberFormat="0" applyAlignment="0" applyProtection="0"/>
    <xf numFmtId="0" fontId="147" fillId="82" borderId="61" applyNumberFormat="0" applyAlignment="0" applyProtection="0"/>
    <xf numFmtId="0" fontId="147" fillId="82" borderId="61" applyNumberFormat="0" applyAlignment="0" applyProtection="0"/>
    <xf numFmtId="40" fontId="21" fillId="34" borderId="0">
      <alignment horizontal="right"/>
    </xf>
    <xf numFmtId="40" fontId="28" fillId="34" borderId="0">
      <alignment horizontal="right"/>
    </xf>
    <xf numFmtId="40" fontId="150" fillId="34" borderId="0">
      <alignment horizontal="right"/>
    </xf>
    <xf numFmtId="40" fontId="21" fillId="34" borderId="0">
      <alignment horizontal="right"/>
    </xf>
    <xf numFmtId="40" fontId="21" fillId="34" borderId="0">
      <alignment horizontal="right"/>
    </xf>
    <xf numFmtId="40" fontId="21" fillId="34" borderId="0">
      <alignment horizontal="right"/>
    </xf>
    <xf numFmtId="40" fontId="21" fillId="34" borderId="0">
      <alignment horizontal="right"/>
    </xf>
    <xf numFmtId="40" fontId="21" fillId="34" borderId="0">
      <alignment horizontal="right"/>
    </xf>
    <xf numFmtId="40" fontId="21" fillId="34" borderId="0">
      <alignment horizontal="right"/>
    </xf>
    <xf numFmtId="40" fontId="21" fillId="34" borderId="0">
      <alignment horizontal="right"/>
    </xf>
    <xf numFmtId="40" fontId="21" fillId="34" borderId="0">
      <alignment horizontal="right"/>
    </xf>
    <xf numFmtId="40" fontId="21" fillId="34" borderId="0">
      <alignment horizontal="right"/>
    </xf>
    <xf numFmtId="40" fontId="21" fillId="34" borderId="0">
      <alignment horizontal="right"/>
    </xf>
    <xf numFmtId="40" fontId="21" fillId="34" borderId="0">
      <alignment horizontal="right"/>
    </xf>
    <xf numFmtId="40" fontId="21" fillId="34" borderId="0">
      <alignment horizontal="right"/>
    </xf>
    <xf numFmtId="40" fontId="21" fillId="34" borderId="0">
      <alignment horizontal="right"/>
    </xf>
    <xf numFmtId="40" fontId="21" fillId="34" borderId="0">
      <alignment horizontal="right"/>
    </xf>
    <xf numFmtId="40" fontId="21" fillId="34" borderId="0">
      <alignment horizontal="right"/>
    </xf>
    <xf numFmtId="40" fontId="21" fillId="34" borderId="0">
      <alignment horizontal="right"/>
    </xf>
    <xf numFmtId="0" fontId="21" fillId="35" borderId="0">
      <alignment horizontal="right"/>
    </xf>
    <xf numFmtId="0" fontId="30" fillId="34" borderId="0">
      <alignment horizontal="right"/>
    </xf>
    <xf numFmtId="0" fontId="151" fillId="108" borderId="0">
      <alignment horizontal="center"/>
    </xf>
    <xf numFmtId="0" fontId="30" fillId="109" borderId="0">
      <alignment horizontal="right"/>
    </xf>
    <xf numFmtId="0" fontId="21" fillId="34" borderId="0">
      <alignment horizontal="right"/>
    </xf>
    <xf numFmtId="0" fontId="21" fillId="34" borderId="0">
      <alignment horizontal="right"/>
    </xf>
    <xf numFmtId="0" fontId="21" fillId="34" borderId="0">
      <alignment horizontal="right"/>
    </xf>
    <xf numFmtId="0" fontId="21" fillId="34" borderId="0">
      <alignment horizontal="right"/>
    </xf>
    <xf numFmtId="0" fontId="21" fillId="34" borderId="0">
      <alignment horizontal="right"/>
    </xf>
    <xf numFmtId="0" fontId="21" fillId="34" borderId="0">
      <alignment horizontal="right"/>
    </xf>
    <xf numFmtId="0" fontId="21" fillId="34" borderId="0">
      <alignment horizontal="right"/>
    </xf>
    <xf numFmtId="0" fontId="21" fillId="34" borderId="0">
      <alignment horizontal="right"/>
    </xf>
    <xf numFmtId="0" fontId="21" fillId="34" borderId="0">
      <alignment horizontal="right"/>
    </xf>
    <xf numFmtId="0" fontId="21" fillId="35" borderId="0">
      <alignment horizontal="right"/>
    </xf>
    <xf numFmtId="0" fontId="21" fillId="35" borderId="0">
      <alignment horizontal="right"/>
    </xf>
    <xf numFmtId="0" fontId="21" fillId="35" borderId="0">
      <alignment horizontal="right"/>
    </xf>
    <xf numFmtId="0" fontId="21" fillId="35" borderId="0">
      <alignment horizontal="right"/>
    </xf>
    <xf numFmtId="0" fontId="21" fillId="35" borderId="0">
      <alignment horizontal="right"/>
    </xf>
    <xf numFmtId="0" fontId="21" fillId="35" borderId="0">
      <alignment horizontal="right"/>
    </xf>
    <xf numFmtId="0" fontId="30" fillId="109" borderId="0">
      <alignment horizontal="right"/>
    </xf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6" fillId="34" borderId="19"/>
    <xf numFmtId="0" fontId="21" fillId="34" borderId="19"/>
    <xf numFmtId="0" fontId="152" fillId="110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4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36" borderId="19"/>
    <xf numFmtId="0" fontId="21" fillId="0" borderId="0" applyBorder="0">
      <alignment horizontal="centerContinuous"/>
    </xf>
    <xf numFmtId="0" fontId="26" fillId="0" borderId="0" applyBorder="0">
      <alignment horizontal="centerContinuous"/>
    </xf>
    <xf numFmtId="0" fontId="153" fillId="0" borderId="0" applyBorder="0">
      <alignment horizontal="centerContinuous"/>
    </xf>
    <xf numFmtId="0" fontId="26" fillId="0" borderId="0" applyBorder="0">
      <alignment horizontal="center"/>
    </xf>
    <xf numFmtId="0" fontId="21" fillId="0" borderId="0" applyBorder="0">
      <alignment horizontal="centerContinuous"/>
    </xf>
    <xf numFmtId="0" fontId="21" fillId="0" borderId="0" applyBorder="0">
      <alignment horizontal="centerContinuous"/>
    </xf>
    <xf numFmtId="0" fontId="21" fillId="0" borderId="0" applyBorder="0">
      <alignment horizontal="centerContinuous"/>
    </xf>
    <xf numFmtId="0" fontId="21" fillId="0" borderId="0" applyBorder="0">
      <alignment horizontal="centerContinuous"/>
    </xf>
    <xf numFmtId="0" fontId="21" fillId="0" borderId="0" applyBorder="0">
      <alignment horizontal="centerContinuous"/>
    </xf>
    <xf numFmtId="0" fontId="21" fillId="0" borderId="0" applyBorder="0">
      <alignment horizontal="centerContinuous"/>
    </xf>
    <xf numFmtId="0" fontId="21" fillId="0" borderId="0" applyBorder="0">
      <alignment horizontal="centerContinuous"/>
    </xf>
    <xf numFmtId="0" fontId="21" fillId="0" borderId="0" applyBorder="0">
      <alignment horizontal="centerContinuous"/>
    </xf>
    <xf numFmtId="0" fontId="21" fillId="0" borderId="0" applyBorder="0">
      <alignment horizontal="centerContinuous"/>
    </xf>
    <xf numFmtId="0" fontId="21" fillId="0" borderId="0" applyBorder="0">
      <alignment horizontal="centerContinuous"/>
    </xf>
    <xf numFmtId="0" fontId="21" fillId="0" borderId="0" applyBorder="0">
      <alignment horizontal="centerContinuous"/>
    </xf>
    <xf numFmtId="0" fontId="21" fillId="0" borderId="0" applyBorder="0">
      <alignment horizontal="centerContinuous"/>
    </xf>
    <xf numFmtId="0" fontId="21" fillId="0" borderId="0" applyBorder="0">
      <alignment horizontal="centerContinuous"/>
    </xf>
    <xf numFmtId="0" fontId="21" fillId="0" borderId="0" applyBorder="0">
      <alignment horizontal="centerContinuous"/>
    </xf>
    <xf numFmtId="0" fontId="21" fillId="0" borderId="0" applyBorder="0">
      <alignment horizontal="centerContinuous"/>
    </xf>
    <xf numFmtId="0" fontId="26" fillId="0" borderId="0" applyBorder="0">
      <alignment horizontal="centerContinuous"/>
    </xf>
    <xf numFmtId="0" fontId="21" fillId="0" borderId="0" applyBorder="0">
      <alignment horizontal="centerContinuous"/>
    </xf>
    <xf numFmtId="0" fontId="29" fillId="0" borderId="0" applyBorder="0">
      <alignment horizontal="centerContinuous"/>
    </xf>
    <xf numFmtId="0" fontId="154" fillId="35" borderId="0" applyBorder="0">
      <alignment horizontal="centerContinuous"/>
    </xf>
    <xf numFmtId="0" fontId="29" fillId="0" borderId="0" applyBorder="0">
      <alignment horizontal="center"/>
    </xf>
    <xf numFmtId="0" fontId="21" fillId="0" borderId="0" applyBorder="0">
      <alignment horizontal="centerContinuous"/>
    </xf>
    <xf numFmtId="0" fontId="21" fillId="0" borderId="0" applyBorder="0">
      <alignment horizontal="centerContinuous"/>
    </xf>
    <xf numFmtId="0" fontId="21" fillId="0" borderId="0" applyBorder="0">
      <alignment horizontal="centerContinuous"/>
    </xf>
    <xf numFmtId="0" fontId="21" fillId="0" borderId="0" applyBorder="0">
      <alignment horizontal="centerContinuous"/>
    </xf>
    <xf numFmtId="0" fontId="21" fillId="0" borderId="0" applyBorder="0">
      <alignment horizontal="centerContinuous"/>
    </xf>
    <xf numFmtId="0" fontId="21" fillId="0" borderId="0" applyBorder="0">
      <alignment horizontal="centerContinuous"/>
    </xf>
    <xf numFmtId="0" fontId="21" fillId="0" borderId="0" applyBorder="0">
      <alignment horizontal="centerContinuous"/>
    </xf>
    <xf numFmtId="0" fontId="21" fillId="0" borderId="0" applyBorder="0">
      <alignment horizontal="centerContinuous"/>
    </xf>
    <xf numFmtId="0" fontId="21" fillId="0" borderId="0" applyBorder="0">
      <alignment horizontal="centerContinuous"/>
    </xf>
    <xf numFmtId="0" fontId="21" fillId="0" borderId="0" applyBorder="0">
      <alignment horizontal="centerContinuous"/>
    </xf>
    <xf numFmtId="0" fontId="21" fillId="0" borderId="0" applyBorder="0">
      <alignment horizontal="centerContinuous"/>
    </xf>
    <xf numFmtId="0" fontId="21" fillId="0" borderId="0" applyBorder="0">
      <alignment horizontal="centerContinuous"/>
    </xf>
    <xf numFmtId="0" fontId="21" fillId="0" borderId="0" applyBorder="0">
      <alignment horizontal="centerContinuous"/>
    </xf>
    <xf numFmtId="0" fontId="21" fillId="0" borderId="0" applyBorder="0">
      <alignment horizontal="centerContinuous"/>
    </xf>
    <xf numFmtId="0" fontId="21" fillId="0" borderId="0" applyBorder="0">
      <alignment horizontal="centerContinuous"/>
    </xf>
    <xf numFmtId="0" fontId="29" fillId="0" borderId="0" applyBorder="0">
      <alignment horizontal="centerContinuous"/>
    </xf>
    <xf numFmtId="0" fontId="21" fillId="0" borderId="0" applyProtection="0">
      <alignment horizontal="left"/>
    </xf>
    <xf numFmtId="0" fontId="21" fillId="0" borderId="0" applyFill="0" applyBorder="0" applyProtection="0">
      <alignment horizontal="left"/>
    </xf>
    <xf numFmtId="0" fontId="21" fillId="0" borderId="0" applyFill="0" applyBorder="0" applyProtection="0">
      <alignment horizontal="left"/>
    </xf>
    <xf numFmtId="1" fontId="21" fillId="0" borderId="0" applyProtection="0">
      <alignment horizontal="right" vertical="center"/>
    </xf>
    <xf numFmtId="0" fontId="21" fillId="0" borderId="0" applyNumberFormat="0" applyFill="0" applyBorder="0" applyAlignment="0" applyProtection="0"/>
    <xf numFmtId="205" fontId="21" fillId="0" borderId="0"/>
    <xf numFmtId="317" fontId="21" fillId="0" borderId="0" applyFont="0" applyFill="0" applyBorder="0" applyAlignment="0"/>
    <xf numFmtId="318" fontId="21" fillId="0" borderId="0" applyFill="0" applyBorder="0"/>
    <xf numFmtId="0" fontId="21" fillId="0" borderId="0"/>
    <xf numFmtId="0" fontId="21" fillId="0" borderId="0"/>
    <xf numFmtId="0" fontId="21" fillId="0" borderId="0">
      <alignment horizontal="right"/>
    </xf>
    <xf numFmtId="319" fontId="21" fillId="0" borderId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8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299" fontId="21" fillId="0" borderId="0" applyFont="0" applyFill="0" applyBorder="0" applyProtection="0">
      <alignment horizontal="right"/>
    </xf>
    <xf numFmtId="320" fontId="21" fillId="0" borderId="0" applyFont="0" applyFill="0" applyBorder="0" applyAlignment="0" applyProtection="0"/>
    <xf numFmtId="320" fontId="21" fillId="0" borderId="0" applyFont="0" applyFill="0" applyBorder="0" applyAlignment="0" applyProtection="0"/>
    <xf numFmtId="320" fontId="21" fillId="0" borderId="0" applyFont="0" applyFill="0" applyBorder="0" applyAlignment="0" applyProtection="0"/>
    <xf numFmtId="321" fontId="21" fillId="0" borderId="0" applyFont="0" applyFill="0" applyBorder="0" applyAlignment="0" applyProtection="0"/>
    <xf numFmtId="321" fontId="21" fillId="0" borderId="0" applyFont="0" applyFill="0" applyBorder="0" applyAlignment="0" applyProtection="0"/>
    <xf numFmtId="321" fontId="21" fillId="0" borderId="0" applyFont="0" applyFill="0" applyBorder="0" applyAlignment="0" applyProtection="0"/>
    <xf numFmtId="9" fontId="39" fillId="0" borderId="62" applyNumberFormat="0" applyBorder="0"/>
    <xf numFmtId="9" fontId="39" fillId="0" borderId="62" applyNumberFormat="0" applyBorder="0"/>
    <xf numFmtId="9" fontId="39" fillId="0" borderId="62" applyNumberFormat="0" applyBorder="0"/>
    <xf numFmtId="170" fontId="21" fillId="0" borderId="0" applyFill="0" applyBorder="0">
      <alignment horizontal="right"/>
      <protection locked="0"/>
    </xf>
    <xf numFmtId="271" fontId="21" fillId="0" borderId="0" applyFill="0" applyBorder="0" applyProtection="0"/>
    <xf numFmtId="322" fontId="21" fillId="0" borderId="0" applyFont="0" applyFill="0" applyBorder="0" applyAlignment="0" applyProtection="0"/>
    <xf numFmtId="244" fontId="21" fillId="0" borderId="0" applyFill="0" applyBorder="0" applyAlignment="0"/>
    <xf numFmtId="0" fontId="21" fillId="0" borderId="0" applyFill="0" applyBorder="0" applyAlignment="0"/>
    <xf numFmtId="244" fontId="21" fillId="0" borderId="0" applyFill="0" applyBorder="0" applyAlignment="0"/>
    <xf numFmtId="0" fontId="21" fillId="0" borderId="0" applyFill="0" applyBorder="0" applyAlignment="0"/>
    <xf numFmtId="0" fontId="21" fillId="0" borderId="0" applyFill="0" applyBorder="0" applyAlignment="0"/>
    <xf numFmtId="323" fontId="21" fillId="0" borderId="0" applyProtection="0">
      <alignment horizontal="right"/>
    </xf>
    <xf numFmtId="323" fontId="21" fillId="0" borderId="0">
      <alignment horizontal="right"/>
      <protection locked="0"/>
    </xf>
    <xf numFmtId="0" fontId="21" fillId="0" borderId="0" applyNumberFormat="0" applyFill="0" applyBorder="0" applyAlignment="0" applyProtection="0"/>
    <xf numFmtId="1" fontId="21" fillId="0" borderId="0" applyNumberFormat="0" applyFont="0" applyFill="0" applyBorder="0" applyAlignment="0">
      <alignment horizontal="left" vertical="center" wrapText="1"/>
    </xf>
    <xf numFmtId="1" fontId="21" fillId="0" borderId="0" applyNumberFormat="0" applyFont="0" applyFill="0" applyBorder="0" applyAlignment="0">
      <alignment horizontal="left" vertical="center" wrapText="1"/>
    </xf>
    <xf numFmtId="1" fontId="21" fillId="0" borderId="0" applyNumberFormat="0" applyFont="0" applyFill="0" applyBorder="0" applyAlignment="0">
      <alignment horizontal="left" vertical="center" wrapText="1"/>
    </xf>
    <xf numFmtId="0" fontId="39" fillId="0" borderId="0" applyNumberFormat="0" applyFont="0" applyFill="0" applyBorder="0" applyAlignment="0" applyProtection="0">
      <alignment horizontal="left"/>
    </xf>
    <xf numFmtId="0" fontId="39" fillId="0" borderId="0" applyNumberFormat="0" applyFont="0" applyFill="0" applyBorder="0" applyAlignment="0" applyProtection="0">
      <alignment horizontal="left"/>
    </xf>
    <xf numFmtId="0" fontId="21" fillId="0" borderId="0" applyNumberFormat="0" applyFont="0" applyFill="0" applyBorder="0" applyAlignment="0" applyProtection="0">
      <alignment horizontal="left"/>
    </xf>
    <xf numFmtId="0" fontId="21" fillId="0" borderId="0" applyNumberFormat="0" applyFont="0" applyFill="0" applyBorder="0" applyAlignment="0" applyProtection="0">
      <alignment horizontal="left"/>
    </xf>
    <xf numFmtId="0" fontId="21" fillId="0" borderId="0" applyNumberFormat="0" applyFont="0" applyFill="0" applyBorder="0" applyAlignment="0" applyProtection="0">
      <alignment horizontal="left"/>
    </xf>
    <xf numFmtId="0" fontId="39" fillId="0" borderId="0" applyNumberFormat="0" applyFont="0" applyFill="0" applyBorder="0" applyAlignment="0" applyProtection="0">
      <alignment horizontal="left"/>
    </xf>
    <xf numFmtId="15" fontId="39" fillId="0" borderId="0" applyFont="0" applyFill="0" applyBorder="0" applyAlignment="0" applyProtection="0"/>
    <xf numFmtId="15" fontId="39" fillId="0" borderId="0" applyFont="0" applyFill="0" applyBorder="0" applyAlignment="0" applyProtection="0"/>
    <xf numFmtId="15" fontId="21" fillId="0" borderId="0" applyFont="0" applyFill="0" applyBorder="0" applyAlignment="0" applyProtection="0"/>
    <xf numFmtId="15" fontId="21" fillId="0" borderId="0" applyFont="0" applyFill="0" applyBorder="0" applyAlignment="0" applyProtection="0"/>
    <xf numFmtId="15" fontId="21" fillId="0" borderId="0" applyFont="0" applyFill="0" applyBorder="0" applyAlignment="0" applyProtection="0"/>
    <xf numFmtId="15" fontId="39" fillId="0" borderId="0" applyFont="0" applyFill="0" applyBorder="0" applyAlignment="0" applyProtection="0"/>
    <xf numFmtId="4" fontId="39" fillId="0" borderId="0" applyFont="0" applyFill="0" applyBorder="0" applyAlignment="0" applyProtection="0"/>
    <xf numFmtId="4" fontId="39" fillId="0" borderId="0" applyFont="0" applyFill="0" applyBorder="0" applyAlignment="0" applyProtection="0"/>
    <xf numFmtId="4" fontId="21" fillId="0" borderId="0" applyFont="0" applyFill="0" applyBorder="0" applyAlignment="0" applyProtection="0"/>
    <xf numFmtId="4" fontId="21" fillId="0" borderId="0" applyFont="0" applyFill="0" applyBorder="0" applyAlignment="0" applyProtection="0"/>
    <xf numFmtId="4" fontId="21" fillId="0" borderId="0" applyFont="0" applyFill="0" applyBorder="0" applyAlignment="0" applyProtection="0"/>
    <xf numFmtId="4" fontId="39" fillId="0" borderId="0" applyFont="0" applyFill="0" applyBorder="0" applyAlignment="0" applyProtection="0"/>
    <xf numFmtId="0" fontId="155" fillId="0" borderId="36">
      <alignment horizontal="center"/>
    </xf>
    <xf numFmtId="0" fontId="21" fillId="0" borderId="36">
      <alignment horizontal="center"/>
    </xf>
    <xf numFmtId="0" fontId="21" fillId="0" borderId="36">
      <alignment horizontal="center"/>
    </xf>
    <xf numFmtId="0" fontId="21" fillId="0" borderId="36">
      <alignment horizontal="center"/>
    </xf>
    <xf numFmtId="0" fontId="21" fillId="0" borderId="36">
      <alignment horizontal="center"/>
    </xf>
    <xf numFmtId="0" fontId="155" fillId="0" borderId="36">
      <alignment horizontal="center"/>
    </xf>
    <xf numFmtId="3" fontId="39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21" fillId="0" borderId="0" applyFont="0" applyFill="0" applyBorder="0" applyAlignment="0" applyProtection="0"/>
    <xf numFmtId="3" fontId="39" fillId="0" borderId="0" applyFont="0" applyFill="0" applyBorder="0" applyAlignment="0" applyProtection="0"/>
    <xf numFmtId="0" fontId="39" fillId="111" borderId="0" applyNumberFormat="0" applyFont="0" applyBorder="0" applyAlignment="0" applyProtection="0"/>
    <xf numFmtId="0" fontId="21" fillId="111" borderId="0" applyNumberFormat="0" applyFont="0" applyBorder="0" applyAlignment="0" applyProtection="0"/>
    <xf numFmtId="0" fontId="21" fillId="111" borderId="0" applyNumberFormat="0" applyFont="0" applyBorder="0" applyAlignment="0" applyProtection="0"/>
    <xf numFmtId="0" fontId="21" fillId="111" borderId="0" applyNumberFormat="0" applyFont="0" applyBorder="0" applyAlignment="0" applyProtection="0"/>
    <xf numFmtId="0" fontId="21" fillId="111" borderId="0" applyNumberFormat="0" applyFont="0" applyBorder="0" applyAlignment="0" applyProtection="0"/>
    <xf numFmtId="0" fontId="39" fillId="111" borderId="0" applyNumberFormat="0" applyFont="0" applyBorder="0" applyAlignment="0" applyProtection="0"/>
    <xf numFmtId="0" fontId="21" fillId="35" borderId="0"/>
    <xf numFmtId="0" fontId="21" fillId="35" borderId="0"/>
    <xf numFmtId="0" fontId="21" fillId="35" borderId="0"/>
    <xf numFmtId="0" fontId="21" fillId="35" borderId="0"/>
    <xf numFmtId="0" fontId="21" fillId="35" borderId="0"/>
    <xf numFmtId="170" fontId="21" fillId="35" borderId="0"/>
    <xf numFmtId="170" fontId="21" fillId="35" borderId="0"/>
    <xf numFmtId="0" fontId="21" fillId="0" borderId="0">
      <alignment horizontal="center"/>
    </xf>
    <xf numFmtId="0" fontId="21" fillId="0" borderId="10">
      <alignment horizontal="centerContinuous"/>
    </xf>
    <xf numFmtId="0" fontId="21" fillId="0" borderId="0">
      <alignment vertical="top"/>
    </xf>
    <xf numFmtId="205" fontId="21" fillId="0" borderId="0">
      <alignment vertical="top"/>
    </xf>
    <xf numFmtId="222" fontId="21" fillId="0" borderId="0">
      <alignment horizontal="center"/>
    </xf>
    <xf numFmtId="222" fontId="21" fillId="0" borderId="0">
      <alignment horizontal="center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0" fontId="21" fillId="35" borderId="19">
      <alignment horizontal="right"/>
    </xf>
    <xf numFmtId="324" fontId="21" fillId="0" borderId="0" applyFont="0" applyFill="0" applyBorder="0" applyAlignment="0" applyProtection="0">
      <alignment horizontal="right"/>
    </xf>
    <xf numFmtId="325" fontId="21" fillId="0" borderId="0">
      <alignment horizontal="right"/>
      <protection locked="0"/>
    </xf>
    <xf numFmtId="205" fontId="21" fillId="0" borderId="0">
      <alignment horizontal="right"/>
    </xf>
    <xf numFmtId="204" fontId="156" fillId="0" borderId="0">
      <alignment horizontal="center" vertical="top"/>
    </xf>
    <xf numFmtId="1" fontId="21" fillId="0" borderId="0" applyNumberFormat="0">
      <alignment horizontal="left" vertical="center"/>
    </xf>
    <xf numFmtId="1" fontId="21" fillId="0" borderId="0" applyNumberFormat="0" applyFill="0" applyBorder="0" applyProtection="0">
      <alignment horizontal="left" vertical="center"/>
    </xf>
    <xf numFmtId="0" fontId="133" fillId="37" borderId="0">
      <alignment horizontal="center"/>
    </xf>
    <xf numFmtId="0" fontId="133" fillId="37" borderId="0">
      <alignment horizontal="center"/>
    </xf>
    <xf numFmtId="49" fontId="157" fillId="82" borderId="0">
      <alignment horizontal="center"/>
    </xf>
    <xf numFmtId="49" fontId="21" fillId="82" borderId="0">
      <alignment horizontal="center"/>
    </xf>
    <xf numFmtId="49" fontId="21" fillId="82" borderId="0">
      <alignment horizontal="center"/>
    </xf>
    <xf numFmtId="49" fontId="21" fillId="82" borderId="0">
      <alignment horizontal="center"/>
    </xf>
    <xf numFmtId="49" fontId="21" fillId="82" borderId="0">
      <alignment horizontal="center"/>
    </xf>
    <xf numFmtId="49" fontId="21" fillId="82" borderId="0">
      <alignment horizontal="center"/>
    </xf>
    <xf numFmtId="49" fontId="21" fillId="82" borderId="0">
      <alignment horizontal="center"/>
    </xf>
    <xf numFmtId="49" fontId="21" fillId="82" borderId="0">
      <alignment horizontal="center"/>
    </xf>
    <xf numFmtId="49" fontId="21" fillId="82" borderId="0">
      <alignment horizontal="center"/>
    </xf>
    <xf numFmtId="49" fontId="21" fillId="82" borderId="0">
      <alignment horizontal="center"/>
    </xf>
    <xf numFmtId="49" fontId="21" fillId="82" borderId="0">
      <alignment horizontal="center"/>
    </xf>
    <xf numFmtId="49" fontId="21" fillId="82" borderId="0">
      <alignment horizontal="center"/>
    </xf>
    <xf numFmtId="49" fontId="21" fillId="82" borderId="0">
      <alignment horizontal="center"/>
    </xf>
    <xf numFmtId="49" fontId="21" fillId="82" borderId="0">
      <alignment horizontal="center"/>
    </xf>
    <xf numFmtId="49" fontId="21" fillId="82" borderId="0">
      <alignment horizontal="center"/>
    </xf>
    <xf numFmtId="49" fontId="21" fillId="82" borderId="0">
      <alignment horizontal="center"/>
    </xf>
    <xf numFmtId="49" fontId="21" fillId="82" borderId="0">
      <alignment horizontal="center"/>
    </xf>
    <xf numFmtId="49" fontId="21" fillId="82" borderId="0">
      <alignment horizontal="center"/>
    </xf>
    <xf numFmtId="49" fontId="21" fillId="82" borderId="0">
      <alignment horizontal="center"/>
    </xf>
    <xf numFmtId="49" fontId="157" fillId="82" borderId="0">
      <alignment horizontal="center"/>
    </xf>
    <xf numFmtId="49" fontId="21" fillId="82" borderId="0">
      <alignment horizontal="center"/>
    </xf>
    <xf numFmtId="49" fontId="21" fillId="82" borderId="0">
      <alignment horizontal="center"/>
    </xf>
    <xf numFmtId="49" fontId="21" fillId="82" borderId="0">
      <alignment horizontal="center"/>
    </xf>
    <xf numFmtId="49" fontId="21" fillId="82" borderId="0">
      <alignment horizontal="center"/>
    </xf>
    <xf numFmtId="49" fontId="21" fillId="82" borderId="0">
      <alignment horizontal="center"/>
    </xf>
    <xf numFmtId="49" fontId="21" fillId="82" borderId="0">
      <alignment horizontal="center"/>
    </xf>
    <xf numFmtId="49" fontId="21" fillId="82" borderId="0">
      <alignment horizontal="center"/>
    </xf>
    <xf numFmtId="0" fontId="21" fillId="0" borderId="0" applyNumberFormat="0" applyFill="0" applyBorder="0" applyAlignment="0" applyProtection="0">
      <alignment horizontal="left"/>
    </xf>
    <xf numFmtId="0" fontId="21" fillId="0" borderId="0" applyNumberFormat="0" applyFill="0" applyBorder="0" applyProtection="0">
      <alignment horizontal="right" vertical="center"/>
    </xf>
    <xf numFmtId="303" fontId="21" fillId="0" borderId="0" applyNumberFormat="0" applyFill="0" applyBorder="0" applyAlignment="0" applyProtection="0">
      <alignment vertical="center"/>
    </xf>
    <xf numFmtId="0" fontId="75" fillId="88" borderId="0">
      <alignment horizontal="center"/>
    </xf>
    <xf numFmtId="0" fontId="76" fillId="88" borderId="0">
      <alignment horizontal="center"/>
    </xf>
    <xf numFmtId="0" fontId="75" fillId="88" borderId="0">
      <alignment horizontal="centerContinuous"/>
    </xf>
    <xf numFmtId="0" fontId="76" fillId="88" borderId="0">
      <alignment horizontal="centerContinuous"/>
    </xf>
    <xf numFmtId="0" fontId="136" fillId="82" borderId="0">
      <alignment horizontal="left"/>
    </xf>
    <xf numFmtId="0" fontId="136" fillId="82" borderId="0">
      <alignment horizontal="left"/>
    </xf>
    <xf numFmtId="49" fontId="136" fillId="82" borderId="0">
      <alignment horizontal="center"/>
    </xf>
    <xf numFmtId="49" fontId="136" fillId="82" borderId="0">
      <alignment horizontal="center"/>
    </xf>
    <xf numFmtId="0" fontId="61" fillId="88" borderId="0">
      <alignment horizontal="left"/>
    </xf>
    <xf numFmtId="0" fontId="69" fillId="88" borderId="0">
      <alignment horizontal="left"/>
    </xf>
    <xf numFmtId="49" fontId="136" fillId="82" borderId="0">
      <alignment horizontal="left"/>
    </xf>
    <xf numFmtId="49" fontId="136" fillId="82" borderId="0">
      <alignment horizontal="left"/>
    </xf>
    <xf numFmtId="0" fontId="61" fillId="88" borderId="0">
      <alignment horizontal="centerContinuous"/>
    </xf>
    <xf numFmtId="0" fontId="69" fillId="88" borderId="0">
      <alignment horizontal="centerContinuous"/>
    </xf>
    <xf numFmtId="0" fontId="61" fillId="88" borderId="0">
      <alignment horizontal="right"/>
    </xf>
    <xf numFmtId="0" fontId="69" fillId="88" borderId="0">
      <alignment horizontal="right"/>
    </xf>
    <xf numFmtId="49" fontId="133" fillId="82" borderId="0">
      <alignment horizontal="left"/>
    </xf>
    <xf numFmtId="49" fontId="133" fillId="82" borderId="0">
      <alignment horizontal="left"/>
    </xf>
    <xf numFmtId="0" fontId="75" fillId="88" borderId="0">
      <alignment horizontal="right"/>
    </xf>
    <xf numFmtId="0" fontId="76" fillId="88" borderId="0">
      <alignment horizontal="right"/>
    </xf>
    <xf numFmtId="0" fontId="21" fillId="0" borderId="63">
      <alignment vertical="center"/>
    </xf>
    <xf numFmtId="0" fontId="136" fillId="39" borderId="0">
      <alignment horizontal="center"/>
    </xf>
    <xf numFmtId="0" fontId="136" fillId="39" borderId="0">
      <alignment horizontal="center"/>
    </xf>
    <xf numFmtId="0" fontId="32" fillId="39" borderId="0">
      <alignment horizontal="center"/>
    </xf>
    <xf numFmtId="0" fontId="32" fillId="39" borderId="0">
      <alignment horizontal="center"/>
    </xf>
    <xf numFmtId="4" fontId="41" fillId="103" borderId="61" applyNumberFormat="0" applyProtection="0">
      <alignment vertical="center"/>
    </xf>
    <xf numFmtId="4" fontId="41" fillId="103" borderId="61" applyNumberFormat="0" applyProtection="0">
      <alignment vertical="center"/>
    </xf>
    <xf numFmtId="4" fontId="41" fillId="103" borderId="61" applyNumberFormat="0" applyProtection="0">
      <alignment vertical="center"/>
    </xf>
    <xf numFmtId="4" fontId="41" fillId="103" borderId="61" applyNumberFormat="0" applyProtection="0">
      <alignment vertical="center"/>
    </xf>
    <xf numFmtId="4" fontId="41" fillId="103" borderId="61" applyNumberFormat="0" applyProtection="0">
      <alignment vertical="center"/>
    </xf>
    <xf numFmtId="4" fontId="41" fillId="103" borderId="61" applyNumberFormat="0" applyProtection="0">
      <alignment vertical="center"/>
    </xf>
    <xf numFmtId="4" fontId="41" fillId="103" borderId="61" applyNumberFormat="0" applyProtection="0">
      <alignment vertical="center"/>
    </xf>
    <xf numFmtId="4" fontId="41" fillId="103" borderId="61" applyNumberFormat="0" applyProtection="0">
      <alignment vertical="center"/>
    </xf>
    <xf numFmtId="4" fontId="41" fillId="103" borderId="61" applyNumberFormat="0" applyProtection="0">
      <alignment vertical="center"/>
    </xf>
    <xf numFmtId="4" fontId="41" fillId="103" borderId="61" applyNumberFormat="0" applyProtection="0">
      <alignment vertical="center"/>
    </xf>
    <xf numFmtId="4" fontId="41" fillId="103" borderId="61" applyNumberFormat="0" applyProtection="0">
      <alignment vertical="center"/>
    </xf>
    <xf numFmtId="4" fontId="41" fillId="103" borderId="61" applyNumberFormat="0" applyProtection="0">
      <alignment vertical="center"/>
    </xf>
    <xf numFmtId="4" fontId="41" fillId="103" borderId="61" applyNumberFormat="0" applyProtection="0">
      <alignment vertical="center"/>
    </xf>
    <xf numFmtId="4" fontId="41" fillId="103" borderId="61" applyNumberFormat="0" applyProtection="0">
      <alignment vertical="center"/>
    </xf>
    <xf numFmtId="4" fontId="41" fillId="103" borderId="61" applyNumberFormat="0" applyProtection="0">
      <alignment vertical="center"/>
    </xf>
    <xf numFmtId="4" fontId="41" fillId="103" borderId="61" applyNumberFormat="0" applyProtection="0">
      <alignment vertical="center"/>
    </xf>
    <xf numFmtId="4" fontId="41" fillId="103" borderId="61" applyNumberFormat="0" applyProtection="0">
      <alignment vertical="center"/>
    </xf>
    <xf numFmtId="4" fontId="41" fillId="103" borderId="61" applyNumberFormat="0" applyProtection="0">
      <alignment vertical="center"/>
    </xf>
    <xf numFmtId="4" fontId="41" fillId="103" borderId="61" applyNumberFormat="0" applyProtection="0">
      <alignment vertical="center"/>
    </xf>
    <xf numFmtId="4" fontId="21" fillId="103" borderId="61" applyNumberFormat="0" applyProtection="0">
      <alignment vertical="center"/>
    </xf>
    <xf numFmtId="4" fontId="21" fillId="103" borderId="61" applyNumberFormat="0" applyProtection="0">
      <alignment vertical="center"/>
    </xf>
    <xf numFmtId="4" fontId="21" fillId="103" borderId="61" applyNumberFormat="0" applyProtection="0">
      <alignment vertical="center"/>
    </xf>
    <xf numFmtId="4" fontId="21" fillId="103" borderId="61" applyNumberFormat="0" applyProtection="0">
      <alignment vertical="center"/>
    </xf>
    <xf numFmtId="4" fontId="21" fillId="103" borderId="61" applyNumberFormat="0" applyProtection="0">
      <alignment vertical="center"/>
    </xf>
    <xf numFmtId="4" fontId="21" fillId="103" borderId="61" applyNumberFormat="0" applyProtection="0">
      <alignment vertical="center"/>
    </xf>
    <xf numFmtId="4" fontId="21" fillId="103" borderId="61" applyNumberFormat="0" applyProtection="0">
      <alignment vertical="center"/>
    </xf>
    <xf numFmtId="4" fontId="21" fillId="103" borderId="61" applyNumberFormat="0" applyProtection="0">
      <alignment vertical="center"/>
    </xf>
    <xf numFmtId="4" fontId="21" fillId="103" borderId="61" applyNumberFormat="0" applyProtection="0">
      <alignment vertical="center"/>
    </xf>
    <xf numFmtId="4" fontId="21" fillId="103" borderId="61" applyNumberFormat="0" applyProtection="0">
      <alignment horizontal="left" vertical="center" indent="1"/>
    </xf>
    <xf numFmtId="4" fontId="21" fillId="103" borderId="61" applyNumberFormat="0" applyProtection="0">
      <alignment horizontal="left" vertical="center" indent="1"/>
    </xf>
    <xf numFmtId="4" fontId="21" fillId="103" borderId="61" applyNumberFormat="0" applyProtection="0">
      <alignment horizontal="left" vertical="center" indent="1"/>
    </xf>
    <xf numFmtId="4" fontId="21" fillId="103" borderId="61" applyNumberFormat="0" applyProtection="0">
      <alignment horizontal="left" vertical="center" indent="1"/>
    </xf>
    <xf numFmtId="4" fontId="21" fillId="103" borderId="61" applyNumberFormat="0" applyProtection="0">
      <alignment horizontal="left" vertical="center" indent="1"/>
    </xf>
    <xf numFmtId="4" fontId="21" fillId="103" borderId="61" applyNumberFormat="0" applyProtection="0">
      <alignment horizontal="left" vertical="center" indent="1"/>
    </xf>
    <xf numFmtId="4" fontId="21" fillId="103" borderId="61" applyNumberFormat="0" applyProtection="0">
      <alignment horizontal="left" vertical="center" indent="1"/>
    </xf>
    <xf numFmtId="4" fontId="21" fillId="103" borderId="61" applyNumberFormat="0" applyProtection="0">
      <alignment horizontal="left" vertical="center" indent="1"/>
    </xf>
    <xf numFmtId="4" fontId="21" fillId="103" borderId="61" applyNumberFormat="0" applyProtection="0">
      <alignment horizontal="left" vertical="center" indent="1"/>
    </xf>
    <xf numFmtId="4" fontId="41" fillId="103" borderId="61" applyNumberFormat="0" applyProtection="0">
      <alignment horizontal="left" vertical="center" indent="1"/>
    </xf>
    <xf numFmtId="4" fontId="41" fillId="103" borderId="61" applyNumberFormat="0" applyProtection="0">
      <alignment horizontal="left" vertical="center" indent="1"/>
    </xf>
    <xf numFmtId="4" fontId="41" fillId="103" borderId="61" applyNumberFormat="0" applyProtection="0">
      <alignment horizontal="left" vertical="center" indent="1"/>
    </xf>
    <xf numFmtId="4" fontId="41" fillId="103" borderId="61" applyNumberFormat="0" applyProtection="0">
      <alignment horizontal="left" vertical="center" indent="1"/>
    </xf>
    <xf numFmtId="4" fontId="41" fillId="103" borderId="61" applyNumberFormat="0" applyProtection="0">
      <alignment horizontal="left" vertical="center" indent="1"/>
    </xf>
    <xf numFmtId="4" fontId="41" fillId="103" borderId="61" applyNumberFormat="0" applyProtection="0">
      <alignment horizontal="left" vertical="center" indent="1"/>
    </xf>
    <xf numFmtId="4" fontId="41" fillId="103" borderId="61" applyNumberFormat="0" applyProtection="0">
      <alignment horizontal="left" vertical="center" indent="1"/>
    </xf>
    <xf numFmtId="4" fontId="41" fillId="103" borderId="61" applyNumberFormat="0" applyProtection="0">
      <alignment horizontal="left" vertical="center" indent="1"/>
    </xf>
    <xf numFmtId="4" fontId="41" fillId="103" borderId="61" applyNumberFormat="0" applyProtection="0">
      <alignment horizontal="left" vertical="center" indent="1"/>
    </xf>
    <xf numFmtId="4" fontId="41" fillId="103" borderId="61" applyNumberFormat="0" applyProtection="0">
      <alignment horizontal="left" vertical="center" indent="1"/>
    </xf>
    <xf numFmtId="4" fontId="41" fillId="103" borderId="61" applyNumberFormat="0" applyProtection="0">
      <alignment horizontal="left" vertical="center" indent="1"/>
    </xf>
    <xf numFmtId="4" fontId="41" fillId="103" borderId="61" applyNumberFormat="0" applyProtection="0">
      <alignment horizontal="left" vertical="center" indent="1"/>
    </xf>
    <xf numFmtId="4" fontId="41" fillId="103" borderId="61" applyNumberFormat="0" applyProtection="0">
      <alignment horizontal="left" vertical="center" indent="1"/>
    </xf>
    <xf numFmtId="4" fontId="41" fillId="103" borderId="61" applyNumberFormat="0" applyProtection="0">
      <alignment horizontal="left" vertical="center" indent="1"/>
    </xf>
    <xf numFmtId="4" fontId="41" fillId="103" borderId="61" applyNumberFormat="0" applyProtection="0">
      <alignment horizontal="left" vertical="center" indent="1"/>
    </xf>
    <xf numFmtId="4" fontId="41" fillId="103" borderId="61" applyNumberFormat="0" applyProtection="0">
      <alignment horizontal="left" vertical="center" indent="1"/>
    </xf>
    <xf numFmtId="4" fontId="41" fillId="103" borderId="61" applyNumberFormat="0" applyProtection="0">
      <alignment horizontal="left" vertical="center" indent="1"/>
    </xf>
    <xf numFmtId="4" fontId="41" fillId="103" borderId="61" applyNumberFormat="0" applyProtection="0">
      <alignment horizontal="left" vertical="center" indent="1"/>
    </xf>
    <xf numFmtId="4" fontId="41" fillId="103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4" fontId="21" fillId="113" borderId="61" applyNumberFormat="0" applyProtection="0">
      <alignment horizontal="right" vertical="center"/>
    </xf>
    <xf numFmtId="4" fontId="21" fillId="113" borderId="61" applyNumberFormat="0" applyProtection="0">
      <alignment horizontal="right" vertical="center"/>
    </xf>
    <xf numFmtId="4" fontId="21" fillId="113" borderId="61" applyNumberFormat="0" applyProtection="0">
      <alignment horizontal="right" vertical="center"/>
    </xf>
    <xf numFmtId="4" fontId="21" fillId="113" borderId="61" applyNumberFormat="0" applyProtection="0">
      <alignment horizontal="right" vertical="center"/>
    </xf>
    <xf numFmtId="4" fontId="21" fillId="113" borderId="61" applyNumberFormat="0" applyProtection="0">
      <alignment horizontal="right" vertical="center"/>
    </xf>
    <xf numFmtId="4" fontId="21" fillId="113" borderId="61" applyNumberFormat="0" applyProtection="0">
      <alignment horizontal="right" vertical="center"/>
    </xf>
    <xf numFmtId="4" fontId="21" fillId="113" borderId="61" applyNumberFormat="0" applyProtection="0">
      <alignment horizontal="right" vertical="center"/>
    </xf>
    <xf numFmtId="4" fontId="21" fillId="113" borderId="61" applyNumberFormat="0" applyProtection="0">
      <alignment horizontal="right" vertical="center"/>
    </xf>
    <xf numFmtId="4" fontId="21" fillId="113" borderId="61" applyNumberFormat="0" applyProtection="0">
      <alignment horizontal="right" vertical="center"/>
    </xf>
    <xf numFmtId="4" fontId="21" fillId="114" borderId="61" applyNumberFormat="0" applyProtection="0">
      <alignment horizontal="right" vertical="center"/>
    </xf>
    <xf numFmtId="4" fontId="21" fillId="114" borderId="61" applyNumberFormat="0" applyProtection="0">
      <alignment horizontal="right" vertical="center"/>
    </xf>
    <xf numFmtId="4" fontId="21" fillId="114" borderId="61" applyNumberFormat="0" applyProtection="0">
      <alignment horizontal="right" vertical="center"/>
    </xf>
    <xf numFmtId="4" fontId="21" fillId="114" borderId="61" applyNumberFormat="0" applyProtection="0">
      <alignment horizontal="right" vertical="center"/>
    </xf>
    <xf numFmtId="4" fontId="21" fillId="114" borderId="61" applyNumberFormat="0" applyProtection="0">
      <alignment horizontal="right" vertical="center"/>
    </xf>
    <xf numFmtId="4" fontId="21" fillId="114" borderId="61" applyNumberFormat="0" applyProtection="0">
      <alignment horizontal="right" vertical="center"/>
    </xf>
    <xf numFmtId="4" fontId="21" fillId="114" borderId="61" applyNumberFormat="0" applyProtection="0">
      <alignment horizontal="right" vertical="center"/>
    </xf>
    <xf numFmtId="4" fontId="21" fillId="114" borderId="61" applyNumberFormat="0" applyProtection="0">
      <alignment horizontal="right" vertical="center"/>
    </xf>
    <xf numFmtId="4" fontId="21" fillId="114" borderId="61" applyNumberFormat="0" applyProtection="0">
      <alignment horizontal="right" vertical="center"/>
    </xf>
    <xf numFmtId="4" fontId="21" fillId="115" borderId="61" applyNumberFormat="0" applyProtection="0">
      <alignment horizontal="right" vertical="center"/>
    </xf>
    <xf numFmtId="4" fontId="21" fillId="115" borderId="61" applyNumberFormat="0" applyProtection="0">
      <alignment horizontal="right" vertical="center"/>
    </xf>
    <xf numFmtId="4" fontId="21" fillId="115" borderId="61" applyNumberFormat="0" applyProtection="0">
      <alignment horizontal="right" vertical="center"/>
    </xf>
    <xf numFmtId="4" fontId="21" fillId="115" borderId="61" applyNumberFormat="0" applyProtection="0">
      <alignment horizontal="right" vertical="center"/>
    </xf>
    <xf numFmtId="4" fontId="21" fillId="115" borderId="61" applyNumberFormat="0" applyProtection="0">
      <alignment horizontal="right" vertical="center"/>
    </xf>
    <xf numFmtId="4" fontId="21" fillId="115" borderId="61" applyNumberFormat="0" applyProtection="0">
      <alignment horizontal="right" vertical="center"/>
    </xf>
    <xf numFmtId="4" fontId="21" fillId="115" borderId="61" applyNumberFormat="0" applyProtection="0">
      <alignment horizontal="right" vertical="center"/>
    </xf>
    <xf numFmtId="4" fontId="21" fillId="115" borderId="61" applyNumberFormat="0" applyProtection="0">
      <alignment horizontal="right" vertical="center"/>
    </xf>
    <xf numFmtId="4" fontId="21" fillId="115" borderId="61" applyNumberFormat="0" applyProtection="0">
      <alignment horizontal="right" vertical="center"/>
    </xf>
    <xf numFmtId="4" fontId="21" fillId="116" borderId="61" applyNumberFormat="0" applyProtection="0">
      <alignment horizontal="right" vertical="center"/>
    </xf>
    <xf numFmtId="4" fontId="21" fillId="116" borderId="61" applyNumberFormat="0" applyProtection="0">
      <alignment horizontal="right" vertical="center"/>
    </xf>
    <xf numFmtId="4" fontId="21" fillId="116" borderId="61" applyNumberFormat="0" applyProtection="0">
      <alignment horizontal="right" vertical="center"/>
    </xf>
    <xf numFmtId="4" fontId="21" fillId="116" borderId="61" applyNumberFormat="0" applyProtection="0">
      <alignment horizontal="right" vertical="center"/>
    </xf>
    <xf numFmtId="4" fontId="21" fillId="116" borderId="61" applyNumberFormat="0" applyProtection="0">
      <alignment horizontal="right" vertical="center"/>
    </xf>
    <xf numFmtId="4" fontId="21" fillId="116" borderId="61" applyNumberFormat="0" applyProtection="0">
      <alignment horizontal="right" vertical="center"/>
    </xf>
    <xf numFmtId="4" fontId="21" fillId="116" borderId="61" applyNumberFormat="0" applyProtection="0">
      <alignment horizontal="right" vertical="center"/>
    </xf>
    <xf numFmtId="4" fontId="21" fillId="116" borderId="61" applyNumberFormat="0" applyProtection="0">
      <alignment horizontal="right" vertical="center"/>
    </xf>
    <xf numFmtId="4" fontId="21" fillId="116" borderId="61" applyNumberFormat="0" applyProtection="0">
      <alignment horizontal="right" vertical="center"/>
    </xf>
    <xf numFmtId="4" fontId="21" fillId="117" borderId="61" applyNumberFormat="0" applyProtection="0">
      <alignment horizontal="right" vertical="center"/>
    </xf>
    <xf numFmtId="4" fontId="21" fillId="117" borderId="61" applyNumberFormat="0" applyProtection="0">
      <alignment horizontal="right" vertical="center"/>
    </xf>
    <xf numFmtId="4" fontId="21" fillId="117" borderId="61" applyNumberFormat="0" applyProtection="0">
      <alignment horizontal="right" vertical="center"/>
    </xf>
    <xf numFmtId="4" fontId="21" fillId="117" borderId="61" applyNumberFormat="0" applyProtection="0">
      <alignment horizontal="right" vertical="center"/>
    </xf>
    <xf numFmtId="4" fontId="21" fillId="117" borderId="61" applyNumberFormat="0" applyProtection="0">
      <alignment horizontal="right" vertical="center"/>
    </xf>
    <xf numFmtId="4" fontId="21" fillId="117" borderId="61" applyNumberFormat="0" applyProtection="0">
      <alignment horizontal="right" vertical="center"/>
    </xf>
    <xf numFmtId="4" fontId="21" fillId="117" borderId="61" applyNumberFormat="0" applyProtection="0">
      <alignment horizontal="right" vertical="center"/>
    </xf>
    <xf numFmtId="4" fontId="21" fillId="117" borderId="61" applyNumberFormat="0" applyProtection="0">
      <alignment horizontal="right" vertical="center"/>
    </xf>
    <xf numFmtId="4" fontId="21" fillId="117" borderId="61" applyNumberFormat="0" applyProtection="0">
      <alignment horizontal="right" vertical="center"/>
    </xf>
    <xf numFmtId="4" fontId="21" fillId="118" borderId="61" applyNumberFormat="0" applyProtection="0">
      <alignment horizontal="right" vertical="center"/>
    </xf>
    <xf numFmtId="4" fontId="21" fillId="118" borderId="61" applyNumberFormat="0" applyProtection="0">
      <alignment horizontal="right" vertical="center"/>
    </xf>
    <xf numFmtId="4" fontId="21" fillId="118" borderId="61" applyNumberFormat="0" applyProtection="0">
      <alignment horizontal="right" vertical="center"/>
    </xf>
    <xf numFmtId="4" fontId="21" fillId="118" borderId="61" applyNumberFormat="0" applyProtection="0">
      <alignment horizontal="right" vertical="center"/>
    </xf>
    <xf numFmtId="4" fontId="21" fillId="118" borderId="61" applyNumberFormat="0" applyProtection="0">
      <alignment horizontal="right" vertical="center"/>
    </xf>
    <xf numFmtId="4" fontId="21" fillId="118" borderId="61" applyNumberFormat="0" applyProtection="0">
      <alignment horizontal="right" vertical="center"/>
    </xf>
    <xf numFmtId="4" fontId="21" fillId="118" borderId="61" applyNumberFormat="0" applyProtection="0">
      <alignment horizontal="right" vertical="center"/>
    </xf>
    <xf numFmtId="4" fontId="21" fillId="118" borderId="61" applyNumberFormat="0" applyProtection="0">
      <alignment horizontal="right" vertical="center"/>
    </xf>
    <xf numFmtId="4" fontId="21" fillId="118" borderId="61" applyNumberFormat="0" applyProtection="0">
      <alignment horizontal="right" vertical="center"/>
    </xf>
    <xf numFmtId="4" fontId="21" fillId="110" borderId="61" applyNumberFormat="0" applyProtection="0">
      <alignment horizontal="right" vertical="center"/>
    </xf>
    <xf numFmtId="4" fontId="21" fillId="110" borderId="61" applyNumberFormat="0" applyProtection="0">
      <alignment horizontal="right" vertical="center"/>
    </xf>
    <xf numFmtId="4" fontId="21" fillId="110" borderId="61" applyNumberFormat="0" applyProtection="0">
      <alignment horizontal="right" vertical="center"/>
    </xf>
    <xf numFmtId="4" fontId="21" fillId="110" borderId="61" applyNumberFormat="0" applyProtection="0">
      <alignment horizontal="right" vertical="center"/>
    </xf>
    <xf numFmtId="4" fontId="21" fillId="110" borderId="61" applyNumberFormat="0" applyProtection="0">
      <alignment horizontal="right" vertical="center"/>
    </xf>
    <xf numFmtId="4" fontId="21" fillId="110" borderId="61" applyNumberFormat="0" applyProtection="0">
      <alignment horizontal="right" vertical="center"/>
    </xf>
    <xf numFmtId="4" fontId="21" fillId="110" borderId="61" applyNumberFormat="0" applyProtection="0">
      <alignment horizontal="right" vertical="center"/>
    </xf>
    <xf numFmtId="4" fontId="21" fillId="110" borderId="61" applyNumberFormat="0" applyProtection="0">
      <alignment horizontal="right" vertical="center"/>
    </xf>
    <xf numFmtId="4" fontId="21" fillId="110" borderId="61" applyNumberFormat="0" applyProtection="0">
      <alignment horizontal="right" vertical="center"/>
    </xf>
    <xf numFmtId="4" fontId="21" fillId="108" borderId="61" applyNumberFormat="0" applyProtection="0">
      <alignment horizontal="right" vertical="center"/>
    </xf>
    <xf numFmtId="4" fontId="21" fillId="108" borderId="61" applyNumberFormat="0" applyProtection="0">
      <alignment horizontal="right" vertical="center"/>
    </xf>
    <xf numFmtId="4" fontId="21" fillId="108" borderId="61" applyNumberFormat="0" applyProtection="0">
      <alignment horizontal="right" vertical="center"/>
    </xf>
    <xf numFmtId="4" fontId="21" fillId="108" borderId="61" applyNumberFormat="0" applyProtection="0">
      <alignment horizontal="right" vertical="center"/>
    </xf>
    <xf numFmtId="4" fontId="21" fillId="108" borderId="61" applyNumberFormat="0" applyProtection="0">
      <alignment horizontal="right" vertical="center"/>
    </xf>
    <xf numFmtId="4" fontId="21" fillId="108" borderId="61" applyNumberFormat="0" applyProtection="0">
      <alignment horizontal="right" vertical="center"/>
    </xf>
    <xf numFmtId="4" fontId="21" fillId="108" borderId="61" applyNumberFormat="0" applyProtection="0">
      <alignment horizontal="right" vertical="center"/>
    </xf>
    <xf numFmtId="4" fontId="21" fillId="108" borderId="61" applyNumberFormat="0" applyProtection="0">
      <alignment horizontal="right" vertical="center"/>
    </xf>
    <xf numFmtId="4" fontId="21" fillId="108" borderId="61" applyNumberFormat="0" applyProtection="0">
      <alignment horizontal="right" vertical="center"/>
    </xf>
    <xf numFmtId="4" fontId="21" fillId="119" borderId="61" applyNumberFormat="0" applyProtection="0">
      <alignment horizontal="right" vertical="center"/>
    </xf>
    <xf numFmtId="4" fontId="21" fillId="119" borderId="61" applyNumberFormat="0" applyProtection="0">
      <alignment horizontal="right" vertical="center"/>
    </xf>
    <xf numFmtId="4" fontId="21" fillId="119" borderId="61" applyNumberFormat="0" applyProtection="0">
      <alignment horizontal="right" vertical="center"/>
    </xf>
    <xf numFmtId="4" fontId="21" fillId="119" borderId="61" applyNumberFormat="0" applyProtection="0">
      <alignment horizontal="right" vertical="center"/>
    </xf>
    <xf numFmtId="4" fontId="21" fillId="119" borderId="61" applyNumberFormat="0" applyProtection="0">
      <alignment horizontal="right" vertical="center"/>
    </xf>
    <xf numFmtId="4" fontId="21" fillId="119" borderId="61" applyNumberFormat="0" applyProtection="0">
      <alignment horizontal="right" vertical="center"/>
    </xf>
    <xf numFmtId="4" fontId="21" fillId="119" borderId="61" applyNumberFormat="0" applyProtection="0">
      <alignment horizontal="right" vertical="center"/>
    </xf>
    <xf numFmtId="4" fontId="21" fillId="119" borderId="61" applyNumberFormat="0" applyProtection="0">
      <alignment horizontal="right" vertical="center"/>
    </xf>
    <xf numFmtId="4" fontId="21" fillId="119" borderId="61" applyNumberFormat="0" applyProtection="0">
      <alignment horizontal="right" vertical="center"/>
    </xf>
    <xf numFmtId="4" fontId="133" fillId="120" borderId="61" applyNumberFormat="0" applyProtection="0">
      <alignment horizontal="left" vertical="center" indent="1"/>
    </xf>
    <xf numFmtId="4" fontId="133" fillId="120" borderId="61" applyNumberFormat="0" applyProtection="0">
      <alignment horizontal="left" vertical="center" indent="1"/>
    </xf>
    <xf numFmtId="4" fontId="133" fillId="120" borderId="61" applyNumberFormat="0" applyProtection="0">
      <alignment horizontal="left" vertical="center" indent="1"/>
    </xf>
    <xf numFmtId="4" fontId="133" fillId="120" borderId="61" applyNumberFormat="0" applyProtection="0">
      <alignment horizontal="left" vertical="center" indent="1"/>
    </xf>
    <xf numFmtId="4" fontId="133" fillId="120" borderId="61" applyNumberFormat="0" applyProtection="0">
      <alignment horizontal="left" vertical="center" indent="1"/>
    </xf>
    <xf numFmtId="4" fontId="133" fillId="120" borderId="61" applyNumberFormat="0" applyProtection="0">
      <alignment horizontal="left" vertical="center" indent="1"/>
    </xf>
    <xf numFmtId="4" fontId="133" fillId="120" borderId="61" applyNumberFormat="0" applyProtection="0">
      <alignment horizontal="left" vertical="center" indent="1"/>
    </xf>
    <xf numFmtId="4" fontId="133" fillId="120" borderId="61" applyNumberFormat="0" applyProtection="0">
      <alignment horizontal="left" vertical="center" indent="1"/>
    </xf>
    <xf numFmtId="4" fontId="133" fillId="120" borderId="61" applyNumberFormat="0" applyProtection="0">
      <alignment horizontal="left" vertical="center" indent="1"/>
    </xf>
    <xf numFmtId="4" fontId="41" fillId="81" borderId="64" applyNumberFormat="0" applyProtection="0">
      <alignment horizontal="left" vertical="center" indent="1"/>
    </xf>
    <xf numFmtId="4" fontId="41" fillId="81" borderId="64" applyNumberFormat="0" applyProtection="0">
      <alignment horizontal="left" vertical="center" indent="1"/>
    </xf>
    <xf numFmtId="4" fontId="41" fillId="81" borderId="64" applyNumberFormat="0" applyProtection="0">
      <alignment horizontal="left" vertical="center" indent="1"/>
    </xf>
    <xf numFmtId="4" fontId="41" fillId="81" borderId="64" applyNumberFormat="0" applyProtection="0">
      <alignment horizontal="left" vertical="center" indent="1"/>
    </xf>
    <xf numFmtId="4" fontId="41" fillId="81" borderId="64" applyNumberFormat="0" applyProtection="0">
      <alignment horizontal="left" vertical="center" indent="1"/>
    </xf>
    <xf numFmtId="4" fontId="41" fillId="81" borderId="64" applyNumberFormat="0" applyProtection="0">
      <alignment horizontal="left" vertical="center" indent="1"/>
    </xf>
    <xf numFmtId="4" fontId="41" fillId="81" borderId="64" applyNumberFormat="0" applyProtection="0">
      <alignment horizontal="left" vertical="center" indent="1"/>
    </xf>
    <xf numFmtId="4" fontId="41" fillId="81" borderId="64" applyNumberFormat="0" applyProtection="0">
      <alignment horizontal="left" vertical="center" indent="1"/>
    </xf>
    <xf numFmtId="4" fontId="41" fillId="81" borderId="64" applyNumberFormat="0" applyProtection="0">
      <alignment horizontal="left" vertical="center" indent="1"/>
    </xf>
    <xf numFmtId="4" fontId="41" fillId="81" borderId="64" applyNumberFormat="0" applyProtection="0">
      <alignment horizontal="left" vertical="center" indent="1"/>
    </xf>
    <xf numFmtId="4" fontId="41" fillId="81" borderId="64" applyNumberFormat="0" applyProtection="0">
      <alignment horizontal="left" vertical="center" indent="1"/>
    </xf>
    <xf numFmtId="4" fontId="41" fillId="81" borderId="64" applyNumberFormat="0" applyProtection="0">
      <alignment horizontal="left" vertical="center" indent="1"/>
    </xf>
    <xf numFmtId="4" fontId="41" fillId="81" borderId="64" applyNumberFormat="0" applyProtection="0">
      <alignment horizontal="left" vertical="center" indent="1"/>
    </xf>
    <xf numFmtId="4" fontId="41" fillId="81" borderId="64" applyNumberFormat="0" applyProtection="0">
      <alignment horizontal="left" vertical="center" indent="1"/>
    </xf>
    <xf numFmtId="4" fontId="41" fillId="81" borderId="64" applyNumberFormat="0" applyProtection="0">
      <alignment horizontal="left" vertical="center" indent="1"/>
    </xf>
    <xf numFmtId="4" fontId="21" fillId="121" borderId="0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4" fontId="41" fillId="81" borderId="61" applyNumberFormat="0" applyProtection="0">
      <alignment horizontal="left" vertical="center" indent="1"/>
    </xf>
    <xf numFmtId="4" fontId="41" fillId="81" borderId="61" applyNumberFormat="0" applyProtection="0">
      <alignment horizontal="left" vertical="center" indent="1"/>
    </xf>
    <xf numFmtId="4" fontId="41" fillId="81" borderId="61" applyNumberFormat="0" applyProtection="0">
      <alignment horizontal="left" vertical="center" indent="1"/>
    </xf>
    <xf numFmtId="4" fontId="41" fillId="81" borderId="61" applyNumberFormat="0" applyProtection="0">
      <alignment horizontal="left" vertical="center" indent="1"/>
    </xf>
    <xf numFmtId="4" fontId="41" fillId="81" borderId="61" applyNumberFormat="0" applyProtection="0">
      <alignment horizontal="left" vertical="center" indent="1"/>
    </xf>
    <xf numFmtId="4" fontId="41" fillId="81" borderId="61" applyNumberFormat="0" applyProtection="0">
      <alignment horizontal="left" vertical="center" indent="1"/>
    </xf>
    <xf numFmtId="4" fontId="41" fillId="81" borderId="61" applyNumberFormat="0" applyProtection="0">
      <alignment horizontal="left" vertical="center" indent="1"/>
    </xf>
    <xf numFmtId="4" fontId="41" fillId="81" borderId="61" applyNumberFormat="0" applyProtection="0">
      <alignment horizontal="left" vertical="center" indent="1"/>
    </xf>
    <xf numFmtId="4" fontId="41" fillId="81" borderId="61" applyNumberFormat="0" applyProtection="0">
      <alignment horizontal="left" vertical="center" indent="1"/>
    </xf>
    <xf numFmtId="4" fontId="41" fillId="81" borderId="61" applyNumberFormat="0" applyProtection="0">
      <alignment horizontal="left" vertical="center" indent="1"/>
    </xf>
    <xf numFmtId="4" fontId="41" fillId="81" borderId="61" applyNumberFormat="0" applyProtection="0">
      <alignment horizontal="left" vertical="center" indent="1"/>
    </xf>
    <xf numFmtId="4" fontId="41" fillId="81" borderId="61" applyNumberFormat="0" applyProtection="0">
      <alignment horizontal="left" vertical="center" indent="1"/>
    </xf>
    <xf numFmtId="4" fontId="41" fillId="81" borderId="61" applyNumberFormat="0" applyProtection="0">
      <alignment horizontal="left" vertical="center" indent="1"/>
    </xf>
    <xf numFmtId="4" fontId="41" fillId="81" borderId="61" applyNumberFormat="0" applyProtection="0">
      <alignment horizontal="left" vertical="center" indent="1"/>
    </xf>
    <xf numFmtId="4" fontId="41" fillId="81" borderId="61" applyNumberFormat="0" applyProtection="0">
      <alignment horizontal="left" vertical="center" indent="1"/>
    </xf>
    <xf numFmtId="4" fontId="41" fillId="81" borderId="61" applyNumberFormat="0" applyProtection="0">
      <alignment horizontal="left" vertical="center" indent="1"/>
    </xf>
    <xf numFmtId="4" fontId="41" fillId="81" borderId="61" applyNumberFormat="0" applyProtection="0">
      <alignment horizontal="left" vertical="center" indent="1"/>
    </xf>
    <xf numFmtId="4" fontId="41" fillId="81" borderId="61" applyNumberFormat="0" applyProtection="0">
      <alignment horizontal="left" vertical="center" indent="1"/>
    </xf>
    <xf numFmtId="4" fontId="41" fillId="81" borderId="61" applyNumberFormat="0" applyProtection="0">
      <alignment horizontal="left" vertical="center" indent="1"/>
    </xf>
    <xf numFmtId="4" fontId="41" fillId="122" borderId="61" applyNumberFormat="0" applyProtection="0">
      <alignment horizontal="left" vertical="center" indent="1"/>
    </xf>
    <xf numFmtId="4" fontId="41" fillId="122" borderId="61" applyNumberFormat="0" applyProtection="0">
      <alignment horizontal="left" vertical="center" indent="1"/>
    </xf>
    <xf numFmtId="4" fontId="41" fillId="122" borderId="61" applyNumberFormat="0" applyProtection="0">
      <alignment horizontal="left" vertical="center" indent="1"/>
    </xf>
    <xf numFmtId="4" fontId="41" fillId="122" borderId="61" applyNumberFormat="0" applyProtection="0">
      <alignment horizontal="left" vertical="center" indent="1"/>
    </xf>
    <xf numFmtId="4" fontId="41" fillId="122" borderId="61" applyNumberFormat="0" applyProtection="0">
      <alignment horizontal="left" vertical="center" indent="1"/>
    </xf>
    <xf numFmtId="4" fontId="41" fillId="122" borderId="61" applyNumberFormat="0" applyProtection="0">
      <alignment horizontal="left" vertical="center" indent="1"/>
    </xf>
    <xf numFmtId="4" fontId="41" fillId="122" borderId="61" applyNumberFormat="0" applyProtection="0">
      <alignment horizontal="left" vertical="center" indent="1"/>
    </xf>
    <xf numFmtId="4" fontId="41" fillId="122" borderId="61" applyNumberFormat="0" applyProtection="0">
      <alignment horizontal="left" vertical="center" indent="1"/>
    </xf>
    <xf numFmtId="4" fontId="41" fillId="122" borderId="61" applyNumberFormat="0" applyProtection="0">
      <alignment horizontal="left" vertical="center" indent="1"/>
    </xf>
    <xf numFmtId="4" fontId="41" fillId="122" borderId="61" applyNumberFormat="0" applyProtection="0">
      <alignment horizontal="left" vertical="center" indent="1"/>
    </xf>
    <xf numFmtId="4" fontId="41" fillId="122" borderId="61" applyNumberFormat="0" applyProtection="0">
      <alignment horizontal="left" vertical="center" indent="1"/>
    </xf>
    <xf numFmtId="4" fontId="41" fillId="122" borderId="61" applyNumberFormat="0" applyProtection="0">
      <alignment horizontal="left" vertical="center" indent="1"/>
    </xf>
    <xf numFmtId="4" fontId="41" fillId="122" borderId="61" applyNumberFormat="0" applyProtection="0">
      <alignment horizontal="left" vertical="center" indent="1"/>
    </xf>
    <xf numFmtId="4" fontId="41" fillId="122" borderId="61" applyNumberFormat="0" applyProtection="0">
      <alignment horizontal="left" vertical="center" indent="1"/>
    </xf>
    <xf numFmtId="4" fontId="41" fillId="122" borderId="61" applyNumberFormat="0" applyProtection="0">
      <alignment horizontal="left" vertical="center" indent="1"/>
    </xf>
    <xf numFmtId="4" fontId="41" fillId="122" borderId="61" applyNumberFormat="0" applyProtection="0">
      <alignment horizontal="left" vertical="center" indent="1"/>
    </xf>
    <xf numFmtId="4" fontId="41" fillId="122" borderId="61" applyNumberFormat="0" applyProtection="0">
      <alignment horizontal="left" vertical="center" indent="1"/>
    </xf>
    <xf numFmtId="4" fontId="41" fillId="122" borderId="61" applyNumberFormat="0" applyProtection="0">
      <alignment horizontal="left" vertical="center" indent="1"/>
    </xf>
    <xf numFmtId="4" fontId="4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2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123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4" fontId="21" fillId="98" borderId="61" applyNumberFormat="0" applyProtection="0">
      <alignment vertical="center"/>
    </xf>
    <xf numFmtId="4" fontId="21" fillId="98" borderId="61" applyNumberFormat="0" applyProtection="0">
      <alignment vertical="center"/>
    </xf>
    <xf numFmtId="4" fontId="21" fillId="98" borderId="61" applyNumberFormat="0" applyProtection="0">
      <alignment vertical="center"/>
    </xf>
    <xf numFmtId="4" fontId="21" fillId="98" borderId="61" applyNumberFormat="0" applyProtection="0">
      <alignment vertical="center"/>
    </xf>
    <xf numFmtId="4" fontId="21" fillId="98" borderId="61" applyNumberFormat="0" applyProtection="0">
      <alignment vertical="center"/>
    </xf>
    <xf numFmtId="4" fontId="21" fillId="98" borderId="61" applyNumberFormat="0" applyProtection="0">
      <alignment vertical="center"/>
    </xf>
    <xf numFmtId="4" fontId="21" fillId="98" borderId="61" applyNumberFormat="0" applyProtection="0">
      <alignment vertical="center"/>
    </xf>
    <xf numFmtId="4" fontId="21" fillId="98" borderId="61" applyNumberFormat="0" applyProtection="0">
      <alignment vertical="center"/>
    </xf>
    <xf numFmtId="4" fontId="21" fillId="98" borderId="61" applyNumberFormat="0" applyProtection="0">
      <alignment vertical="center"/>
    </xf>
    <xf numFmtId="4" fontId="21" fillId="98" borderId="61" applyNumberFormat="0" applyProtection="0">
      <alignment vertical="center"/>
    </xf>
    <xf numFmtId="4" fontId="21" fillId="98" borderId="61" applyNumberFormat="0" applyProtection="0">
      <alignment vertical="center"/>
    </xf>
    <xf numFmtId="4" fontId="21" fillId="98" borderId="61" applyNumberFormat="0" applyProtection="0">
      <alignment vertical="center"/>
    </xf>
    <xf numFmtId="4" fontId="21" fillId="98" borderId="61" applyNumberFormat="0" applyProtection="0">
      <alignment vertical="center"/>
    </xf>
    <xf numFmtId="4" fontId="21" fillId="98" borderId="61" applyNumberFormat="0" applyProtection="0">
      <alignment vertical="center"/>
    </xf>
    <xf numFmtId="4" fontId="21" fillId="98" borderId="61" applyNumberFormat="0" applyProtection="0">
      <alignment vertical="center"/>
    </xf>
    <xf numFmtId="4" fontId="21" fillId="98" borderId="61" applyNumberFormat="0" applyProtection="0">
      <alignment vertical="center"/>
    </xf>
    <xf numFmtId="4" fontId="21" fillId="98" borderId="61" applyNumberFormat="0" applyProtection="0">
      <alignment vertical="center"/>
    </xf>
    <xf numFmtId="4" fontId="21" fillId="98" borderId="61" applyNumberFormat="0" applyProtection="0">
      <alignment vertical="center"/>
    </xf>
    <xf numFmtId="4" fontId="21" fillId="98" borderId="61" applyNumberFormat="0" applyProtection="0">
      <alignment horizontal="left" vertical="center" indent="1"/>
    </xf>
    <xf numFmtId="4" fontId="21" fillId="98" borderId="61" applyNumberFormat="0" applyProtection="0">
      <alignment horizontal="left" vertical="center" indent="1"/>
    </xf>
    <xf numFmtId="4" fontId="21" fillId="98" borderId="61" applyNumberFormat="0" applyProtection="0">
      <alignment horizontal="left" vertical="center" indent="1"/>
    </xf>
    <xf numFmtId="4" fontId="21" fillId="98" borderId="61" applyNumberFormat="0" applyProtection="0">
      <alignment horizontal="left" vertical="center" indent="1"/>
    </xf>
    <xf numFmtId="4" fontId="21" fillId="98" borderId="61" applyNumberFormat="0" applyProtection="0">
      <alignment horizontal="left" vertical="center" indent="1"/>
    </xf>
    <xf numFmtId="4" fontId="21" fillId="98" borderId="61" applyNumberFormat="0" applyProtection="0">
      <alignment horizontal="left" vertical="center" indent="1"/>
    </xf>
    <xf numFmtId="4" fontId="21" fillId="98" borderId="61" applyNumberFormat="0" applyProtection="0">
      <alignment horizontal="left" vertical="center" indent="1"/>
    </xf>
    <xf numFmtId="4" fontId="21" fillId="98" borderId="61" applyNumberFormat="0" applyProtection="0">
      <alignment horizontal="left" vertical="center" indent="1"/>
    </xf>
    <xf numFmtId="4" fontId="21" fillId="98" borderId="61" applyNumberFormat="0" applyProtection="0">
      <alignment horizontal="left" vertical="center" indent="1"/>
    </xf>
    <xf numFmtId="4" fontId="21" fillId="98" borderId="61" applyNumberFormat="0" applyProtection="0">
      <alignment horizontal="left" vertical="center" indent="1"/>
    </xf>
    <xf numFmtId="4" fontId="21" fillId="98" borderId="61" applyNumberFormat="0" applyProtection="0">
      <alignment horizontal="left" vertical="center" indent="1"/>
    </xf>
    <xf numFmtId="4" fontId="21" fillId="98" borderId="61" applyNumberFormat="0" applyProtection="0">
      <alignment horizontal="left" vertical="center" indent="1"/>
    </xf>
    <xf numFmtId="4" fontId="21" fillId="98" borderId="61" applyNumberFormat="0" applyProtection="0">
      <alignment horizontal="left" vertical="center" indent="1"/>
    </xf>
    <xf numFmtId="4" fontId="21" fillId="98" borderId="61" applyNumberFormat="0" applyProtection="0">
      <alignment horizontal="left" vertical="center" indent="1"/>
    </xf>
    <xf numFmtId="4" fontId="21" fillId="98" borderId="61" applyNumberFormat="0" applyProtection="0">
      <alignment horizontal="left" vertical="center" indent="1"/>
    </xf>
    <xf numFmtId="4" fontId="21" fillId="98" borderId="61" applyNumberFormat="0" applyProtection="0">
      <alignment horizontal="left" vertical="center" indent="1"/>
    </xf>
    <xf numFmtId="4" fontId="21" fillId="98" borderId="61" applyNumberFormat="0" applyProtection="0">
      <alignment horizontal="left" vertical="center" indent="1"/>
    </xf>
    <xf numFmtId="4" fontId="21" fillId="98" borderId="61" applyNumberFormat="0" applyProtection="0">
      <alignment horizontal="left" vertical="center" indent="1"/>
    </xf>
    <xf numFmtId="4" fontId="41" fillId="81" borderId="61" applyNumberFormat="0" applyProtection="0">
      <alignment horizontal="right" vertical="center"/>
    </xf>
    <xf numFmtId="4" fontId="41" fillId="81" borderId="61" applyNumberFormat="0" applyProtection="0">
      <alignment horizontal="right" vertical="center"/>
    </xf>
    <xf numFmtId="4" fontId="41" fillId="81" borderId="61" applyNumberFormat="0" applyProtection="0">
      <alignment horizontal="right" vertical="center"/>
    </xf>
    <xf numFmtId="4" fontId="41" fillId="81" borderId="61" applyNumberFormat="0" applyProtection="0">
      <alignment horizontal="right" vertical="center"/>
    </xf>
    <xf numFmtId="4" fontId="41" fillId="81" borderId="61" applyNumberFormat="0" applyProtection="0">
      <alignment horizontal="right" vertical="center"/>
    </xf>
    <xf numFmtId="4" fontId="41" fillId="81" borderId="61" applyNumberFormat="0" applyProtection="0">
      <alignment horizontal="right" vertical="center"/>
    </xf>
    <xf numFmtId="4" fontId="41" fillId="81" borderId="61" applyNumberFormat="0" applyProtection="0">
      <alignment horizontal="right" vertical="center"/>
    </xf>
    <xf numFmtId="4" fontId="41" fillId="81" borderId="61" applyNumberFormat="0" applyProtection="0">
      <alignment horizontal="right" vertical="center"/>
    </xf>
    <xf numFmtId="4" fontId="41" fillId="81" borderId="61" applyNumberFormat="0" applyProtection="0">
      <alignment horizontal="right" vertical="center"/>
    </xf>
    <xf numFmtId="4" fontId="41" fillId="81" borderId="61" applyNumberFormat="0" applyProtection="0">
      <alignment horizontal="right" vertical="center"/>
    </xf>
    <xf numFmtId="4" fontId="41" fillId="81" borderId="61" applyNumberFormat="0" applyProtection="0">
      <alignment horizontal="right" vertical="center"/>
    </xf>
    <xf numFmtId="4" fontId="41" fillId="81" borderId="61" applyNumberFormat="0" applyProtection="0">
      <alignment horizontal="right" vertical="center"/>
    </xf>
    <xf numFmtId="4" fontId="41" fillId="81" borderId="61" applyNumberFormat="0" applyProtection="0">
      <alignment horizontal="right" vertical="center"/>
    </xf>
    <xf numFmtId="4" fontId="41" fillId="81" borderId="61" applyNumberFormat="0" applyProtection="0">
      <alignment horizontal="right" vertical="center"/>
    </xf>
    <xf numFmtId="4" fontId="41" fillId="81" borderId="61" applyNumberFormat="0" applyProtection="0">
      <alignment horizontal="right" vertical="center"/>
    </xf>
    <xf numFmtId="4" fontId="41" fillId="81" borderId="61" applyNumberFormat="0" applyProtection="0">
      <alignment horizontal="right" vertical="center"/>
    </xf>
    <xf numFmtId="4" fontId="41" fillId="81" borderId="61" applyNumberFormat="0" applyProtection="0">
      <alignment horizontal="right" vertical="center"/>
    </xf>
    <xf numFmtId="4" fontId="41" fillId="81" borderId="61" applyNumberFormat="0" applyProtection="0">
      <alignment horizontal="right" vertical="center"/>
    </xf>
    <xf numFmtId="4" fontId="41" fillId="81" borderId="61" applyNumberFormat="0" applyProtection="0">
      <alignment horizontal="right" vertical="center"/>
    </xf>
    <xf numFmtId="4" fontId="21" fillId="81" borderId="61" applyNumberFormat="0" applyProtection="0">
      <alignment horizontal="right" vertical="center"/>
    </xf>
    <xf numFmtId="4" fontId="21" fillId="81" borderId="61" applyNumberFormat="0" applyProtection="0">
      <alignment horizontal="right" vertical="center"/>
    </xf>
    <xf numFmtId="4" fontId="21" fillId="81" borderId="61" applyNumberFormat="0" applyProtection="0">
      <alignment horizontal="right" vertical="center"/>
    </xf>
    <xf numFmtId="4" fontId="21" fillId="81" borderId="61" applyNumberFormat="0" applyProtection="0">
      <alignment horizontal="right" vertical="center"/>
    </xf>
    <xf numFmtId="4" fontId="21" fillId="81" borderId="61" applyNumberFormat="0" applyProtection="0">
      <alignment horizontal="right" vertical="center"/>
    </xf>
    <xf numFmtId="4" fontId="21" fillId="81" borderId="61" applyNumberFormat="0" applyProtection="0">
      <alignment horizontal="right" vertical="center"/>
    </xf>
    <xf numFmtId="4" fontId="21" fillId="81" borderId="61" applyNumberFormat="0" applyProtection="0">
      <alignment horizontal="right" vertical="center"/>
    </xf>
    <xf numFmtId="4" fontId="21" fillId="81" borderId="61" applyNumberFormat="0" applyProtection="0">
      <alignment horizontal="right" vertical="center"/>
    </xf>
    <xf numFmtId="4" fontId="21" fillId="81" borderId="61" applyNumberFormat="0" applyProtection="0">
      <alignment horizontal="right" vertical="center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21" fillId="112" borderId="61" applyNumberFormat="0" applyProtection="0">
      <alignment horizontal="left" vertical="center" indent="1"/>
    </xf>
    <xf numFmtId="0" fontId="158" fillId="0" borderId="0"/>
    <xf numFmtId="0" fontId="158" fillId="0" borderId="0"/>
    <xf numFmtId="0" fontId="158" fillId="0" borderId="0"/>
    <xf numFmtId="4" fontId="21" fillId="81" borderId="61" applyNumberFormat="0" applyProtection="0">
      <alignment horizontal="right" vertical="center"/>
    </xf>
    <xf numFmtId="4" fontId="21" fillId="81" borderId="61" applyNumberFormat="0" applyProtection="0">
      <alignment horizontal="right" vertical="center"/>
    </xf>
    <xf numFmtId="4" fontId="21" fillId="81" borderId="61" applyNumberFormat="0" applyProtection="0">
      <alignment horizontal="right" vertical="center"/>
    </xf>
    <xf numFmtId="4" fontId="21" fillId="81" borderId="61" applyNumberFormat="0" applyProtection="0">
      <alignment horizontal="right" vertical="center"/>
    </xf>
    <xf numFmtId="4" fontId="21" fillId="81" borderId="61" applyNumberFormat="0" applyProtection="0">
      <alignment horizontal="right" vertical="center"/>
    </xf>
    <xf numFmtId="4" fontId="21" fillId="81" borderId="61" applyNumberFormat="0" applyProtection="0">
      <alignment horizontal="right" vertical="center"/>
    </xf>
    <xf numFmtId="4" fontId="21" fillId="81" borderId="61" applyNumberFormat="0" applyProtection="0">
      <alignment horizontal="right" vertical="center"/>
    </xf>
    <xf numFmtId="4" fontId="21" fillId="81" borderId="61" applyNumberFormat="0" applyProtection="0">
      <alignment horizontal="right" vertical="center"/>
    </xf>
    <xf numFmtId="4" fontId="21" fillId="81" borderId="61" applyNumberFormat="0" applyProtection="0">
      <alignment horizontal="right" vertical="center"/>
    </xf>
    <xf numFmtId="326" fontId="21" fillId="0" borderId="0" applyFill="0" applyBorder="0">
      <alignment horizontal="right"/>
      <protection hidden="1"/>
    </xf>
    <xf numFmtId="0" fontId="21" fillId="124" borderId="0">
      <alignment vertical="top"/>
    </xf>
    <xf numFmtId="0" fontId="21" fillId="90" borderId="17">
      <alignment horizontal="center" vertical="center" wrapText="1"/>
      <protection hidden="1"/>
    </xf>
    <xf numFmtId="0" fontId="21" fillId="90" borderId="17">
      <alignment horizontal="center" vertical="center" wrapText="1"/>
      <protection hidden="1"/>
    </xf>
    <xf numFmtId="0" fontId="21" fillId="90" borderId="17">
      <alignment horizontal="center" vertical="center" wrapText="1"/>
      <protection hidden="1"/>
    </xf>
    <xf numFmtId="0" fontId="21" fillId="90" borderId="17">
      <alignment horizontal="center" vertical="center" wrapText="1"/>
      <protection hidden="1"/>
    </xf>
    <xf numFmtId="0" fontId="21" fillId="90" borderId="17">
      <alignment horizontal="center" vertical="center" wrapText="1"/>
      <protection hidden="1"/>
    </xf>
    <xf numFmtId="0" fontId="21" fillId="90" borderId="17">
      <alignment horizontal="center" vertical="center" wrapText="1"/>
      <protection hidden="1"/>
    </xf>
    <xf numFmtId="249" fontId="21" fillId="0" borderId="0" applyFont="0" applyFill="0" applyBorder="0" applyAlignment="0" applyProtection="0">
      <alignment vertical="center"/>
    </xf>
    <xf numFmtId="249" fontId="21" fillId="0" borderId="0" applyFont="0" applyFill="0" applyBorder="0" applyAlignment="0" applyProtection="0">
      <alignment vertical="center"/>
    </xf>
    <xf numFmtId="249" fontId="21" fillId="0" borderId="0" applyFont="0" applyFill="0" applyBorder="0" applyAlignment="0" applyProtection="0">
      <alignment vertical="center"/>
    </xf>
    <xf numFmtId="327" fontId="21" fillId="0" borderId="0" applyFont="0" applyFill="0" applyBorder="0" applyAlignment="0" applyProtection="0">
      <alignment vertical="center"/>
    </xf>
    <xf numFmtId="327" fontId="21" fillId="0" borderId="0" applyFont="0" applyFill="0" applyBorder="0" applyAlignment="0" applyProtection="0">
      <alignment vertical="center"/>
    </xf>
    <xf numFmtId="327" fontId="21" fillId="0" borderId="0" applyFont="0" applyFill="0" applyBorder="0" applyAlignment="0" applyProtection="0">
      <alignment vertical="center"/>
    </xf>
    <xf numFmtId="0" fontId="21" fillId="106" borderId="0" applyNumberFormat="0" applyFont="0" applyBorder="0" applyAlignment="0" applyProtection="0"/>
    <xf numFmtId="328" fontId="21" fillId="0" borderId="0">
      <alignment horizontal="right"/>
    </xf>
    <xf numFmtId="14" fontId="21" fillId="0" borderId="15">
      <alignment horizontal="centerContinuous"/>
    </xf>
    <xf numFmtId="1" fontId="21" fillId="0" borderId="0"/>
    <xf numFmtId="0" fontId="21" fillId="0" borderId="0"/>
    <xf numFmtId="0" fontId="21" fillId="0" borderId="0"/>
    <xf numFmtId="0" fontId="36" fillId="0" borderId="0" applyBorder="0"/>
    <xf numFmtId="0" fontId="21" fillId="0" borderId="0" applyFont="0" applyFill="0" applyBorder="0" applyAlignment="0" applyProtection="0"/>
    <xf numFmtId="0" fontId="21" fillId="0" borderId="0">
      <alignment vertical="top"/>
    </xf>
    <xf numFmtId="0" fontId="21" fillId="0" borderId="0" applyNumberFormat="0" applyFill="0" applyBorder="0" applyProtection="0">
      <alignment horizontal="left"/>
    </xf>
    <xf numFmtId="0" fontId="21" fillId="0" borderId="0" applyNumberFormat="0" applyFill="0" applyBorder="0" applyProtection="0">
      <alignment horizontal="left" vertical="top" wrapText="1"/>
    </xf>
    <xf numFmtId="0" fontId="159" fillId="0" borderId="0" applyNumberFormat="0" applyFill="0" applyBorder="0" applyProtection="0">
      <alignment horizontal="left"/>
    </xf>
    <xf numFmtId="329" fontId="21" fillId="0" borderId="0" applyFill="0" applyBorder="0" applyProtection="0">
      <alignment horizontal="right" wrapText="1"/>
    </xf>
    <xf numFmtId="329" fontId="62" fillId="0" borderId="0" applyFill="0" applyBorder="0" applyProtection="0">
      <alignment horizontal="right" wrapText="1"/>
    </xf>
    <xf numFmtId="0" fontId="21" fillId="0" borderId="0" applyNumberFormat="0" applyFill="0" applyBorder="0" applyProtection="0">
      <alignment horizontal="left"/>
    </xf>
    <xf numFmtId="0" fontId="21" fillId="0" borderId="0" applyNumberFormat="0" applyFill="0" applyBorder="0" applyProtection="0">
      <alignment horizontal="left"/>
    </xf>
    <xf numFmtId="0" fontId="21" fillId="0" borderId="0" applyNumberFormat="0" applyFill="0" applyBorder="0" applyProtection="0">
      <alignment horizontal="left"/>
    </xf>
    <xf numFmtId="0" fontId="21" fillId="0" borderId="0" applyNumberFormat="0" applyFill="0" applyBorder="0" applyProtection="0">
      <alignment horizontal="left"/>
    </xf>
    <xf numFmtId="0" fontId="21" fillId="0" borderId="0" applyNumberFormat="0" applyFill="0" applyBorder="0" applyProtection="0">
      <alignment horizontal="left"/>
    </xf>
    <xf numFmtId="0" fontId="21" fillId="0" borderId="0" applyNumberFormat="0" applyFill="0" applyBorder="0" applyProtection="0">
      <alignment horizontal="left"/>
    </xf>
    <xf numFmtId="0" fontId="21" fillId="0" borderId="0" applyNumberFormat="0" applyFill="0" applyBorder="0" applyProtection="0">
      <alignment horizontal="left"/>
    </xf>
    <xf numFmtId="0" fontId="21" fillId="0" borderId="0" applyNumberFormat="0" applyFill="0" applyBorder="0" applyProtection="0">
      <alignment horizontal="left"/>
    </xf>
    <xf numFmtId="0" fontId="21" fillId="0" borderId="0" applyNumberFormat="0" applyFill="0" applyBorder="0" applyProtection="0">
      <alignment horizontal="left"/>
    </xf>
    <xf numFmtId="0" fontId="21" fillId="0" borderId="0" applyNumberFormat="0" applyFill="0" applyBorder="0" applyProtection="0">
      <alignment horizontal="left"/>
    </xf>
    <xf numFmtId="0" fontId="21" fillId="0" borderId="0" applyNumberFormat="0" applyFill="0" applyBorder="0" applyProtection="0">
      <alignment horizontal="left"/>
    </xf>
    <xf numFmtId="0" fontId="21" fillId="0" borderId="0" applyNumberFormat="0" applyFill="0" applyBorder="0" applyProtection="0">
      <alignment horizontal="left"/>
    </xf>
    <xf numFmtId="0" fontId="21" fillId="0" borderId="0" applyNumberFormat="0" applyFill="0" applyBorder="0" applyProtection="0">
      <alignment horizontal="left" vertical="top" wrapText="1"/>
    </xf>
    <xf numFmtId="0" fontId="21" fillId="0" borderId="0" applyNumberFormat="0" applyFill="0" applyBorder="0" applyProtection="0">
      <alignment horizontal="left" vertical="top" wrapText="1"/>
    </xf>
    <xf numFmtId="0" fontId="21" fillId="0" borderId="0" applyNumberFormat="0" applyFill="0" applyBorder="0" applyProtection="0">
      <alignment horizontal="left" vertical="top" wrapText="1"/>
    </xf>
    <xf numFmtId="4" fontId="21" fillId="0" borderId="0" applyFill="0" applyBorder="0" applyProtection="0">
      <alignment horizontal="center"/>
    </xf>
    <xf numFmtId="312" fontId="21" fillId="0" borderId="0" applyFill="0" applyBorder="0" applyProtection="0">
      <alignment horizontal="right" vertical="top"/>
    </xf>
    <xf numFmtId="312" fontId="21" fillId="0" borderId="0" applyFill="0" applyBorder="0" applyProtection="0">
      <alignment horizontal="right" vertical="top"/>
    </xf>
    <xf numFmtId="312" fontId="21" fillId="0" borderId="0" applyFill="0" applyBorder="0" applyProtection="0">
      <alignment horizontal="right" vertical="top"/>
    </xf>
    <xf numFmtId="312" fontId="21" fillId="0" borderId="0" applyFill="0" applyBorder="0" applyProtection="0">
      <alignment horizontal="right" vertical="top"/>
    </xf>
    <xf numFmtId="312" fontId="21" fillId="0" borderId="0" applyFill="0" applyBorder="0" applyProtection="0">
      <alignment horizontal="right" vertical="top"/>
    </xf>
    <xf numFmtId="312" fontId="21" fillId="0" borderId="0" applyFill="0" applyBorder="0" applyProtection="0">
      <alignment horizontal="right" vertical="top"/>
    </xf>
    <xf numFmtId="312" fontId="21" fillId="0" borderId="0" applyFill="0" applyBorder="0" applyProtection="0">
      <alignment horizontal="right" vertical="top"/>
    </xf>
    <xf numFmtId="312" fontId="21" fillId="0" borderId="0" applyFill="0" applyBorder="0" applyProtection="0">
      <alignment horizontal="right" vertical="top"/>
    </xf>
    <xf numFmtId="312" fontId="21" fillId="0" borderId="0" applyFill="0" applyBorder="0" applyProtection="0">
      <alignment horizontal="right" vertical="top"/>
    </xf>
    <xf numFmtId="312" fontId="21" fillId="0" borderId="0" applyFill="0" applyBorder="0" applyProtection="0">
      <alignment horizontal="right" vertical="top"/>
    </xf>
    <xf numFmtId="0" fontId="21" fillId="0" borderId="0" applyNumberFormat="0" applyFill="0" applyBorder="0" applyProtection="0">
      <alignment horizontal="left"/>
    </xf>
    <xf numFmtId="312" fontId="21" fillId="0" borderId="0" applyFill="0" applyBorder="0" applyProtection="0">
      <alignment horizontal="right" vertical="top"/>
    </xf>
    <xf numFmtId="0" fontId="21" fillId="0" borderId="0" applyNumberFormat="0" applyFill="0" applyBorder="0" applyProtection="0">
      <alignment horizontal="left"/>
    </xf>
    <xf numFmtId="0" fontId="21" fillId="0" borderId="0" applyNumberFormat="0" applyFill="0" applyBorder="0" applyProtection="0">
      <alignment horizontal="left"/>
    </xf>
    <xf numFmtId="0" fontId="21" fillId="0" borderId="0" applyNumberFormat="0" applyFill="0" applyBorder="0" applyProtection="0">
      <alignment horizontal="left"/>
    </xf>
    <xf numFmtId="0" fontId="21" fillId="0" borderId="0" applyNumberFormat="0" applyFill="0" applyBorder="0" applyProtection="0">
      <alignment horizontal="left"/>
    </xf>
    <xf numFmtId="0" fontId="21" fillId="0" borderId="0" applyNumberFormat="0" applyFill="0" applyBorder="0" applyProtection="0">
      <alignment horizontal="left"/>
    </xf>
    <xf numFmtId="0" fontId="21" fillId="0" borderId="0" applyNumberFormat="0" applyFill="0" applyBorder="0" applyProtection="0">
      <alignment horizontal="left"/>
    </xf>
    <xf numFmtId="0" fontId="21" fillId="0" borderId="0" applyNumberFormat="0" applyFill="0" applyBorder="0" applyProtection="0">
      <alignment horizontal="left"/>
    </xf>
    <xf numFmtId="312" fontId="62" fillId="0" borderId="0" applyFill="0" applyBorder="0" applyProtection="0">
      <alignment horizontal="right" vertical="top"/>
    </xf>
    <xf numFmtId="312" fontId="21" fillId="0" borderId="0" applyFill="0" applyBorder="0" applyProtection="0">
      <alignment horizontal="right" vertical="top"/>
    </xf>
    <xf numFmtId="312" fontId="21" fillId="0" borderId="0" applyFill="0" applyBorder="0" applyProtection="0">
      <alignment horizontal="right" vertical="top"/>
    </xf>
    <xf numFmtId="312" fontId="21" fillId="0" borderId="0" applyFill="0" applyBorder="0" applyProtection="0">
      <alignment horizontal="right" vertical="top"/>
    </xf>
    <xf numFmtId="312" fontId="21" fillId="0" borderId="0" applyFill="0" applyBorder="0" applyProtection="0">
      <alignment horizontal="right" vertical="top"/>
    </xf>
    <xf numFmtId="312" fontId="21" fillId="0" borderId="0" applyFill="0" applyBorder="0" applyProtection="0">
      <alignment horizontal="right" vertical="top"/>
    </xf>
    <xf numFmtId="312" fontId="21" fillId="0" borderId="0" applyFill="0" applyBorder="0" applyProtection="0">
      <alignment horizontal="right" vertical="top"/>
    </xf>
    <xf numFmtId="312" fontId="21" fillId="0" borderId="0" applyFill="0" applyBorder="0" applyProtection="0">
      <alignment horizontal="right" vertical="top"/>
    </xf>
    <xf numFmtId="14" fontId="21" fillId="0" borderId="0" applyFill="0" applyBorder="0" applyProtection="0">
      <alignment horizontal="left" vertical="top"/>
    </xf>
    <xf numFmtId="14" fontId="21" fillId="0" borderId="0" applyFill="0" applyBorder="0" applyProtection="0">
      <alignment horizontal="left" vertical="top"/>
    </xf>
    <xf numFmtId="14" fontId="21" fillId="0" borderId="0" applyFill="0" applyBorder="0" applyProtection="0">
      <alignment horizontal="left" vertical="top"/>
    </xf>
    <xf numFmtId="14" fontId="21" fillId="0" borderId="0" applyFill="0" applyBorder="0" applyProtection="0">
      <alignment horizontal="left" vertical="top"/>
    </xf>
    <xf numFmtId="14" fontId="21" fillId="0" borderId="0" applyFill="0" applyBorder="0" applyProtection="0">
      <alignment horizontal="left" vertical="top"/>
    </xf>
    <xf numFmtId="14" fontId="21" fillId="0" borderId="0" applyFill="0" applyBorder="0" applyProtection="0">
      <alignment horizontal="left" vertical="top"/>
    </xf>
    <xf numFmtId="14" fontId="21" fillId="0" borderId="0" applyFill="0" applyBorder="0" applyProtection="0">
      <alignment horizontal="left" vertical="top"/>
    </xf>
    <xf numFmtId="14" fontId="21" fillId="0" borderId="0" applyFill="0" applyBorder="0" applyProtection="0">
      <alignment horizontal="left" vertical="top"/>
    </xf>
    <xf numFmtId="14" fontId="21" fillId="0" borderId="0" applyFill="0" applyBorder="0" applyProtection="0">
      <alignment horizontal="left" vertical="top"/>
    </xf>
    <xf numFmtId="14" fontId="21" fillId="0" borderId="0" applyFill="0" applyBorder="0" applyProtection="0">
      <alignment horizontal="left" vertical="top"/>
    </xf>
    <xf numFmtId="14" fontId="21" fillId="0" borderId="0" applyFill="0" applyBorder="0" applyProtection="0">
      <alignment horizontal="left" vertical="top"/>
    </xf>
    <xf numFmtId="330" fontId="21" fillId="0" borderId="0" applyFill="0" applyBorder="0" applyProtection="0">
      <alignment horizontal="right" wrapText="1"/>
    </xf>
    <xf numFmtId="330" fontId="62" fillId="0" borderId="0" applyFill="0" applyBorder="0" applyProtection="0">
      <alignment horizontal="right" wrapText="1"/>
    </xf>
    <xf numFmtId="14" fontId="62" fillId="0" borderId="0" applyFill="0" applyBorder="0" applyProtection="0">
      <alignment horizontal="left" vertical="top"/>
    </xf>
    <xf numFmtId="287" fontId="21" fillId="0" borderId="0" applyFill="0" applyBorder="0" applyProtection="0">
      <alignment horizontal="left" vertical="top" wrapText="1"/>
    </xf>
    <xf numFmtId="287" fontId="21" fillId="0" borderId="0" applyFill="0" applyBorder="0" applyProtection="0">
      <alignment horizontal="left" vertical="top" wrapText="1"/>
    </xf>
    <xf numFmtId="287" fontId="21" fillId="0" borderId="0" applyFill="0" applyBorder="0" applyProtection="0">
      <alignment horizontal="left" vertical="top" wrapText="1"/>
    </xf>
    <xf numFmtId="287" fontId="21" fillId="0" borderId="0" applyFill="0" applyBorder="0" applyProtection="0">
      <alignment horizontal="left" vertical="top" wrapText="1"/>
    </xf>
    <xf numFmtId="287" fontId="21" fillId="0" borderId="0" applyFill="0" applyBorder="0" applyProtection="0">
      <alignment horizontal="left" vertical="top" wrapText="1"/>
    </xf>
    <xf numFmtId="287" fontId="21" fillId="0" borderId="0" applyFill="0" applyBorder="0" applyProtection="0">
      <alignment horizontal="left" vertical="top" wrapText="1"/>
    </xf>
    <xf numFmtId="287" fontId="21" fillId="0" borderId="0" applyFill="0" applyBorder="0" applyProtection="0">
      <alignment horizontal="left" vertical="top" wrapText="1"/>
    </xf>
    <xf numFmtId="287" fontId="21" fillId="0" borderId="0" applyFill="0" applyBorder="0" applyProtection="0">
      <alignment horizontal="left" vertical="top" wrapText="1"/>
    </xf>
    <xf numFmtId="14" fontId="62" fillId="0" borderId="0" applyFill="0" applyBorder="0" applyProtection="0">
      <alignment horizontal="left" vertical="top"/>
    </xf>
    <xf numFmtId="14" fontId="21" fillId="0" borderId="0" applyFill="0" applyBorder="0" applyProtection="0">
      <alignment horizontal="left" vertical="top"/>
    </xf>
    <xf numFmtId="14" fontId="21" fillId="0" borderId="0" applyFill="0" applyBorder="0" applyProtection="0">
      <alignment horizontal="left" vertical="top"/>
    </xf>
    <xf numFmtId="14" fontId="21" fillId="0" borderId="0" applyFill="0" applyBorder="0" applyProtection="0">
      <alignment horizontal="left" vertical="top"/>
    </xf>
    <xf numFmtId="14" fontId="21" fillId="0" borderId="0" applyFill="0" applyBorder="0" applyProtection="0">
      <alignment horizontal="left" vertical="top"/>
    </xf>
    <xf numFmtId="14" fontId="21" fillId="0" borderId="0" applyFill="0" applyBorder="0" applyProtection="0">
      <alignment horizontal="left" vertical="top"/>
    </xf>
    <xf numFmtId="14" fontId="21" fillId="0" borderId="0" applyFill="0" applyBorder="0" applyProtection="0">
      <alignment horizontal="left" vertical="top"/>
    </xf>
    <xf numFmtId="14" fontId="21" fillId="0" borderId="0" applyFill="0" applyBorder="0" applyProtection="0">
      <alignment horizontal="left" vertical="top"/>
    </xf>
    <xf numFmtId="287" fontId="21" fillId="0" borderId="0" applyFill="0" applyBorder="0" applyProtection="0">
      <alignment horizontal="left" vertical="top" wrapText="1"/>
    </xf>
    <xf numFmtId="331" fontId="21" fillId="0" borderId="0" applyFill="0" applyBorder="0" applyProtection="0">
      <alignment horizontal="right"/>
    </xf>
    <xf numFmtId="332" fontId="21" fillId="0" borderId="0" applyFill="0" applyBorder="0" applyProtection="0">
      <alignment horizontal="right"/>
    </xf>
    <xf numFmtId="332" fontId="21" fillId="0" borderId="0" applyFill="0" applyBorder="0" applyProtection="0">
      <alignment horizontal="right"/>
    </xf>
    <xf numFmtId="332" fontId="21" fillId="0" borderId="0" applyFill="0" applyBorder="0" applyProtection="0">
      <alignment horizontal="right"/>
    </xf>
    <xf numFmtId="332" fontId="21" fillId="0" borderId="0" applyFill="0" applyBorder="0" applyProtection="0">
      <alignment horizontal="right"/>
    </xf>
    <xf numFmtId="332" fontId="21" fillId="0" borderId="0" applyFill="0" applyBorder="0" applyProtection="0">
      <alignment horizontal="right"/>
    </xf>
    <xf numFmtId="332" fontId="21" fillId="0" borderId="0" applyFill="0" applyBorder="0" applyProtection="0">
      <alignment horizontal="right"/>
    </xf>
    <xf numFmtId="332" fontId="21" fillId="0" borderId="0" applyFill="0" applyBorder="0" applyProtection="0">
      <alignment horizontal="right"/>
    </xf>
    <xf numFmtId="332" fontId="21" fillId="0" borderId="0" applyFill="0" applyBorder="0" applyProtection="0">
      <alignment horizontal="right"/>
    </xf>
    <xf numFmtId="332" fontId="21" fillId="0" borderId="0" applyFill="0" applyBorder="0" applyProtection="0">
      <alignment horizontal="right"/>
    </xf>
    <xf numFmtId="332" fontId="21" fillId="0" borderId="0" applyFill="0" applyBorder="0" applyProtection="0">
      <alignment horizontal="right"/>
    </xf>
    <xf numFmtId="14" fontId="21" fillId="0" borderId="0" applyFill="0" applyBorder="0" applyProtection="0">
      <alignment horizontal="right"/>
    </xf>
    <xf numFmtId="332" fontId="62" fillId="0" borderId="0" applyFill="0" applyBorder="0" applyProtection="0">
      <alignment horizontal="right"/>
    </xf>
    <xf numFmtId="332" fontId="62" fillId="0" borderId="0" applyFill="0" applyBorder="0" applyProtection="0">
      <alignment horizontal="right"/>
    </xf>
    <xf numFmtId="0" fontId="21" fillId="0" borderId="0" applyNumberFormat="0" applyFill="0" applyBorder="0" applyProtection="0">
      <alignment horizontal="right" vertical="top"/>
    </xf>
    <xf numFmtId="0" fontId="21" fillId="0" borderId="0" applyNumberFormat="0" applyFill="0" applyBorder="0" applyProtection="0">
      <alignment horizontal="right" vertical="top"/>
    </xf>
    <xf numFmtId="0" fontId="21" fillId="0" borderId="0" applyNumberFormat="0" applyFill="0" applyBorder="0" applyProtection="0">
      <alignment horizontal="right" vertical="top"/>
    </xf>
    <xf numFmtId="0" fontId="21" fillId="0" borderId="0" applyNumberFormat="0" applyFill="0" applyBorder="0" applyProtection="0">
      <alignment horizontal="right" vertical="top"/>
    </xf>
    <xf numFmtId="0" fontId="21" fillId="0" borderId="0" applyNumberFormat="0" applyFill="0" applyBorder="0" applyProtection="0">
      <alignment horizontal="right" vertical="top"/>
    </xf>
    <xf numFmtId="0" fontId="21" fillId="0" borderId="0" applyNumberFormat="0" applyFill="0" applyBorder="0" applyProtection="0">
      <alignment horizontal="right" vertical="top"/>
    </xf>
    <xf numFmtId="0" fontId="21" fillId="0" borderId="0" applyNumberFormat="0" applyFill="0" applyBorder="0" applyProtection="0">
      <alignment horizontal="right" vertical="top"/>
    </xf>
    <xf numFmtId="0" fontId="21" fillId="0" borderId="0" applyNumberFormat="0" applyFill="0" applyBorder="0" applyProtection="0">
      <alignment horizontal="right" vertical="top"/>
    </xf>
    <xf numFmtId="332" fontId="21" fillId="0" borderId="0" applyFill="0" applyBorder="0" applyProtection="0">
      <alignment horizontal="right"/>
    </xf>
    <xf numFmtId="332" fontId="21" fillId="0" borderId="0" applyFill="0" applyBorder="0" applyProtection="0">
      <alignment horizontal="right"/>
    </xf>
    <xf numFmtId="332" fontId="21" fillId="0" borderId="0" applyFill="0" applyBorder="0" applyProtection="0">
      <alignment horizontal="right"/>
    </xf>
    <xf numFmtId="332" fontId="21" fillId="0" borderId="0" applyFill="0" applyBorder="0" applyProtection="0">
      <alignment horizontal="right"/>
    </xf>
    <xf numFmtId="332" fontId="21" fillId="0" borderId="0" applyFill="0" applyBorder="0" applyProtection="0">
      <alignment horizontal="right"/>
    </xf>
    <xf numFmtId="332" fontId="21" fillId="0" borderId="0" applyFill="0" applyBorder="0" applyProtection="0">
      <alignment horizontal="right"/>
    </xf>
    <xf numFmtId="332" fontId="21" fillId="0" borderId="0" applyFill="0" applyBorder="0" applyProtection="0">
      <alignment horizontal="right"/>
    </xf>
    <xf numFmtId="14" fontId="21" fillId="0" borderId="0" applyFill="0" applyBorder="0" applyProtection="0">
      <alignment horizontal="right"/>
    </xf>
    <xf numFmtId="0" fontId="21" fillId="0" borderId="0" applyNumberFormat="0" applyFill="0" applyBorder="0" applyProtection="0">
      <alignment horizontal="left" vertical="top" wrapText="1"/>
    </xf>
    <xf numFmtId="333" fontId="21" fillId="0" borderId="0" applyFill="0" applyBorder="0" applyProtection="0">
      <alignment horizontal="right"/>
    </xf>
    <xf numFmtId="333" fontId="62" fillId="0" borderId="0" applyFill="0" applyBorder="0" applyProtection="0">
      <alignment horizontal="right"/>
    </xf>
    <xf numFmtId="333" fontId="21" fillId="0" borderId="0" applyFill="0" applyBorder="0" applyProtection="0">
      <alignment horizontal="right"/>
    </xf>
    <xf numFmtId="333" fontId="21" fillId="0" borderId="0" applyFill="0" applyBorder="0" applyProtection="0">
      <alignment horizontal="right"/>
    </xf>
    <xf numFmtId="333" fontId="21" fillId="0" borderId="0" applyFill="0" applyBorder="0" applyProtection="0">
      <alignment horizontal="right"/>
    </xf>
    <xf numFmtId="333" fontId="21" fillId="0" borderId="0" applyFill="0" applyBorder="0" applyProtection="0">
      <alignment horizontal="right"/>
    </xf>
    <xf numFmtId="333" fontId="21" fillId="0" borderId="0" applyFill="0" applyBorder="0" applyProtection="0">
      <alignment horizontal="right"/>
    </xf>
    <xf numFmtId="334" fontId="21" fillId="0" borderId="0" applyFill="0" applyBorder="0" applyProtection="0">
      <alignment horizontal="right"/>
    </xf>
    <xf numFmtId="335" fontId="21" fillId="0" borderId="0" applyFill="0" applyBorder="0" applyProtection="0">
      <alignment horizontal="right"/>
    </xf>
    <xf numFmtId="335" fontId="21" fillId="0" borderId="0" applyFill="0" applyBorder="0" applyProtection="0">
      <alignment horizontal="right"/>
    </xf>
    <xf numFmtId="335" fontId="21" fillId="0" borderId="0" applyFill="0" applyBorder="0" applyProtection="0">
      <alignment horizontal="right"/>
    </xf>
    <xf numFmtId="335" fontId="21" fillId="0" borderId="0" applyFill="0" applyBorder="0" applyProtection="0">
      <alignment horizontal="right"/>
    </xf>
    <xf numFmtId="4" fontId="21" fillId="0" borderId="0" applyFill="0" applyBorder="0" applyProtection="0">
      <alignment horizontal="center"/>
    </xf>
    <xf numFmtId="336" fontId="21" fillId="0" borderId="0" applyFill="0" applyBorder="0" applyProtection="0">
      <alignment horizontal="right"/>
    </xf>
    <xf numFmtId="336" fontId="21" fillId="0" borderId="0" applyFill="0" applyBorder="0" applyProtection="0">
      <alignment horizontal="right"/>
    </xf>
    <xf numFmtId="336" fontId="21" fillId="0" borderId="0" applyFill="0" applyBorder="0" applyProtection="0">
      <alignment horizontal="right"/>
    </xf>
    <xf numFmtId="336" fontId="21" fillId="0" borderId="0" applyFill="0" applyBorder="0" applyProtection="0">
      <alignment horizontal="right"/>
    </xf>
    <xf numFmtId="0" fontId="21" fillId="105" borderId="0" applyNumberFormat="0" applyBorder="0" applyProtection="0">
      <alignment vertical="top" wrapText="1"/>
    </xf>
    <xf numFmtId="337" fontId="21" fillId="0" borderId="0" applyFill="0" applyBorder="0" applyProtection="0">
      <alignment horizontal="right" wrapText="1"/>
    </xf>
    <xf numFmtId="337" fontId="21" fillId="0" borderId="0" applyFill="0" applyBorder="0" applyProtection="0">
      <alignment horizontal="right" wrapText="1"/>
    </xf>
    <xf numFmtId="337" fontId="21" fillId="0" borderId="0" applyFill="0" applyBorder="0" applyProtection="0">
      <alignment horizontal="right" wrapText="1"/>
    </xf>
    <xf numFmtId="337" fontId="21" fillId="0" borderId="0" applyFill="0" applyBorder="0" applyProtection="0">
      <alignment horizontal="right" wrapText="1"/>
    </xf>
    <xf numFmtId="0" fontId="21" fillId="0" borderId="55" applyNumberFormat="0" applyFill="0" applyProtection="0">
      <alignment wrapText="1"/>
    </xf>
    <xf numFmtId="276" fontId="21" fillId="0" borderId="0" applyFill="0" applyBorder="0" applyProtection="0">
      <alignment horizontal="right" wrapText="1"/>
    </xf>
    <xf numFmtId="276" fontId="21" fillId="0" borderId="0" applyFill="0" applyBorder="0" applyProtection="0">
      <alignment horizontal="right" wrapText="1"/>
    </xf>
    <xf numFmtId="276" fontId="21" fillId="0" borderId="0" applyFill="0" applyBorder="0" applyProtection="0">
      <alignment horizontal="right" wrapText="1"/>
    </xf>
    <xf numFmtId="276" fontId="21" fillId="0" borderId="0" applyFill="0" applyBorder="0" applyProtection="0">
      <alignment horizontal="right" wrapText="1"/>
    </xf>
    <xf numFmtId="0" fontId="21" fillId="0" borderId="0">
      <alignment vertical="top"/>
    </xf>
    <xf numFmtId="287" fontId="21" fillId="0" borderId="0" applyFill="0" applyBorder="0" applyProtection="0">
      <alignment horizontal="left" wrapText="1"/>
    </xf>
    <xf numFmtId="4" fontId="21" fillId="0" borderId="0" applyFill="0" applyBorder="0" applyProtection="0">
      <alignment wrapText="1"/>
    </xf>
    <xf numFmtId="4" fontId="21" fillId="0" borderId="0" applyFill="0" applyBorder="0" applyProtection="0">
      <alignment wrapText="1"/>
    </xf>
    <xf numFmtId="4" fontId="21" fillId="0" borderId="0" applyFill="0" applyBorder="0" applyProtection="0">
      <alignment wrapText="1"/>
    </xf>
    <xf numFmtId="4" fontId="21" fillId="0" borderId="0" applyFill="0" applyBorder="0" applyProtection="0">
      <alignment wrapText="1"/>
    </xf>
    <xf numFmtId="4" fontId="21" fillId="0" borderId="0" applyFill="0" applyBorder="0" applyProtection="0">
      <alignment wrapText="1"/>
    </xf>
    <xf numFmtId="4" fontId="21" fillId="0" borderId="0" applyFill="0" applyBorder="0" applyProtection="0">
      <alignment wrapText="1"/>
    </xf>
    <xf numFmtId="4" fontId="21" fillId="0" borderId="0" applyFill="0" applyBorder="0" applyProtection="0">
      <alignment wrapText="1"/>
    </xf>
    <xf numFmtId="4" fontId="21" fillId="0" borderId="0" applyFill="0" applyBorder="0" applyProtection="0">
      <alignment wrapText="1"/>
    </xf>
    <xf numFmtId="4" fontId="21" fillId="0" borderId="0" applyFill="0" applyBorder="0" applyProtection="0">
      <alignment wrapText="1"/>
    </xf>
    <xf numFmtId="4" fontId="21" fillId="0" borderId="0" applyFill="0" applyBorder="0" applyProtection="0">
      <alignment wrapText="1"/>
    </xf>
    <xf numFmtId="4" fontId="21" fillId="0" borderId="0" applyFill="0" applyBorder="0" applyProtection="0">
      <alignment wrapText="1"/>
    </xf>
    <xf numFmtId="4" fontId="62" fillId="0" borderId="0" applyFill="0" applyBorder="0" applyProtection="0">
      <alignment wrapText="1"/>
    </xf>
    <xf numFmtId="287" fontId="21" fillId="0" borderId="0" applyFill="0" applyBorder="0" applyProtection="0">
      <alignment horizontal="left" wrapText="1"/>
    </xf>
    <xf numFmtId="287" fontId="21" fillId="0" borderId="0" applyFill="0" applyBorder="0" applyProtection="0">
      <alignment horizontal="left" wrapText="1"/>
    </xf>
    <xf numFmtId="287" fontId="21" fillId="0" borderId="0" applyFill="0" applyBorder="0" applyProtection="0">
      <alignment horizontal="left" wrapText="1"/>
    </xf>
    <xf numFmtId="287" fontId="21" fillId="0" borderId="0" applyFill="0" applyBorder="0" applyProtection="0">
      <alignment horizontal="left" wrapText="1"/>
    </xf>
    <xf numFmtId="287" fontId="21" fillId="0" borderId="0" applyFill="0" applyBorder="0" applyProtection="0">
      <alignment horizontal="left" wrapText="1"/>
    </xf>
    <xf numFmtId="287" fontId="21" fillId="0" borderId="0" applyFill="0" applyBorder="0" applyProtection="0">
      <alignment horizontal="left" wrapText="1"/>
    </xf>
    <xf numFmtId="287" fontId="21" fillId="0" borderId="0" applyFill="0" applyBorder="0" applyProtection="0">
      <alignment horizontal="left" wrapText="1"/>
    </xf>
    <xf numFmtId="287" fontId="21" fillId="0" borderId="0" applyFill="0" applyBorder="0" applyProtection="0">
      <alignment horizontal="left" wrapText="1"/>
    </xf>
    <xf numFmtId="4" fontId="21" fillId="0" borderId="0" applyFill="0" applyBorder="0" applyProtection="0">
      <alignment wrapText="1"/>
    </xf>
    <xf numFmtId="4" fontId="21" fillId="0" borderId="0" applyFill="0" applyBorder="0" applyProtection="0">
      <alignment wrapText="1"/>
    </xf>
    <xf numFmtId="4" fontId="21" fillId="0" borderId="0" applyFill="0" applyBorder="0" applyProtection="0">
      <alignment wrapText="1"/>
    </xf>
    <xf numFmtId="4" fontId="21" fillId="0" borderId="0" applyFill="0" applyBorder="0" applyProtection="0">
      <alignment wrapText="1"/>
    </xf>
    <xf numFmtId="4" fontId="21" fillId="0" borderId="0" applyFill="0" applyBorder="0" applyProtection="0">
      <alignment wrapText="1"/>
    </xf>
    <xf numFmtId="4" fontId="21" fillId="0" borderId="0" applyFill="0" applyBorder="0" applyProtection="0">
      <alignment wrapText="1"/>
    </xf>
    <xf numFmtId="4" fontId="21" fillId="0" borderId="0" applyFill="0" applyBorder="0" applyProtection="0">
      <alignment wrapText="1"/>
    </xf>
    <xf numFmtId="4" fontId="21" fillId="0" borderId="0" applyFill="0" applyBorder="0" applyProtection="0">
      <alignment wrapText="1"/>
    </xf>
    <xf numFmtId="0" fontId="21" fillId="0" borderId="55" applyNumberFormat="0" applyFill="0" applyProtection="0">
      <alignment horizontal="center" wrapText="1"/>
    </xf>
    <xf numFmtId="0" fontId="21" fillId="0" borderId="0" applyNumberFormat="0" applyFill="0" applyBorder="0" applyProtection="0">
      <alignment horizontal="left" vertical="top" wrapText="1"/>
    </xf>
    <xf numFmtId="0" fontId="21" fillId="0" borderId="0" applyNumberFormat="0" applyFill="0" applyBorder="0" applyProtection="0">
      <alignment horizontal="left" vertical="top" wrapText="1"/>
    </xf>
    <xf numFmtId="0" fontId="21" fillId="0" borderId="0" applyNumberFormat="0" applyFill="0" applyBorder="0" applyProtection="0">
      <alignment horizontal="left" vertical="top" wrapText="1"/>
    </xf>
    <xf numFmtId="0" fontId="21" fillId="0" borderId="0" applyNumberFormat="0" applyFill="0" applyBorder="0" applyProtection="0">
      <alignment horizontal="left" vertical="top" wrapText="1"/>
    </xf>
    <xf numFmtId="0" fontId="21" fillId="0" borderId="55" applyNumberFormat="0" applyFill="0" applyProtection="0">
      <alignment horizontal="left" vertical="top" wrapText="1"/>
    </xf>
    <xf numFmtId="0" fontId="21" fillId="0" borderId="0" applyNumberFormat="0" applyFill="0" applyBorder="0" applyProtection="0">
      <alignment horizontal="left" vertical="top" wrapText="1"/>
    </xf>
    <xf numFmtId="0" fontId="21" fillId="0" borderId="0" applyNumberFormat="0" applyFill="0" applyBorder="0" applyProtection="0">
      <alignment horizontal="left" vertical="top" wrapText="1"/>
    </xf>
    <xf numFmtId="0" fontId="21" fillId="0" borderId="0" applyNumberFormat="0" applyFill="0" applyBorder="0" applyProtection="0">
      <alignment horizontal="left" vertical="top" wrapText="1"/>
    </xf>
    <xf numFmtId="0" fontId="21" fillId="0" borderId="0" applyNumberFormat="0" applyFill="0" applyBorder="0" applyProtection="0">
      <alignment horizontal="left" vertical="top" wrapText="1"/>
    </xf>
    <xf numFmtId="14" fontId="21" fillId="0" borderId="0" applyFill="0" applyBorder="0" applyProtection="0">
      <alignment horizontal="right"/>
    </xf>
    <xf numFmtId="338" fontId="21" fillId="0" borderId="0" applyFill="0" applyBorder="0" applyProtection="0">
      <alignment horizontal="center" wrapText="1"/>
    </xf>
    <xf numFmtId="338" fontId="21" fillId="0" borderId="0" applyFill="0" applyBorder="0" applyProtection="0">
      <alignment horizontal="center" wrapText="1"/>
    </xf>
    <xf numFmtId="338" fontId="21" fillId="0" borderId="0" applyFill="0" applyBorder="0" applyProtection="0">
      <alignment horizontal="center" wrapText="1"/>
    </xf>
    <xf numFmtId="338" fontId="21" fillId="0" borderId="0" applyFill="0" applyBorder="0" applyProtection="0">
      <alignment horizontal="center" wrapText="1"/>
    </xf>
    <xf numFmtId="0" fontId="21" fillId="0" borderId="0" applyNumberFormat="0" applyFill="0" applyBorder="0" applyProtection="0">
      <alignment horizontal="left"/>
    </xf>
    <xf numFmtId="337" fontId="21" fillId="0" borderId="0" applyFill="0" applyBorder="0" applyProtection="0">
      <alignment horizontal="right" wrapText="1"/>
    </xf>
    <xf numFmtId="337" fontId="21" fillId="0" borderId="0" applyFill="0" applyBorder="0" applyProtection="0">
      <alignment horizontal="right" wrapText="1"/>
    </xf>
    <xf numFmtId="337" fontId="21" fillId="0" borderId="0" applyFill="0" applyBorder="0" applyProtection="0">
      <alignment horizontal="right" wrapText="1"/>
    </xf>
    <xf numFmtId="337" fontId="21" fillId="0" borderId="0" applyFill="0" applyBorder="0" applyProtection="0">
      <alignment horizontal="right" wrapText="1"/>
    </xf>
    <xf numFmtId="0" fontId="21" fillId="0" borderId="55" applyNumberFormat="0" applyFill="0" applyProtection="0"/>
    <xf numFmtId="330" fontId="21" fillId="0" borderId="0" applyFill="0" applyBorder="0" applyProtection="0">
      <alignment horizontal="right" wrapText="1"/>
    </xf>
    <xf numFmtId="330" fontId="21" fillId="0" borderId="0" applyFill="0" applyBorder="0" applyProtection="0">
      <alignment horizontal="right" wrapText="1"/>
    </xf>
    <xf numFmtId="330" fontId="21" fillId="0" borderId="0" applyFill="0" applyBorder="0" applyProtection="0">
      <alignment horizontal="right" wrapText="1"/>
    </xf>
    <xf numFmtId="330" fontId="21" fillId="0" borderId="0" applyFill="0" applyBorder="0" applyProtection="0">
      <alignment horizontal="right" wrapText="1"/>
    </xf>
    <xf numFmtId="0" fontId="21" fillId="0" borderId="0" applyNumberFormat="0" applyFill="0" applyBorder="0" applyProtection="0"/>
    <xf numFmtId="339" fontId="21" fillId="0" borderId="0" applyFill="0" applyBorder="0" applyProtection="0">
      <alignment horizontal="right" wrapText="1"/>
    </xf>
    <xf numFmtId="339" fontId="21" fillId="0" borderId="0" applyFill="0" applyBorder="0" applyProtection="0">
      <alignment horizontal="right" wrapText="1"/>
    </xf>
    <xf numFmtId="339" fontId="21" fillId="0" borderId="0" applyFill="0" applyBorder="0" applyProtection="0">
      <alignment horizontal="right" wrapText="1"/>
    </xf>
    <xf numFmtId="339" fontId="21" fillId="0" borderId="0" applyFill="0" applyBorder="0" applyProtection="0">
      <alignment horizontal="right" wrapText="1"/>
    </xf>
    <xf numFmtId="0" fontId="21" fillId="0" borderId="55" applyNumberFormat="0" applyFill="0" applyProtection="0">
      <alignment horizontal="center"/>
    </xf>
    <xf numFmtId="37" fontId="21" fillId="0" borderId="0" applyFill="0" applyBorder="0" applyProtection="0">
      <alignment horizontal="center" wrapText="1"/>
    </xf>
    <xf numFmtId="37" fontId="21" fillId="0" borderId="0" applyFill="0" applyBorder="0" applyProtection="0">
      <alignment horizontal="center" wrapText="1"/>
    </xf>
    <xf numFmtId="37" fontId="21" fillId="0" borderId="0" applyFill="0" applyBorder="0" applyProtection="0">
      <alignment horizontal="center" wrapText="1"/>
    </xf>
    <xf numFmtId="37" fontId="21" fillId="0" borderId="0" applyFill="0" applyBorder="0" applyProtection="0">
      <alignment horizontal="center" wrapText="1"/>
    </xf>
    <xf numFmtId="0" fontId="21" fillId="0" borderId="0" applyNumberFormat="0" applyFill="0" applyBorder="0" applyProtection="0">
      <alignment horizontal="center"/>
    </xf>
    <xf numFmtId="333" fontId="21" fillId="0" borderId="0" applyFill="0" applyBorder="0" applyProtection="0">
      <alignment horizontal="right"/>
    </xf>
    <xf numFmtId="333" fontId="21" fillId="0" borderId="0" applyFill="0" applyBorder="0" applyProtection="0">
      <alignment horizontal="right"/>
    </xf>
    <xf numFmtId="333" fontId="21" fillId="0" borderId="0" applyFill="0" applyBorder="0" applyProtection="0">
      <alignment horizontal="right"/>
    </xf>
    <xf numFmtId="333" fontId="21" fillId="0" borderId="0" applyFill="0" applyBorder="0" applyProtection="0">
      <alignment horizontal="right"/>
    </xf>
    <xf numFmtId="340" fontId="21" fillId="0" borderId="0" applyFill="0" applyBorder="0" applyProtection="0">
      <alignment horizontal="right"/>
    </xf>
    <xf numFmtId="340" fontId="21" fillId="0" borderId="0" applyFill="0" applyBorder="0" applyProtection="0">
      <alignment horizontal="right"/>
    </xf>
    <xf numFmtId="340" fontId="21" fillId="0" borderId="0" applyFill="0" applyBorder="0" applyProtection="0">
      <alignment horizontal="right"/>
    </xf>
    <xf numFmtId="340" fontId="21" fillId="0" borderId="0" applyFill="0" applyBorder="0" applyProtection="0">
      <alignment horizontal="right"/>
    </xf>
    <xf numFmtId="340" fontId="21" fillId="0" borderId="0" applyFill="0" applyBorder="0" applyProtection="0">
      <alignment horizontal="right"/>
    </xf>
    <xf numFmtId="14" fontId="21" fillId="0" borderId="0" applyFill="0" applyBorder="0" applyProtection="0">
      <alignment horizontal="right"/>
    </xf>
    <xf numFmtId="332" fontId="21" fillId="0" borderId="0" applyFill="0" applyBorder="0" applyProtection="0">
      <alignment horizontal="right"/>
    </xf>
    <xf numFmtId="332" fontId="21" fillId="0" borderId="0" applyFill="0" applyBorder="0" applyProtection="0">
      <alignment horizontal="right"/>
    </xf>
    <xf numFmtId="332" fontId="21" fillId="0" borderId="0" applyFill="0" applyBorder="0" applyProtection="0">
      <alignment horizontal="right"/>
    </xf>
    <xf numFmtId="332" fontId="21" fillId="0" borderId="0" applyFill="0" applyBorder="0" applyProtection="0">
      <alignment horizontal="right"/>
    </xf>
    <xf numFmtId="4" fontId="21" fillId="0" borderId="0" applyFill="0" applyBorder="0" applyProtection="0">
      <alignment wrapText="1"/>
    </xf>
    <xf numFmtId="4" fontId="21" fillId="0" borderId="0" applyFill="0" applyBorder="0" applyProtection="0">
      <alignment wrapText="1"/>
    </xf>
    <xf numFmtId="4" fontId="21" fillId="0" borderId="0" applyFill="0" applyBorder="0" applyProtection="0">
      <alignment wrapText="1"/>
    </xf>
    <xf numFmtId="4" fontId="21" fillId="0" borderId="0" applyFill="0" applyBorder="0" applyProtection="0">
      <alignment wrapText="1"/>
    </xf>
    <xf numFmtId="4" fontId="21" fillId="0" borderId="0" applyFill="0" applyBorder="0" applyProtection="0">
      <alignment wrapText="1"/>
    </xf>
    <xf numFmtId="0" fontId="21" fillId="0" borderId="55" applyNumberFormat="0" applyFill="0" applyProtection="0">
      <alignment wrapText="1"/>
    </xf>
    <xf numFmtId="0" fontId="21" fillId="0" borderId="55" applyNumberFormat="0" applyFill="0" applyProtection="0">
      <alignment wrapText="1"/>
    </xf>
    <xf numFmtId="0" fontId="21" fillId="0" borderId="55" applyNumberFormat="0" applyFill="0" applyProtection="0">
      <alignment wrapText="1"/>
    </xf>
    <xf numFmtId="0" fontId="21" fillId="0" borderId="55" applyNumberFormat="0" applyFill="0" applyProtection="0">
      <alignment wrapText="1"/>
    </xf>
    <xf numFmtId="0" fontId="21" fillId="0" borderId="55" applyNumberFormat="0" applyFill="0" applyProtection="0">
      <alignment wrapText="1"/>
    </xf>
    <xf numFmtId="0" fontId="21" fillId="0" borderId="0" applyNumberFormat="0" applyFill="0" applyBorder="0" applyProtection="0">
      <alignment wrapText="1"/>
    </xf>
    <xf numFmtId="0" fontId="21" fillId="0" borderId="0" applyNumberFormat="0" applyFill="0" applyBorder="0" applyProtection="0"/>
    <xf numFmtId="0" fontId="159" fillId="0" borderId="0" applyNumberFormat="0" applyFill="0" applyBorder="0" applyProtection="0"/>
    <xf numFmtId="0" fontId="21" fillId="0" borderId="0" applyNumberFormat="0" applyFill="0" applyBorder="0" applyProtection="0"/>
    <xf numFmtId="0" fontId="21" fillId="0" borderId="0" applyNumberFormat="0" applyFill="0" applyBorder="0" applyProtection="0"/>
    <xf numFmtId="0" fontId="21" fillId="0" borderId="0" applyNumberFormat="0" applyFill="0" applyBorder="0" applyProtection="0"/>
    <xf numFmtId="0" fontId="21" fillId="0" borderId="0" applyNumberFormat="0" applyFill="0" applyBorder="0" applyProtection="0"/>
    <xf numFmtId="0" fontId="21" fillId="0" borderId="0" applyNumberFormat="0" applyFill="0" applyBorder="0" applyProtection="0"/>
    <xf numFmtId="0" fontId="21" fillId="0" borderId="55" applyNumberFormat="0" applyFill="0" applyProtection="0">
      <alignment horizontal="center" wrapText="1"/>
    </xf>
    <xf numFmtId="0" fontId="21" fillId="0" borderId="55" applyNumberFormat="0" applyFill="0" applyProtection="0">
      <alignment horizontal="center" wrapText="1"/>
    </xf>
    <xf numFmtId="0" fontId="21" fillId="0" borderId="55" applyNumberFormat="0" applyFill="0" applyProtection="0">
      <alignment horizontal="center" wrapText="1"/>
    </xf>
    <xf numFmtId="0" fontId="21" fillId="0" borderId="55" applyNumberFormat="0" applyFill="0" applyProtection="0">
      <alignment horizontal="center" wrapText="1"/>
    </xf>
    <xf numFmtId="0" fontId="21" fillId="0" borderId="55" applyNumberFormat="0" applyFill="0" applyProtection="0">
      <alignment horizontal="center" wrapText="1"/>
    </xf>
    <xf numFmtId="341" fontId="21" fillId="0" borderId="0" applyFill="0" applyBorder="0" applyProtection="0">
      <alignment horizontal="center" wrapText="1"/>
    </xf>
    <xf numFmtId="341" fontId="21" fillId="0" borderId="0" applyFill="0" applyBorder="0" applyProtection="0">
      <alignment horizontal="center" wrapText="1"/>
    </xf>
    <xf numFmtId="341" fontId="21" fillId="0" borderId="0" applyFill="0" applyBorder="0" applyProtection="0">
      <alignment horizontal="center" wrapText="1"/>
    </xf>
    <xf numFmtId="341" fontId="21" fillId="0" borderId="0" applyFill="0" applyBorder="0" applyProtection="0">
      <alignment horizontal="center" wrapText="1"/>
    </xf>
    <xf numFmtId="341" fontId="21" fillId="0" borderId="0" applyFill="0" applyBorder="0" applyProtection="0">
      <alignment horizontal="center" wrapText="1"/>
    </xf>
    <xf numFmtId="0" fontId="21" fillId="0" borderId="0" applyNumberFormat="0" applyFill="0" applyBorder="0" applyProtection="0">
      <alignment horizontal="justify" wrapText="1"/>
    </xf>
    <xf numFmtId="0" fontId="21" fillId="0" borderId="0" applyNumberFormat="0" applyFill="0" applyBorder="0" applyProtection="0">
      <alignment horizontal="justify" wrapText="1"/>
    </xf>
    <xf numFmtId="0" fontId="21" fillId="0" borderId="0" applyNumberFormat="0" applyFill="0" applyBorder="0" applyProtection="0">
      <alignment horizontal="justify" wrapText="1"/>
    </xf>
    <xf numFmtId="0" fontId="21" fillId="0" borderId="0" applyNumberFormat="0" applyFill="0" applyBorder="0" applyProtection="0">
      <alignment horizontal="justify" wrapText="1"/>
    </xf>
    <xf numFmtId="0" fontId="21" fillId="0" borderId="0" applyNumberFormat="0" applyFill="0" applyBorder="0" applyProtection="0">
      <alignment horizontal="justify" wrapText="1"/>
    </xf>
    <xf numFmtId="0" fontId="21" fillId="0" borderId="0" applyNumberFormat="0" applyFill="0" applyBorder="0" applyProtection="0">
      <alignment horizontal="centerContinuous" wrapText="1"/>
    </xf>
    <xf numFmtId="0" fontId="21" fillId="0" borderId="0" applyNumberFormat="0" applyFill="0" applyBorder="0" applyProtection="0">
      <alignment horizontal="centerContinuous" wrapText="1"/>
    </xf>
    <xf numFmtId="0" fontId="21" fillId="0" borderId="0" applyNumberFormat="0" applyFill="0" applyBorder="0" applyProtection="0">
      <alignment horizontal="centerContinuous" wrapText="1"/>
    </xf>
    <xf numFmtId="0" fontId="21" fillId="0" borderId="0" applyNumberFormat="0" applyFill="0" applyBorder="0" applyProtection="0">
      <alignment horizontal="centerContinuous" wrapText="1"/>
    </xf>
    <xf numFmtId="0" fontId="21" fillId="0" borderId="0" applyNumberFormat="0" applyFill="0" applyBorder="0" applyProtection="0">
      <alignment horizontal="centerContinuous" wrapText="1"/>
    </xf>
    <xf numFmtId="287" fontId="21" fillId="0" borderId="0" applyFill="0" applyBorder="0" applyProtection="0">
      <alignment horizontal="right" wrapText="1"/>
    </xf>
    <xf numFmtId="0" fontId="21" fillId="0" borderId="0" applyNumberFormat="0" applyFill="0" applyBorder="0" applyProtection="0">
      <alignment horizontal="left"/>
    </xf>
    <xf numFmtId="0" fontId="21" fillId="0" borderId="0" applyNumberFormat="0" applyFill="0" applyBorder="0" applyProtection="0">
      <alignment horizontal="left"/>
    </xf>
    <xf numFmtId="0" fontId="21" fillId="0" borderId="0" applyNumberFormat="0" applyFill="0" applyBorder="0" applyProtection="0">
      <alignment horizontal="left"/>
    </xf>
    <xf numFmtId="0" fontId="21" fillId="0" borderId="0" applyNumberFormat="0" applyFill="0" applyBorder="0" applyProtection="0">
      <alignment horizontal="left"/>
    </xf>
    <xf numFmtId="3" fontId="21" fillId="0" borderId="0" applyFill="0" applyBorder="0" applyProtection="0">
      <alignment horizontal="right" wrapText="1"/>
    </xf>
    <xf numFmtId="44" fontId="21" fillId="0" borderId="0" applyFill="0" applyBorder="0" applyProtection="0">
      <alignment horizontal="right" wrapText="1"/>
    </xf>
    <xf numFmtId="44" fontId="21" fillId="0" borderId="0" applyFill="0" applyBorder="0" applyProtection="0">
      <alignment horizontal="right" wrapText="1"/>
    </xf>
    <xf numFmtId="336" fontId="21" fillId="0" borderId="0" applyFill="0" applyBorder="0" applyProtection="0">
      <alignment horizontal="right" wrapText="1"/>
    </xf>
    <xf numFmtId="336" fontId="21" fillId="0" borderId="0" applyFill="0" applyBorder="0" applyProtection="0">
      <alignment horizontal="right" wrapText="1"/>
    </xf>
    <xf numFmtId="44" fontId="21" fillId="0" borderId="0" applyFill="0" applyBorder="0" applyProtection="0">
      <alignment horizontal="right" wrapText="1"/>
    </xf>
    <xf numFmtId="341" fontId="21" fillId="0" borderId="0" applyFill="0" applyBorder="0" applyProtection="0">
      <alignment horizontal="right" wrapText="1"/>
    </xf>
    <xf numFmtId="0" fontId="21" fillId="0" borderId="0" applyNumberFormat="0" applyFill="0" applyBorder="0" applyProtection="0">
      <alignment horizontal="center" vertical="top" wrapText="1"/>
    </xf>
    <xf numFmtId="0" fontId="21" fillId="0" borderId="0" applyNumberFormat="0" applyFill="0" applyBorder="0" applyProtection="0">
      <alignment horizontal="center" wrapText="1"/>
    </xf>
    <xf numFmtId="0" fontId="21" fillId="105" borderId="0" applyNumberFormat="0" applyBorder="0" applyProtection="0">
      <alignment horizontal="left" wrapText="1"/>
    </xf>
    <xf numFmtId="0" fontId="21" fillId="105" borderId="0" applyNumberFormat="0" applyBorder="0" applyProtection="0">
      <alignment horizontal="left"/>
    </xf>
    <xf numFmtId="0" fontId="21" fillId="105" borderId="0" applyNumberFormat="0" applyBorder="0" applyProtection="0">
      <alignment horizontal="right"/>
    </xf>
    <xf numFmtId="0" fontId="21" fillId="106" borderId="0" applyNumberFormat="0" applyBorder="0" applyProtection="0">
      <alignment vertical="top" wrapText="1"/>
    </xf>
    <xf numFmtId="342" fontId="21" fillId="106" borderId="0" applyBorder="0" applyProtection="0">
      <alignment vertical="top" wrapText="1"/>
    </xf>
    <xf numFmtId="4" fontId="21" fillId="0" borderId="0" applyFill="0" applyBorder="0" applyProtection="0">
      <alignment horizontal="right"/>
    </xf>
    <xf numFmtId="342" fontId="21" fillId="0" borderId="0" applyFill="0" applyBorder="0" applyProtection="0">
      <alignment horizontal="right"/>
    </xf>
    <xf numFmtId="3" fontId="21" fillId="0" borderId="0" applyFill="0" applyBorder="0" applyProtection="0">
      <alignment horizontal="right"/>
    </xf>
    <xf numFmtId="287" fontId="21" fillId="0" borderId="0" applyFill="0" applyBorder="0" applyProtection="0">
      <alignment horizontal="right"/>
    </xf>
    <xf numFmtId="4" fontId="21" fillId="0" borderId="0" applyFill="0" applyBorder="0" applyProtection="0">
      <alignment horizontal="right"/>
    </xf>
    <xf numFmtId="4" fontId="21" fillId="0" borderId="0" applyFill="0" applyBorder="0" applyProtection="0">
      <alignment horizontal="right"/>
    </xf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343" fontId="21" fillId="0" borderId="0" applyFill="0" applyBorder="0" applyProtection="0">
      <alignment horizontal="right" vertical="top" wrapText="1"/>
    </xf>
    <xf numFmtId="0" fontId="21" fillId="0" borderId="55" applyNumberFormat="0" applyFill="0" applyProtection="0">
      <alignment horizontal="left" vertical="top"/>
    </xf>
    <xf numFmtId="0" fontId="21" fillId="0" borderId="0" applyNumberFormat="0" applyFill="0" applyBorder="0" applyAlignment="0" applyProtection="0"/>
    <xf numFmtId="4" fontId="21" fillId="0" borderId="0" applyFill="0" applyBorder="0" applyProtection="0">
      <alignment horizontal="center"/>
    </xf>
    <xf numFmtId="333" fontId="21" fillId="0" borderId="0" applyFill="0" applyBorder="0" applyProtection="0">
      <alignment horizontal="right"/>
    </xf>
    <xf numFmtId="336" fontId="21" fillId="0" borderId="0" applyFill="0" applyBorder="0" applyProtection="0">
      <alignment horizontal="right"/>
    </xf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331" fontId="21" fillId="0" borderId="0" applyFill="0" applyBorder="0" applyProtection="0">
      <alignment horizontal="right"/>
    </xf>
    <xf numFmtId="344" fontId="21" fillId="0" borderId="0" applyFill="0" applyBorder="0" applyProtection="0">
      <alignment horizontal="right"/>
    </xf>
    <xf numFmtId="334" fontId="21" fillId="0" borderId="0" applyFill="0" applyBorder="0" applyProtection="0">
      <alignment horizontal="right"/>
    </xf>
    <xf numFmtId="4" fontId="21" fillId="0" borderId="0" applyFill="0" applyBorder="0" applyProtection="0">
      <alignment horizontal="center"/>
    </xf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Protection="0">
      <alignment horizontal="left" vertical="top" wrapText="1"/>
    </xf>
    <xf numFmtId="336" fontId="21" fillId="0" borderId="0" applyFill="0" applyBorder="0" applyProtection="0">
      <alignment horizontal="right"/>
    </xf>
    <xf numFmtId="333" fontId="21" fillId="0" borderId="0" applyFill="0" applyBorder="0" applyProtection="0">
      <alignment horizontal="right"/>
    </xf>
    <xf numFmtId="331" fontId="21" fillId="0" borderId="0" applyFill="0" applyBorder="0" applyProtection="0">
      <alignment horizontal="right"/>
    </xf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14" fontId="21" fillId="0" borderId="0" applyFill="0" applyBorder="0" applyProtection="0">
      <alignment horizontal="right"/>
    </xf>
    <xf numFmtId="0" fontId="21" fillId="0" borderId="0" applyNumberFormat="0" applyFill="0" applyBorder="0" applyAlignment="0" applyProtection="0"/>
    <xf numFmtId="0" fontId="21" fillId="0" borderId="55" applyNumberFormat="0" applyFill="0" applyProtection="0"/>
    <xf numFmtId="0" fontId="21" fillId="0" borderId="0" applyNumberFormat="0" applyFill="0" applyBorder="0" applyProtection="0"/>
    <xf numFmtId="0" fontId="21" fillId="0" borderId="55" applyNumberFormat="0" applyFill="0" applyProtection="0">
      <alignment horizontal="center"/>
    </xf>
    <xf numFmtId="0" fontId="21" fillId="0" borderId="0" applyNumberFormat="0" applyFill="0" applyBorder="0" applyProtection="0">
      <alignment horizontal="center"/>
    </xf>
    <xf numFmtId="0" fontId="21" fillId="0" borderId="0" applyNumberFormat="0" applyFill="0" applyBorder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Protection="0">
      <alignment horizontal="left"/>
    </xf>
    <xf numFmtId="0" fontId="21" fillId="0" borderId="55" applyNumberFormat="0" applyFill="0" applyProtection="0"/>
    <xf numFmtId="0" fontId="21" fillId="0" borderId="0" applyNumberFormat="0" applyFill="0" applyBorder="0" applyProtection="0"/>
    <xf numFmtId="0" fontId="21" fillId="0" borderId="55" applyNumberFormat="0" applyFill="0" applyProtection="0">
      <alignment horizontal="center" wrapText="1"/>
    </xf>
    <xf numFmtId="0" fontId="21" fillId="0" borderId="0" applyNumberFormat="0" applyFill="0" applyBorder="0" applyProtection="0">
      <alignment horizontal="center"/>
    </xf>
    <xf numFmtId="0" fontId="21" fillId="0" borderId="0" applyNumberFormat="0" applyFill="0" applyBorder="0" applyProtection="0"/>
    <xf numFmtId="0" fontId="21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0" fontId="21" fillId="0" borderId="0" applyNumberFormat="0" applyBorder="0" applyAlignment="0"/>
    <xf numFmtId="0" fontId="160" fillId="0" borderId="0" applyNumberFormat="0" applyBorder="0" applyAlignment="0"/>
    <xf numFmtId="0" fontId="161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0" fontId="21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0" fontId="21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0" fontId="21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204" fontId="160" fillId="0" borderId="0" applyNumberFormat="0" applyBorder="0" applyAlignment="0"/>
    <xf numFmtId="0" fontId="161" fillId="0" borderId="0" applyNumberFormat="0" applyBorder="0" applyAlignment="0"/>
    <xf numFmtId="0" fontId="161" fillId="0" borderId="0" applyNumberFormat="0" applyBorder="0" applyAlignment="0"/>
    <xf numFmtId="0" fontId="161" fillId="0" borderId="0" applyNumberFormat="0" applyBorder="0" applyAlignment="0"/>
    <xf numFmtId="204" fontId="160" fillId="0" borderId="0" applyNumberFormat="0" applyBorder="0" applyAlignment="0"/>
    <xf numFmtId="0" fontId="21" fillId="0" borderId="0" applyNumberFormat="0" applyBorder="0" applyAlignment="0"/>
    <xf numFmtId="0" fontId="162" fillId="0" borderId="0" applyNumberFormat="0" applyBorder="0" applyAlignment="0"/>
    <xf numFmtId="0" fontId="21" fillId="0" borderId="0" applyNumberFormat="0" applyBorder="0" applyAlignment="0"/>
    <xf numFmtId="0" fontId="163" fillId="0" borderId="0" applyNumberFormat="0" applyBorder="0" applyAlignment="0"/>
    <xf numFmtId="0" fontId="21" fillId="0" borderId="0" applyNumberFormat="0" applyBorder="0" applyAlignment="0"/>
    <xf numFmtId="0" fontId="164" fillId="0" borderId="0" applyNumberFormat="0" applyBorder="0" applyAlignment="0"/>
    <xf numFmtId="0" fontId="21" fillId="0" borderId="0" applyNumberFormat="0" applyBorder="0" applyAlignment="0"/>
    <xf numFmtId="0" fontId="162" fillId="0" borderId="0" applyNumberFormat="0" applyBorder="0" applyAlignment="0"/>
    <xf numFmtId="0" fontId="21" fillId="53" borderId="0" applyNumberFormat="0" applyBorder="0" applyAlignment="0"/>
    <xf numFmtId="0" fontId="157" fillId="53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165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166" fillId="0" borderId="0" applyNumberFormat="0" applyBorder="0" applyAlignment="0"/>
    <xf numFmtId="0" fontId="21" fillId="0" borderId="0" applyNumberFormat="0" applyBorder="0" applyAlignment="0"/>
    <xf numFmtId="0" fontId="167" fillId="0" borderId="0" applyNumberFormat="0" applyBorder="0" applyAlignment="0"/>
    <xf numFmtId="0" fontId="161" fillId="0" borderId="0" applyNumberFormat="0" applyBorder="0" applyAlignment="0"/>
    <xf numFmtId="0" fontId="168" fillId="0" borderId="0" applyNumberFormat="0" applyBorder="0" applyAlignment="0"/>
    <xf numFmtId="0" fontId="168" fillId="0" borderId="0" applyNumberFormat="0" applyBorder="0" applyAlignment="0"/>
    <xf numFmtId="204" fontId="169" fillId="0" borderId="0" applyNumberFormat="0" applyBorder="0" applyAlignment="0"/>
    <xf numFmtId="204" fontId="169" fillId="0" borderId="0" applyNumberFormat="0" applyBorder="0" applyAlignment="0"/>
    <xf numFmtId="204" fontId="169" fillId="0" borderId="0" applyNumberFormat="0" applyBorder="0" applyAlignment="0"/>
    <xf numFmtId="204" fontId="169" fillId="0" borderId="0" applyNumberFormat="0" applyBorder="0" applyAlignment="0"/>
    <xf numFmtId="204" fontId="169" fillId="0" borderId="0" applyNumberFormat="0" applyBorder="0" applyAlignment="0"/>
    <xf numFmtId="204" fontId="169" fillId="0" borderId="0" applyNumberFormat="0" applyBorder="0" applyAlignment="0"/>
    <xf numFmtId="204" fontId="169" fillId="0" borderId="0" applyNumberFormat="0" applyBorder="0" applyAlignment="0"/>
    <xf numFmtId="204" fontId="169" fillId="0" borderId="0" applyNumberFormat="0" applyBorder="0" applyAlignment="0"/>
    <xf numFmtId="0" fontId="21" fillId="0" borderId="0" applyNumberFormat="0" applyBorder="0" applyAlignment="0"/>
    <xf numFmtId="204" fontId="169" fillId="0" borderId="0" applyNumberFormat="0" applyBorder="0" applyAlignment="0"/>
    <xf numFmtId="204" fontId="169" fillId="0" borderId="0" applyNumberFormat="0" applyBorder="0" applyAlignment="0"/>
    <xf numFmtId="204" fontId="169" fillId="0" borderId="0" applyNumberFormat="0" applyBorder="0" applyAlignment="0"/>
    <xf numFmtId="204" fontId="169" fillId="0" borderId="0" applyNumberFormat="0" applyBorder="0" applyAlignment="0"/>
    <xf numFmtId="204" fontId="169" fillId="0" borderId="0" applyNumberFormat="0" applyBorder="0" applyAlignment="0"/>
    <xf numFmtId="204" fontId="169" fillId="0" borderId="0" applyNumberFormat="0" applyBorder="0" applyAlignment="0"/>
    <xf numFmtId="204" fontId="169" fillId="0" borderId="0" applyNumberFormat="0" applyBorder="0" applyAlignment="0"/>
    <xf numFmtId="204" fontId="169" fillId="0" borderId="0" applyNumberFormat="0" applyBorder="0" applyAlignment="0"/>
    <xf numFmtId="204" fontId="169" fillId="0" borderId="0" applyNumberFormat="0" applyBorder="0" applyAlignment="0"/>
    <xf numFmtId="204" fontId="169" fillId="0" borderId="0" applyNumberFormat="0" applyBorder="0" applyAlignment="0"/>
    <xf numFmtId="0" fontId="21" fillId="0" borderId="0" applyNumberFormat="0" applyBorder="0" applyAlignment="0"/>
    <xf numFmtId="204" fontId="169" fillId="0" borderId="0" applyNumberFormat="0" applyBorder="0" applyAlignment="0"/>
    <xf numFmtId="204" fontId="169" fillId="0" borderId="0" applyNumberFormat="0" applyBorder="0" applyAlignment="0"/>
    <xf numFmtId="204" fontId="169" fillId="0" borderId="0" applyNumberFormat="0" applyBorder="0" applyAlignment="0"/>
    <xf numFmtId="204" fontId="169" fillId="0" borderId="0" applyNumberFormat="0" applyBorder="0" applyAlignment="0"/>
    <xf numFmtId="204" fontId="169" fillId="0" borderId="0" applyNumberFormat="0" applyBorder="0" applyAlignment="0"/>
    <xf numFmtId="204" fontId="169" fillId="0" borderId="0" applyNumberFormat="0" applyBorder="0" applyAlignment="0"/>
    <xf numFmtId="204" fontId="169" fillId="0" borderId="0" applyNumberFormat="0" applyBorder="0" applyAlignment="0"/>
    <xf numFmtId="204" fontId="169" fillId="0" borderId="0" applyNumberFormat="0" applyBorder="0" applyAlignment="0"/>
    <xf numFmtId="204" fontId="169" fillId="0" borderId="0" applyNumberFormat="0" applyBorder="0" applyAlignment="0"/>
    <xf numFmtId="204" fontId="169" fillId="0" borderId="0" applyNumberFormat="0" applyBorder="0" applyAlignment="0"/>
    <xf numFmtId="0" fontId="21" fillId="0" borderId="0" applyNumberFormat="0" applyBorder="0" applyAlignment="0"/>
    <xf numFmtId="204" fontId="169" fillId="0" borderId="0" applyNumberFormat="0" applyBorder="0" applyAlignment="0"/>
    <xf numFmtId="204" fontId="169" fillId="0" borderId="0" applyNumberFormat="0" applyBorder="0" applyAlignment="0"/>
    <xf numFmtId="204" fontId="169" fillId="0" borderId="0" applyNumberFormat="0" applyBorder="0" applyAlignment="0"/>
    <xf numFmtId="204" fontId="169" fillId="0" borderId="0" applyNumberFormat="0" applyBorder="0" applyAlignment="0"/>
    <xf numFmtId="204" fontId="169" fillId="0" borderId="0" applyNumberFormat="0" applyBorder="0" applyAlignment="0"/>
    <xf numFmtId="204" fontId="133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170" fillId="0" borderId="0" applyNumberFormat="0" applyBorder="0" applyAlignment="0"/>
    <xf numFmtId="0" fontId="21" fillId="0" borderId="0" applyNumberFormat="0" applyBorder="0" applyAlignment="0"/>
    <xf numFmtId="0" fontId="171" fillId="0" borderId="0" applyNumberFormat="0" applyBorder="0" applyAlignment="0"/>
    <xf numFmtId="0" fontId="172" fillId="0" borderId="0" applyNumberFormat="0" applyBorder="0" applyAlignment="0"/>
    <xf numFmtId="0" fontId="173" fillId="0" borderId="0" applyNumberFormat="0" applyBorder="0" applyAlignment="0"/>
    <xf numFmtId="0" fontId="173" fillId="0" borderId="0" applyNumberFormat="0" applyBorder="0" applyAlignment="0"/>
    <xf numFmtId="204" fontId="174" fillId="0" borderId="0" applyNumberFormat="0" applyBorder="0" applyAlignment="0"/>
    <xf numFmtId="204" fontId="174" fillId="0" borderId="0" applyNumberFormat="0" applyBorder="0" applyAlignment="0"/>
    <xf numFmtId="204" fontId="174" fillId="0" borderId="0" applyNumberFormat="0" applyBorder="0" applyAlignment="0"/>
    <xf numFmtId="204" fontId="174" fillId="0" borderId="0" applyNumberFormat="0" applyBorder="0" applyAlignment="0"/>
    <xf numFmtId="204" fontId="174" fillId="0" borderId="0" applyNumberFormat="0" applyBorder="0" applyAlignment="0"/>
    <xf numFmtId="204" fontId="174" fillId="0" borderId="0" applyNumberFormat="0" applyBorder="0" applyAlignment="0"/>
    <xf numFmtId="204" fontId="174" fillId="0" borderId="0" applyNumberFormat="0" applyBorder="0" applyAlignment="0"/>
    <xf numFmtId="204" fontId="174" fillId="0" borderId="0" applyNumberFormat="0" applyBorder="0" applyAlignment="0"/>
    <xf numFmtId="0" fontId="21" fillId="0" borderId="0" applyNumberFormat="0" applyBorder="0" applyAlignment="0"/>
    <xf numFmtId="204" fontId="174" fillId="0" borderId="0" applyNumberFormat="0" applyBorder="0" applyAlignment="0"/>
    <xf numFmtId="204" fontId="174" fillId="0" borderId="0" applyNumberFormat="0" applyBorder="0" applyAlignment="0"/>
    <xf numFmtId="204" fontId="174" fillId="0" borderId="0" applyNumberFormat="0" applyBorder="0" applyAlignment="0"/>
    <xf numFmtId="204" fontId="174" fillId="0" borderId="0" applyNumberFormat="0" applyBorder="0" applyAlignment="0"/>
    <xf numFmtId="204" fontId="174" fillId="0" borderId="0" applyNumberFormat="0" applyBorder="0" applyAlignment="0"/>
    <xf numFmtId="204" fontId="174" fillId="0" borderId="0" applyNumberFormat="0" applyBorder="0" applyAlignment="0"/>
    <xf numFmtId="204" fontId="174" fillId="0" borderId="0" applyNumberFormat="0" applyBorder="0" applyAlignment="0"/>
    <xf numFmtId="204" fontId="174" fillId="0" borderId="0" applyNumberFormat="0" applyBorder="0" applyAlignment="0"/>
    <xf numFmtId="204" fontId="174" fillId="0" borderId="0" applyNumberFormat="0" applyBorder="0" applyAlignment="0"/>
    <xf numFmtId="204" fontId="174" fillId="0" borderId="0" applyNumberFormat="0" applyBorder="0" applyAlignment="0"/>
    <xf numFmtId="0" fontId="21" fillId="0" borderId="0" applyNumberFormat="0" applyBorder="0" applyAlignment="0"/>
    <xf numFmtId="204" fontId="174" fillId="0" borderId="0" applyNumberFormat="0" applyBorder="0" applyAlignment="0"/>
    <xf numFmtId="204" fontId="174" fillId="0" borderId="0" applyNumberFormat="0" applyBorder="0" applyAlignment="0"/>
    <xf numFmtId="204" fontId="174" fillId="0" borderId="0" applyNumberFormat="0" applyBorder="0" applyAlignment="0"/>
    <xf numFmtId="204" fontId="174" fillId="0" borderId="0" applyNumberFormat="0" applyBorder="0" applyAlignment="0"/>
    <xf numFmtId="204" fontId="174" fillId="0" borderId="0" applyNumberFormat="0" applyBorder="0" applyAlignment="0"/>
    <xf numFmtId="204" fontId="174" fillId="0" borderId="0" applyNumberFormat="0" applyBorder="0" applyAlignment="0"/>
    <xf numFmtId="204" fontId="174" fillId="0" borderId="0" applyNumberFormat="0" applyBorder="0" applyAlignment="0"/>
    <xf numFmtId="204" fontId="174" fillId="0" borderId="0" applyNumberFormat="0" applyBorder="0" applyAlignment="0"/>
    <xf numFmtId="204" fontId="174" fillId="0" borderId="0" applyNumberFormat="0" applyBorder="0" applyAlignment="0"/>
    <xf numFmtId="204" fontId="174" fillId="0" borderId="0" applyNumberFormat="0" applyBorder="0" applyAlignment="0"/>
    <xf numFmtId="0" fontId="21" fillId="0" borderId="0" applyNumberFormat="0" applyBorder="0" applyAlignment="0"/>
    <xf numFmtId="204" fontId="174" fillId="0" borderId="0" applyNumberFormat="0" applyBorder="0" applyAlignment="0"/>
    <xf numFmtId="204" fontId="174" fillId="0" borderId="0" applyNumberFormat="0" applyBorder="0" applyAlignment="0"/>
    <xf numFmtId="204" fontId="174" fillId="0" borderId="0" applyNumberFormat="0" applyBorder="0" applyAlignment="0"/>
    <xf numFmtId="204" fontId="174" fillId="0" borderId="0" applyNumberFormat="0" applyBorder="0" applyAlignment="0"/>
    <xf numFmtId="204" fontId="174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162" fillId="0" borderId="0" applyNumberFormat="0" applyBorder="0" applyAlignment="0"/>
    <xf numFmtId="0" fontId="175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30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165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176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177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0" borderId="0" applyNumberFormat="0" applyBorder="0" applyAlignment="0"/>
    <xf numFmtId="0" fontId="21" fillId="53" borderId="0" applyNumberFormat="0" applyBorder="0" applyAlignment="0"/>
    <xf numFmtId="0" fontId="21" fillId="53" borderId="0" applyNumberFormat="0" applyBorder="0" applyAlignment="0"/>
    <xf numFmtId="0" fontId="21" fillId="53" borderId="0" applyNumberFormat="0" applyBorder="0" applyAlignment="0"/>
    <xf numFmtId="0" fontId="21" fillId="53" borderId="0" applyNumberFormat="0" applyBorder="0" applyAlignment="0"/>
    <xf numFmtId="0" fontId="21" fillId="53" borderId="0" applyNumberFormat="0" applyBorder="0" applyAlignment="0"/>
    <xf numFmtId="0" fontId="21" fillId="53" borderId="0" applyNumberFormat="0" applyBorder="0" applyAlignment="0"/>
    <xf numFmtId="0" fontId="21" fillId="53" borderId="0" applyNumberFormat="0" applyBorder="0" applyAlignment="0"/>
    <xf numFmtId="0" fontId="21" fillId="53" borderId="0" applyNumberFormat="0" applyBorder="0" applyAlignment="0"/>
    <xf numFmtId="0" fontId="21" fillId="53" borderId="0" applyNumberFormat="0" applyBorder="0" applyAlignment="0"/>
    <xf numFmtId="0" fontId="178" fillId="0" borderId="0" applyNumberFormat="0" applyBorder="0" applyAlignment="0"/>
    <xf numFmtId="0" fontId="21" fillId="53" borderId="0" applyNumberFormat="0" applyBorder="0" applyAlignment="0"/>
    <xf numFmtId="0" fontId="21" fillId="53" borderId="0" applyNumberFormat="0" applyBorder="0" applyAlignment="0"/>
    <xf numFmtId="0" fontId="21" fillId="53" borderId="0" applyNumberFormat="0" applyBorder="0" applyAlignment="0"/>
    <xf numFmtId="0" fontId="21" fillId="53" borderId="0" applyNumberFormat="0" applyBorder="0" applyAlignment="0"/>
    <xf numFmtId="0" fontId="21" fillId="53" borderId="0" applyNumberFormat="0" applyBorder="0" applyAlignment="0"/>
    <xf numFmtId="0" fontId="21" fillId="53" borderId="0" applyNumberFormat="0" applyBorder="0" applyAlignment="0"/>
    <xf numFmtId="0" fontId="21" fillId="53" borderId="0" applyNumberFormat="0" applyBorder="0" applyAlignment="0"/>
    <xf numFmtId="0" fontId="21" fillId="53" borderId="0" applyNumberFormat="0" applyBorder="0" applyAlignment="0"/>
    <xf numFmtId="204" fontId="179" fillId="117" borderId="32" applyBorder="0">
      <alignment vertical="top"/>
    </xf>
    <xf numFmtId="0" fontId="21" fillId="0" borderId="0" applyNumberFormat="0" applyFill="0" applyBorder="0" applyProtection="0">
      <alignment horizontal="left" vertical="center"/>
    </xf>
    <xf numFmtId="0" fontId="21" fillId="0" borderId="0"/>
    <xf numFmtId="303" fontId="21" fillId="0" borderId="0" applyFill="0" applyBorder="0" applyProtection="0">
      <alignment horizontal="centerContinuous"/>
    </xf>
    <xf numFmtId="40" fontId="21" fillId="0" borderId="0" applyBorder="0">
      <alignment horizontal="right"/>
    </xf>
    <xf numFmtId="3" fontId="21" fillId="0" borderId="0" applyBorder="0"/>
    <xf numFmtId="0" fontId="21" fillId="0" borderId="0"/>
    <xf numFmtId="0" fontId="21" fillId="0" borderId="0" applyFill="0" applyBorder="0" applyProtection="0">
      <alignment horizontal="left" indent="1"/>
      <protection locked="0"/>
    </xf>
    <xf numFmtId="0" fontId="21" fillId="0" borderId="0" applyFill="0" applyBorder="0" applyProtection="0">
      <alignment horizontal="center" vertical="center"/>
    </xf>
    <xf numFmtId="0" fontId="21" fillId="0" borderId="0" applyBorder="0" applyProtection="0">
      <alignment vertical="center"/>
    </xf>
    <xf numFmtId="285" fontId="21" fillId="0" borderId="10" applyBorder="0" applyProtection="0">
      <alignment horizontal="right" vertical="center"/>
    </xf>
    <xf numFmtId="0" fontId="21" fillId="125" borderId="0" applyBorder="0" applyProtection="0">
      <alignment horizontal="centerContinuous" vertical="center"/>
    </xf>
    <xf numFmtId="0" fontId="21" fillId="126" borderId="10" applyBorder="0" applyProtection="0">
      <alignment horizontal="centerContinuous" vertical="center"/>
    </xf>
    <xf numFmtId="0" fontId="21" fillId="0" borderId="0">
      <alignment horizontal="left"/>
    </xf>
    <xf numFmtId="0" fontId="21" fillId="0" borderId="0">
      <alignment horizontal="left"/>
    </xf>
    <xf numFmtId="0" fontId="21" fillId="0" borderId="0" applyFill="0" applyBorder="0" applyProtection="0"/>
    <xf numFmtId="0" fontId="21" fillId="0" borderId="0"/>
    <xf numFmtId="0" fontId="21" fillId="0" borderId="0" applyFill="0" applyBorder="0" applyProtection="0">
      <alignment horizontal="left"/>
    </xf>
    <xf numFmtId="0" fontId="21" fillId="0" borderId="0" applyFill="0" applyBorder="0" applyProtection="0">
      <alignment horizontal="left" vertical="top"/>
    </xf>
    <xf numFmtId="303" fontId="21" fillId="0" borderId="0" applyNumberFormat="0" applyFill="0" applyBorder="0" applyProtection="0">
      <alignment horizontal="centerContinuous"/>
    </xf>
    <xf numFmtId="303" fontId="21" fillId="0" borderId="0" applyNumberFormat="0">
      <alignment horizontal="left"/>
    </xf>
    <xf numFmtId="37" fontId="21" fillId="0" borderId="0" applyNumberFormat="0" applyFill="0" applyBorder="0" applyAlignment="0" applyProtection="0">
      <alignment horizontal="centerContinuous"/>
    </xf>
    <xf numFmtId="303" fontId="21" fillId="0" borderId="0" applyNumberFormat="0" applyFill="0" applyBorder="0" applyAlignment="0" applyProtection="0"/>
    <xf numFmtId="37" fontId="21" fillId="0" borderId="65" applyNumberFormat="0" applyFill="0" applyProtection="0">
      <alignment horizontal="centerContinuous"/>
    </xf>
    <xf numFmtId="0" fontId="21" fillId="0" borderId="0" applyFill="0" applyBorder="0" applyProtection="0">
      <alignment vertical="top"/>
    </xf>
    <xf numFmtId="303" fontId="21" fillId="0" borderId="0" applyFill="0" applyBorder="0" applyProtection="0">
      <alignment horizontal="centerContinuous"/>
    </xf>
    <xf numFmtId="0" fontId="21" fillId="127" borderId="66" applyNumberFormat="0" applyFont="0" applyFill="0" applyAlignment="0" applyProtection="0">
      <alignment horizontal="center"/>
    </xf>
    <xf numFmtId="49" fontId="21" fillId="0" borderId="0"/>
    <xf numFmtId="0" fontId="21" fillId="0" borderId="0" applyNumberFormat="0" applyFill="0" applyBorder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49" fontId="21" fillId="0" borderId="0" applyFill="0" applyBorder="0" applyAlignment="0"/>
    <xf numFmtId="345" fontId="21" fillId="0" borderId="0" applyFill="0" applyBorder="0" applyAlignment="0"/>
    <xf numFmtId="205" fontId="21" fillId="0" borderId="0" applyFill="0" applyBorder="0" applyAlignment="0"/>
    <xf numFmtId="0" fontId="21" fillId="0" borderId="0"/>
    <xf numFmtId="0" fontId="21" fillId="0" borderId="0"/>
    <xf numFmtId="0" fontId="21" fillId="0" borderId="0"/>
    <xf numFmtId="0" fontId="21" fillId="0" borderId="0">
      <alignment vertical="top"/>
    </xf>
    <xf numFmtId="346" fontId="21" fillId="0" borderId="0" applyFont="0" applyFill="0" applyBorder="0" applyAlignment="0" applyProtection="0">
      <alignment vertical="center"/>
    </xf>
    <xf numFmtId="346" fontId="21" fillId="0" borderId="0" applyFont="0" applyFill="0" applyBorder="0" applyAlignment="0" applyProtection="0">
      <alignment vertical="center"/>
    </xf>
    <xf numFmtId="346" fontId="21" fillId="0" borderId="0" applyFont="0" applyFill="0" applyBorder="0" applyAlignment="0" applyProtection="0">
      <alignment vertical="center"/>
    </xf>
    <xf numFmtId="0" fontId="159" fillId="128" borderId="0" applyNumberFormat="0" applyFont="0" applyBorder="0" applyAlignment="0" applyProtection="0">
      <alignment horizontal="centerContinuous"/>
    </xf>
    <xf numFmtId="295" fontId="21" fillId="0" borderId="0"/>
    <xf numFmtId="347" fontId="21" fillId="98" borderId="17" applyFont="0" applyFill="0" applyBorder="0" applyAlignment="0" applyProtection="0"/>
    <xf numFmtId="347" fontId="21" fillId="98" borderId="17" applyFont="0" applyFill="0" applyBorder="0" applyAlignment="0" applyProtection="0"/>
    <xf numFmtId="347" fontId="21" fillId="98" borderId="17" applyFont="0" applyFill="0" applyBorder="0" applyAlignment="0" applyProtection="0"/>
    <xf numFmtId="347" fontId="21" fillId="98" borderId="17" applyFont="0" applyFill="0" applyBorder="0" applyAlignment="0" applyProtection="0"/>
    <xf numFmtId="347" fontId="21" fillId="98" borderId="17" applyFont="0" applyFill="0" applyBorder="0" applyAlignment="0" applyProtection="0"/>
    <xf numFmtId="347" fontId="21" fillId="98" borderId="17" applyFont="0" applyFill="0" applyBorder="0" applyAlignment="0" applyProtection="0"/>
    <xf numFmtId="348" fontId="21" fillId="0" borderId="0" applyFont="0" applyFill="0" applyBorder="0" applyAlignment="0" applyProtection="0"/>
    <xf numFmtId="349" fontId="21" fillId="0" borderId="0" applyFont="0" applyFill="0" applyBorder="0" applyAlignment="0" applyProtection="0"/>
    <xf numFmtId="40" fontId="21" fillId="0" borderId="0"/>
    <xf numFmtId="243" fontId="21" fillId="0" borderId="0" applyNumberFormat="0" applyFill="0" applyBorder="0" applyAlignment="0" applyProtection="0"/>
    <xf numFmtId="0" fontId="21" fillId="0" borderId="0"/>
    <xf numFmtId="243" fontId="21" fillId="0" borderId="0" applyNumberFormat="0" applyFill="0" applyBorder="0" applyAlignment="0" applyProtection="0"/>
    <xf numFmtId="0" fontId="180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149" fillId="0" borderId="0" applyNumberFormat="0" applyFill="0" applyBorder="0" applyAlignment="0" applyProtection="0"/>
    <xf numFmtId="0" fontId="18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287" fontId="21" fillId="0" borderId="0">
      <alignment horizontal="center"/>
    </xf>
    <xf numFmtId="0" fontId="21" fillId="0" borderId="0">
      <alignment horizontal="center"/>
    </xf>
    <xf numFmtId="239" fontId="21" fillId="0" borderId="0">
      <alignment horizontal="center"/>
    </xf>
    <xf numFmtId="0" fontId="21" fillId="0" borderId="0">
      <alignment vertical="top"/>
    </xf>
    <xf numFmtId="1" fontId="21" fillId="0" borderId="0"/>
    <xf numFmtId="243" fontId="21" fillId="0" borderId="0" applyNumberFormat="0" applyFill="0" applyBorder="0" applyAlignment="0" applyProtection="0"/>
    <xf numFmtId="243" fontId="21" fillId="0" borderId="0" applyNumberFormat="0" applyFill="0" applyBorder="0" applyAlignment="0" applyProtection="0"/>
    <xf numFmtId="0" fontId="21" fillId="0" borderId="0" applyBorder="0"/>
    <xf numFmtId="0" fontId="21" fillId="0" borderId="0"/>
    <xf numFmtId="0" fontId="21" fillId="0" borderId="0"/>
    <xf numFmtId="0" fontId="21" fillId="0" borderId="0"/>
    <xf numFmtId="0" fontId="133" fillId="0" borderId="67" applyNumberFormat="0" applyFill="0" applyAlignment="0" applyProtection="0"/>
    <xf numFmtId="0" fontId="182" fillId="0" borderId="9" applyNumberFormat="0" applyFill="0" applyAlignment="0" applyProtection="0"/>
    <xf numFmtId="0" fontId="21" fillId="0" borderId="68" applyNumberFormat="0" applyFill="0" applyAlignment="0" applyProtection="0"/>
    <xf numFmtId="0" fontId="21" fillId="0" borderId="68" applyNumberFormat="0" applyFill="0" applyAlignment="0" applyProtection="0"/>
    <xf numFmtId="0" fontId="21" fillId="0" borderId="68" applyNumberFormat="0" applyFill="0" applyAlignment="0" applyProtection="0"/>
    <xf numFmtId="0" fontId="21" fillId="0" borderId="68" applyNumberFormat="0" applyFill="0" applyAlignment="0" applyProtection="0"/>
    <xf numFmtId="0" fontId="21" fillId="0" borderId="68" applyNumberFormat="0" applyFill="0" applyAlignment="0" applyProtection="0"/>
    <xf numFmtId="0" fontId="21" fillId="0" borderId="68" applyNumberFormat="0" applyFill="0" applyAlignment="0" applyProtection="0"/>
    <xf numFmtId="0" fontId="21" fillId="0" borderId="68" applyNumberFormat="0" applyFill="0" applyAlignment="0" applyProtection="0"/>
    <xf numFmtId="0" fontId="21" fillId="0" borderId="68" applyNumberFormat="0" applyFill="0" applyAlignment="0" applyProtection="0"/>
    <xf numFmtId="0" fontId="21" fillId="0" borderId="68" applyNumberFormat="0" applyFill="0" applyAlignment="0" applyProtection="0"/>
    <xf numFmtId="0" fontId="21" fillId="0" borderId="68" applyNumberFormat="0" applyFill="0" applyAlignment="0" applyProtection="0"/>
    <xf numFmtId="0" fontId="21" fillId="0" borderId="68" applyNumberFormat="0" applyFill="0" applyAlignment="0" applyProtection="0"/>
    <xf numFmtId="0" fontId="21" fillId="0" borderId="68" applyNumberFormat="0" applyFill="0" applyAlignment="0" applyProtection="0"/>
    <xf numFmtId="0" fontId="21" fillId="0" borderId="68" applyNumberFormat="0" applyFill="0" applyAlignment="0" applyProtection="0"/>
    <xf numFmtId="0" fontId="21" fillId="0" borderId="68" applyNumberFormat="0" applyFill="0" applyAlignment="0" applyProtection="0"/>
    <xf numFmtId="0" fontId="21" fillId="0" borderId="68" applyNumberFormat="0" applyFill="0" applyAlignment="0" applyProtection="0"/>
    <xf numFmtId="0" fontId="21" fillId="0" borderId="68" applyNumberFormat="0" applyFill="0" applyAlignment="0" applyProtection="0"/>
    <xf numFmtId="0" fontId="21" fillId="0" borderId="68" applyNumberFormat="0" applyFill="0" applyAlignment="0" applyProtection="0"/>
    <xf numFmtId="0" fontId="21" fillId="0" borderId="68" applyNumberFormat="0" applyFill="0" applyAlignment="0" applyProtection="0"/>
    <xf numFmtId="0" fontId="141" fillId="0" borderId="67" applyNumberFormat="0" applyFill="0" applyAlignment="0" applyProtection="0"/>
    <xf numFmtId="0" fontId="141" fillId="0" borderId="67" applyNumberFormat="0" applyFill="0" applyAlignment="0" applyProtection="0"/>
    <xf numFmtId="0" fontId="141" fillId="0" borderId="67" applyNumberFormat="0" applyFill="0" applyAlignment="0" applyProtection="0"/>
    <xf numFmtId="0" fontId="141" fillId="0" borderId="67" applyNumberFormat="0" applyFill="0" applyAlignment="0" applyProtection="0"/>
    <xf numFmtId="0" fontId="141" fillId="0" borderId="67" applyNumberFormat="0" applyFill="0" applyAlignment="0" applyProtection="0"/>
    <xf numFmtId="0" fontId="141" fillId="0" borderId="67" applyNumberFormat="0" applyFill="0" applyAlignment="0" applyProtection="0"/>
    <xf numFmtId="0" fontId="141" fillId="0" borderId="67" applyNumberFormat="0" applyFill="0" applyAlignment="0" applyProtection="0"/>
    <xf numFmtId="0" fontId="133" fillId="0" borderId="67" applyNumberFormat="0" applyFill="0" applyAlignment="0" applyProtection="0"/>
    <xf numFmtId="0" fontId="133" fillId="0" borderId="67" applyNumberFormat="0" applyFill="0" applyAlignment="0" applyProtection="0"/>
    <xf numFmtId="0" fontId="133" fillId="0" borderId="67" applyNumberFormat="0" applyFill="0" applyAlignment="0" applyProtection="0"/>
    <xf numFmtId="0" fontId="133" fillId="0" borderId="67" applyNumberFormat="0" applyFill="0" applyAlignment="0" applyProtection="0"/>
    <xf numFmtId="0" fontId="133" fillId="0" borderId="67" applyNumberFormat="0" applyFill="0" applyAlignment="0" applyProtection="0"/>
    <xf numFmtId="0" fontId="133" fillId="0" borderId="67" applyNumberFormat="0" applyFill="0" applyAlignment="0" applyProtection="0"/>
    <xf numFmtId="0" fontId="133" fillId="0" borderId="67" applyNumberFormat="0" applyFill="0" applyAlignment="0" applyProtection="0"/>
    <xf numFmtId="0" fontId="133" fillId="0" borderId="67" applyNumberFormat="0" applyFill="0" applyAlignment="0" applyProtection="0"/>
    <xf numFmtId="0" fontId="141" fillId="0" borderId="67" applyNumberFormat="0" applyFill="0" applyAlignment="0" applyProtection="0"/>
    <xf numFmtId="0" fontId="141" fillId="0" borderId="67" applyNumberFormat="0" applyFill="0" applyAlignment="0" applyProtection="0"/>
    <xf numFmtId="0" fontId="141" fillId="0" borderId="68" applyNumberFormat="0" applyFill="0" applyAlignment="0" applyProtection="0"/>
    <xf numFmtId="0" fontId="141" fillId="0" borderId="68" applyNumberFormat="0" applyFill="0" applyAlignment="0" applyProtection="0"/>
    <xf numFmtId="0" fontId="141" fillId="0" borderId="68" applyNumberFormat="0" applyFill="0" applyAlignment="0" applyProtection="0"/>
    <xf numFmtId="0" fontId="141" fillId="0" borderId="68" applyNumberFormat="0" applyFill="0" applyAlignment="0" applyProtection="0"/>
    <xf numFmtId="0" fontId="141" fillId="0" borderId="68" applyNumberFormat="0" applyFill="0" applyAlignment="0" applyProtection="0"/>
    <xf numFmtId="0" fontId="141" fillId="0" borderId="68" applyNumberFormat="0" applyFill="0" applyAlignment="0" applyProtection="0"/>
    <xf numFmtId="0" fontId="141" fillId="0" borderId="68" applyNumberFormat="0" applyFill="0" applyAlignment="0" applyProtection="0"/>
    <xf numFmtId="0" fontId="141" fillId="0" borderId="68" applyNumberFormat="0" applyFill="0" applyAlignment="0" applyProtection="0"/>
    <xf numFmtId="0" fontId="141" fillId="0" borderId="68" applyNumberFormat="0" applyFill="0" applyAlignment="0" applyProtection="0"/>
    <xf numFmtId="0" fontId="19" fillId="0" borderId="9" applyNumberFormat="0" applyFill="0" applyAlignment="0" applyProtection="0"/>
    <xf numFmtId="0" fontId="141" fillId="0" borderId="67" applyNumberFormat="0" applyFill="0" applyAlignment="0" applyProtection="0"/>
    <xf numFmtId="0" fontId="141" fillId="0" borderId="67" applyNumberFormat="0" applyFill="0" applyAlignment="0" applyProtection="0"/>
    <xf numFmtId="0" fontId="141" fillId="0" borderId="67" applyNumberFormat="0" applyFill="0" applyAlignment="0" applyProtection="0"/>
    <xf numFmtId="0" fontId="141" fillId="0" borderId="67" applyNumberFormat="0" applyFill="0" applyAlignment="0" applyProtection="0"/>
    <xf numFmtId="0" fontId="141" fillId="0" borderId="67" applyNumberFormat="0" applyFill="0" applyAlignment="0" applyProtection="0"/>
    <xf numFmtId="0" fontId="141" fillId="0" borderId="67" applyNumberFormat="0" applyFill="0" applyAlignment="0" applyProtection="0"/>
    <xf numFmtId="0" fontId="141" fillId="0" borderId="67" applyNumberFormat="0" applyFill="0" applyAlignment="0" applyProtection="0"/>
    <xf numFmtId="0" fontId="133" fillId="0" borderId="67" applyNumberFormat="0" applyFill="0" applyAlignment="0" applyProtection="0"/>
    <xf numFmtId="0" fontId="133" fillId="0" borderId="67" applyNumberFormat="0" applyFill="0" applyAlignment="0" applyProtection="0"/>
    <xf numFmtId="285" fontId="21" fillId="0" borderId="0" applyFill="0" applyBorder="0" applyProtection="0"/>
    <xf numFmtId="0" fontId="21" fillId="0" borderId="0" applyFill="0" applyBorder="0" applyProtection="0"/>
    <xf numFmtId="263" fontId="21" fillId="0" borderId="0">
      <alignment horizontal="right"/>
    </xf>
    <xf numFmtId="262" fontId="21" fillId="0" borderId="0" applyFont="0" applyFill="0" applyBorder="0" applyAlignment="0" applyProtection="0">
      <alignment vertical="center"/>
    </xf>
    <xf numFmtId="262" fontId="21" fillId="0" borderId="0" applyFont="0" applyFill="0" applyBorder="0" applyAlignment="0" applyProtection="0">
      <alignment vertical="center"/>
    </xf>
    <xf numFmtId="262" fontId="21" fillId="0" borderId="0" applyFont="0" applyFill="0" applyBorder="0" applyAlignment="0" applyProtection="0">
      <alignment vertical="center"/>
    </xf>
    <xf numFmtId="37" fontId="21" fillId="103" borderId="0" applyNumberFormat="0" applyBorder="0" applyAlignment="0" applyProtection="0"/>
    <xf numFmtId="37" fontId="21" fillId="0" borderId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3" fontId="21" fillId="0" borderId="56" applyProtection="0"/>
    <xf numFmtId="1" fontId="21" fillId="0" borderId="0" applyNumberFormat="0" applyFont="0" applyFill="0" applyBorder="0" applyAlignment="0">
      <alignment horizontal="left" vertical="center" wrapText="1"/>
      <protection locked="0"/>
    </xf>
    <xf numFmtId="1" fontId="21" fillId="0" borderId="0" applyNumberFormat="0" applyFont="0" applyFill="0" applyBorder="0" applyAlignment="0">
      <alignment horizontal="left" vertical="center" wrapText="1"/>
      <protection locked="0"/>
    </xf>
    <xf numFmtId="1" fontId="21" fillId="0" borderId="0" applyNumberFormat="0" applyFont="0" applyFill="0" applyBorder="0" applyAlignment="0">
      <alignment horizontal="left" vertical="center" wrapText="1"/>
      <protection locked="0"/>
    </xf>
    <xf numFmtId="303" fontId="21" fillId="0" borderId="0" applyNumberFormat="0" applyFill="0" applyBorder="0" applyAlignment="0" applyProtection="0"/>
    <xf numFmtId="0" fontId="183" fillId="82" borderId="0">
      <alignment horizontal="center"/>
    </xf>
    <xf numFmtId="0" fontId="183" fillId="82" borderId="0">
      <alignment horizontal="center"/>
    </xf>
    <xf numFmtId="350" fontId="21" fillId="0" borderId="0" applyFont="0" applyFill="0" applyBorder="0" applyAlignment="0" applyProtection="0">
      <alignment vertical="center"/>
    </xf>
    <xf numFmtId="350" fontId="21" fillId="0" borderId="0" applyFont="0" applyFill="0" applyBorder="0" applyAlignment="0" applyProtection="0">
      <alignment vertical="center"/>
    </xf>
    <xf numFmtId="350" fontId="21" fillId="0" borderId="0" applyFont="0" applyFill="0" applyBorder="0" applyAlignment="0" applyProtection="0">
      <alignment vertical="center"/>
    </xf>
    <xf numFmtId="351" fontId="21" fillId="0" borderId="0" applyFont="0" applyFill="0" applyBorder="0" applyAlignment="0" applyProtection="0">
      <alignment vertical="center"/>
    </xf>
    <xf numFmtId="351" fontId="21" fillId="0" borderId="0" applyFont="0" applyFill="0" applyBorder="0" applyAlignment="0" applyProtection="0">
      <alignment vertical="center"/>
    </xf>
    <xf numFmtId="351" fontId="21" fillId="0" borderId="0" applyFont="0" applyFill="0" applyBorder="0" applyAlignment="0" applyProtection="0">
      <alignment vertical="center"/>
    </xf>
    <xf numFmtId="352" fontId="21" fillId="0" borderId="0" applyFont="0" applyFill="0" applyBorder="0" applyAlignment="0" applyProtection="0"/>
    <xf numFmtId="353" fontId="21" fillId="0" borderId="0" applyFont="0" applyFill="0" applyBorder="0" applyAlignment="0" applyProtection="0"/>
    <xf numFmtId="0" fontId="21" fillId="0" borderId="0" applyNumberFormat="0" applyFont="0" applyFill="0" applyBorder="0" applyProtection="0">
      <alignment vertical="center"/>
    </xf>
    <xf numFmtId="42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134" fillId="0" borderId="0" applyNumberFormat="0" applyFill="0" applyBorder="0" applyAlignment="0" applyProtection="0"/>
    <xf numFmtId="0" fontId="184" fillId="0" borderId="0" applyNumberFormat="0" applyFill="0" applyBorder="0" applyAlignment="0" applyProtection="0"/>
    <xf numFmtId="0" fontId="185" fillId="0" borderId="0" applyNumberFormat="0" applyFill="0" applyBorder="0" applyAlignment="0" applyProtection="0"/>
    <xf numFmtId="0" fontId="101" fillId="0" borderId="0" applyNumberFormat="0" applyFill="0" applyBorder="0" applyAlignment="0" applyProtection="0"/>
    <xf numFmtId="0" fontId="101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21" fillId="0" borderId="0" applyNumberFormat="0" applyFont="0" applyFill="0" applyBorder="0" applyProtection="0">
      <alignment vertical="center" wrapText="1"/>
    </xf>
    <xf numFmtId="245" fontId="21" fillId="0" borderId="0" applyFont="0" applyFill="0" applyBorder="0" applyAlignment="0" applyProtection="0">
      <alignment horizontal="right"/>
    </xf>
    <xf numFmtId="285" fontId="21" fillId="0" borderId="0" applyFont="0" applyFill="0" applyBorder="0" applyProtection="0">
      <alignment horizontal="right"/>
    </xf>
    <xf numFmtId="354" fontId="21" fillId="0" borderId="0" applyFont="0" applyFill="0" applyBorder="0" applyAlignment="0" applyProtection="0"/>
    <xf numFmtId="355" fontId="21" fillId="0" borderId="0" applyFont="0" applyFill="0" applyBorder="0" applyAlignment="0" applyProtection="0"/>
    <xf numFmtId="285" fontId="21" fillId="0" borderId="0" applyFont="0" applyFill="0" applyBorder="0" applyProtection="0">
      <alignment horizontal="right"/>
    </xf>
    <xf numFmtId="0" fontId="21" fillId="129" borderId="69" applyNumberFormat="0" applyFont="0" applyBorder="0" applyAlignment="0" applyProtection="0">
      <alignment horizontal="right"/>
    </xf>
    <xf numFmtId="356" fontId="21" fillId="0" borderId="0" applyFont="0" applyFill="0" applyBorder="0" applyProtection="0">
      <alignment horizontal="right"/>
    </xf>
    <xf numFmtId="9" fontId="21" fillId="0" borderId="0" applyFont="0" applyFill="0" applyBorder="0" applyAlignment="0" applyProtection="0"/>
    <xf numFmtId="357" fontId="21" fillId="0" borderId="0" applyFont="0" applyFill="0" applyBorder="0" applyAlignment="0" applyProtection="0"/>
    <xf numFmtId="358" fontId="186" fillId="0" borderId="0" applyFont="0" applyFill="0" applyBorder="0" applyAlignment="0" applyProtection="0"/>
    <xf numFmtId="359" fontId="186" fillId="0" borderId="0" applyFont="0" applyFill="0" applyBorder="0" applyAlignment="0" applyProtection="0"/>
    <xf numFmtId="360" fontId="186" fillId="0" borderId="0" applyFont="0" applyFill="0" applyBorder="0" applyAlignment="0" applyProtection="0"/>
    <xf numFmtId="0" fontId="187" fillId="0" borderId="0"/>
    <xf numFmtId="0" fontId="188" fillId="0" borderId="0"/>
    <xf numFmtId="361" fontId="39" fillId="0" borderId="0" applyFont="0" applyFill="0" applyBorder="0" applyAlignment="0" applyProtection="0"/>
    <xf numFmtId="362" fontId="39" fillId="0" borderId="0" applyFont="0" applyFill="0" applyBorder="0" applyAlignment="0" applyProtection="0"/>
    <xf numFmtId="43" fontId="189" fillId="0" borderId="0" applyFont="0" applyFill="0" applyBorder="0" applyAlignment="0" applyProtection="0"/>
    <xf numFmtId="9" fontId="190" fillId="0" borderId="0" applyFont="0" applyFill="0" applyBorder="0" applyAlignment="0" applyProtection="0"/>
    <xf numFmtId="0" fontId="40" fillId="0" borderId="0"/>
    <xf numFmtId="44" fontId="197" fillId="0" borderId="0" applyFont="0" applyFill="0" applyBorder="0" applyAlignment="0" applyProtection="0"/>
    <xf numFmtId="0" fontId="21" fillId="0" borderId="0"/>
    <xf numFmtId="0" fontId="21" fillId="0" borderId="0"/>
    <xf numFmtId="0" fontId="3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2" borderId="0" applyNumberFormat="0" applyBorder="0" applyAlignment="0" applyProtection="0"/>
    <xf numFmtId="0" fontId="10" fillId="3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4" applyNumberFormat="0" applyAlignment="0" applyProtection="0"/>
    <xf numFmtId="0" fontId="13" fillId="6" borderId="5" applyNumberFormat="0" applyAlignment="0" applyProtection="0"/>
    <xf numFmtId="0" fontId="14" fillId="6" borderId="4" applyNumberFormat="0" applyAlignment="0" applyProtection="0"/>
    <xf numFmtId="0" fontId="15" fillId="0" borderId="6" applyNumberFormat="0" applyFill="0" applyAlignment="0" applyProtection="0"/>
    <xf numFmtId="0" fontId="16" fillId="7" borderId="7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20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0" fillId="16" borderId="0" applyNumberFormat="0" applyBorder="0" applyAlignment="0" applyProtection="0"/>
    <xf numFmtId="0" fontId="20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0" fillId="20" borderId="0" applyNumberFormat="0" applyBorder="0" applyAlignment="0" applyProtection="0"/>
    <xf numFmtId="0" fontId="20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0" fillId="24" borderId="0" applyNumberFormat="0" applyBorder="0" applyAlignment="0" applyProtection="0"/>
    <xf numFmtId="0" fontId="20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0" fillId="28" borderId="0" applyNumberFormat="0" applyBorder="0" applyAlignment="0" applyProtection="0"/>
    <xf numFmtId="0" fontId="20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0" fillId="32" borderId="0" applyNumberFormat="0" applyBorder="0" applyAlignment="0" applyProtection="0"/>
    <xf numFmtId="0" fontId="62" fillId="0" borderId="0"/>
    <xf numFmtId="0" fontId="62" fillId="0" borderId="0"/>
    <xf numFmtId="9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0" fontId="62" fillId="0" borderId="0"/>
    <xf numFmtId="9" fontId="62" fillId="0" borderId="0" applyFont="0" applyFill="0" applyBorder="0" applyAlignment="0" applyProtection="0"/>
    <xf numFmtId="0" fontId="62" fillId="0" borderId="0"/>
    <xf numFmtId="44" fontId="62" fillId="0" borderId="0" applyFont="0" applyFill="0" applyBorder="0" applyAlignment="0" applyProtection="0"/>
    <xf numFmtId="0" fontId="61" fillId="82" borderId="86" applyNumberFormat="0" applyAlignment="0" applyProtection="0"/>
    <xf numFmtId="0" fontId="61" fillId="82" borderId="93" applyNumberFormat="0" applyAlignment="0" applyProtection="0"/>
    <xf numFmtId="9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4" fontId="62" fillId="0" borderId="0" applyFont="0" applyFill="0" applyBorder="0" applyAlignment="0" applyProtection="0"/>
    <xf numFmtId="44" fontId="62" fillId="0" borderId="0" applyFont="0" applyFill="0" applyBorder="0" applyAlignment="0" applyProtection="0"/>
    <xf numFmtId="0" fontId="147" fillId="82" borderId="91" applyNumberFormat="0" applyAlignment="0" applyProtection="0"/>
    <xf numFmtId="0" fontId="104" fillId="0" borderId="70">
      <alignment horizontal="left" vertical="center"/>
    </xf>
    <xf numFmtId="10" fontId="62" fillId="98" borderId="87" applyNumberFormat="0" applyBorder="0" applyAlignment="0" applyProtection="0"/>
    <xf numFmtId="0" fontId="125" fillId="37" borderId="86" applyNumberFormat="0" applyAlignment="0" applyProtection="0"/>
    <xf numFmtId="0" fontId="125" fillId="37" borderId="86" applyNumberFormat="0" applyAlignment="0" applyProtection="0"/>
    <xf numFmtId="0" fontId="125" fillId="37" borderId="86" applyNumberFormat="0" applyAlignment="0" applyProtection="0"/>
    <xf numFmtId="0" fontId="125" fillId="37" borderId="86" applyNumberFormat="0" applyAlignment="0" applyProtection="0"/>
    <xf numFmtId="0" fontId="223" fillId="0" borderId="0"/>
    <xf numFmtId="0" fontId="2" fillId="0" borderId="0"/>
    <xf numFmtId="0" fontId="2" fillId="0" borderId="0"/>
    <xf numFmtId="0" fontId="21" fillId="45" borderId="88" applyNumberFormat="0" applyFont="0" applyAlignment="0" applyProtection="0"/>
    <xf numFmtId="0" fontId="147" fillId="82" borderId="89" applyNumberFormat="0" applyAlignment="0" applyProtection="0"/>
    <xf numFmtId="40" fontId="28" fillId="34" borderId="0">
      <alignment horizontal="right"/>
    </xf>
    <xf numFmtId="0" fontId="151" fillId="108" borderId="0">
      <alignment horizontal="center"/>
    </xf>
    <xf numFmtId="0" fontId="26" fillId="34" borderId="19"/>
    <xf numFmtId="0" fontId="153" fillId="0" borderId="0" applyBorder="0">
      <alignment horizontal="centerContinuous"/>
    </xf>
    <xf numFmtId="0" fontId="154" fillId="35" borderId="0" applyBorder="0">
      <alignment horizontal="centerContinuous"/>
    </xf>
    <xf numFmtId="9" fontId="62" fillId="0" borderId="0" applyFont="0" applyFill="0" applyBorder="0" applyAlignment="0" applyProtection="0"/>
    <xf numFmtId="44" fontId="62" fillId="0" borderId="0" applyFont="0" applyFill="0" applyBorder="0" applyAlignment="0" applyProtection="0"/>
    <xf numFmtId="0" fontId="62" fillId="0" borderId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0" fontId="133" fillId="0" borderId="90" applyNumberFormat="0" applyFill="0" applyAlignment="0" applyProtection="0"/>
    <xf numFmtId="0" fontId="62" fillId="0" borderId="0"/>
    <xf numFmtId="44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0" fontId="62" fillId="0" borderId="0"/>
    <xf numFmtId="44" fontId="6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43" fontId="62" fillId="0" borderId="0" applyFont="0" applyFill="0" applyBorder="0" applyAlignment="0" applyProtection="0"/>
    <xf numFmtId="0" fontId="104" fillId="0" borderId="94">
      <alignment horizontal="left" vertical="center"/>
    </xf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0" fontId="62" fillId="0" borderId="0"/>
    <xf numFmtId="0" fontId="133" fillId="0" borderId="92" applyNumberFormat="0" applyFill="0" applyAlignment="0" applyProtection="0"/>
    <xf numFmtId="0" fontId="2" fillId="0" borderId="0"/>
    <xf numFmtId="0" fontId="2" fillId="8" borderId="8" applyNumberFormat="0" applyFont="0" applyAlignment="0" applyProtection="0"/>
    <xf numFmtId="0" fontId="26" fillId="34" borderId="19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43" fontId="62" fillId="0" borderId="0" applyFont="0" applyFill="0" applyBorder="0" applyAlignment="0" applyProtection="0"/>
    <xf numFmtId="0" fontId="62" fillId="0" borderId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62" fillId="0" borderId="0"/>
    <xf numFmtId="0" fontId="62" fillId="0" borderId="0"/>
    <xf numFmtId="9" fontId="62" fillId="0" borderId="0" applyFont="0" applyFill="0" applyBorder="0" applyAlignment="0" applyProtection="0"/>
    <xf numFmtId="44" fontId="62" fillId="0" borderId="0" applyFont="0" applyFill="0" applyBorder="0" applyAlignment="0" applyProtection="0"/>
    <xf numFmtId="44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0" fontId="125" fillId="37" borderId="93" applyNumberFormat="0" applyAlignment="0" applyProtection="0"/>
    <xf numFmtId="0" fontId="125" fillId="37" borderId="93" applyNumberFormat="0" applyAlignment="0" applyProtection="0"/>
    <xf numFmtId="43" fontId="62" fillId="0" borderId="0" applyFont="0" applyFill="0" applyBorder="0" applyAlignment="0" applyProtection="0"/>
    <xf numFmtId="0" fontId="125" fillId="37" borderId="93" applyNumberFormat="0" applyAlignment="0" applyProtection="0"/>
    <xf numFmtId="0" fontId="125" fillId="37" borderId="93" applyNumberFormat="0" applyAlignment="0" applyProtection="0"/>
    <xf numFmtId="44" fontId="62" fillId="0" borderId="0" applyFont="0" applyFill="0" applyBorder="0" applyAlignment="0" applyProtection="0"/>
    <xf numFmtId="44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4" fontId="62" fillId="0" borderId="0" applyFont="0" applyFill="0" applyBorder="0" applyAlignment="0" applyProtection="0"/>
    <xf numFmtId="0" fontId="21" fillId="45" borderId="95" applyNumberFormat="0" applyFont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0" fillId="45" borderId="0" applyNumberFormat="0" applyBorder="0" applyAlignment="0" applyProtection="0"/>
    <xf numFmtId="0" fontId="44" fillId="63" borderId="0" applyNumberFormat="0" applyBorder="0" applyAlignment="0" applyProtection="0"/>
    <xf numFmtId="9" fontId="1" fillId="0" borderId="0" applyFont="0" applyFill="0" applyBorder="0" applyAlignment="0" applyProtection="0"/>
    <xf numFmtId="0" fontId="44" fillId="50" borderId="0" applyNumberFormat="0" applyBorder="0" applyAlignment="0" applyProtection="0"/>
    <xf numFmtId="43" fontId="1" fillId="0" borderId="0" applyFont="0" applyFill="0" applyBorder="0" applyAlignment="0" applyProtection="0"/>
    <xf numFmtId="0" fontId="40" fillId="38" borderId="0" applyNumberFormat="0" applyBorder="0" applyAlignment="0" applyProtection="0"/>
    <xf numFmtId="0" fontId="40" fillId="38" borderId="0" applyNumberFormat="0" applyBorder="0" applyAlignment="0" applyProtection="0"/>
    <xf numFmtId="0" fontId="40" fillId="42" borderId="0" applyNumberFormat="0" applyBorder="0" applyAlignment="0" applyProtection="0"/>
    <xf numFmtId="0" fontId="40" fillId="42" borderId="0" applyNumberFormat="0" applyBorder="0" applyAlignment="0" applyProtection="0"/>
    <xf numFmtId="0" fontId="40" fillId="45" borderId="0" applyNumberFormat="0" applyBorder="0" applyAlignment="0" applyProtection="0"/>
    <xf numFmtId="0" fontId="40" fillId="45" borderId="0" applyNumberFormat="0" applyBorder="0" applyAlignment="0" applyProtection="0"/>
    <xf numFmtId="0" fontId="40" fillId="39" borderId="0" applyNumberFormat="0" applyBorder="0" applyAlignment="0" applyProtection="0"/>
    <xf numFmtId="0" fontId="40" fillId="39" borderId="0" applyNumberFormat="0" applyBorder="0" applyAlignment="0" applyProtection="0"/>
    <xf numFmtId="0" fontId="40" fillId="45" borderId="0" applyNumberFormat="0" applyBorder="0" applyAlignment="0" applyProtection="0"/>
    <xf numFmtId="0" fontId="40" fillId="45" borderId="0" applyNumberFormat="0" applyBorder="0" applyAlignment="0" applyProtection="0"/>
    <xf numFmtId="0" fontId="40" fillId="50" borderId="0" applyNumberFormat="0" applyBorder="0" applyAlignment="0" applyProtection="0"/>
    <xf numFmtId="0" fontId="40" fillId="50" borderId="0" applyNumberFormat="0" applyBorder="0" applyAlignment="0" applyProtection="0"/>
    <xf numFmtId="0" fontId="40" fillId="37" borderId="0" applyNumberFormat="0" applyBorder="0" applyAlignment="0" applyProtection="0"/>
    <xf numFmtId="0" fontId="40" fillId="37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50" borderId="0" applyNumberFormat="0" applyBorder="0" applyAlignment="0" applyProtection="0"/>
    <xf numFmtId="0" fontId="40" fillId="50" borderId="0" applyNumberFormat="0" applyBorder="0" applyAlignment="0" applyProtection="0"/>
    <xf numFmtId="0" fontId="40" fillId="45" borderId="0" applyNumberFormat="0" applyBorder="0" applyAlignment="0" applyProtection="0"/>
    <xf numFmtId="0" fontId="40" fillId="45" borderId="0" applyNumberFormat="0" applyBorder="0" applyAlignment="0" applyProtection="0"/>
    <xf numFmtId="0" fontId="44" fillId="50" borderId="0" applyNumberFormat="0" applyBorder="0" applyAlignment="0" applyProtection="0"/>
    <xf numFmtId="0" fontId="44" fillId="50" borderId="0" applyNumberFormat="0" applyBorder="0" applyAlignment="0" applyProtection="0"/>
    <xf numFmtId="0" fontId="44" fillId="63" borderId="0" applyNumberFormat="0" applyBorder="0" applyAlignment="0" applyProtection="0"/>
    <xf numFmtId="0" fontId="44" fillId="63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43" borderId="0" applyNumberFormat="0" applyBorder="0" applyAlignment="0" applyProtection="0"/>
    <xf numFmtId="0" fontId="44" fillId="43" borderId="0" applyNumberFormat="0" applyBorder="0" applyAlignment="0" applyProtection="0"/>
    <xf numFmtId="0" fontId="44" fillId="50" borderId="0" applyNumberFormat="0" applyBorder="0" applyAlignment="0" applyProtection="0"/>
    <xf numFmtId="0" fontId="44" fillId="50" borderId="0" applyNumberFormat="0" applyBorder="0" applyAlignment="0" applyProtection="0"/>
    <xf numFmtId="0" fontId="44" fillId="42" borderId="0" applyNumberFormat="0" applyBorder="0" applyAlignment="0" applyProtection="0"/>
    <xf numFmtId="0" fontId="44" fillId="42" borderId="0" applyNumberFormat="0" applyBorder="0" applyAlignment="0" applyProtection="0"/>
    <xf numFmtId="0" fontId="44" fillId="69" borderId="0" applyNumberFormat="0" applyBorder="0" applyAlignment="0" applyProtection="0"/>
    <xf numFmtId="0" fontId="44" fillId="69" borderId="0" applyNumberFormat="0" applyBorder="0" applyAlignment="0" applyProtection="0"/>
    <xf numFmtId="0" fontId="44" fillId="63" borderId="0" applyNumberFormat="0" applyBorder="0" applyAlignment="0" applyProtection="0"/>
    <xf numFmtId="0" fontId="44" fillId="63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76" borderId="0" applyNumberFormat="0" applyBorder="0" applyAlignment="0" applyProtection="0"/>
    <xf numFmtId="0" fontId="44" fillId="76" borderId="0" applyNumberFormat="0" applyBorder="0" applyAlignment="0" applyProtection="0"/>
    <xf numFmtId="0" fontId="44" fillId="72" borderId="0" applyNumberFormat="0" applyBorder="0" applyAlignment="0" applyProtection="0"/>
    <xf numFmtId="0" fontId="44" fillId="72" borderId="0" applyNumberFormat="0" applyBorder="0" applyAlignment="0" applyProtection="0"/>
    <xf numFmtId="0" fontId="51" fillId="48" borderId="0" applyNumberFormat="0" applyBorder="0" applyAlignment="0" applyProtection="0"/>
    <xf numFmtId="0" fontId="51" fillId="48" borderId="0" applyNumberFormat="0" applyBorder="0" applyAlignment="0" applyProtection="0"/>
    <xf numFmtId="0" fontId="66" fillId="82" borderId="39" applyNumberFormat="0" applyAlignment="0" applyProtection="0"/>
    <xf numFmtId="0" fontId="66" fillId="82" borderId="39" applyNumberFormat="0" applyAlignment="0" applyProtection="0"/>
    <xf numFmtId="41" fontId="40" fillId="0" borderId="0" applyFont="0" applyFill="0" applyBorder="0" applyAlignment="0" applyProtection="0"/>
    <xf numFmtId="41" fontId="40" fillId="0" borderId="0" applyFont="0" applyFill="0" applyBorder="0" applyAlignment="0" applyProtection="0"/>
    <xf numFmtId="41" fontId="21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40" fillId="0" borderId="0" applyFont="0" applyFill="0" applyBorder="0" applyAlignment="0" applyProtection="0"/>
    <xf numFmtId="42" fontId="40" fillId="0" borderId="0" applyFont="0" applyFill="0" applyBorder="0" applyAlignment="0" applyProtection="0"/>
    <xf numFmtId="42" fontId="40" fillId="0" borderId="0" applyFont="0" applyFill="0" applyBorder="0" applyAlignment="0" applyProtection="0"/>
    <xf numFmtId="42" fontId="21" fillId="0" borderId="0" applyFont="0" applyFill="0" applyBorder="0" applyAlignment="0" applyProtection="0"/>
    <xf numFmtId="44" fontId="21" fillId="0" borderId="0" applyFont="0" applyFill="0" applyBorder="0" applyAlignment="0" applyProtection="0">
      <alignment wrapText="1"/>
    </xf>
    <xf numFmtId="44" fontId="40" fillId="0" borderId="0" applyFont="0" applyFill="0" applyBorder="0" applyAlignment="0" applyProtection="0"/>
    <xf numFmtId="44" fontId="40" fillId="0" borderId="0" applyFont="0" applyFill="0" applyBorder="0" applyAlignment="0" applyProtection="0"/>
    <xf numFmtId="44" fontId="40" fillId="0" borderId="0" applyFont="0" applyFill="0" applyBorder="0" applyAlignment="0" applyProtection="0"/>
    <xf numFmtId="44" fontId="40" fillId="0" borderId="0" applyFont="0" applyFill="0" applyBorder="0" applyAlignment="0" applyProtection="0"/>
    <xf numFmtId="0" fontId="102" fillId="50" borderId="0" applyNumberFormat="0" applyBorder="0" applyAlignment="0" applyProtection="0"/>
    <xf numFmtId="38" fontId="62" fillId="35" borderId="0" applyNumberFormat="0" applyBorder="0" applyAlignment="0" applyProtection="0"/>
    <xf numFmtId="38" fontId="62" fillId="35" borderId="0" applyNumberFormat="0" applyBorder="0" applyAlignment="0" applyProtection="0"/>
    <xf numFmtId="0" fontId="107" fillId="0" borderId="49" applyNumberFormat="0" applyFill="0" applyAlignment="0" applyProtection="0"/>
    <xf numFmtId="0" fontId="112" fillId="0" borderId="51" applyNumberFormat="0" applyFill="0" applyAlignment="0" applyProtection="0"/>
    <xf numFmtId="0" fontId="44" fillId="58" borderId="0" applyNumberFormat="0" applyBorder="0" applyAlignment="0" applyProtection="0"/>
    <xf numFmtId="0" fontId="116" fillId="0" borderId="53" applyNumberFormat="0" applyFill="0" applyAlignment="0" applyProtection="0"/>
    <xf numFmtId="0" fontId="116" fillId="0" borderId="0" applyNumberFormat="0" applyFill="0" applyBorder="0" applyAlignment="0" applyProtection="0"/>
    <xf numFmtId="0" fontId="44" fillId="63" borderId="0" applyNumberFormat="0" applyBorder="0" applyAlignment="0" applyProtection="0"/>
    <xf numFmtId="0" fontId="44" fillId="69" borderId="0" applyNumberFormat="0" applyBorder="0" applyAlignment="0" applyProtection="0"/>
    <xf numFmtId="10" fontId="62" fillId="98" borderId="87" applyNumberFormat="0" applyBorder="0" applyAlignment="0" applyProtection="0"/>
    <xf numFmtId="10" fontId="62" fillId="98" borderId="87" applyNumberFormat="0" applyBorder="0" applyAlignment="0" applyProtection="0"/>
    <xf numFmtId="0" fontId="124" fillId="37" borderId="39" applyNumberFormat="0" applyAlignment="0" applyProtection="0"/>
    <xf numFmtId="0" fontId="124" fillId="37" borderId="39" applyNumberFormat="0" applyAlignment="0" applyProtection="0"/>
    <xf numFmtId="0" fontId="124" fillId="37" borderId="39" applyNumberFormat="0" applyAlignment="0" applyProtection="0"/>
    <xf numFmtId="0" fontId="124" fillId="37" borderId="39" applyNumberFormat="0" applyAlignment="0" applyProtection="0"/>
    <xf numFmtId="0" fontId="124" fillId="37" borderId="39" applyNumberFormat="0" applyAlignment="0" applyProtection="0"/>
    <xf numFmtId="0" fontId="44" fillId="42" borderId="0" applyNumberFormat="0" applyBorder="0" applyAlignment="0" applyProtection="0"/>
    <xf numFmtId="0" fontId="124" fillId="37" borderId="39" applyNumberFormat="0" applyAlignment="0" applyProtection="0"/>
    <xf numFmtId="0" fontId="124" fillId="37" borderId="39" applyNumberFormat="0" applyAlignment="0" applyProtection="0"/>
    <xf numFmtId="0" fontId="124" fillId="37" borderId="39" applyNumberFormat="0" applyAlignment="0" applyProtection="0"/>
    <xf numFmtId="0" fontId="124" fillId="37" borderId="39" applyNumberFormat="0" applyAlignment="0" applyProtection="0"/>
    <xf numFmtId="0" fontId="124" fillId="37" borderId="39" applyNumberFormat="0" applyAlignment="0" applyProtection="0"/>
    <xf numFmtId="0" fontId="124" fillId="37" borderId="39" applyNumberFormat="0" applyAlignment="0" applyProtection="0"/>
    <xf numFmtId="0" fontId="124" fillId="37" borderId="39" applyNumberFormat="0" applyAlignment="0" applyProtection="0"/>
    <xf numFmtId="0" fontId="44" fillId="50" borderId="0" applyNumberFormat="0" applyBorder="0" applyAlignment="0" applyProtection="0"/>
    <xf numFmtId="0" fontId="101" fillId="0" borderId="58" applyNumberFormat="0" applyFill="0" applyAlignment="0" applyProtection="0"/>
    <xf numFmtId="0" fontId="142" fillId="37" borderId="0" applyNumberFormat="0" applyBorder="0" applyAlignment="0" applyProtection="0"/>
    <xf numFmtId="0" fontId="44" fillId="43" borderId="0" applyNumberFormat="0" applyBorder="0" applyAlignment="0" applyProtection="0"/>
    <xf numFmtId="0" fontId="44" fillId="58" borderId="0" applyNumberFormat="0" applyBorder="0" applyAlignment="0" applyProtection="0"/>
    <xf numFmtId="0" fontId="44" fillId="63" borderId="0" applyNumberFormat="0" applyBorder="0" applyAlignment="0" applyProtection="0"/>
    <xf numFmtId="0" fontId="44" fillId="50" borderId="0" applyNumberFormat="0" applyBorder="0" applyAlignment="0" applyProtection="0"/>
    <xf numFmtId="0" fontId="1" fillId="0" borderId="0"/>
    <xf numFmtId="0" fontId="51" fillId="48" borderId="0" applyNumberFormat="0" applyBorder="0" applyAlignment="0" applyProtection="0"/>
    <xf numFmtId="0" fontId="40" fillId="45" borderId="0" applyNumberFormat="0" applyBorder="0" applyAlignment="0" applyProtection="0"/>
    <xf numFmtId="0" fontId="44" fillId="72" borderId="0" applyNumberFormat="0" applyBorder="0" applyAlignment="0" applyProtection="0"/>
    <xf numFmtId="0" fontId="40" fillId="50" borderId="0" applyNumberFormat="0" applyBorder="0" applyAlignment="0" applyProtection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40" fillId="37" borderId="0" applyNumberFormat="0" applyBorder="0" applyAlignment="0" applyProtection="0"/>
    <xf numFmtId="0" fontId="21" fillId="0" borderId="0">
      <alignment wrapText="1"/>
    </xf>
    <xf numFmtId="0" fontId="21" fillId="0" borderId="0">
      <alignment wrapText="1"/>
    </xf>
    <xf numFmtId="0" fontId="44" fillId="69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44" fillId="42" borderId="0" applyNumberFormat="0" applyBorder="0" applyAlignment="0" applyProtection="0"/>
    <xf numFmtId="0" fontId="1" fillId="0" borderId="0"/>
    <xf numFmtId="0" fontId="44" fillId="50" borderId="0" applyNumberFormat="0" applyBorder="0" applyAlignment="0" applyProtection="0"/>
    <xf numFmtId="0" fontId="1" fillId="0" borderId="0"/>
    <xf numFmtId="0" fontId="40" fillId="50" borderId="0" applyNumberFormat="0" applyBorder="0" applyAlignment="0" applyProtection="0"/>
    <xf numFmtId="0" fontId="44" fillId="43" borderId="0" applyNumberFormat="0" applyBorder="0" applyAlignment="0" applyProtection="0"/>
    <xf numFmtId="0" fontId="21" fillId="45" borderId="60" applyNumberFormat="0" applyFont="0" applyAlignment="0" applyProtection="0"/>
    <xf numFmtId="0" fontId="149" fillId="82" borderId="61" applyNumberFormat="0" applyAlignment="0" applyProtection="0"/>
    <xf numFmtId="0" fontId="44" fillId="58" borderId="0" applyNumberFormat="0" applyBorder="0" applyAlignment="0" applyProtection="0"/>
    <xf numFmtId="0" fontId="40" fillId="45" borderId="0" applyNumberFormat="0" applyBorder="0" applyAlignment="0" applyProtection="0"/>
    <xf numFmtId="0" fontId="40" fillId="50" borderId="0" applyNumberFormat="0" applyBorder="0" applyAlignment="0" applyProtection="0"/>
    <xf numFmtId="0" fontId="40" fillId="39" borderId="0" applyNumberFormat="0" applyBorder="0" applyAlignment="0" applyProtection="0"/>
    <xf numFmtId="0" fontId="40" fillId="43" borderId="0" applyNumberFormat="0" applyBorder="0" applyAlignment="0" applyProtection="0"/>
    <xf numFmtId="0" fontId="40" fillId="37" borderId="0" applyNumberFormat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40" fillId="45" borderId="0" applyNumberFormat="0" applyBorder="0" applyAlignment="0" applyProtection="0"/>
    <xf numFmtId="0" fontId="40" fillId="42" borderId="0" applyNumberFormat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0" fillId="50" borderId="0" applyNumberFormat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0" fillId="45" borderId="0" applyNumberFormat="0" applyBorder="0" applyAlignment="0" applyProtection="0"/>
    <xf numFmtId="0" fontId="40" fillId="38" borderId="0" applyNumberFormat="0" applyBorder="0" applyAlignment="0" applyProtection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0" fillId="39" borderId="0" applyNumberFormat="0" applyBorder="0" applyAlignment="0" applyProtection="0"/>
    <xf numFmtId="0" fontId="40" fillId="45" borderId="0" applyNumberFormat="0" applyBorder="0" applyAlignment="0" applyProtection="0"/>
    <xf numFmtId="0" fontId="40" fillId="42" borderId="0" applyNumberFormat="0" applyBorder="0" applyAlignment="0" applyProtection="0"/>
    <xf numFmtId="9" fontId="21" fillId="0" borderId="0" applyFont="0" applyFill="0" applyBorder="0" applyAlignment="0" applyProtection="0"/>
    <xf numFmtId="0" fontId="40" fillId="38" borderId="0" applyNumberFormat="0" applyBorder="0" applyAlignment="0" applyProtection="0"/>
    <xf numFmtId="0" fontId="40" fillId="45" borderId="0" applyNumberFormat="0" applyBorder="0" applyAlignment="0" applyProtection="0"/>
    <xf numFmtId="0" fontId="44" fillId="72" borderId="0" applyNumberFormat="0" applyBorder="0" applyAlignment="0" applyProtection="0"/>
    <xf numFmtId="0" fontId="180" fillId="0" borderId="0" applyNumberFormat="0" applyFill="0" applyBorder="0" applyAlignment="0" applyProtection="0"/>
    <xf numFmtId="0" fontId="141" fillId="0" borderId="67" applyNumberFormat="0" applyFill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44" fillId="76" borderId="0" applyNumberFormat="0" applyBorder="0" applyAlignment="0" applyProtection="0"/>
    <xf numFmtId="43" fontId="21" fillId="0" borderId="0" applyFont="0" applyFill="0" applyBorder="0" applyAlignment="0" applyProtection="0"/>
    <xf numFmtId="0" fontId="40" fillId="43" borderId="0" applyNumberFormat="0" applyBorder="0" applyAlignment="0" applyProtection="0"/>
    <xf numFmtId="0" fontId="44" fillId="58" borderId="0" applyNumberFormat="0" applyBorder="0" applyAlignment="0" applyProtection="0"/>
    <xf numFmtId="0" fontId="44" fillId="63" borderId="0" applyNumberFormat="0" applyBorder="0" applyAlignment="0" applyProtection="0"/>
    <xf numFmtId="0" fontId="51" fillId="48" borderId="0" applyNumberFormat="0" applyBorder="0" applyAlignment="0" applyProtection="0"/>
    <xf numFmtId="0" fontId="44" fillId="63" borderId="0" applyNumberFormat="0" applyBorder="0" applyAlignment="0" applyProtection="0"/>
    <xf numFmtId="0" fontId="40" fillId="45" borderId="0" applyNumberFormat="0" applyBorder="0" applyAlignment="0" applyProtection="0"/>
    <xf numFmtId="0" fontId="40" fillId="50" borderId="0" applyNumberFormat="0" applyBorder="0" applyAlignment="0" applyProtection="0"/>
    <xf numFmtId="0" fontId="40" fillId="43" borderId="0" applyNumberFormat="0" applyBorder="0" applyAlignment="0" applyProtection="0"/>
    <xf numFmtId="0" fontId="40" fillId="50" borderId="0" applyNumberFormat="0" applyBorder="0" applyAlignment="0" applyProtection="0"/>
    <xf numFmtId="0" fontId="51" fillId="48" borderId="0" applyNumberFormat="0" applyBorder="0" applyAlignment="0" applyProtection="0"/>
    <xf numFmtId="0" fontId="44" fillId="76" borderId="0" applyNumberFormat="0" applyBorder="0" applyAlignment="0" applyProtection="0"/>
    <xf numFmtId="0" fontId="44" fillId="58" borderId="0" applyNumberFormat="0" applyBorder="0" applyAlignment="0" applyProtection="0"/>
    <xf numFmtId="0" fontId="44" fillId="63" borderId="0" applyNumberFormat="0" applyBorder="0" applyAlignment="0" applyProtection="0"/>
    <xf numFmtId="0" fontId="44" fillId="69" borderId="0" applyNumberFormat="0" applyBorder="0" applyAlignment="0" applyProtection="0"/>
    <xf numFmtId="0" fontId="44" fillId="42" borderId="0" applyNumberFormat="0" applyBorder="0" applyAlignment="0" applyProtection="0"/>
    <xf numFmtId="0" fontId="44" fillId="50" borderId="0" applyNumberFormat="0" applyBorder="0" applyAlignment="0" applyProtection="0"/>
    <xf numFmtId="0" fontId="44" fillId="43" borderId="0" applyNumberFormat="0" applyBorder="0" applyAlignment="0" applyProtection="0"/>
    <xf numFmtId="0" fontId="44" fillId="58" borderId="0" applyNumberFormat="0" applyBorder="0" applyAlignment="0" applyProtection="0"/>
    <xf numFmtId="0" fontId="44" fillId="63" borderId="0" applyNumberFormat="0" applyBorder="0" applyAlignment="0" applyProtection="0"/>
    <xf numFmtId="0" fontId="44" fillId="50" borderId="0" applyNumberFormat="0" applyBorder="0" applyAlignment="0" applyProtection="0"/>
    <xf numFmtId="0" fontId="40" fillId="45" borderId="0" applyNumberFormat="0" applyBorder="0" applyAlignment="0" applyProtection="0"/>
    <xf numFmtId="0" fontId="40" fillId="50" borderId="0" applyNumberFormat="0" applyBorder="0" applyAlignment="0" applyProtection="0"/>
    <xf numFmtId="0" fontId="40" fillId="43" borderId="0" applyNumberFormat="0" applyBorder="0" applyAlignment="0" applyProtection="0"/>
    <xf numFmtId="0" fontId="40" fillId="37" borderId="0" applyNumberFormat="0" applyBorder="0" applyAlignment="0" applyProtection="0"/>
    <xf numFmtId="0" fontId="40" fillId="50" borderId="0" applyNumberFormat="0" applyBorder="0" applyAlignment="0" applyProtection="0"/>
    <xf numFmtId="0" fontId="40" fillId="45" borderId="0" applyNumberFormat="0" applyBorder="0" applyAlignment="0" applyProtection="0"/>
    <xf numFmtId="0" fontId="40" fillId="39" borderId="0" applyNumberFormat="0" applyBorder="0" applyAlignment="0" applyProtection="0"/>
    <xf numFmtId="0" fontId="40" fillId="45" borderId="0" applyNumberFormat="0" applyBorder="0" applyAlignment="0" applyProtection="0"/>
    <xf numFmtId="9" fontId="1" fillId="0" borderId="0" applyFont="0" applyFill="0" applyBorder="0" applyAlignment="0" applyProtection="0"/>
    <xf numFmtId="0" fontId="40" fillId="42" borderId="0" applyNumberFormat="0" applyBorder="0" applyAlignment="0" applyProtection="0"/>
    <xf numFmtId="43" fontId="1" fillId="0" borderId="0" applyFont="0" applyFill="0" applyBorder="0" applyAlignment="0" applyProtection="0"/>
    <xf numFmtId="0" fontId="40" fillId="38" borderId="0" applyNumberFormat="0" applyBorder="0" applyAlignment="0" applyProtection="0"/>
    <xf numFmtId="0" fontId="1" fillId="0" borderId="0"/>
    <xf numFmtId="0" fontId="44" fillId="50" borderId="0" applyNumberFormat="0" applyBorder="0" applyAlignment="0" applyProtection="0"/>
    <xf numFmtId="0" fontId="44" fillId="76" borderId="0" applyNumberFormat="0" applyBorder="0" applyAlignment="0" applyProtection="0"/>
    <xf numFmtId="0" fontId="44" fillId="72" borderId="0" applyNumberFormat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51" fillId="48" borderId="0" applyNumberFormat="0" applyBorder="0" applyAlignment="0" applyProtection="0"/>
    <xf numFmtId="0" fontId="44" fillId="72" borderId="0" applyNumberFormat="0" applyBorder="0" applyAlignment="0" applyProtection="0"/>
    <xf numFmtId="0" fontId="44" fillId="76" borderId="0" applyNumberFormat="0" applyBorder="0" applyAlignment="0" applyProtection="0"/>
    <xf numFmtId="0" fontId="44" fillId="50" borderId="0" applyNumberFormat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4" fillId="69" borderId="0" applyNumberFormat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44" fillId="63" borderId="0" applyNumberFormat="0" applyBorder="0" applyAlignment="0" applyProtection="0"/>
    <xf numFmtId="0" fontId="1" fillId="0" borderId="0"/>
    <xf numFmtId="0" fontId="44" fillId="58" borderId="0" applyNumberFormat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</cellStyleXfs>
  <cellXfs count="686">
    <xf numFmtId="0" fontId="0" fillId="0" borderId="0" xfId="0"/>
    <xf numFmtId="0" fontId="0" fillId="0" borderId="0" xfId="0" applyFill="1"/>
    <xf numFmtId="0" fontId="22" fillId="0" borderId="0" xfId="0" applyFont="1" applyFill="1" applyAlignment="1">
      <alignment horizontal="left"/>
    </xf>
    <xf numFmtId="0" fontId="38" fillId="0" borderId="0" xfId="0" applyFont="1"/>
    <xf numFmtId="0" fontId="93" fillId="0" borderId="0" xfId="0" applyFont="1"/>
    <xf numFmtId="0" fontId="38" fillId="0" borderId="0" xfId="0" applyFont="1" applyAlignment="1">
      <alignment horizontal="center"/>
    </xf>
    <xf numFmtId="0" fontId="93" fillId="0" borderId="0" xfId="0" applyFont="1" applyAlignment="1">
      <alignment horizontal="center"/>
    </xf>
    <xf numFmtId="0" fontId="38" fillId="0" borderId="0" xfId="0" applyFont="1" applyFill="1" applyBorder="1"/>
    <xf numFmtId="0" fontId="38" fillId="0" borderId="0" xfId="0" applyFont="1" applyFill="1"/>
    <xf numFmtId="0" fontId="93" fillId="0" borderId="0" xfId="0" applyFont="1" applyFill="1" applyBorder="1" applyAlignment="1">
      <alignment horizontal="center"/>
    </xf>
    <xf numFmtId="0" fontId="93" fillId="0" borderId="0" xfId="0" applyFont="1" applyFill="1" applyAlignment="1">
      <alignment horizontal="center"/>
    </xf>
    <xf numFmtId="0" fontId="191" fillId="0" borderId="0" xfId="0" applyFont="1" applyFill="1" applyAlignment="1">
      <alignment horizontal="center"/>
    </xf>
    <xf numFmtId="0" fontId="38" fillId="0" borderId="0" xfId="0" applyFont="1" applyFill="1" applyBorder="1" applyAlignment="1">
      <alignment horizontal="center"/>
    </xf>
    <xf numFmtId="0" fontId="38" fillId="0" borderId="0" xfId="0" applyFont="1" applyFill="1" applyAlignment="1">
      <alignment horizontal="center"/>
    </xf>
    <xf numFmtId="0" fontId="191" fillId="0" borderId="0" xfId="0" applyFont="1" applyFill="1" applyBorder="1" applyAlignment="1">
      <alignment horizontal="center"/>
    </xf>
    <xf numFmtId="165" fontId="38" fillId="0" borderId="0" xfId="2" applyNumberFormat="1" applyFont="1" applyFill="1" applyBorder="1"/>
    <xf numFmtId="165" fontId="38" fillId="0" borderId="0" xfId="2" applyNumberFormat="1" applyFont="1" applyFill="1"/>
    <xf numFmtId="164" fontId="38" fillId="0" borderId="0" xfId="3" applyNumberFormat="1" applyFont="1" applyFill="1" applyBorder="1"/>
    <xf numFmtId="164" fontId="38" fillId="0" borderId="0" xfId="3" applyNumberFormat="1" applyFont="1" applyFill="1"/>
    <xf numFmtId="164" fontId="38" fillId="0" borderId="0" xfId="0" applyNumberFormat="1" applyFont="1" applyFill="1" applyBorder="1"/>
    <xf numFmtId="164" fontId="38" fillId="0" borderId="10" xfId="3" applyNumberFormat="1" applyFont="1" applyFill="1" applyBorder="1"/>
    <xf numFmtId="165" fontId="38" fillId="0" borderId="12" xfId="2" applyNumberFormat="1" applyFont="1" applyFill="1" applyBorder="1"/>
    <xf numFmtId="165" fontId="38" fillId="0" borderId="0" xfId="0" applyNumberFormat="1" applyFont="1" applyFill="1"/>
    <xf numFmtId="164" fontId="38" fillId="0" borderId="0" xfId="3" applyNumberFormat="1" applyFont="1" applyFill="1" applyBorder="1" applyAlignment="1">
      <alignment horizontal="center"/>
    </xf>
    <xf numFmtId="164" fontId="38" fillId="0" borderId="0" xfId="0" applyNumberFormat="1" applyFont="1" applyFill="1"/>
    <xf numFmtId="0" fontId="38" fillId="0" borderId="10" xfId="0" applyFont="1" applyFill="1" applyBorder="1"/>
    <xf numFmtId="9" fontId="38" fillId="0" borderId="0" xfId="4" applyFont="1" applyFill="1" applyBorder="1"/>
    <xf numFmtId="165" fontId="38" fillId="0" borderId="0" xfId="0" applyNumberFormat="1" applyFont="1" applyFill="1" applyBorder="1"/>
    <xf numFmtId="165" fontId="38" fillId="0" borderId="16" xfId="0" applyNumberFormat="1" applyFont="1" applyFill="1" applyBorder="1"/>
    <xf numFmtId="0" fontId="38" fillId="0" borderId="10" xfId="0" applyFont="1" applyFill="1" applyBorder="1" applyAlignment="1">
      <alignment horizontal="center"/>
    </xf>
    <xf numFmtId="0" fontId="38" fillId="0" borderId="0" xfId="0" applyFont="1" applyFill="1" applyBorder="1" applyAlignment="1">
      <alignment horizontal="left"/>
    </xf>
    <xf numFmtId="0" fontId="38" fillId="33" borderId="0" xfId="0" applyFont="1" applyFill="1"/>
    <xf numFmtId="0" fontId="38" fillId="33" borderId="0" xfId="0" applyFont="1" applyFill="1" applyAlignment="1">
      <alignment horizontal="left"/>
    </xf>
    <xf numFmtId="0" fontId="38" fillId="33" borderId="0" xfId="0" applyFont="1" applyFill="1" applyAlignment="1">
      <alignment horizontal="center"/>
    </xf>
    <xf numFmtId="0" fontId="38" fillId="33" borderId="0" xfId="0" applyFont="1" applyFill="1" applyBorder="1"/>
    <xf numFmtId="164" fontId="38" fillId="33" borderId="0" xfId="42790" applyNumberFormat="1" applyFont="1" applyFill="1" applyBorder="1"/>
    <xf numFmtId="0" fontId="38" fillId="33" borderId="0" xfId="0" applyFont="1" applyFill="1" applyBorder="1" applyAlignment="1">
      <alignment horizontal="left"/>
    </xf>
    <xf numFmtId="0" fontId="38" fillId="33" borderId="10" xfId="0" applyFont="1" applyFill="1" applyBorder="1" applyAlignment="1">
      <alignment horizontal="center"/>
    </xf>
    <xf numFmtId="164" fontId="38" fillId="0" borderId="0" xfId="42790" applyNumberFormat="1" applyFont="1" applyFill="1"/>
    <xf numFmtId="164" fontId="38" fillId="0" borderId="0" xfId="42790" applyNumberFormat="1" applyFont="1" applyAlignment="1">
      <alignment horizontal="center"/>
    </xf>
    <xf numFmtId="0" fontId="38" fillId="33" borderId="70" xfId="0" applyFont="1" applyFill="1" applyBorder="1" applyAlignment="1">
      <alignment horizontal="center"/>
    </xf>
    <xf numFmtId="0" fontId="38" fillId="33" borderId="10" xfId="0" applyFont="1" applyFill="1" applyBorder="1" applyAlignment="1">
      <alignment horizontal="center" wrapText="1"/>
    </xf>
    <xf numFmtId="164" fontId="38" fillId="33" borderId="0" xfId="42790" applyNumberFormat="1" applyFont="1" applyFill="1" applyBorder="1" applyAlignment="1">
      <alignment horizontal="center"/>
    </xf>
    <xf numFmtId="164" fontId="38" fillId="0" borderId="0" xfId="42790" applyNumberFormat="1" applyFont="1"/>
    <xf numFmtId="164" fontId="38" fillId="0" borderId="10" xfId="42790" applyNumberFormat="1" applyFont="1" applyBorder="1" applyAlignment="1">
      <alignment horizontal="center"/>
    </xf>
    <xf numFmtId="164" fontId="38" fillId="0" borderId="0" xfId="42790" applyNumberFormat="1" applyFont="1" applyBorder="1" applyAlignment="1">
      <alignment horizontal="center"/>
    </xf>
    <xf numFmtId="0" fontId="38" fillId="0" borderId="0" xfId="0" applyFont="1" applyAlignment="1">
      <alignment horizontal="right"/>
    </xf>
    <xf numFmtId="0" fontId="38" fillId="0" borderId="10" xfId="42790" applyNumberFormat="1" applyFont="1" applyBorder="1" applyAlignment="1">
      <alignment horizontal="center"/>
    </xf>
    <xf numFmtId="0" fontId="38" fillId="0" borderId="0" xfId="42790" applyNumberFormat="1" applyFont="1" applyAlignment="1">
      <alignment horizontal="center"/>
    </xf>
    <xf numFmtId="0" fontId="38" fillId="0" borderId="0" xfId="42790" applyNumberFormat="1" applyFont="1"/>
    <xf numFmtId="164" fontId="38" fillId="0" borderId="10" xfId="42790" applyNumberFormat="1" applyFont="1" applyFill="1" applyBorder="1" applyAlignment="1">
      <alignment horizontal="center"/>
    </xf>
    <xf numFmtId="164" fontId="38" fillId="0" borderId="16" xfId="42790" applyNumberFormat="1" applyFont="1" applyFill="1" applyBorder="1"/>
    <xf numFmtId="164" fontId="38" fillId="0" borderId="0" xfId="42790" applyNumberFormat="1" applyFont="1" applyFill="1" applyAlignment="1">
      <alignment horizontal="center"/>
    </xf>
    <xf numFmtId="164" fontId="38" fillId="0" borderId="0" xfId="42790" applyNumberFormat="1" applyFont="1" applyBorder="1"/>
    <xf numFmtId="0" fontId="93" fillId="0" borderId="0" xfId="0" applyFont="1" applyFill="1" applyBorder="1"/>
    <xf numFmtId="0" fontId="193" fillId="0" borderId="0" xfId="0" applyFont="1" applyFill="1" applyBorder="1" applyAlignment="1">
      <alignment horizontal="left"/>
    </xf>
    <xf numFmtId="164" fontId="38" fillId="0" borderId="0" xfId="3" applyNumberFormat="1" applyFont="1" applyFill="1" applyBorder="1" applyAlignment="1">
      <alignment horizontal="left"/>
    </xf>
    <xf numFmtId="0" fontId="38" fillId="0" borderId="0" xfId="0" applyFont="1" applyBorder="1" applyAlignment="1">
      <alignment horizontal="center"/>
    </xf>
    <xf numFmtId="0" fontId="160" fillId="0" borderId="0" xfId="42792" applyFont="1" applyFill="1"/>
    <xf numFmtId="0" fontId="162" fillId="0" borderId="0" xfId="42792" applyFont="1" applyFill="1"/>
    <xf numFmtId="37" fontId="160" fillId="0" borderId="0" xfId="42792" applyNumberFormat="1" applyFont="1" applyFill="1"/>
    <xf numFmtId="0" fontId="162" fillId="0" borderId="0" xfId="42792" applyFont="1" applyFill="1" applyBorder="1"/>
    <xf numFmtId="37" fontId="93" fillId="0" borderId="0" xfId="35855" applyNumberFormat="1" applyFont="1" applyFill="1" applyBorder="1" applyAlignment="1">
      <alignment horizontal="center" wrapText="1"/>
    </xf>
    <xf numFmtId="0" fontId="160" fillId="0" borderId="0" xfId="42792" applyFont="1" applyFill="1" applyBorder="1"/>
    <xf numFmtId="37" fontId="160" fillId="0" borderId="0" xfId="42792" applyNumberFormat="1" applyFont="1" applyFill="1" applyBorder="1"/>
    <xf numFmtId="15" fontId="93" fillId="0" borderId="0" xfId="0" applyNumberFormat="1" applyFont="1" applyFill="1"/>
    <xf numFmtId="164" fontId="38" fillId="0" borderId="11" xfId="3" applyNumberFormat="1" applyFont="1" applyFill="1" applyBorder="1"/>
    <xf numFmtId="164" fontId="38" fillId="0" borderId="14" xfId="3" applyNumberFormat="1" applyFont="1" applyFill="1" applyBorder="1"/>
    <xf numFmtId="165" fontId="38" fillId="0" borderId="16" xfId="2" applyNumberFormat="1" applyFont="1" applyFill="1" applyBorder="1"/>
    <xf numFmtId="164" fontId="38" fillId="0" borderId="0" xfId="42790" applyNumberFormat="1" applyFont="1" applyFill="1" applyBorder="1"/>
    <xf numFmtId="164" fontId="38" fillId="0" borderId="10" xfId="42790" applyNumberFormat="1" applyFont="1" applyFill="1" applyBorder="1"/>
    <xf numFmtId="0" fontId="195" fillId="0" borderId="0" xfId="35855" applyFont="1" applyFill="1" applyBorder="1"/>
    <xf numFmtId="0" fontId="195" fillId="0" borderId="0" xfId="35855" applyFont="1" applyFill="1" applyBorder="1" applyAlignment="1">
      <alignment horizontal="center"/>
    </xf>
    <xf numFmtId="37" fontId="195" fillId="0" borderId="0" xfId="35855" applyNumberFormat="1" applyFont="1" applyFill="1" applyBorder="1"/>
    <xf numFmtId="0" fontId="196" fillId="0" borderId="0" xfId="35855" applyFont="1" applyFill="1" applyBorder="1" applyAlignment="1">
      <alignment horizontal="center"/>
    </xf>
    <xf numFmtId="0" fontId="160" fillId="0" borderId="0" xfId="42792" applyFont="1" applyFill="1" applyBorder="1" applyAlignment="1">
      <alignment horizontal="center"/>
    </xf>
    <xf numFmtId="0" fontId="38" fillId="0" borderId="0" xfId="0" applyFont="1" applyAlignment="1">
      <alignment horizontal="left"/>
    </xf>
    <xf numFmtId="14" fontId="38" fillId="0" borderId="0" xfId="0" applyNumberFormat="1" applyFont="1"/>
    <xf numFmtId="43" fontId="38" fillId="0" borderId="0" xfId="0" applyNumberFormat="1" applyFont="1" applyFill="1" applyBorder="1"/>
    <xf numFmtId="166" fontId="38" fillId="0" borderId="0" xfId="4" applyNumberFormat="1" applyFont="1" applyFill="1" applyBorder="1" applyAlignment="1">
      <alignment horizontal="center"/>
    </xf>
    <xf numFmtId="42" fontId="38" fillId="0" borderId="16" xfId="3" applyNumberFormat="1" applyFont="1" applyFill="1" applyBorder="1"/>
    <xf numFmtId="164" fontId="38" fillId="0" borderId="70" xfId="42790" applyNumberFormat="1" applyFont="1" applyFill="1" applyBorder="1"/>
    <xf numFmtId="0" fontId="93" fillId="0" borderId="0" xfId="0" applyFont="1" applyAlignment="1">
      <alignment horizontal="left"/>
    </xf>
    <xf numFmtId="0" fontId="93" fillId="0" borderId="0" xfId="0" applyFont="1" applyBorder="1" applyAlignment="1">
      <alignment horizontal="center"/>
    </xf>
    <xf numFmtId="0" fontId="93" fillId="0" borderId="0" xfId="0" applyFont="1" applyBorder="1"/>
    <xf numFmtId="0" fontId="38" fillId="0" borderId="10" xfId="0" applyFont="1" applyBorder="1" applyAlignment="1">
      <alignment horizontal="center"/>
    </xf>
    <xf numFmtId="164" fontId="93" fillId="0" borderId="0" xfId="3" applyNumberFormat="1" applyFont="1" applyBorder="1"/>
    <xf numFmtId="164" fontId="38" fillId="0" borderId="0" xfId="3" applyNumberFormat="1" applyFont="1"/>
    <xf numFmtId="164" fontId="38" fillId="0" borderId="10" xfId="3" applyNumberFormat="1" applyFont="1" applyBorder="1"/>
    <xf numFmtId="165" fontId="38" fillId="0" borderId="16" xfId="2" applyNumberFormat="1" applyFont="1" applyBorder="1"/>
    <xf numFmtId="0" fontId="38" fillId="0" borderId="0" xfId="0" applyFont="1" applyBorder="1"/>
    <xf numFmtId="166" fontId="38" fillId="0" borderId="0" xfId="42791" applyNumberFormat="1" applyFont="1" applyBorder="1" applyAlignment="1">
      <alignment horizontal="center"/>
    </xf>
    <xf numFmtId="0" fontId="194" fillId="0" borderId="0" xfId="0" applyFont="1" applyAlignment="1">
      <alignment horizontal="center"/>
    </xf>
    <xf numFmtId="165" fontId="38" fillId="0" borderId="0" xfId="0" applyNumberFormat="1" applyFont="1"/>
    <xf numFmtId="165" fontId="194" fillId="0" borderId="0" xfId="0" applyNumberFormat="1" applyFont="1" applyFill="1"/>
    <xf numFmtId="164" fontId="38" fillId="0" borderId="0" xfId="0" applyNumberFormat="1" applyFont="1"/>
    <xf numFmtId="165" fontId="38" fillId="0" borderId="16" xfId="0" applyNumberFormat="1" applyFont="1" applyBorder="1"/>
    <xf numFmtId="165" fontId="194" fillId="0" borderId="0" xfId="0" applyNumberFormat="1" applyFont="1"/>
    <xf numFmtId="14" fontId="38" fillId="0" borderId="0" xfId="0" applyNumberFormat="1" applyFont="1" applyAlignment="1">
      <alignment horizontal="left"/>
    </xf>
    <xf numFmtId="0" fontId="192" fillId="0" borderId="0" xfId="0" applyFont="1"/>
    <xf numFmtId="0" fontId="38" fillId="0" borderId="0" xfId="0" applyFont="1" applyAlignment="1">
      <alignment wrapText="1"/>
    </xf>
    <xf numFmtId="0" fontId="38" fillId="0" borderId="0" xfId="0" applyFont="1" applyBorder="1" applyAlignment="1">
      <alignment wrapText="1"/>
    </xf>
    <xf numFmtId="0" fontId="38" fillId="0" borderId="0" xfId="0" applyFont="1" applyFill="1" applyBorder="1" applyAlignment="1">
      <alignment wrapText="1"/>
    </xf>
    <xf numFmtId="0" fontId="38" fillId="0" borderId="0" xfId="0" applyFont="1" applyBorder="1" applyAlignment="1">
      <alignment horizontal="left"/>
    </xf>
    <xf numFmtId="164" fontId="38" fillId="0" borderId="0" xfId="0" applyNumberFormat="1" applyFont="1" applyFill="1" applyBorder="1" applyAlignment="1">
      <alignment horizontal="center"/>
    </xf>
    <xf numFmtId="41" fontId="38" fillId="0" borderId="0" xfId="0" applyNumberFormat="1" applyFont="1" applyBorder="1"/>
    <xf numFmtId="164" fontId="38" fillId="0" borderId="0" xfId="0" applyNumberFormat="1" applyFont="1" applyBorder="1"/>
    <xf numFmtId="9" fontId="38" fillId="0" borderId="0" xfId="42791" applyFont="1" applyFill="1" applyBorder="1" applyAlignment="1">
      <alignment horizontal="center"/>
    </xf>
    <xf numFmtId="164" fontId="0" fillId="0" borderId="0" xfId="42790" applyNumberFormat="1" applyFont="1"/>
    <xf numFmtId="0" fontId="0" fillId="0" borderId="0" xfId="0" applyFill="1" applyBorder="1"/>
    <xf numFmtId="9" fontId="160" fillId="0" borderId="0" xfId="4" applyFont="1" applyFill="1" applyBorder="1" applyAlignment="1">
      <alignment horizontal="center"/>
    </xf>
    <xf numFmtId="44" fontId="38" fillId="0" borderId="0" xfId="42793" applyFont="1"/>
    <xf numFmtId="41" fontId="160" fillId="0" borderId="0" xfId="42792" applyNumberFormat="1" applyFont="1" applyFill="1"/>
    <xf numFmtId="164" fontId="160" fillId="0" borderId="0" xfId="42792" applyNumberFormat="1" applyFont="1" applyFill="1"/>
    <xf numFmtId="0" fontId="160" fillId="0" borderId="0" xfId="42792" applyFont="1" applyFill="1" applyAlignment="1">
      <alignment horizontal="center"/>
    </xf>
    <xf numFmtId="0" fontId="160" fillId="0" borderId="10" xfId="42792" applyFont="1" applyFill="1" applyBorder="1" applyAlignment="1">
      <alignment horizontal="center"/>
    </xf>
    <xf numFmtId="164" fontId="160" fillId="0" borderId="0" xfId="42790" applyNumberFormat="1" applyFont="1" applyFill="1" applyBorder="1"/>
    <xf numFmtId="164" fontId="160" fillId="0" borderId="0" xfId="42790" applyNumberFormat="1" applyFont="1" applyFill="1"/>
    <xf numFmtId="0" fontId="38" fillId="0" borderId="10" xfId="0" applyFont="1" applyBorder="1"/>
    <xf numFmtId="0" fontId="160" fillId="0" borderId="10" xfId="42792" applyFont="1" applyFill="1" applyBorder="1"/>
    <xf numFmtId="164" fontId="160" fillId="0" borderId="0" xfId="42792" applyNumberFormat="1" applyFont="1" applyFill="1" applyBorder="1"/>
    <xf numFmtId="41" fontId="160" fillId="0" borderId="0" xfId="42792" applyNumberFormat="1" applyFont="1" applyFill="1" applyBorder="1"/>
    <xf numFmtId="37" fontId="38" fillId="0" borderId="0" xfId="42790" applyNumberFormat="1" applyFont="1" applyBorder="1"/>
    <xf numFmtId="42" fontId="38" fillId="0" borderId="0" xfId="3" applyNumberFormat="1" applyFont="1" applyFill="1" applyBorder="1"/>
    <xf numFmtId="164" fontId="38" fillId="0" borderId="0" xfId="42790" applyNumberFormat="1" applyFont="1" applyFill="1" applyBorder="1" applyAlignment="1">
      <alignment horizontal="left"/>
    </xf>
    <xf numFmtId="164" fontId="194" fillId="0" borderId="0" xfId="42790" applyNumberFormat="1" applyFont="1" applyFill="1" applyBorder="1"/>
    <xf numFmtId="164" fontId="38" fillId="0" borderId="10" xfId="0" applyNumberFormat="1" applyFont="1" applyFill="1" applyBorder="1" applyAlignment="1">
      <alignment horizontal="center"/>
    </xf>
    <xf numFmtId="164" fontId="38" fillId="0" borderId="0" xfId="42790" applyNumberFormat="1" applyFont="1" applyFill="1" applyBorder="1" applyAlignment="1">
      <alignment horizontal="center"/>
    </xf>
    <xf numFmtId="165" fontId="38" fillId="0" borderId="0" xfId="0" applyNumberFormat="1" applyFont="1" applyBorder="1"/>
    <xf numFmtId="0" fontId="21" fillId="0" borderId="0" xfId="0" applyFont="1" applyFill="1"/>
    <xf numFmtId="44" fontId="38" fillId="0" borderId="0" xfId="0" applyNumberFormat="1" applyFont="1" applyFill="1" applyBorder="1"/>
    <xf numFmtId="164" fontId="160" fillId="0" borderId="0" xfId="42790" applyNumberFormat="1" applyFont="1" applyFill="1" applyAlignment="1">
      <alignment horizontal="right"/>
    </xf>
    <xf numFmtId="0" fontId="38" fillId="33" borderId="0" xfId="0" applyFont="1" applyFill="1" applyBorder="1" applyAlignment="1"/>
    <xf numFmtId="0" fontId="93" fillId="0" borderId="0" xfId="0" applyFont="1" applyFill="1" applyAlignment="1">
      <alignment horizontal="left"/>
    </xf>
    <xf numFmtId="0" fontId="93" fillId="0" borderId="10" xfId="0" applyFont="1" applyFill="1" applyBorder="1" applyAlignment="1">
      <alignment horizontal="center"/>
    </xf>
    <xf numFmtId="0" fontId="38" fillId="0" borderId="0" xfId="0" applyFont="1" applyFill="1" applyAlignment="1">
      <alignment horizontal="left"/>
    </xf>
    <xf numFmtId="0" fontId="38" fillId="0" borderId="70" xfId="0" applyFont="1" applyFill="1" applyBorder="1" applyAlignment="1">
      <alignment horizontal="center"/>
    </xf>
    <xf numFmtId="0" fontId="93" fillId="0" borderId="0" xfId="0" applyFont="1" applyFill="1" applyBorder="1" applyAlignment="1">
      <alignment horizontal="left"/>
    </xf>
    <xf numFmtId="0" fontId="38" fillId="0" borderId="0" xfId="0" applyFont="1" applyFill="1" applyAlignment="1">
      <alignment horizontal="left" indent="2"/>
    </xf>
    <xf numFmtId="41" fontId="38" fillId="0" borderId="0" xfId="0" applyNumberFormat="1" applyFont="1" applyFill="1"/>
    <xf numFmtId="0" fontId="38" fillId="0" borderId="0" xfId="0" applyFont="1" applyFill="1" applyBorder="1" applyAlignment="1">
      <alignment horizontal="right"/>
    </xf>
    <xf numFmtId="0" fontId="38" fillId="0" borderId="0" xfId="0" applyFont="1" applyFill="1" applyAlignment="1">
      <alignment horizontal="right"/>
    </xf>
    <xf numFmtId="0" fontId="194" fillId="0" borderId="10" xfId="0" applyFont="1" applyFill="1" applyBorder="1" applyAlignment="1">
      <alignment horizontal="center"/>
    </xf>
    <xf numFmtId="164" fontId="38" fillId="0" borderId="0" xfId="3" applyNumberFormat="1" applyFont="1" applyFill="1" applyAlignment="1">
      <alignment horizontal="center"/>
    </xf>
    <xf numFmtId="0" fontId="38" fillId="0" borderId="0" xfId="0" applyFont="1" applyFill="1" applyAlignment="1"/>
    <xf numFmtId="164" fontId="38" fillId="0" borderId="0" xfId="3" applyNumberFormat="1" applyFont="1" applyFill="1" applyAlignment="1">
      <alignment horizontal="left"/>
    </xf>
    <xf numFmtId="164" fontId="93" fillId="0" borderId="0" xfId="3" applyNumberFormat="1" applyFont="1" applyFill="1" applyAlignment="1">
      <alignment horizontal="center"/>
    </xf>
    <xf numFmtId="0" fontId="38" fillId="0" borderId="0" xfId="0" applyFont="1" applyFill="1" applyBorder="1" applyAlignment="1">
      <alignment horizontal="left" indent="3"/>
    </xf>
    <xf numFmtId="166" fontId="38" fillId="0" borderId="0" xfId="4" applyNumberFormat="1" applyFont="1" applyFill="1"/>
    <xf numFmtId="164" fontId="38" fillId="0" borderId="0" xfId="0" applyNumberFormat="1" applyFont="1" applyFill="1" applyBorder="1" applyAlignment="1">
      <alignment horizontal="left" indent="3"/>
    </xf>
    <xf numFmtId="164" fontId="93" fillId="0" borderId="0" xfId="3" applyNumberFormat="1" applyFont="1" applyFill="1"/>
    <xf numFmtId="0" fontId="192" fillId="0" borderId="0" xfId="0" applyFont="1" applyFill="1" applyBorder="1" applyAlignment="1">
      <alignment horizontal="left"/>
    </xf>
    <xf numFmtId="43" fontId="38" fillId="0" borderId="0" xfId="0" applyNumberFormat="1" applyFont="1" applyFill="1"/>
    <xf numFmtId="0" fontId="193" fillId="0" borderId="0" xfId="0" applyFont="1" applyFill="1" applyBorder="1" applyAlignment="1">
      <alignment horizontal="center"/>
    </xf>
    <xf numFmtId="0" fontId="38" fillId="0" borderId="0" xfId="0" applyFont="1" applyFill="1" applyBorder="1" applyAlignment="1"/>
    <xf numFmtId="14" fontId="38" fillId="0" borderId="0" xfId="0" applyNumberFormat="1" applyFont="1" applyAlignment="1">
      <alignment horizontal="center"/>
    </xf>
    <xf numFmtId="164" fontId="38" fillId="0" borderId="0" xfId="42790" applyNumberFormat="1" applyFont="1" applyFill="1" applyBorder="1" applyAlignment="1">
      <alignment horizontal="left" indent="3"/>
    </xf>
    <xf numFmtId="165" fontId="38" fillId="0" borderId="71" xfId="2" applyNumberFormat="1" applyFont="1" applyFill="1" applyBorder="1"/>
    <xf numFmtId="164" fontId="38" fillId="0" borderId="71" xfId="3" applyNumberFormat="1" applyFont="1" applyFill="1" applyBorder="1"/>
    <xf numFmtId="42" fontId="38" fillId="0" borderId="0" xfId="0" applyNumberFormat="1" applyFont="1" applyFill="1" applyBorder="1"/>
    <xf numFmtId="165" fontId="38" fillId="0" borderId="16" xfId="42793" applyNumberFormat="1" applyFont="1" applyFill="1" applyBorder="1"/>
    <xf numFmtId="42" fontId="38" fillId="0" borderId="16" xfId="0" applyNumberFormat="1" applyFont="1" applyFill="1" applyBorder="1"/>
    <xf numFmtId="9" fontId="38" fillId="0" borderId="0" xfId="4" applyFont="1" applyFill="1" applyBorder="1" applyAlignment="1">
      <alignment horizontal="center"/>
    </xf>
    <xf numFmtId="164" fontId="38" fillId="0" borderId="0" xfId="3" applyNumberFormat="1" applyFont="1" applyBorder="1"/>
    <xf numFmtId="165" fontId="38" fillId="0" borderId="0" xfId="2" applyNumberFormat="1" applyFont="1" applyBorder="1"/>
    <xf numFmtId="165" fontId="38" fillId="0" borderId="16" xfId="42793" applyNumberFormat="1" applyFont="1" applyBorder="1"/>
    <xf numFmtId="164" fontId="38" fillId="0" borderId="10" xfId="42790" applyNumberFormat="1" applyFont="1" applyBorder="1"/>
    <xf numFmtId="165" fontId="38" fillId="0" borderId="0" xfId="42790" applyNumberFormat="1" applyFont="1"/>
    <xf numFmtId="165" fontId="38" fillId="0" borderId="0" xfId="42793" applyNumberFormat="1" applyFont="1"/>
    <xf numFmtId="14" fontId="38" fillId="0" borderId="0" xfId="0" applyNumberFormat="1" applyFont="1" applyBorder="1" applyAlignment="1">
      <alignment horizontal="center"/>
    </xf>
    <xf numFmtId="165" fontId="38" fillId="0" borderId="0" xfId="0" applyNumberFormat="1" applyFont="1" applyBorder="1" applyAlignment="1">
      <alignment horizontal="center"/>
    </xf>
    <xf numFmtId="0" fontId="191" fillId="0" borderId="0" xfId="0" applyFont="1" applyAlignment="1">
      <alignment horizontal="right"/>
    </xf>
    <xf numFmtId="44" fontId="38" fillId="0" borderId="0" xfId="42793" applyFont="1" applyAlignment="1">
      <alignment horizontal="center"/>
    </xf>
    <xf numFmtId="166" fontId="38" fillId="0" borderId="0" xfId="42791" applyNumberFormat="1" applyFont="1" applyAlignment="1">
      <alignment horizontal="center"/>
    </xf>
    <xf numFmtId="165" fontId="38" fillId="0" borderId="0" xfId="42793" applyNumberFormat="1" applyFont="1" applyFill="1"/>
    <xf numFmtId="165" fontId="38" fillId="0" borderId="0" xfId="42793" applyNumberFormat="1" applyFont="1" applyFill="1" applyBorder="1"/>
    <xf numFmtId="165" fontId="160" fillId="0" borderId="0" xfId="42793" applyNumberFormat="1" applyFont="1" applyFill="1"/>
    <xf numFmtId="0" fontId="0" fillId="0" borderId="0" xfId="0" applyBorder="1"/>
    <xf numFmtId="9" fontId="38" fillId="0" borderId="0" xfId="42791" applyFont="1"/>
    <xf numFmtId="9" fontId="38" fillId="0" borderId="0" xfId="0" applyNumberFormat="1" applyFont="1" applyFill="1" applyBorder="1" applyAlignment="1">
      <alignment horizontal="center"/>
    </xf>
    <xf numFmtId="164" fontId="193" fillId="0" borderId="10" xfId="42790" applyNumberFormat="1" applyFont="1" applyBorder="1"/>
    <xf numFmtId="0" fontId="160" fillId="0" borderId="11" xfId="42792" applyFont="1" applyFill="1" applyBorder="1" applyAlignment="1">
      <alignment horizontal="center"/>
    </xf>
    <xf numFmtId="0" fontId="198" fillId="0" borderId="0" xfId="0" applyFont="1"/>
    <xf numFmtId="0" fontId="198" fillId="0" borderId="0" xfId="0" applyFont="1" applyAlignment="1">
      <alignment horizontal="center"/>
    </xf>
    <xf numFmtId="0" fontId="199" fillId="0" borderId="0" xfId="0" applyFont="1" applyFill="1"/>
    <xf numFmtId="165" fontId="38" fillId="0" borderId="0" xfId="42793" applyNumberFormat="1" applyFont="1" applyBorder="1" applyAlignment="1">
      <alignment horizontal="center"/>
    </xf>
    <xf numFmtId="0" fontId="194" fillId="0" borderId="0" xfId="0" applyFont="1" applyBorder="1" applyAlignment="1">
      <alignment horizontal="center"/>
    </xf>
    <xf numFmtId="0" fontId="38" fillId="0" borderId="0" xfId="42790" applyNumberFormat="1" applyFont="1" applyFill="1" applyAlignment="1">
      <alignment horizontal="center"/>
    </xf>
    <xf numFmtId="43" fontId="38" fillId="0" borderId="0" xfId="9890" applyFont="1"/>
    <xf numFmtId="0" fontId="38" fillId="34" borderId="0" xfId="17" applyFont="1" applyBorder="1"/>
    <xf numFmtId="164" fontId="38" fillId="0" borderId="10" xfId="0" applyNumberFormat="1" applyFont="1" applyBorder="1"/>
    <xf numFmtId="165" fontId="38" fillId="0" borderId="0" xfId="42793" applyNumberFormat="1" applyFont="1" applyAlignment="1">
      <alignment horizontal="center"/>
    </xf>
    <xf numFmtId="165" fontId="38" fillId="0" borderId="10" xfId="42793" applyNumberFormat="1" applyFont="1" applyFill="1" applyBorder="1"/>
    <xf numFmtId="165" fontId="93" fillId="0" borderId="0" xfId="42793" applyNumberFormat="1" applyFont="1"/>
    <xf numFmtId="0" fontId="38" fillId="0" borderId="0" xfId="3" applyNumberFormat="1" applyFont="1"/>
    <xf numFmtId="164" fontId="38" fillId="0" borderId="10" xfId="3" applyNumberFormat="1" applyFont="1" applyBorder="1" applyAlignment="1">
      <alignment horizontal="center"/>
    </xf>
    <xf numFmtId="0" fontId="194" fillId="0" borderId="0" xfId="0" applyFont="1"/>
    <xf numFmtId="164" fontId="38" fillId="0" borderId="0" xfId="3" applyNumberFormat="1" applyFont="1" applyAlignment="1">
      <alignment horizontal="center"/>
    </xf>
    <xf numFmtId="0" fontId="38" fillId="0" borderId="0" xfId="3" applyNumberFormat="1" applyFont="1" applyBorder="1" applyAlignment="1">
      <alignment horizontal="center"/>
    </xf>
    <xf numFmtId="0" fontId="194" fillId="0" borderId="10" xfId="0" applyFont="1" applyBorder="1" applyAlignment="1">
      <alignment horizontal="left"/>
    </xf>
    <xf numFmtId="164" fontId="38" fillId="0" borderId="0" xfId="3" applyNumberFormat="1" applyFont="1" applyBorder="1" applyAlignment="1">
      <alignment horizontal="center"/>
    </xf>
    <xf numFmtId="165" fontId="38" fillId="0" borderId="0" xfId="2" applyNumberFormat="1" applyFont="1"/>
    <xf numFmtId="166" fontId="38" fillId="0" borderId="0" xfId="4" applyNumberFormat="1" applyFont="1" applyFill="1" applyAlignment="1">
      <alignment horizontal="right"/>
    </xf>
    <xf numFmtId="164" fontId="38" fillId="0" borderId="0" xfId="42790" applyNumberFormat="1" applyFont="1" applyFill="1" applyAlignment="1">
      <alignment horizontal="right"/>
    </xf>
    <xf numFmtId="165" fontId="38" fillId="0" borderId="16" xfId="2" applyNumberFormat="1" applyFont="1" applyFill="1" applyBorder="1" applyAlignment="1">
      <alignment horizontal="center"/>
    </xf>
    <xf numFmtId="165" fontId="38" fillId="0" borderId="0" xfId="2" applyNumberFormat="1" applyFont="1" applyFill="1" applyBorder="1" applyAlignment="1">
      <alignment horizontal="center"/>
    </xf>
    <xf numFmtId="166" fontId="38" fillId="0" borderId="16" xfId="4" applyNumberFormat="1" applyFont="1" applyFill="1" applyBorder="1" applyAlignment="1">
      <alignment horizontal="right"/>
    </xf>
    <xf numFmtId="166" fontId="38" fillId="0" borderId="0" xfId="0" applyNumberFormat="1" applyFont="1" applyFill="1" applyAlignment="1">
      <alignment horizontal="right"/>
    </xf>
    <xf numFmtId="166" fontId="38" fillId="0" borderId="0" xfId="4" applyNumberFormat="1" applyFont="1" applyFill="1" applyBorder="1" applyAlignment="1">
      <alignment horizontal="right"/>
    </xf>
    <xf numFmtId="166" fontId="38" fillId="0" borderId="0" xfId="4" applyNumberFormat="1" applyFont="1" applyFill="1" applyBorder="1"/>
    <xf numFmtId="0" fontId="38" fillId="0" borderId="36" xfId="0" applyFont="1" applyBorder="1"/>
    <xf numFmtId="0" fontId="193" fillId="0" borderId="0" xfId="0" applyFont="1" applyBorder="1" applyAlignment="1">
      <alignment horizontal="center"/>
    </xf>
    <xf numFmtId="165" fontId="38" fillId="0" borderId="72" xfId="42793" applyNumberFormat="1" applyFont="1" applyFill="1" applyBorder="1"/>
    <xf numFmtId="165" fontId="194" fillId="0" borderId="0" xfId="0" applyNumberFormat="1" applyFont="1" applyBorder="1" applyAlignment="1">
      <alignment horizontal="right"/>
    </xf>
    <xf numFmtId="0" fontId="194" fillId="0" borderId="0" xfId="0" applyFont="1" applyAlignment="1">
      <alignment horizontal="right"/>
    </xf>
    <xf numFmtId="166" fontId="38" fillId="0" borderId="0" xfId="0" applyNumberFormat="1" applyFont="1" applyAlignment="1">
      <alignment horizontal="center"/>
    </xf>
    <xf numFmtId="0" fontId="200" fillId="33" borderId="0" xfId="0" applyFont="1" applyFill="1" applyBorder="1"/>
    <xf numFmtId="0" fontId="200" fillId="0" borderId="0" xfId="0" applyFont="1" applyFill="1" applyBorder="1"/>
    <xf numFmtId="0" fontId="200" fillId="33" borderId="0" xfId="0" applyFont="1" applyFill="1" applyBorder="1" applyAlignment="1">
      <alignment horizontal="center"/>
    </xf>
    <xf numFmtId="0" fontId="200" fillId="33" borderId="0" xfId="0" applyFont="1" applyFill="1" applyBorder="1" applyAlignment="1">
      <alignment horizontal="right"/>
    </xf>
    <xf numFmtId="0" fontId="200" fillId="0" borderId="0" xfId="0" applyFont="1" applyFill="1" applyBorder="1" applyAlignment="1">
      <alignment horizontal="right"/>
    </xf>
    <xf numFmtId="0" fontId="200" fillId="33" borderId="0" xfId="0" applyFont="1" applyFill="1"/>
    <xf numFmtId="0" fontId="200" fillId="0" borderId="0" xfId="0" applyFont="1" applyFill="1"/>
    <xf numFmtId="0" fontId="200" fillId="0" borderId="0" xfId="0" applyFont="1" applyFill="1" applyAlignment="1">
      <alignment horizontal="right"/>
    </xf>
    <xf numFmtId="44" fontId="38" fillId="0" borderId="0" xfId="2" applyFont="1"/>
    <xf numFmtId="165" fontId="38" fillId="0" borderId="12" xfId="0" applyNumberFormat="1" applyFont="1" applyBorder="1"/>
    <xf numFmtId="165" fontId="38" fillId="0" borderId="12" xfId="2" applyNumberFormat="1" applyFont="1" applyBorder="1"/>
    <xf numFmtId="0" fontId="191" fillId="0" borderId="0" xfId="0" applyFont="1" applyAlignment="1">
      <alignment horizontal="center"/>
    </xf>
    <xf numFmtId="164" fontId="38" fillId="0" borderId="71" xfId="42790" applyNumberFormat="1" applyFont="1" applyBorder="1"/>
    <xf numFmtId="164" fontId="38" fillId="0" borderId="71" xfId="42790" applyNumberFormat="1" applyFont="1" applyBorder="1" applyAlignment="1">
      <alignment horizontal="center"/>
    </xf>
    <xf numFmtId="0" fontId="38" fillId="0" borderId="71" xfId="0" applyFont="1" applyFill="1" applyBorder="1"/>
    <xf numFmtId="49" fontId="38" fillId="34" borderId="0" xfId="22" applyNumberFormat="1" applyFont="1" applyBorder="1" applyAlignment="1">
      <alignment horizontal="center"/>
    </xf>
    <xf numFmtId="0" fontId="38" fillId="34" borderId="10" xfId="22" applyFont="1" applyBorder="1" applyAlignment="1">
      <alignment horizontal="center"/>
    </xf>
    <xf numFmtId="0" fontId="202" fillId="0" borderId="0" xfId="0" applyFont="1" applyFill="1" applyBorder="1"/>
    <xf numFmtId="0" fontId="202" fillId="0" borderId="0" xfId="0" applyFont="1" applyFill="1" applyBorder="1" applyAlignment="1">
      <alignment horizontal="right"/>
    </xf>
    <xf numFmtId="164" fontId="202" fillId="33" borderId="10" xfId="3" applyNumberFormat="1" applyFont="1" applyFill="1" applyBorder="1"/>
    <xf numFmtId="164" fontId="202" fillId="0" borderId="0" xfId="3" applyNumberFormat="1" applyFont="1" applyFill="1" applyBorder="1"/>
    <xf numFmtId="164" fontId="202" fillId="0" borderId="0" xfId="0" applyNumberFormat="1" applyFont="1" applyFill="1" applyBorder="1"/>
    <xf numFmtId="165" fontId="202" fillId="33" borderId="12" xfId="2" applyNumberFormat="1" applyFont="1" applyFill="1" applyBorder="1"/>
    <xf numFmtId="43" fontId="202" fillId="0" borderId="0" xfId="0" applyNumberFormat="1" applyFont="1" applyFill="1" applyBorder="1"/>
    <xf numFmtId="0" fontId="203" fillId="0" borderId="0" xfId="15" applyFont="1" applyFill="1" applyBorder="1" applyAlignment="1"/>
    <xf numFmtId="0" fontId="203" fillId="0" borderId="0" xfId="15" applyFont="1" applyFill="1" applyAlignment="1"/>
    <xf numFmtId="0" fontId="203" fillId="0" borderId="0" xfId="17" applyFont="1" applyFill="1" applyBorder="1" applyAlignment="1">
      <alignment horizontal="left"/>
    </xf>
    <xf numFmtId="41" fontId="203" fillId="0" borderId="0" xfId="16" applyNumberFormat="1" applyFont="1" applyFill="1" applyBorder="1" applyAlignment="1">
      <alignment horizontal="right"/>
    </xf>
    <xf numFmtId="0" fontId="38" fillId="0" borderId="0" xfId="21" applyFont="1" applyFill="1" applyBorder="1">
      <alignment horizontal="centerContinuous"/>
    </xf>
    <xf numFmtId="0" fontId="38" fillId="0" borderId="0" xfId="21" applyFont="1" applyFill="1" applyBorder="1" applyAlignment="1">
      <alignment horizontal="centerContinuous"/>
    </xf>
    <xf numFmtId="0" fontId="38" fillId="0" borderId="0" xfId="27897" applyFont="1" applyFill="1" applyBorder="1"/>
    <xf numFmtId="0" fontId="38" fillId="0" borderId="0" xfId="14" applyFont="1" applyFill="1" applyBorder="1">
      <alignment horizontal="centerContinuous"/>
    </xf>
    <xf numFmtId="0" fontId="38" fillId="0" borderId="0" xfId="14" applyFont="1" applyFill="1" applyBorder="1" applyAlignment="1"/>
    <xf numFmtId="0" fontId="194" fillId="0" borderId="0" xfId="22" applyFont="1" applyFill="1" applyBorder="1">
      <alignment horizontal="right"/>
    </xf>
    <xf numFmtId="49" fontId="160" fillId="0" borderId="0" xfId="22" applyNumberFormat="1" applyFont="1" applyFill="1" applyBorder="1" applyAlignment="1">
      <alignment horizontal="center"/>
    </xf>
    <xf numFmtId="49" fontId="194" fillId="0" borderId="0" xfId="22" applyNumberFormat="1" applyFont="1" applyFill="1" applyBorder="1" applyAlignment="1">
      <alignment horizontal="center"/>
    </xf>
    <xf numFmtId="0" fontId="160" fillId="0" borderId="10" xfId="22" applyFont="1" applyFill="1" applyBorder="1" applyAlignment="1">
      <alignment horizontal="center"/>
    </xf>
    <xf numFmtId="0" fontId="194" fillId="0" borderId="0" xfId="22" applyFont="1" applyFill="1" applyBorder="1" applyAlignment="1">
      <alignment horizontal="center"/>
    </xf>
    <xf numFmtId="41" fontId="38" fillId="0" borderId="0" xfId="27897" applyNumberFormat="1" applyFont="1" applyFill="1" applyBorder="1"/>
    <xf numFmtId="0" fontId="38" fillId="0" borderId="0" xfId="17" applyFont="1" applyFill="1" applyBorder="1" applyAlignment="1">
      <alignment horizontal="center"/>
    </xf>
    <xf numFmtId="0" fontId="93" fillId="0" borderId="0" xfId="14" applyFont="1" applyFill="1" applyBorder="1" applyAlignment="1"/>
    <xf numFmtId="365" fontId="204" fillId="0" borderId="0" xfId="16" applyNumberFormat="1" applyFont="1" applyFill="1" applyBorder="1" applyAlignment="1">
      <alignment horizontal="right" wrapText="1"/>
    </xf>
    <xf numFmtId="14" fontId="93" fillId="0" borderId="0" xfId="16" applyNumberFormat="1" applyFont="1" applyFill="1" applyBorder="1" applyAlignment="1">
      <alignment horizontal="center"/>
    </xf>
    <xf numFmtId="41" fontId="38" fillId="0" borderId="0" xfId="16" applyNumberFormat="1" applyFont="1" applyFill="1" applyBorder="1" applyAlignment="1">
      <alignment horizontal="right"/>
    </xf>
    <xf numFmtId="0" fontId="38" fillId="0" borderId="0" xfId="17" applyFont="1" applyFill="1" applyBorder="1" applyAlignment="1">
      <alignment horizontal="left"/>
    </xf>
    <xf numFmtId="0" fontId="38" fillId="0" borderId="0" xfId="15" applyFont="1" applyFill="1" applyBorder="1" applyAlignment="1"/>
    <xf numFmtId="41" fontId="38" fillId="0" borderId="0" xfId="18" applyNumberFormat="1" applyFont="1" applyFill="1" applyBorder="1" applyAlignment="1">
      <alignment horizontal="right"/>
    </xf>
    <xf numFmtId="0" fontId="38" fillId="0" borderId="0" xfId="15" applyFont="1" applyFill="1" applyBorder="1" applyAlignment="1">
      <alignment horizontal="left"/>
    </xf>
    <xf numFmtId="41" fontId="38" fillId="0" borderId="0" xfId="0" applyNumberFormat="1" applyFont="1" applyFill="1" applyBorder="1"/>
    <xf numFmtId="41" fontId="38" fillId="0" borderId="0" xfId="0" applyNumberFormat="1" applyFont="1"/>
    <xf numFmtId="166" fontId="38" fillId="0" borderId="0" xfId="4" applyNumberFormat="1" applyFont="1" applyFill="1" applyAlignment="1">
      <alignment horizontal="center"/>
    </xf>
    <xf numFmtId="166" fontId="38" fillId="0" borderId="0" xfId="3" applyNumberFormat="1" applyFont="1" applyFill="1" applyAlignment="1">
      <alignment horizontal="center"/>
    </xf>
    <xf numFmtId="166" fontId="38" fillId="0" borderId="0" xfId="2" applyNumberFormat="1" applyFont="1" applyFill="1" applyBorder="1" applyAlignment="1">
      <alignment horizontal="center"/>
    </xf>
    <xf numFmtId="166" fontId="38" fillId="0" borderId="16" xfId="2" applyNumberFormat="1" applyFont="1" applyFill="1" applyBorder="1" applyAlignment="1">
      <alignment horizontal="center"/>
    </xf>
    <xf numFmtId="0" fontId="205" fillId="0" borderId="0" xfId="0" applyFont="1" applyFill="1" applyAlignment="1">
      <alignment horizontal="center"/>
    </xf>
    <xf numFmtId="0" fontId="205" fillId="0" borderId="0" xfId="0" applyFont="1" applyFill="1" applyBorder="1" applyAlignment="1">
      <alignment horizontal="center"/>
    </xf>
    <xf numFmtId="0" fontId="206" fillId="0" borderId="0" xfId="0" applyFont="1" applyFill="1" applyBorder="1" applyAlignment="1">
      <alignment horizontal="center"/>
    </xf>
    <xf numFmtId="164" fontId="191" fillId="0" borderId="0" xfId="3" applyNumberFormat="1" applyFont="1" applyFill="1" applyBorder="1" applyAlignment="1">
      <alignment horizontal="center"/>
    </xf>
    <xf numFmtId="0" fontId="191" fillId="0" borderId="0" xfId="27897" applyFont="1" applyFill="1" applyBorder="1" applyAlignment="1">
      <alignment horizontal="center"/>
    </xf>
    <xf numFmtId="164" fontId="203" fillId="0" borderId="0" xfId="17" applyNumberFormat="1" applyFont="1" applyFill="1" applyBorder="1" applyAlignment="1">
      <alignment horizontal="left"/>
    </xf>
    <xf numFmtId="0" fontId="203" fillId="0" borderId="0" xfId="16" applyNumberFormat="1" applyFont="1" applyFill="1" applyBorder="1" applyAlignment="1">
      <alignment horizontal="center"/>
    </xf>
    <xf numFmtId="0" fontId="203" fillId="0" borderId="0" xfId="17" applyFont="1" applyFill="1" applyBorder="1" applyAlignment="1">
      <alignment horizontal="center"/>
    </xf>
    <xf numFmtId="0" fontId="192" fillId="0" borderId="0" xfId="0" applyFont="1" applyFill="1" applyBorder="1" applyAlignment="1">
      <alignment horizontal="right"/>
    </xf>
    <xf numFmtId="165" fontId="38" fillId="0" borderId="0" xfId="42793" applyNumberFormat="1" applyFont="1" applyFill="1" applyBorder="1" applyAlignment="1">
      <alignment horizontal="center"/>
    </xf>
    <xf numFmtId="164" fontId="203" fillId="0" borderId="0" xfId="17" applyNumberFormat="1" applyFont="1" applyFill="1" applyBorder="1"/>
    <xf numFmtId="0" fontId="203" fillId="0" borderId="0" xfId="15" applyFont="1" applyFill="1" applyAlignment="1">
      <alignment horizontal="center"/>
    </xf>
    <xf numFmtId="41" fontId="203" fillId="0" borderId="0" xfId="16" applyNumberFormat="1" applyFont="1" applyFill="1" applyBorder="1" applyAlignment="1">
      <alignment horizontal="center"/>
    </xf>
    <xf numFmtId="0" fontId="196" fillId="0" borderId="0" xfId="0" applyFont="1" applyAlignment="1">
      <alignment horizontal="center"/>
    </xf>
    <xf numFmtId="0" fontId="195" fillId="0" borderId="0" xfId="0" applyFont="1" applyAlignment="1">
      <alignment horizontal="center"/>
    </xf>
    <xf numFmtId="0" fontId="208" fillId="0" borderId="0" xfId="0" applyFont="1" applyFill="1"/>
    <xf numFmtId="0" fontId="38" fillId="0" borderId="0" xfId="0" applyFont="1" applyBorder="1" applyAlignment="1">
      <alignment horizontal="right"/>
    </xf>
    <xf numFmtId="0" fontId="38" fillId="0" borderId="0" xfId="42790" applyNumberFormat="1" applyFont="1" applyAlignment="1">
      <alignment horizontal="right"/>
    </xf>
    <xf numFmtId="43" fontId="38" fillId="0" borderId="0" xfId="0" applyNumberFormat="1" applyFont="1"/>
    <xf numFmtId="44" fontId="0" fillId="0" borderId="0" xfId="0" applyNumberFormat="1"/>
    <xf numFmtId="165" fontId="38" fillId="0" borderId="0" xfId="42793" applyNumberFormat="1" applyFont="1" applyBorder="1"/>
    <xf numFmtId="164" fontId="207" fillId="0" borderId="0" xfId="42790" applyNumberFormat="1" applyFont="1" applyFill="1" applyBorder="1" applyAlignment="1">
      <alignment horizontal="center"/>
    </xf>
    <xf numFmtId="164" fontId="192" fillId="0" borderId="0" xfId="42790" applyNumberFormat="1" applyFont="1" applyFill="1" applyBorder="1" applyAlignment="1">
      <alignment horizontal="right"/>
    </xf>
    <xf numFmtId="14" fontId="93" fillId="0" borderId="0" xfId="0" applyNumberFormat="1" applyFont="1" applyFill="1"/>
    <xf numFmtId="42" fontId="38" fillId="0" borderId="0" xfId="0" applyNumberFormat="1" applyFont="1" applyFill="1" applyBorder="1" applyAlignment="1">
      <alignment horizontal="right"/>
    </xf>
    <xf numFmtId="0" fontId="159" fillId="0" borderId="0" xfId="0" applyFont="1" applyFill="1" applyAlignment="1">
      <alignment horizontal="center"/>
    </xf>
    <xf numFmtId="0" fontId="159" fillId="0" borderId="10" xfId="0" applyFont="1" applyFill="1" applyBorder="1" applyAlignment="1">
      <alignment horizontal="center"/>
    </xf>
    <xf numFmtId="0" fontId="159" fillId="0" borderId="75" xfId="0" applyFont="1" applyFill="1" applyBorder="1" applyAlignment="1">
      <alignment horizontal="center"/>
    </xf>
    <xf numFmtId="14" fontId="159" fillId="0" borderId="76" xfId="0" quotePrefix="1" applyNumberFormat="1" applyFont="1" applyFill="1" applyBorder="1" applyAlignment="1">
      <alignment horizontal="center"/>
    </xf>
    <xf numFmtId="14" fontId="159" fillId="0" borderId="23" xfId="0" quotePrefix="1" applyNumberFormat="1" applyFont="1" applyFill="1" applyBorder="1" applyAlignment="1">
      <alignment horizontal="center"/>
    </xf>
    <xf numFmtId="14" fontId="159" fillId="0" borderId="73" xfId="0" quotePrefix="1" applyNumberFormat="1" applyFont="1" applyFill="1" applyBorder="1" applyAlignment="1">
      <alignment horizontal="center"/>
    </xf>
    <xf numFmtId="14" fontId="159" fillId="0" borderId="77" xfId="0" applyNumberFormat="1" applyFont="1" applyFill="1" applyBorder="1"/>
    <xf numFmtId="14" fontId="159" fillId="0" borderId="22" xfId="0" applyNumberFormat="1" applyFont="1" applyFill="1" applyBorder="1"/>
    <xf numFmtId="14" fontId="159" fillId="0" borderId="0" xfId="0" applyNumberFormat="1" applyFont="1" applyFill="1" applyBorder="1"/>
    <xf numFmtId="164" fontId="21" fillId="0" borderId="22" xfId="42790" applyNumberFormat="1" applyFont="1" applyFill="1" applyBorder="1"/>
    <xf numFmtId="164" fontId="21" fillId="0" borderId="22" xfId="10568" applyNumberFormat="1" applyFont="1" applyFill="1" applyBorder="1"/>
    <xf numFmtId="164" fontId="21" fillId="0" borderId="0" xfId="10568" applyNumberFormat="1" applyFont="1" applyFill="1" applyBorder="1"/>
    <xf numFmtId="164" fontId="21" fillId="0" borderId="22" xfId="10573" applyNumberFormat="1" applyFont="1" applyFill="1" applyBorder="1"/>
    <xf numFmtId="164" fontId="21" fillId="0" borderId="23" xfId="42790" applyNumberFormat="1" applyFont="1" applyFill="1" applyBorder="1"/>
    <xf numFmtId="164" fontId="21" fillId="0" borderId="23" xfId="10573" applyNumberFormat="1" applyFont="1" applyFill="1" applyBorder="1"/>
    <xf numFmtId="0" fontId="159" fillId="0" borderId="0" xfId="0" applyFont="1" applyFill="1" applyAlignment="1">
      <alignment horizontal="right"/>
    </xf>
    <xf numFmtId="164" fontId="159" fillId="0" borderId="17" xfId="42790" applyNumberFormat="1" applyFont="1" applyFill="1" applyBorder="1" applyAlignment="1">
      <alignment horizontal="right"/>
    </xf>
    <xf numFmtId="0" fontId="159" fillId="0" borderId="0" xfId="0" applyFont="1" applyFill="1"/>
    <xf numFmtId="164" fontId="159" fillId="0" borderId="22" xfId="42790" applyNumberFormat="1" applyFont="1" applyFill="1" applyBorder="1"/>
    <xf numFmtId="164" fontId="159" fillId="0" borderId="22" xfId="10568" applyNumberFormat="1" applyFont="1" applyFill="1" applyBorder="1"/>
    <xf numFmtId="164" fontId="0" fillId="0" borderId="22" xfId="42790" applyNumberFormat="1" applyFont="1" applyFill="1" applyBorder="1"/>
    <xf numFmtId="164" fontId="0" fillId="0" borderId="22" xfId="10568" applyNumberFormat="1" applyFont="1" applyFill="1" applyBorder="1"/>
    <xf numFmtId="164" fontId="0" fillId="0" borderId="22" xfId="10573" applyNumberFormat="1" applyFont="1" applyFill="1" applyBorder="1"/>
    <xf numFmtId="164" fontId="210" fillId="0" borderId="22" xfId="10568" applyNumberFormat="1" applyFont="1" applyFill="1" applyBorder="1"/>
    <xf numFmtId="0" fontId="0" fillId="0" borderId="0" xfId="0" applyFont="1" applyFill="1"/>
    <xf numFmtId="0" fontId="134" fillId="0" borderId="0" xfId="0" applyFont="1" applyFill="1"/>
    <xf numFmtId="164" fontId="21" fillId="0" borderId="0" xfId="42790" applyNumberFormat="1" applyFont="1" applyFill="1"/>
    <xf numFmtId="164" fontId="0" fillId="0" borderId="23" xfId="10573" applyNumberFormat="1" applyFont="1" applyFill="1" applyBorder="1"/>
    <xf numFmtId="164" fontId="159" fillId="0" borderId="0" xfId="42790" applyNumberFormat="1" applyFont="1" applyFill="1" applyBorder="1" applyAlignment="1">
      <alignment horizontal="right"/>
    </xf>
    <xf numFmtId="0" fontId="21" fillId="0" borderId="0" xfId="0" applyFont="1" applyFill="1" applyAlignment="1">
      <alignment horizontal="center"/>
    </xf>
    <xf numFmtId="0" fontId="0" fillId="0" borderId="0" xfId="0" applyFill="1" applyAlignment="1">
      <alignment horizontal="right"/>
    </xf>
    <xf numFmtId="164" fontId="159" fillId="0" borderId="77" xfId="42790" applyNumberFormat="1" applyFont="1" applyFill="1" applyBorder="1" applyAlignment="1">
      <alignment horizontal="right"/>
    </xf>
    <xf numFmtId="164" fontId="159" fillId="0" borderId="77" xfId="10568" applyNumberFormat="1" applyFont="1" applyFill="1" applyBorder="1" applyAlignment="1">
      <alignment horizontal="right"/>
    </xf>
    <xf numFmtId="164" fontId="159" fillId="0" borderId="74" xfId="10568" applyNumberFormat="1" applyFont="1" applyFill="1" applyBorder="1" applyAlignment="1">
      <alignment horizontal="right"/>
    </xf>
    <xf numFmtId="164" fontId="159" fillId="0" borderId="77" xfId="10573" applyNumberFormat="1" applyFont="1" applyFill="1" applyBorder="1" applyAlignment="1">
      <alignment horizontal="right"/>
    </xf>
    <xf numFmtId="164" fontId="159" fillId="0" borderId="23" xfId="42790" applyNumberFormat="1" applyFont="1" applyFill="1" applyBorder="1" applyAlignment="1">
      <alignment horizontal="right"/>
    </xf>
    <xf numFmtId="164" fontId="159" fillId="0" borderId="22" xfId="10568" applyNumberFormat="1" applyFont="1" applyFill="1" applyBorder="1" applyAlignment="1">
      <alignment horizontal="right"/>
    </xf>
    <xf numFmtId="164" fontId="159" fillId="0" borderId="79" xfId="10568" applyNumberFormat="1" applyFont="1" applyFill="1" applyBorder="1" applyAlignment="1">
      <alignment horizontal="right"/>
    </xf>
    <xf numFmtId="164" fontId="159" fillId="0" borderId="17" xfId="10573" applyNumberFormat="1" applyFont="1" applyFill="1" applyBorder="1" applyAlignment="1">
      <alignment horizontal="right"/>
    </xf>
    <xf numFmtId="0" fontId="211" fillId="0" borderId="0" xfId="0" applyFont="1" applyFill="1"/>
    <xf numFmtId="164" fontId="0" fillId="0" borderId="0" xfId="0" applyNumberFormat="1" applyFill="1"/>
    <xf numFmtId="0" fontId="159" fillId="0" borderId="17" xfId="0" applyFont="1" applyFill="1" applyBorder="1"/>
    <xf numFmtId="164" fontId="210" fillId="0" borderId="66" xfId="42790" applyNumberFormat="1" applyFont="1" applyFill="1" applyBorder="1"/>
    <xf numFmtId="164" fontId="159" fillId="0" borderId="17" xfId="10568" applyNumberFormat="1" applyFont="1" applyFill="1" applyBorder="1" applyAlignment="1">
      <alignment horizontal="right"/>
    </xf>
    <xf numFmtId="0" fontId="21" fillId="0" borderId="0" xfId="0" applyFont="1" applyFill="1" applyBorder="1"/>
    <xf numFmtId="165" fontId="38" fillId="0" borderId="0" xfId="16524" applyNumberFormat="1" applyFont="1" applyFill="1" applyBorder="1"/>
    <xf numFmtId="14" fontId="38" fillId="0" borderId="0" xfId="0" applyNumberFormat="1" applyFont="1" applyFill="1" applyBorder="1" applyAlignment="1">
      <alignment horizontal="center"/>
    </xf>
    <xf numFmtId="14" fontId="38" fillId="0" borderId="0" xfId="0" applyNumberFormat="1" applyFont="1" applyFill="1" applyBorder="1"/>
    <xf numFmtId="0" fontId="21" fillId="0" borderId="0" xfId="42795" applyFill="1"/>
    <xf numFmtId="43" fontId="0" fillId="0" borderId="0" xfId="42790" applyFont="1" applyFill="1"/>
    <xf numFmtId="40" fontId="0" fillId="0" borderId="0" xfId="0" applyNumberFormat="1" applyFill="1"/>
    <xf numFmtId="15" fontId="160" fillId="0" borderId="0" xfId="42792" applyNumberFormat="1" applyFont="1" applyFill="1"/>
    <xf numFmtId="165" fontId="160" fillId="0" borderId="0" xfId="42792" applyNumberFormat="1" applyFont="1" applyFill="1"/>
    <xf numFmtId="9" fontId="38" fillId="0" borderId="0" xfId="42791" applyNumberFormat="1" applyFont="1" applyBorder="1" applyAlignment="1">
      <alignment horizontal="center"/>
    </xf>
    <xf numFmtId="9" fontId="93" fillId="0" borderId="0" xfId="0" applyNumberFormat="1" applyFont="1"/>
    <xf numFmtId="9" fontId="93" fillId="0" borderId="0" xfId="0" applyNumberFormat="1" applyFont="1" applyBorder="1" applyAlignment="1">
      <alignment horizontal="center"/>
    </xf>
    <xf numFmtId="0" fontId="38" fillId="0" borderId="80" xfId="0" applyFont="1" applyFill="1" applyBorder="1"/>
    <xf numFmtId="0" fontId="38" fillId="0" borderId="62" xfId="0" applyFont="1" applyFill="1" applyBorder="1"/>
    <xf numFmtId="0" fontId="93" fillId="0" borderId="62" xfId="0" applyFont="1" applyFill="1" applyBorder="1" applyAlignment="1">
      <alignment horizontal="center"/>
    </xf>
    <xf numFmtId="0" fontId="38" fillId="0" borderId="81" xfId="0" applyFont="1" applyFill="1" applyBorder="1"/>
    <xf numFmtId="0" fontId="38" fillId="0" borderId="82" xfId="0" applyFont="1" applyFill="1" applyBorder="1"/>
    <xf numFmtId="164" fontId="38" fillId="0" borderId="83" xfId="0" applyNumberFormat="1" applyFont="1" applyFill="1" applyBorder="1"/>
    <xf numFmtId="0" fontId="38" fillId="0" borderId="84" xfId="0" applyFont="1" applyFill="1" applyBorder="1"/>
    <xf numFmtId="0" fontId="38" fillId="0" borderId="36" xfId="0" applyFont="1" applyFill="1" applyBorder="1"/>
    <xf numFmtId="41" fontId="38" fillId="0" borderId="36" xfId="0" applyNumberFormat="1" applyFont="1" applyFill="1" applyBorder="1"/>
    <xf numFmtId="0" fontId="38" fillId="0" borderId="36" xfId="0" applyFont="1" applyFill="1" applyBorder="1" applyAlignment="1">
      <alignment horizontal="center"/>
    </xf>
    <xf numFmtId="164" fontId="38" fillId="0" borderId="85" xfId="0" applyNumberFormat="1" applyFont="1" applyFill="1" applyBorder="1"/>
    <xf numFmtId="0" fontId="38" fillId="130" borderId="0" xfId="0" applyFont="1" applyFill="1" applyBorder="1"/>
    <xf numFmtId="0" fontId="93" fillId="130" borderId="0" xfId="0" applyFont="1" applyFill="1" applyBorder="1" applyAlignment="1">
      <alignment horizontal="left"/>
    </xf>
    <xf numFmtId="0" fontId="93" fillId="130" borderId="0" xfId="0" applyFont="1" applyFill="1" applyBorder="1" applyAlignment="1">
      <alignment horizontal="center"/>
    </xf>
    <xf numFmtId="0" fontId="38" fillId="130" borderId="0" xfId="0" applyFont="1" applyFill="1" applyBorder="1" applyAlignment="1">
      <alignment horizontal="left" indent="3"/>
    </xf>
    <xf numFmtId="0" fontId="38" fillId="130" borderId="0" xfId="17" applyFont="1" applyFill="1" applyBorder="1"/>
    <xf numFmtId="43" fontId="38" fillId="0" borderId="0" xfId="3" applyNumberFormat="1" applyFont="1" applyFill="1" applyBorder="1"/>
    <xf numFmtId="164" fontId="38" fillId="130" borderId="0" xfId="42790" applyNumberFormat="1" applyFont="1" applyFill="1" applyBorder="1"/>
    <xf numFmtId="44" fontId="38" fillId="0" borderId="0" xfId="4" applyNumberFormat="1" applyFont="1" applyFill="1" applyBorder="1"/>
    <xf numFmtId="44" fontId="38" fillId="0" borderId="0" xfId="42790" applyNumberFormat="1" applyFont="1" applyFill="1" applyBorder="1"/>
    <xf numFmtId="44" fontId="38" fillId="0" borderId="0" xfId="0" applyNumberFormat="1" applyFont="1" applyFill="1" applyBorder="1" applyAlignment="1">
      <alignment horizontal="left"/>
    </xf>
    <xf numFmtId="44" fontId="38" fillId="0" borderId="0" xfId="3" applyNumberFormat="1" applyFont="1" applyFill="1" applyBorder="1"/>
    <xf numFmtId="165" fontId="38" fillId="0" borderId="0" xfId="42790" applyNumberFormat="1" applyFont="1" applyFill="1" applyBorder="1"/>
    <xf numFmtId="165" fontId="38" fillId="0" borderId="0" xfId="42790" applyNumberFormat="1" applyFont="1" applyFill="1"/>
    <xf numFmtId="165" fontId="38" fillId="0" borderId="10" xfId="3" applyNumberFormat="1" applyFont="1" applyFill="1" applyBorder="1"/>
    <xf numFmtId="165" fontId="38" fillId="0" borderId="16" xfId="3" applyNumberFormat="1" applyFont="1" applyFill="1" applyBorder="1"/>
    <xf numFmtId="43" fontId="38" fillId="0" borderId="0" xfId="3" applyNumberFormat="1" applyFont="1" applyFill="1"/>
    <xf numFmtId="43" fontId="38" fillId="0" borderId="0" xfId="0" applyNumberFormat="1" applyFont="1" applyFill="1" applyBorder="1" applyAlignment="1">
      <alignment horizontal="left" indent="3"/>
    </xf>
    <xf numFmtId="43" fontId="191" fillId="0" borderId="0" xfId="0" applyNumberFormat="1" applyFont="1" applyFill="1" applyBorder="1" applyAlignment="1">
      <alignment horizontal="center"/>
    </xf>
    <xf numFmtId="43" fontId="38" fillId="0" borderId="71" xfId="0" applyNumberFormat="1" applyFont="1" applyFill="1" applyBorder="1" applyAlignment="1">
      <alignment horizontal="left" indent="3"/>
    </xf>
    <xf numFmtId="43" fontId="38" fillId="0" borderId="10" xfId="0" applyNumberFormat="1" applyFont="1" applyFill="1" applyBorder="1" applyAlignment="1">
      <alignment horizontal="left" indent="3"/>
    </xf>
    <xf numFmtId="165" fontId="38" fillId="0" borderId="0" xfId="4" applyNumberFormat="1" applyFont="1" applyFill="1" applyBorder="1"/>
    <xf numFmtId="165" fontId="38" fillId="0" borderId="0" xfId="3" applyNumberFormat="1" applyFont="1" applyFill="1" applyBorder="1"/>
    <xf numFmtId="165" fontId="38" fillId="0" borderId="0" xfId="3" applyNumberFormat="1" applyFont="1" applyFill="1"/>
    <xf numFmtId="165" fontId="191" fillId="0" borderId="0" xfId="0" applyNumberFormat="1" applyFont="1" applyFill="1" applyBorder="1" applyAlignment="1">
      <alignment horizontal="center"/>
    </xf>
    <xf numFmtId="0" fontId="38" fillId="0" borderId="10" xfId="0" applyFont="1" applyBorder="1" applyAlignment="1">
      <alignment horizontal="left"/>
    </xf>
    <xf numFmtId="164" fontId="38" fillId="0" borderId="0" xfId="42790" applyNumberFormat="1" applyFont="1" applyAlignment="1">
      <alignment horizontal="left"/>
    </xf>
    <xf numFmtId="165" fontId="38" fillId="0" borderId="0" xfId="42793" applyNumberFormat="1" applyFont="1" applyFill="1" applyAlignment="1">
      <alignment horizontal="left"/>
    </xf>
    <xf numFmtId="164" fontId="38" fillId="0" borderId="0" xfId="42790" applyNumberFormat="1" applyFont="1" applyFill="1" applyAlignment="1">
      <alignment horizontal="left"/>
    </xf>
    <xf numFmtId="166" fontId="38" fillId="0" borderId="0" xfId="4" applyNumberFormat="1" applyFont="1" applyFill="1" applyAlignment="1">
      <alignment horizontal="left"/>
    </xf>
    <xf numFmtId="0" fontId="38" fillId="131" borderId="0" xfId="0" applyFont="1" applyFill="1"/>
    <xf numFmtId="0" fontId="38" fillId="131" borderId="0" xfId="0" applyFont="1" applyFill="1" applyBorder="1"/>
    <xf numFmtId="0" fontId="38" fillId="131" borderId="0" xfId="0" applyFont="1" applyFill="1" applyBorder="1" applyAlignment="1">
      <alignment horizontal="center"/>
    </xf>
    <xf numFmtId="165" fontId="38" fillId="131" borderId="0" xfId="2" applyNumberFormat="1" applyFont="1" applyFill="1"/>
    <xf numFmtId="164" fontId="38" fillId="131" borderId="0" xfId="3" applyNumberFormat="1" applyFont="1" applyFill="1"/>
    <xf numFmtId="164" fontId="38" fillId="131" borderId="0" xfId="3" applyNumberFormat="1" applyFont="1" applyFill="1" applyAlignment="1">
      <alignment horizontal="center"/>
    </xf>
    <xf numFmtId="166" fontId="38" fillId="131" borderId="0" xfId="4" applyNumberFormat="1" applyFont="1" applyFill="1" applyAlignment="1">
      <alignment horizontal="right"/>
    </xf>
    <xf numFmtId="165" fontId="38" fillId="131" borderId="0" xfId="2" applyNumberFormat="1" applyFont="1" applyFill="1" applyBorder="1" applyAlignment="1">
      <alignment horizontal="center"/>
    </xf>
    <xf numFmtId="0" fontId="38" fillId="131" borderId="0" xfId="0" applyFont="1" applyFill="1" applyAlignment="1">
      <alignment horizontal="center"/>
    </xf>
    <xf numFmtId="166" fontId="38" fillId="0" borderId="70" xfId="4" applyNumberFormat="1" applyFont="1" applyFill="1" applyBorder="1" applyAlignment="1">
      <alignment horizontal="center"/>
    </xf>
    <xf numFmtId="0" fontId="191" fillId="0" borderId="0" xfId="0" applyFont="1" applyAlignment="1">
      <alignment horizontal="left"/>
    </xf>
    <xf numFmtId="10" fontId="38" fillId="0" borderId="0" xfId="42791" applyNumberFormat="1" applyFont="1" applyAlignment="1">
      <alignment horizontal="center"/>
    </xf>
    <xf numFmtId="0" fontId="160" fillId="0" borderId="0" xfId="22" applyFont="1" applyFill="1" applyBorder="1" applyAlignment="1">
      <alignment horizontal="center"/>
    </xf>
    <xf numFmtId="0" fontId="38" fillId="0" borderId="0" xfId="42796" applyFont="1" applyFill="1" applyAlignment="1"/>
    <xf numFmtId="44" fontId="38" fillId="0" borderId="72" xfId="42798" applyFont="1" applyFill="1" applyBorder="1" applyAlignment="1">
      <alignment horizontal="right"/>
    </xf>
    <xf numFmtId="44" fontId="38" fillId="0" borderId="70" xfId="42798" applyFont="1" applyFill="1" applyBorder="1" applyAlignment="1">
      <alignment horizontal="right"/>
    </xf>
    <xf numFmtId="0" fontId="38" fillId="0" borderId="36" xfId="42796" applyFont="1" applyFill="1" applyBorder="1" applyAlignment="1"/>
    <xf numFmtId="43" fontId="38" fillId="0" borderId="20" xfId="42797" applyFont="1" applyFill="1" applyBorder="1" applyAlignment="1"/>
    <xf numFmtId="0" fontId="38" fillId="130" borderId="0" xfId="42796" applyFont="1" applyFill="1" applyAlignment="1"/>
    <xf numFmtId="0" fontId="38" fillId="0" borderId="0" xfId="21" applyFont="1" applyFill="1">
      <alignment horizontal="centerContinuous"/>
    </xf>
    <xf numFmtId="0" fontId="38" fillId="0" borderId="0" xfId="21" applyFont="1" applyFill="1" applyAlignment="1">
      <alignment horizontal="centerContinuous"/>
    </xf>
    <xf numFmtId="0" fontId="38" fillId="0" borderId="0" xfId="14" applyFont="1" applyFill="1" applyAlignment="1"/>
    <xf numFmtId="0" fontId="38" fillId="0" borderId="0" xfId="14" applyFont="1" applyFill="1" applyAlignment="1">
      <alignment horizontal="centerContinuous"/>
    </xf>
    <xf numFmtId="0" fontId="38" fillId="0" borderId="0" xfId="14" applyFont="1" applyFill="1">
      <alignment horizontal="centerContinuous"/>
    </xf>
    <xf numFmtId="0" fontId="38" fillId="0" borderId="0" xfId="14" applyFont="1" applyFill="1" applyAlignment="1">
      <alignment horizontal="left"/>
    </xf>
    <xf numFmtId="0" fontId="38" fillId="0" borderId="0" xfId="22" applyFont="1" applyFill="1" applyBorder="1">
      <alignment horizontal="right"/>
    </xf>
    <xf numFmtId="49" fontId="38" fillId="0" borderId="0" xfId="22" applyNumberFormat="1" applyFont="1" applyFill="1" applyBorder="1">
      <alignment horizontal="right"/>
    </xf>
    <xf numFmtId="0" fontId="38" fillId="0" borderId="10" xfId="22" applyFont="1" applyFill="1" applyBorder="1">
      <alignment horizontal="right"/>
    </xf>
    <xf numFmtId="0" fontId="38" fillId="0" borderId="0" xfId="17" applyFont="1" applyFill="1" applyBorder="1"/>
    <xf numFmtId="40" fontId="38" fillId="0" borderId="0" xfId="20" applyFont="1" applyFill="1" applyBorder="1">
      <alignment horizontal="right"/>
    </xf>
    <xf numFmtId="0" fontId="38" fillId="130" borderId="0" xfId="17" applyFont="1" applyFill="1" applyBorder="1"/>
    <xf numFmtId="40" fontId="38" fillId="130" borderId="0" xfId="20" applyFont="1" applyFill="1" applyBorder="1">
      <alignment horizontal="right"/>
    </xf>
    <xf numFmtId="40" fontId="38" fillId="130" borderId="70" xfId="20" applyFont="1" applyFill="1" applyBorder="1">
      <alignment horizontal="right"/>
    </xf>
    <xf numFmtId="0" fontId="38" fillId="130" borderId="0" xfId="21" applyFont="1" applyFill="1" applyBorder="1" applyAlignment="1">
      <alignment horizontal="centerContinuous"/>
    </xf>
    <xf numFmtId="0" fontId="38" fillId="130" borderId="0" xfId="14" applyFont="1" applyFill="1" applyAlignment="1">
      <alignment horizontal="centerContinuous"/>
    </xf>
    <xf numFmtId="0" fontId="38" fillId="130" borderId="0" xfId="14" applyFont="1" applyFill="1" applyBorder="1">
      <alignment horizontal="centerContinuous"/>
    </xf>
    <xf numFmtId="49" fontId="160" fillId="130" borderId="0" xfId="22" applyNumberFormat="1" applyFont="1" applyFill="1" applyBorder="1" applyAlignment="1">
      <alignment horizontal="center"/>
    </xf>
    <xf numFmtId="0" fontId="160" fillId="130" borderId="10" xfId="22" applyFont="1" applyFill="1" applyBorder="1" applyAlignment="1">
      <alignment horizontal="center"/>
    </xf>
    <xf numFmtId="0" fontId="38" fillId="0" borderId="0" xfId="42796" applyFont="1" applyFill="1" applyBorder="1" applyAlignment="1"/>
    <xf numFmtId="0" fontId="212" fillId="0" borderId="0" xfId="0" applyFont="1" applyFill="1" applyBorder="1"/>
    <xf numFmtId="164" fontId="38" fillId="130" borderId="0" xfId="3" applyNumberFormat="1" applyFont="1" applyFill="1" applyBorder="1"/>
    <xf numFmtId="164" fontId="38" fillId="130" borderId="0" xfId="3" applyNumberFormat="1" applyFont="1" applyFill="1" applyBorder="1" applyAlignment="1">
      <alignment horizontal="right"/>
    </xf>
    <xf numFmtId="164" fontId="38" fillId="0" borderId="0" xfId="3" applyNumberFormat="1" applyFont="1" applyFill="1" applyBorder="1" applyAlignment="1">
      <alignment horizontal="right"/>
    </xf>
    <xf numFmtId="165" fontId="38" fillId="130" borderId="72" xfId="2" applyNumberFormat="1" applyFont="1" applyFill="1" applyBorder="1" applyAlignment="1">
      <alignment horizontal="right"/>
    </xf>
    <xf numFmtId="165" fontId="38" fillId="0" borderId="72" xfId="2" applyNumberFormat="1" applyFont="1" applyFill="1" applyBorder="1" applyAlignment="1">
      <alignment horizontal="right"/>
    </xf>
    <xf numFmtId="164" fontId="38" fillId="0" borderId="10" xfId="3" applyNumberFormat="1" applyFont="1" applyFill="1" applyBorder="1" applyAlignment="1">
      <alignment horizontal="right"/>
    </xf>
    <xf numFmtId="41" fontId="160" fillId="0" borderId="10" xfId="3" applyNumberFormat="1" applyFont="1" applyFill="1" applyBorder="1" applyAlignment="1">
      <alignment horizontal="right"/>
    </xf>
    <xf numFmtId="164" fontId="160" fillId="0" borderId="0" xfId="3" applyNumberFormat="1" applyFont="1" applyFill="1" applyBorder="1" applyAlignment="1">
      <alignment horizontal="right"/>
    </xf>
    <xf numFmtId="164" fontId="38" fillId="130" borderId="70" xfId="3" applyNumberFormat="1" applyFont="1" applyFill="1" applyBorder="1" applyAlignment="1">
      <alignment horizontal="right"/>
    </xf>
    <xf numFmtId="164" fontId="38" fillId="0" borderId="70" xfId="3" applyNumberFormat="1" applyFont="1" applyFill="1" applyBorder="1" applyAlignment="1">
      <alignment horizontal="right"/>
    </xf>
    <xf numFmtId="41" fontId="160" fillId="0" borderId="0" xfId="3" applyNumberFormat="1" applyFont="1" applyFill="1" applyBorder="1" applyAlignment="1">
      <alignment horizontal="right"/>
    </xf>
    <xf numFmtId="164" fontId="203" fillId="0" borderId="0" xfId="3" applyNumberFormat="1" applyFont="1" applyFill="1" applyBorder="1" applyAlignment="1">
      <alignment horizontal="left"/>
    </xf>
    <xf numFmtId="164" fontId="38" fillId="0" borderId="10" xfId="3" applyNumberFormat="1" applyFont="1" applyFill="1" applyBorder="1" applyAlignment="1">
      <alignment horizontal="left"/>
    </xf>
    <xf numFmtId="41" fontId="38" fillId="0" borderId="72" xfId="27897" applyNumberFormat="1" applyFont="1" applyFill="1" applyBorder="1"/>
    <xf numFmtId="165" fontId="38" fillId="0" borderId="0" xfId="2" applyNumberFormat="1" applyFont="1" applyFill="1" applyBorder="1" applyAlignment="1">
      <alignment horizontal="left"/>
    </xf>
    <xf numFmtId="10" fontId="38" fillId="0" borderId="0" xfId="4" applyNumberFormat="1" applyFont="1" applyFill="1" applyBorder="1" applyAlignment="1">
      <alignment horizontal="center"/>
    </xf>
    <xf numFmtId="0" fontId="93" fillId="132" borderId="0" xfId="42796" applyFont="1" applyFill="1" applyBorder="1" applyAlignment="1"/>
    <xf numFmtId="164" fontId="160" fillId="130" borderId="0" xfId="3" applyNumberFormat="1" applyFont="1" applyFill="1" applyBorder="1" applyAlignment="1">
      <alignment horizontal="center"/>
    </xf>
    <xf numFmtId="164" fontId="38" fillId="130" borderId="72" xfId="2" applyNumberFormat="1" applyFont="1" applyFill="1" applyBorder="1" applyAlignment="1">
      <alignment horizontal="right"/>
    </xf>
    <xf numFmtId="43" fontId="38" fillId="0" borderId="0" xfId="27897" applyNumberFormat="1" applyFont="1" applyFill="1" applyBorder="1"/>
    <xf numFmtId="43" fontId="38" fillId="0" borderId="10" xfId="3" applyNumberFormat="1" applyFont="1" applyFill="1" applyBorder="1" applyAlignment="1">
      <alignment horizontal="left"/>
    </xf>
    <xf numFmtId="255" fontId="38" fillId="0" borderId="0" xfId="3" applyNumberFormat="1" applyFont="1" applyFill="1" applyBorder="1"/>
    <xf numFmtId="164" fontId="203" fillId="0" borderId="0" xfId="42790" applyNumberFormat="1" applyFont="1" applyFill="1" applyBorder="1" applyAlignment="1">
      <alignment horizontal="center"/>
    </xf>
    <xf numFmtId="164" fontId="202" fillId="0" borderId="0" xfId="42790" applyNumberFormat="1" applyFont="1" applyFill="1" applyBorder="1"/>
    <xf numFmtId="0" fontId="209" fillId="0" borderId="0" xfId="0" applyFont="1" applyFill="1" applyBorder="1"/>
    <xf numFmtId="0" fontId="201" fillId="0" borderId="0" xfId="0" applyFont="1" applyFill="1" applyBorder="1" applyAlignment="1">
      <alignment horizontal="right"/>
    </xf>
    <xf numFmtId="0" fontId="213" fillId="0" borderId="0" xfId="0" applyFont="1" applyFill="1" applyBorder="1" applyAlignment="1">
      <alignment horizontal="center"/>
    </xf>
    <xf numFmtId="164" fontId="202" fillId="0" borderId="12" xfId="0" applyNumberFormat="1" applyFont="1" applyFill="1" applyBorder="1"/>
    <xf numFmtId="164" fontId="202" fillId="0" borderId="70" xfId="0" applyNumberFormat="1" applyFont="1" applyFill="1" applyBorder="1"/>
    <xf numFmtId="164" fontId="202" fillId="0" borderId="70" xfId="42790" applyNumberFormat="1" applyFont="1" applyFill="1" applyBorder="1"/>
    <xf numFmtId="37" fontId="209" fillId="0" borderId="0" xfId="0" applyNumberFormat="1" applyFont="1" applyFill="1" applyBorder="1"/>
    <xf numFmtId="37" fontId="202" fillId="33" borderId="10" xfId="3" applyNumberFormat="1" applyFont="1" applyFill="1" applyBorder="1"/>
    <xf numFmtId="37" fontId="209" fillId="0" borderId="75" xfId="0" applyNumberFormat="1" applyFont="1" applyFill="1" applyBorder="1"/>
    <xf numFmtId="37" fontId="209" fillId="0" borderId="10" xfId="0" applyNumberFormat="1" applyFont="1" applyFill="1" applyBorder="1"/>
    <xf numFmtId="37" fontId="202" fillId="0" borderId="0" xfId="42790" applyNumberFormat="1" applyFont="1" applyFill="1" applyBorder="1"/>
    <xf numFmtId="37" fontId="209" fillId="0" borderId="70" xfId="0" applyNumberFormat="1" applyFont="1" applyFill="1" applyBorder="1"/>
    <xf numFmtId="37" fontId="209" fillId="0" borderId="12" xfId="0" applyNumberFormat="1" applyFont="1" applyFill="1" applyBorder="1"/>
    <xf numFmtId="40" fontId="28" fillId="34" borderId="0" xfId="20" applyBorder="1">
      <alignment horizontal="right"/>
    </xf>
    <xf numFmtId="40" fontId="28" fillId="34" borderId="0" xfId="20" applyFont="1" applyBorder="1">
      <alignment horizontal="right"/>
    </xf>
    <xf numFmtId="164" fontId="200" fillId="0" borderId="0" xfId="3" applyNumberFormat="1" applyFont="1" applyBorder="1"/>
    <xf numFmtId="164" fontId="200" fillId="0" borderId="0" xfId="3" applyNumberFormat="1" applyFont="1" applyBorder="1" applyAlignment="1">
      <alignment horizontal="left"/>
    </xf>
    <xf numFmtId="164" fontId="200" fillId="0" borderId="0" xfId="3" applyNumberFormat="1" applyFont="1" applyBorder="1" applyAlignment="1">
      <alignment horizontal="center"/>
    </xf>
    <xf numFmtId="164" fontId="21" fillId="0" borderId="0" xfId="3" applyNumberFormat="1" applyFont="1" applyBorder="1"/>
    <xf numFmtId="164" fontId="38" fillId="0" borderId="0" xfId="3" applyNumberFormat="1" applyFont="1" applyBorder="1" applyAlignment="1">
      <alignment horizontal="left"/>
    </xf>
    <xf numFmtId="164" fontId="38" fillId="0" borderId="0" xfId="3" applyNumberFormat="1" applyFont="1" applyBorder="1" applyAlignment="1">
      <alignment horizontal="centerContinuous"/>
    </xf>
    <xf numFmtId="165" fontId="38" fillId="34" borderId="72" xfId="2" applyNumberFormat="1" applyFont="1" applyFill="1" applyBorder="1" applyAlignment="1">
      <alignment horizontal="right"/>
    </xf>
    <xf numFmtId="164" fontId="38" fillId="34" borderId="0" xfId="3" applyNumberFormat="1" applyFont="1" applyFill="1" applyBorder="1" applyAlignment="1">
      <alignment horizontal="right"/>
    </xf>
    <xf numFmtId="164" fontId="38" fillId="34" borderId="0" xfId="3" applyNumberFormat="1" applyFont="1" applyFill="1" applyBorder="1"/>
    <xf numFmtId="41" fontId="38" fillId="34" borderId="0" xfId="3" applyNumberFormat="1" applyFont="1" applyFill="1" applyBorder="1" applyAlignment="1">
      <alignment horizontal="right"/>
    </xf>
    <xf numFmtId="164" fontId="191" fillId="0" borderId="0" xfId="3" applyNumberFormat="1" applyFont="1" applyBorder="1" applyAlignment="1">
      <alignment horizontal="center"/>
    </xf>
    <xf numFmtId="0" fontId="38" fillId="0" borderId="0" xfId="3" applyNumberFormat="1" applyFont="1" applyBorder="1" applyAlignment="1">
      <alignment horizontal="left"/>
    </xf>
    <xf numFmtId="41" fontId="38" fillId="0" borderId="0" xfId="3" applyNumberFormat="1" applyFont="1" applyBorder="1" applyAlignment="1">
      <alignment horizontal="left"/>
    </xf>
    <xf numFmtId="9" fontId="38" fillId="0" borderId="0" xfId="4" applyFont="1" applyBorder="1" applyAlignment="1">
      <alignment horizontal="right"/>
    </xf>
    <xf numFmtId="0" fontId="200" fillId="0" borderId="0" xfId="3" applyNumberFormat="1" applyFont="1" applyBorder="1" applyAlignment="1">
      <alignment horizontal="left"/>
    </xf>
    <xf numFmtId="164" fontId="214" fillId="0" borderId="0" xfId="3" applyNumberFormat="1" applyFont="1" applyBorder="1"/>
    <xf numFmtId="164" fontId="38" fillId="34" borderId="0" xfId="3" applyNumberFormat="1" applyFont="1" applyFill="1" applyBorder="1" applyAlignment="1">
      <alignment horizontal="left"/>
    </xf>
    <xf numFmtId="164" fontId="38" fillId="34" borderId="0" xfId="3" applyNumberFormat="1" applyFont="1" applyFill="1" applyBorder="1" applyAlignment="1">
      <alignment horizontal="center"/>
    </xf>
    <xf numFmtId="164" fontId="194" fillId="34" borderId="0" xfId="3" applyNumberFormat="1" applyFont="1" applyFill="1" applyBorder="1" applyAlignment="1">
      <alignment horizontal="right"/>
    </xf>
    <xf numFmtId="165" fontId="205" fillId="0" borderId="0" xfId="2" applyNumberFormat="1" applyFont="1" applyFill="1"/>
    <xf numFmtId="164" fontId="205" fillId="0" borderId="10" xfId="3" applyNumberFormat="1" applyFont="1" applyFill="1" applyBorder="1"/>
    <xf numFmtId="0" fontId="215" fillId="133" borderId="22" xfId="17" applyFont="1" applyFill="1" applyBorder="1" applyAlignment="1">
      <alignment horizontal="left"/>
    </xf>
    <xf numFmtId="0" fontId="0" fillId="0" borderId="71" xfId="0" applyFill="1" applyBorder="1"/>
    <xf numFmtId="40" fontId="0" fillId="0" borderId="10" xfId="0" applyNumberFormat="1" applyFill="1" applyBorder="1"/>
    <xf numFmtId="0" fontId="216" fillId="134" borderId="0" xfId="1" applyFont="1" applyFill="1" applyBorder="1" applyAlignment="1">
      <alignment horizontal="left"/>
    </xf>
    <xf numFmtId="0" fontId="217" fillId="134" borderId="0" xfId="0" applyFont="1" applyFill="1" applyBorder="1"/>
    <xf numFmtId="0" fontId="218" fillId="134" borderId="0" xfId="1" applyFont="1" applyFill="1" applyBorder="1"/>
    <xf numFmtId="164" fontId="217" fillId="134" borderId="0" xfId="0" applyNumberFormat="1" applyFont="1" applyFill="1" applyBorder="1"/>
    <xf numFmtId="0" fontId="216" fillId="134" borderId="0" xfId="0" applyFont="1" applyFill="1" applyBorder="1"/>
    <xf numFmtId="0" fontId="217" fillId="134" borderId="0" xfId="0" applyFont="1" applyFill="1" applyBorder="1" applyAlignment="1">
      <alignment horizontal="center"/>
    </xf>
    <xf numFmtId="0" fontId="216" fillId="134" borderId="10" xfId="0" applyFont="1" applyFill="1" applyBorder="1" applyAlignment="1">
      <alignment wrapText="1"/>
    </xf>
    <xf numFmtId="0" fontId="216" fillId="134" borderId="0" xfId="0" applyFont="1" applyFill="1" applyBorder="1" applyAlignment="1">
      <alignment wrapText="1"/>
    </xf>
    <xf numFmtId="0" fontId="219" fillId="134" borderId="0" xfId="0" applyFont="1" applyFill="1" applyBorder="1"/>
    <xf numFmtId="0" fontId="215" fillId="0" borderId="22" xfId="17" applyFont="1" applyFill="1" applyBorder="1" applyAlignment="1">
      <alignment horizontal="left"/>
    </xf>
    <xf numFmtId="0" fontId="93" fillId="0" borderId="0" xfId="42796" applyFont="1" applyFill="1" applyAlignment="1"/>
    <xf numFmtId="0" fontId="220" fillId="33" borderId="0" xfId="0" applyFont="1" applyFill="1" applyBorder="1" applyAlignment="1">
      <alignment horizontal="right"/>
    </xf>
    <xf numFmtId="0" fontId="220" fillId="0" borderId="0" xfId="0" applyFont="1" applyFill="1" applyBorder="1" applyAlignment="1">
      <alignment horizontal="right"/>
    </xf>
    <xf numFmtId="0" fontId="200" fillId="33" borderId="0" xfId="0" applyFont="1" applyFill="1" applyAlignment="1">
      <alignment horizontal="right"/>
    </xf>
    <xf numFmtId="49" fontId="220" fillId="33" borderId="10" xfId="0" applyNumberFormat="1" applyFont="1" applyFill="1" applyBorder="1" applyAlignment="1">
      <alignment horizontal="right" wrapText="1"/>
    </xf>
    <xf numFmtId="0" fontId="220" fillId="33" borderId="10" xfId="0" applyFont="1" applyFill="1" applyBorder="1" applyAlignment="1">
      <alignment horizontal="right"/>
    </xf>
    <xf numFmtId="49" fontId="221" fillId="33" borderId="10" xfId="0" applyNumberFormat="1" applyFont="1" applyFill="1" applyBorder="1" applyAlignment="1">
      <alignment horizontal="right"/>
    </xf>
    <xf numFmtId="49" fontId="220" fillId="33" borderId="0" xfId="0" applyNumberFormat="1" applyFont="1" applyFill="1" applyBorder="1" applyAlignment="1">
      <alignment horizontal="right"/>
    </xf>
    <xf numFmtId="364" fontId="220" fillId="0" borderId="0" xfId="0" applyNumberFormat="1" applyFont="1" applyFill="1" applyBorder="1" applyAlignment="1">
      <alignment horizontal="right"/>
    </xf>
    <xf numFmtId="49" fontId="200" fillId="33" borderId="0" xfId="0" applyNumberFormat="1" applyFont="1" applyFill="1" applyBorder="1" applyAlignment="1">
      <alignment horizontal="center" vertical="center" wrapText="1"/>
    </xf>
    <xf numFmtId="0" fontId="222" fillId="33" borderId="0" xfId="0" applyFont="1" applyFill="1" applyBorder="1" applyAlignment="1">
      <alignment horizontal="center"/>
    </xf>
    <xf numFmtId="0" fontId="200" fillId="0" borderId="0" xfId="0" applyFont="1" applyFill="1" applyBorder="1" applyAlignment="1">
      <alignment horizontal="center"/>
    </xf>
    <xf numFmtId="42" fontId="200" fillId="33" borderId="0" xfId="2" applyNumberFormat="1" applyFont="1" applyFill="1"/>
    <xf numFmtId="41" fontId="200" fillId="33" borderId="0" xfId="2" applyNumberFormat="1" applyFont="1" applyFill="1"/>
    <xf numFmtId="41" fontId="200" fillId="33" borderId="0" xfId="0" applyNumberFormat="1" applyFont="1" applyFill="1"/>
    <xf numFmtId="41" fontId="200" fillId="33" borderId="0" xfId="0" applyNumberFormat="1" applyFont="1" applyFill="1" applyBorder="1"/>
    <xf numFmtId="41" fontId="200" fillId="33" borderId="0" xfId="3" applyNumberFormat="1" applyFont="1" applyFill="1" applyBorder="1"/>
    <xf numFmtId="41" fontId="200" fillId="33" borderId="10" xfId="3" applyNumberFormat="1" applyFont="1" applyFill="1" applyBorder="1"/>
    <xf numFmtId="41" fontId="200" fillId="33" borderId="0" xfId="3" applyNumberFormat="1" applyFont="1" applyFill="1"/>
    <xf numFmtId="164" fontId="200" fillId="33" borderId="0" xfId="3" applyNumberFormat="1" applyFont="1" applyFill="1" applyBorder="1"/>
    <xf numFmtId="42" fontId="200" fillId="33" borderId="12" xfId="2" applyNumberFormat="1" applyFont="1" applyFill="1" applyBorder="1"/>
    <xf numFmtId="41" fontId="200" fillId="33" borderId="0" xfId="2" applyNumberFormat="1" applyFont="1" applyFill="1" applyBorder="1"/>
    <xf numFmtId="41" fontId="200" fillId="33" borderId="12" xfId="2" applyNumberFormat="1" applyFont="1" applyFill="1" applyBorder="1"/>
    <xf numFmtId="164" fontId="200" fillId="33" borderId="0" xfId="3" applyNumberFormat="1" applyFont="1" applyFill="1"/>
    <xf numFmtId="0" fontId="200" fillId="0" borderId="0" xfId="0" applyFont="1" applyFill="1" applyAlignment="1">
      <alignment horizontal="center"/>
    </xf>
    <xf numFmtId="41" fontId="200" fillId="0" borderId="0" xfId="0" applyNumberFormat="1" applyFont="1" applyFill="1"/>
    <xf numFmtId="41" fontId="200" fillId="0" borderId="0" xfId="0" applyNumberFormat="1" applyFont="1" applyFill="1" applyBorder="1"/>
    <xf numFmtId="43" fontId="200" fillId="0" borderId="0" xfId="0" applyNumberFormat="1" applyFont="1" applyFill="1"/>
    <xf numFmtId="164" fontId="200" fillId="0" borderId="0" xfId="3" applyNumberFormat="1" applyFont="1" applyFill="1"/>
    <xf numFmtId="166" fontId="200" fillId="0" borderId="0" xfId="4" applyNumberFormat="1" applyFont="1" applyFill="1"/>
    <xf numFmtId="9" fontId="200" fillId="0" borderId="0" xfId="4" applyNumberFormat="1" applyFont="1" applyFill="1"/>
    <xf numFmtId="9" fontId="200" fillId="0" borderId="0" xfId="4" applyFont="1" applyFill="1"/>
    <xf numFmtId="41" fontId="200" fillId="0" borderId="0" xfId="3" applyNumberFormat="1" applyFont="1" applyFill="1" applyBorder="1"/>
    <xf numFmtId="164" fontId="200" fillId="0" borderId="0" xfId="3" applyNumberFormat="1" applyFont="1" applyFill="1" applyBorder="1"/>
    <xf numFmtId="0" fontId="220" fillId="0" borderId="0" xfId="0" applyFont="1" applyFill="1" applyBorder="1" applyAlignment="1">
      <alignment horizontal="left"/>
    </xf>
    <xf numFmtId="0" fontId="220" fillId="0" borderId="0" xfId="0" quotePrefix="1" applyFont="1" applyFill="1" applyBorder="1"/>
    <xf numFmtId="42" fontId="200" fillId="0" borderId="0" xfId="2" applyNumberFormat="1" applyFont="1" applyFill="1" applyBorder="1"/>
    <xf numFmtId="6" fontId="200" fillId="0" borderId="0" xfId="2" applyNumberFormat="1" applyFont="1" applyFill="1" applyBorder="1"/>
    <xf numFmtId="0" fontId="21" fillId="0" borderId="0" xfId="42804" applyBorder="1" applyAlignment="1"/>
    <xf numFmtId="0" fontId="21" fillId="0" borderId="0" xfId="42804" applyBorder="1"/>
    <xf numFmtId="0" fontId="26" fillId="34" borderId="0" xfId="17" applyFont="1" applyBorder="1"/>
    <xf numFmtId="0" fontId="26" fillId="34" borderId="0" xfId="17" applyBorder="1"/>
    <xf numFmtId="0" fontId="26" fillId="34" borderId="18" xfId="17" applyFont="1" applyBorder="1"/>
    <xf numFmtId="0" fontId="38" fillId="0" borderId="0" xfId="14" applyFont="1" applyBorder="1" applyAlignment="1">
      <alignment horizontal="center"/>
    </xf>
    <xf numFmtId="0" fontId="21" fillId="0" borderId="0" xfId="0" applyFont="1"/>
    <xf numFmtId="14" fontId="62" fillId="0" borderId="0" xfId="42887" applyNumberFormat="1"/>
    <xf numFmtId="14" fontId="62" fillId="0" borderId="0" xfId="42850" applyNumberFormat="1"/>
    <xf numFmtId="0" fontId="62" fillId="0" borderId="0" xfId="42918"/>
    <xf numFmtId="0" fontId="62" fillId="0" borderId="0" xfId="42883"/>
    <xf numFmtId="0" fontId="62" fillId="0" borderId="0" xfId="42951"/>
    <xf numFmtId="4" fontId="62" fillId="0" borderId="0" xfId="42951" applyNumberFormat="1"/>
    <xf numFmtId="43" fontId="62" fillId="0" borderId="0" xfId="42919" applyFont="1"/>
    <xf numFmtId="0" fontId="62" fillId="0" borderId="0" xfId="42853"/>
    <xf numFmtId="4" fontId="62" fillId="0" borderId="0" xfId="42853" applyNumberFormat="1"/>
    <xf numFmtId="43" fontId="62" fillId="0" borderId="0" xfId="42852" applyFont="1"/>
    <xf numFmtId="0" fontId="38" fillId="130" borderId="0" xfId="0" quotePrefix="1" applyFont="1" applyFill="1" applyBorder="1" applyAlignment="1">
      <alignment horizontal="left" indent="3"/>
    </xf>
    <xf numFmtId="0" fontId="206" fillId="0" borderId="0" xfId="42792" applyFont="1" applyFill="1"/>
    <xf numFmtId="0" fontId="224" fillId="0" borderId="0" xfId="0" applyFont="1" applyFill="1"/>
    <xf numFmtId="164" fontId="27" fillId="0" borderId="22" xfId="42976" applyNumberFormat="1" applyFont="1" applyBorder="1"/>
    <xf numFmtId="164" fontId="27" fillId="0" borderId="22" xfId="43198" applyNumberFormat="1" applyFont="1" applyBorder="1"/>
    <xf numFmtId="165" fontId="0" fillId="0" borderId="0" xfId="42793" applyNumberFormat="1" applyFont="1" applyFill="1" applyBorder="1"/>
    <xf numFmtId="39" fontId="0" fillId="0" borderId="0" xfId="0" applyNumberFormat="1" applyFill="1" applyBorder="1"/>
    <xf numFmtId="9" fontId="0" fillId="0" borderId="0" xfId="0" applyNumberFormat="1" applyFill="1" applyBorder="1"/>
    <xf numFmtId="164" fontId="27" fillId="0" borderId="22" xfId="43174" applyNumberFormat="1" applyFont="1" applyBorder="1"/>
    <xf numFmtId="164" fontId="21" fillId="0" borderId="22" xfId="11717" applyNumberFormat="1" applyFont="1" applyFill="1" applyBorder="1"/>
    <xf numFmtId="164" fontId="225" fillId="0" borderId="0" xfId="42790" applyNumberFormat="1" applyFont="1"/>
    <xf numFmtId="0" fontId="21" fillId="0" borderId="0" xfId="0" applyFont="1" applyFill="1" applyBorder="1" applyAlignment="1">
      <alignment horizontal="right"/>
    </xf>
    <xf numFmtId="0" fontId="159" fillId="0" borderId="0" xfId="0" applyFont="1" applyFill="1" applyBorder="1"/>
    <xf numFmtId="37" fontId="0" fillId="0" borderId="0" xfId="0" applyNumberFormat="1" applyFill="1" applyBorder="1"/>
    <xf numFmtId="37" fontId="21" fillId="0" borderId="0" xfId="0" applyNumberFormat="1" applyFont="1" applyFill="1" applyBorder="1"/>
    <xf numFmtId="164" fontId="21" fillId="0" borderId="22" xfId="11717" applyNumberFormat="1" applyFont="1" applyFill="1" applyBorder="1"/>
    <xf numFmtId="9" fontId="0" fillId="0" borderId="0" xfId="42791" applyFont="1" applyFill="1" applyBorder="1"/>
    <xf numFmtId="164" fontId="21" fillId="0" borderId="22" xfId="11717" applyNumberFormat="1" applyFont="1" applyFill="1" applyBorder="1"/>
    <xf numFmtId="164" fontId="27" fillId="0" borderId="22" xfId="43192" applyNumberFormat="1" applyFont="1" applyBorder="1"/>
    <xf numFmtId="164" fontId="27" fillId="0" borderId="22" xfId="43182" applyNumberFormat="1" applyFont="1" applyBorder="1"/>
    <xf numFmtId="164" fontId="27" fillId="0" borderId="22" xfId="43141" applyNumberFormat="1" applyFont="1" applyBorder="1"/>
    <xf numFmtId="164" fontId="27" fillId="0" borderId="22" xfId="42970" applyNumberFormat="1" applyFont="1" applyBorder="1"/>
    <xf numFmtId="164" fontId="21" fillId="0" borderId="23" xfId="10568" applyNumberFormat="1" applyFont="1" applyFill="1" applyBorder="1"/>
    <xf numFmtId="164" fontId="159" fillId="0" borderId="21" xfId="10573" applyNumberFormat="1" applyFont="1" applyFill="1" applyBorder="1"/>
    <xf numFmtId="164" fontId="159" fillId="0" borderId="21" xfId="10568" applyNumberFormat="1" applyFont="1" applyFill="1" applyBorder="1"/>
    <xf numFmtId="164" fontId="21" fillId="0" borderId="22" xfId="11717" applyNumberFormat="1" applyFont="1" applyBorder="1"/>
    <xf numFmtId="164" fontId="21" fillId="0" borderId="22" xfId="11717" applyNumberFormat="1" applyFont="1" applyFill="1" applyBorder="1"/>
    <xf numFmtId="164" fontId="21" fillId="0" borderId="22" xfId="11717" applyNumberFormat="1" applyFont="1" applyFill="1" applyBorder="1"/>
    <xf numFmtId="164" fontId="62" fillId="0" borderId="0" xfId="42790" applyNumberFormat="1" applyFont="1"/>
    <xf numFmtId="164" fontId="21" fillId="0" borderId="22" xfId="11717" applyNumberFormat="1" applyFont="1" applyFill="1" applyBorder="1"/>
    <xf numFmtId="0" fontId="21" fillId="0" borderId="0" xfId="27909" applyFill="1"/>
    <xf numFmtId="164" fontId="21" fillId="0" borderId="22" xfId="11717" applyNumberFormat="1" applyFont="1" applyFill="1" applyBorder="1"/>
    <xf numFmtId="0" fontId="21" fillId="0" borderId="0" xfId="27909" applyFill="1"/>
    <xf numFmtId="164" fontId="21" fillId="0" borderId="22" xfId="11717" applyNumberFormat="1" applyFont="1" applyFill="1" applyBorder="1"/>
    <xf numFmtId="40" fontId="38" fillId="0" borderId="0" xfId="42796" applyNumberFormat="1" applyFont="1" applyFill="1" applyBorder="1" applyAlignment="1"/>
    <xf numFmtId="40" fontId="38" fillId="0" borderId="94" xfId="42796" applyNumberFormat="1" applyFont="1" applyFill="1" applyBorder="1" applyAlignment="1"/>
    <xf numFmtId="164" fontId="38" fillId="0" borderId="0" xfId="42790" applyNumberFormat="1" applyFont="1" applyFill="1" applyBorder="1" applyAlignment="1"/>
    <xf numFmtId="164" fontId="38" fillId="0" borderId="0" xfId="42796" applyNumberFormat="1" applyFont="1" applyFill="1" applyBorder="1" applyAlignment="1"/>
    <xf numFmtId="14" fontId="38" fillId="130" borderId="0" xfId="0" applyNumberFormat="1" applyFont="1" applyFill="1"/>
    <xf numFmtId="0" fontId="38" fillId="130" borderId="0" xfId="0" applyFont="1" applyFill="1"/>
    <xf numFmtId="0" fontId="62" fillId="130" borderId="0" xfId="42918" applyFill="1"/>
    <xf numFmtId="0" fontId="62" fillId="130" borderId="0" xfId="42883" applyFill="1"/>
    <xf numFmtId="41" fontId="38" fillId="130" borderId="0" xfId="0" applyNumberFormat="1" applyFont="1" applyFill="1"/>
    <xf numFmtId="164" fontId="38" fillId="130" borderId="0" xfId="42790" applyNumberFormat="1" applyFont="1" applyFill="1"/>
    <xf numFmtId="164" fontId="38" fillId="130" borderId="0" xfId="0" applyNumberFormat="1" applyFont="1" applyFill="1"/>
    <xf numFmtId="165" fontId="38" fillId="0" borderId="94" xfId="42793" applyNumberFormat="1" applyFont="1" applyBorder="1"/>
    <xf numFmtId="0" fontId="93" fillId="0" borderId="0" xfId="0" applyFont="1" applyFill="1"/>
    <xf numFmtId="15" fontId="93" fillId="0" borderId="0" xfId="0" applyNumberFormat="1" applyFont="1" applyFill="1" applyAlignment="1">
      <alignment horizontal="center"/>
    </xf>
    <xf numFmtId="44" fontId="38" fillId="0" borderId="0" xfId="0" applyNumberFormat="1" applyFont="1" applyFill="1"/>
    <xf numFmtId="14" fontId="38" fillId="0" borderId="0" xfId="0" applyNumberFormat="1" applyFont="1" applyFill="1" applyAlignment="1">
      <alignment horizontal="center"/>
    </xf>
    <xf numFmtId="165" fontId="38" fillId="0" borderId="10" xfId="2" applyNumberFormat="1" applyFont="1" applyFill="1" applyBorder="1"/>
    <xf numFmtId="165" fontId="38" fillId="0" borderId="10" xfId="2" applyNumberFormat="1" applyFont="1" applyFill="1" applyBorder="1" applyAlignment="1">
      <alignment horizontal="center"/>
    </xf>
    <xf numFmtId="0" fontId="93" fillId="0" borderId="10" xfId="0" applyFont="1" applyFill="1" applyBorder="1" applyAlignment="1">
      <alignment horizontal="left"/>
    </xf>
    <xf numFmtId="14" fontId="38" fillId="0" borderId="10" xfId="0" applyNumberFormat="1" applyFont="1" applyFill="1" applyBorder="1" applyAlignment="1">
      <alignment horizontal="center"/>
    </xf>
    <xf numFmtId="0" fontId="38" fillId="0" borderId="94" xfId="0" applyFont="1" applyFill="1" applyBorder="1" applyAlignment="1">
      <alignment horizontal="center"/>
    </xf>
    <xf numFmtId="164" fontId="38" fillId="0" borderId="10" xfId="3" applyNumberFormat="1" applyFont="1" applyFill="1" applyBorder="1" applyAlignment="1">
      <alignment horizontal="center"/>
    </xf>
    <xf numFmtId="165" fontId="226" fillId="0" borderId="0" xfId="2" applyNumberFormat="1" applyFont="1" applyFill="1" applyBorder="1" applyAlignment="1">
      <alignment horizontal="center"/>
    </xf>
    <xf numFmtId="0" fontId="38" fillId="135" borderId="0" xfId="0" applyFont="1" applyFill="1"/>
    <xf numFmtId="165" fontId="38" fillId="0" borderId="0" xfId="0" applyNumberFormat="1" applyFont="1" applyFill="1" applyBorder="1" applyAlignment="1">
      <alignment horizontal="center"/>
    </xf>
    <xf numFmtId="14" fontId="38" fillId="0" borderId="0" xfId="3" applyNumberFormat="1" applyFont="1" applyFill="1" applyBorder="1" applyAlignment="1">
      <alignment horizontal="center"/>
    </xf>
    <xf numFmtId="164" fontId="226" fillId="0" borderId="0" xfId="3" applyNumberFormat="1" applyFont="1" applyFill="1" applyBorder="1" applyAlignment="1">
      <alignment horizontal="center"/>
    </xf>
    <xf numFmtId="164" fontId="191" fillId="0" borderId="0" xfId="3" applyNumberFormat="1" applyFont="1" applyFill="1"/>
    <xf numFmtId="14" fontId="93" fillId="0" borderId="0" xfId="0" applyNumberFormat="1" applyFont="1" applyFill="1" applyBorder="1" applyAlignment="1">
      <alignment horizontal="center"/>
    </xf>
    <xf numFmtId="0" fontId="93" fillId="0" borderId="10" xfId="0" applyFont="1" applyFill="1" applyBorder="1"/>
    <xf numFmtId="15" fontId="38" fillId="0" borderId="0" xfId="0" applyNumberFormat="1" applyFont="1" applyFill="1" applyBorder="1" applyAlignment="1">
      <alignment horizontal="center"/>
    </xf>
    <xf numFmtId="164" fontId="38" fillId="0" borderId="10" xfId="0" applyNumberFormat="1" applyFont="1" applyFill="1" applyBorder="1"/>
    <xf numFmtId="9" fontId="38" fillId="0" borderId="10" xfId="4" applyFont="1" applyFill="1" applyBorder="1"/>
    <xf numFmtId="165" fontId="38" fillId="0" borderId="12" xfId="0" applyNumberFormat="1" applyFont="1" applyFill="1" applyBorder="1"/>
    <xf numFmtId="165" fontId="227" fillId="0" borderId="0" xfId="0" applyNumberFormat="1" applyFont="1" applyFill="1" applyBorder="1" applyAlignment="1">
      <alignment horizontal="center"/>
    </xf>
    <xf numFmtId="165" fontId="38" fillId="0" borderId="10" xfId="0" applyNumberFormat="1" applyFont="1" applyFill="1" applyBorder="1" applyAlignment="1">
      <alignment horizontal="center"/>
    </xf>
    <xf numFmtId="165" fontId="38" fillId="0" borderId="0" xfId="0" applyNumberFormat="1" applyFont="1" applyFill="1" applyAlignment="1">
      <alignment horizontal="center"/>
    </xf>
    <xf numFmtId="164" fontId="38" fillId="0" borderId="0" xfId="0" applyNumberFormat="1" applyFont="1" applyFill="1" applyAlignment="1">
      <alignment horizontal="center"/>
    </xf>
    <xf numFmtId="164" fontId="38" fillId="0" borderId="94" xfId="3" applyNumberFormat="1" applyFont="1" applyFill="1" applyBorder="1" applyAlignment="1">
      <alignment horizontal="center"/>
    </xf>
    <xf numFmtId="165" fontId="38" fillId="0" borderId="16" xfId="0" applyNumberFormat="1" applyFont="1" applyFill="1" applyBorder="1" applyAlignment="1">
      <alignment horizontal="center"/>
    </xf>
    <xf numFmtId="165" fontId="93" fillId="0" borderId="0" xfId="0" applyNumberFormat="1" applyFont="1" applyFill="1" applyAlignment="1">
      <alignment horizontal="center"/>
    </xf>
    <xf numFmtId="0" fontId="225" fillId="0" borderId="0" xfId="0" applyFont="1" applyFill="1" applyAlignment="1">
      <alignment horizontal="center"/>
    </xf>
    <xf numFmtId="0" fontId="228" fillId="136" borderId="0" xfId="21" applyFont="1" applyFill="1" applyAlignment="1">
      <alignment horizontal="left"/>
    </xf>
    <xf numFmtId="0" fontId="228" fillId="136" borderId="0" xfId="21" applyFont="1" applyFill="1">
      <alignment horizontal="centerContinuous"/>
    </xf>
    <xf numFmtId="0" fontId="228" fillId="136" borderId="0" xfId="21" applyFont="1" applyFill="1" applyAlignment="1">
      <alignment horizontal="centerContinuous"/>
    </xf>
    <xf numFmtId="0" fontId="229" fillId="136" borderId="0" xfId="14" applyFont="1" applyFill="1" applyAlignment="1">
      <alignment horizontal="left"/>
    </xf>
    <xf numFmtId="0" fontId="229" fillId="136" borderId="0" xfId="14" applyFont="1" applyFill="1" applyAlignment="1"/>
    <xf numFmtId="0" fontId="229" fillId="136" borderId="0" xfId="14" applyFont="1" applyFill="1" applyAlignment="1">
      <alignment horizontal="centerContinuous"/>
    </xf>
    <xf numFmtId="0" fontId="229" fillId="136" borderId="0" xfId="14" applyFont="1" applyFill="1">
      <alignment horizontal="centerContinuous"/>
    </xf>
    <xf numFmtId="0" fontId="230" fillId="136" borderId="78" xfId="22" applyFont="1" applyFill="1" applyBorder="1">
      <alignment horizontal="right"/>
    </xf>
    <xf numFmtId="0" fontId="230" fillId="136" borderId="71" xfId="22" applyFont="1" applyFill="1" applyBorder="1">
      <alignment horizontal="right"/>
    </xf>
    <xf numFmtId="49" fontId="230" fillId="136" borderId="71" xfId="22" applyNumberFormat="1" applyFont="1" applyFill="1" applyBorder="1">
      <alignment horizontal="right"/>
    </xf>
    <xf numFmtId="49" fontId="230" fillId="136" borderId="74" xfId="22" applyNumberFormat="1" applyFont="1" applyFill="1" applyBorder="1">
      <alignment horizontal="right"/>
    </xf>
    <xf numFmtId="0" fontId="230" fillId="136" borderId="15" xfId="22" applyFont="1" applyFill="1" applyBorder="1">
      <alignment horizontal="right"/>
    </xf>
    <xf numFmtId="0" fontId="230" fillId="136" borderId="10" xfId="22" applyFont="1" applyFill="1" applyBorder="1">
      <alignment horizontal="right"/>
    </xf>
    <xf numFmtId="0" fontId="230" fillId="136" borderId="73" xfId="22" applyFont="1" applyFill="1" applyBorder="1">
      <alignment horizontal="right"/>
    </xf>
    <xf numFmtId="0" fontId="229" fillId="136" borderId="22" xfId="17" applyFont="1" applyFill="1" applyBorder="1" applyAlignment="1">
      <alignment horizontal="left"/>
    </xf>
    <xf numFmtId="0" fontId="229" fillId="136" borderId="0" xfId="17" applyFont="1" applyFill="1" applyBorder="1"/>
    <xf numFmtId="40" fontId="231" fillId="136" borderId="0" xfId="20" applyFont="1" applyFill="1" applyBorder="1">
      <alignment horizontal="right"/>
    </xf>
    <xf numFmtId="40" fontId="231" fillId="136" borderId="19" xfId="20" applyFont="1" applyFill="1" applyBorder="1">
      <alignment horizontal="right"/>
    </xf>
    <xf numFmtId="0" fontId="216" fillId="134" borderId="0" xfId="0" applyFont="1" applyFill="1" applyBorder="1" applyAlignment="1">
      <alignment horizontal="left"/>
    </xf>
    <xf numFmtId="0" fontId="218" fillId="134" borderId="0" xfId="0" quotePrefix="1" applyFont="1" applyFill="1" applyBorder="1"/>
    <xf numFmtId="0" fontId="216" fillId="134" borderId="0" xfId="0" quotePrefix="1" applyFont="1" applyFill="1" applyBorder="1"/>
    <xf numFmtId="164" fontId="0" fillId="0" borderId="0" xfId="42790" applyNumberFormat="1" applyFont="1" applyFill="1"/>
    <xf numFmtId="38" fontId="0" fillId="0" borderId="0" xfId="0" applyNumberFormat="1" applyFill="1"/>
    <xf numFmtId="363" fontId="220" fillId="33" borderId="0" xfId="0" applyNumberFormat="1" applyFont="1" applyFill="1" applyBorder="1" applyAlignment="1">
      <alignment horizontal="center"/>
    </xf>
    <xf numFmtId="0" fontId="220" fillId="33" borderId="0" xfId="0" applyFont="1" applyFill="1" applyBorder="1"/>
    <xf numFmtId="0" fontId="220" fillId="33" borderId="0" xfId="0" applyFont="1" applyFill="1" applyBorder="1" applyAlignment="1">
      <alignment horizontal="center"/>
    </xf>
    <xf numFmtId="364" fontId="220" fillId="33" borderId="0" xfId="0" applyNumberFormat="1" applyFont="1" applyFill="1" applyBorder="1" applyAlignment="1">
      <alignment horizontal="right"/>
    </xf>
    <xf numFmtId="49" fontId="220" fillId="33" borderId="10" xfId="0" applyNumberFormat="1" applyFont="1" applyFill="1" applyBorder="1" applyAlignment="1">
      <alignment horizontal="right"/>
    </xf>
    <xf numFmtId="165" fontId="200" fillId="33" borderId="0" xfId="2" applyNumberFormat="1" applyFont="1" applyFill="1" applyBorder="1"/>
    <xf numFmtId="164" fontId="200" fillId="33" borderId="10" xfId="3" applyNumberFormat="1" applyFont="1" applyFill="1" applyBorder="1"/>
    <xf numFmtId="164" fontId="200" fillId="33" borderId="0" xfId="3" applyNumberFormat="1" applyFont="1" applyFill="1" applyBorder="1" applyAlignment="1">
      <alignment horizontal="right"/>
    </xf>
    <xf numFmtId="165" fontId="200" fillId="33" borderId="12" xfId="2" applyNumberFormat="1" applyFont="1" applyFill="1" applyBorder="1"/>
    <xf numFmtId="43" fontId="200" fillId="33" borderId="0" xfId="3" applyNumberFormat="1" applyFont="1" applyFill="1" applyBorder="1"/>
    <xf numFmtId="164" fontId="38" fillId="0" borderId="0" xfId="42796" applyNumberFormat="1" applyFont="1" applyFill="1" applyAlignment="1"/>
    <xf numFmtId="164" fontId="38" fillId="0" borderId="97" xfId="42796" applyNumberFormat="1" applyFont="1" applyFill="1" applyBorder="1" applyAlignment="1"/>
    <xf numFmtId="0" fontId="192" fillId="0" borderId="0" xfId="0" applyFont="1" applyAlignment="1">
      <alignment horizontal="center"/>
    </xf>
    <xf numFmtId="41" fontId="38" fillId="0" borderId="87" xfId="0" applyNumberFormat="1" applyFont="1" applyBorder="1" applyAlignment="1">
      <alignment wrapText="1"/>
    </xf>
    <xf numFmtId="0" fontId="205" fillId="0" borderId="0" xfId="0" applyFont="1" applyAlignment="1">
      <alignment horizontal="right"/>
    </xf>
    <xf numFmtId="165" fontId="235" fillId="0" borderId="0" xfId="2" applyNumberFormat="1" applyFont="1" applyFill="1" applyBorder="1" applyAlignment="1">
      <alignment horizontal="right"/>
    </xf>
    <xf numFmtId="14" fontId="230" fillId="136" borderId="99" xfId="22" applyNumberFormat="1" applyFont="1" applyFill="1" applyBorder="1" applyAlignment="1">
      <alignment horizontal="left"/>
    </xf>
    <xf numFmtId="0" fontId="230" fillId="136" borderId="100" xfId="22" applyFont="1" applyFill="1" applyBorder="1">
      <alignment horizontal="right"/>
    </xf>
    <xf numFmtId="49" fontId="230" fillId="136" borderId="100" xfId="22" applyNumberFormat="1" applyFont="1" applyFill="1" applyBorder="1">
      <alignment horizontal="right"/>
    </xf>
    <xf numFmtId="0" fontId="230" fillId="136" borderId="15" xfId="22" applyFont="1" applyFill="1" applyBorder="1" applyAlignment="1">
      <alignment horizontal="left"/>
    </xf>
    <xf numFmtId="164" fontId="0" fillId="0" borderId="0" xfId="0" applyNumberFormat="1"/>
    <xf numFmtId="0" fontId="21" fillId="0" borderId="0" xfId="0" applyFont="1" applyFill="1" applyAlignment="1">
      <alignment horizontal="center" wrapText="1"/>
    </xf>
    <xf numFmtId="0" fontId="0" fillId="0" borderId="0" xfId="0" applyFill="1" applyAlignment="1">
      <alignment horizontal="center" wrapText="1"/>
    </xf>
    <xf numFmtId="15" fontId="220" fillId="33" borderId="96" xfId="0" quotePrefix="1" applyNumberFormat="1" applyFont="1" applyFill="1" applyBorder="1" applyAlignment="1">
      <alignment horizontal="center" wrapText="1"/>
    </xf>
    <xf numFmtId="0" fontId="200" fillId="33" borderId="97" xfId="0" applyFont="1" applyFill="1" applyBorder="1" applyAlignment="1">
      <alignment horizontal="center" wrapText="1"/>
    </xf>
    <xf numFmtId="0" fontId="200" fillId="33" borderId="98" xfId="0" applyFont="1" applyFill="1" applyBorder="1" applyAlignment="1">
      <alignment horizontal="center" wrapText="1"/>
    </xf>
    <xf numFmtId="15" fontId="220" fillId="33" borderId="97" xfId="0" quotePrefix="1" applyNumberFormat="1" applyFont="1" applyFill="1" applyBorder="1" applyAlignment="1">
      <alignment horizontal="center" wrapText="1"/>
    </xf>
    <xf numFmtId="15" fontId="220" fillId="33" borderId="98" xfId="0" quotePrefix="1" applyNumberFormat="1" applyFont="1" applyFill="1" applyBorder="1" applyAlignment="1">
      <alignment horizontal="center" wrapText="1"/>
    </xf>
  </cellXfs>
  <cellStyles count="43202">
    <cellStyle name="_x0013_" xfId="23"/>
    <cellStyle name="-" xfId="24"/>
    <cellStyle name="_x0007__x000b_" xfId="25"/>
    <cellStyle name="_x0007__x000b_ 2" xfId="26"/>
    <cellStyle name="_x0007__x000b_ 2 2" xfId="27"/>
    <cellStyle name="_x0007__x000b_ 3" xfId="28"/>
    <cellStyle name="_x0007__x000b_ 3 2" xfId="29"/>
    <cellStyle name="_x0007__x000b_ 3 2 2" xfId="30"/>
    <cellStyle name="_x0007__x000b_ 3 3" xfId="31"/>
    <cellStyle name="_x0007__x000b_ 3_WA june stmts" xfId="32"/>
    <cellStyle name="_x0007__x000b_ 4" xfId="33"/>
    <cellStyle name="_x0007__x000b_ 4 2" xfId="34"/>
    <cellStyle name="_x0007__x000b_ 4 2 2" xfId="35"/>
    <cellStyle name="_x0007__x000b_ 4 3" xfId="36"/>
    <cellStyle name="_x0007__x000b_ 4_WA june stmts" xfId="37"/>
    <cellStyle name="_x0007__x000b_ 5" xfId="38"/>
    <cellStyle name="_x0007__x000b_ 5 2" xfId="39"/>
    <cellStyle name="_x0007__x000b_ 5 2 2" xfId="40"/>
    <cellStyle name="_x0007__x000b_ 5 3" xfId="41"/>
    <cellStyle name="_x0007__x000b_ 5_WA june stmts" xfId="42"/>
    <cellStyle name="_x0007__x000b_ 6" xfId="43"/>
    <cellStyle name="_x0007__x000b_ 6 2" xfId="44"/>
    <cellStyle name="_x0007__x000b_ 7" xfId="45"/>
    <cellStyle name="_x0007__x000b__2011 Ad to Sales 11 26 10" xfId="46"/>
    <cellStyle name="&quot;X&quot; MEN" xfId="47"/>
    <cellStyle name="$" xfId="48"/>
    <cellStyle name="$ K" xfId="49"/>
    <cellStyle name="$ K 2" xfId="50"/>
    <cellStyle name="$ K 3" xfId="51"/>
    <cellStyle name="$.$ K" xfId="52"/>
    <cellStyle name="$.$ K 2" xfId="53"/>
    <cellStyle name="$.$ K 3" xfId="54"/>
    <cellStyle name="$/hr" xfId="55"/>
    <cellStyle name="$/hr 2" xfId="56"/>
    <cellStyle name="$/hr 3" xfId="57"/>
    <cellStyle name="$_Inicial" xfId="58"/>
    <cellStyle name="$_inicial_cero" xfId="59"/>
    <cellStyle name="$_linea_doble" xfId="60"/>
    <cellStyle name="$_linea_doble_cero" xfId="61"/>
    <cellStyle name="$0.0;($0.0)" xfId="62"/>
    <cellStyle name="$0.00;($0.00)" xfId="63"/>
    <cellStyle name="$m" xfId="64"/>
    <cellStyle name="$q" xfId="65"/>
    <cellStyle name="$q*" xfId="66"/>
    <cellStyle name="$qA" xfId="67"/>
    <cellStyle name="$qRange" xfId="68"/>
    <cellStyle name="$sign" xfId="69"/>
    <cellStyle name="%" xfId="70"/>
    <cellStyle name="% [2]" xfId="71"/>
    <cellStyle name="% 10" xfId="72"/>
    <cellStyle name="% 11" xfId="73"/>
    <cellStyle name="% 12" xfId="74"/>
    <cellStyle name="% 2" xfId="75"/>
    <cellStyle name="% 2 2" xfId="76"/>
    <cellStyle name="% 3" xfId="77"/>
    <cellStyle name="% 3 2" xfId="78"/>
    <cellStyle name="% 3 2 2" xfId="79"/>
    <cellStyle name="% 3 2 3" xfId="80"/>
    <cellStyle name="% 3 3" xfId="81"/>
    <cellStyle name="% 3_WA june stmts" xfId="82"/>
    <cellStyle name="% 4" xfId="83"/>
    <cellStyle name="% 4 2" xfId="84"/>
    <cellStyle name="% 4 2 2" xfId="85"/>
    <cellStyle name="% 4 3" xfId="86"/>
    <cellStyle name="% 4_WA june stmts" xfId="87"/>
    <cellStyle name="% 5" xfId="88"/>
    <cellStyle name="% 5 2" xfId="89"/>
    <cellStyle name="% 6" xfId="90"/>
    <cellStyle name="% 7" xfId="91"/>
    <cellStyle name="% 8" xfId="92"/>
    <cellStyle name="% 9" xfId="93"/>
    <cellStyle name="%_09-2011 CFO Review - Q&amp;A - Master" xfId="94"/>
    <cellStyle name="%_09-2011 CFO Review - Q&amp;A - Master 2" xfId="95"/>
    <cellStyle name="%_09-2011 CFO Review - Q&amp;A - Master 2 2" xfId="96"/>
    <cellStyle name="%_09-2011 CFO Review - Q&amp;A - Master 3" xfId="97"/>
    <cellStyle name="%_2.1 Sales &amp; Margin by store" xfId="98"/>
    <cellStyle name="%_2011 Ad to Sales 11 26 10" xfId="99"/>
    <cellStyle name="%_2011 Ad to Sales 11 26 10 2" xfId="100"/>
    <cellStyle name="%_2011 Ad to Sales 11 26 10_WA june stmts" xfId="101"/>
    <cellStyle name="%_2011 Ad to Sales 11 26 10_WA p&amp;l may" xfId="102"/>
    <cellStyle name="%_2011 Admin Payroll Template Harcoded" xfId="103"/>
    <cellStyle name="%_2011 Admin Payroll Template Harcoded 2" xfId="104"/>
    <cellStyle name="%_2011 Admin Payroll Template Harcoded_WA june stmts" xfId="105"/>
    <cellStyle name="%_2011 Admin Payroll Template Harcoded_WA p&amp;l may" xfId="106"/>
    <cellStyle name="%_2011 Admin Pyrl 9 ovr 9 rollforward 12 08 10 RJ" xfId="107"/>
    <cellStyle name="%_2011 CTO Activations Budget - 11.22.10" xfId="108"/>
    <cellStyle name="%_2011 CTO Activations Budget - 11.22.10 2" xfId="109"/>
    <cellStyle name="%_2011 CTO Activations Budget - 11.22.10_WA june stmts" xfId="110"/>
    <cellStyle name="%_2011 CTO Activations Budget - 11.22.10_WA p&amp;l may" xfId="111"/>
    <cellStyle name="%_2011 CTO Activations Budget - 11.24.10" xfId="112"/>
    <cellStyle name="%_2011 CTO Budget - 12.08.10" xfId="113"/>
    <cellStyle name="%_2011 CTO Budget - 12.08.10 2" xfId="114"/>
    <cellStyle name="%_2011 CTO Budget - 12.08.10 2 2" xfId="115"/>
    <cellStyle name="%_2011 CTO Budget - 12.08.10 2_WA june stmts" xfId="116"/>
    <cellStyle name="%_2011 CTO Budget - 12.08.10 2_WA p&amp;l may" xfId="117"/>
    <cellStyle name="%_2011 CTO Budget - 12.08.10 3" xfId="118"/>
    <cellStyle name="%_2011 CTO Budget - 12.08.10 3 2" xfId="119"/>
    <cellStyle name="%_2011 CTO Budget - 12.08.10 3_WA june stmts" xfId="120"/>
    <cellStyle name="%_2011 CTO Budget - 12.08.10 3_WA p&amp;l may" xfId="121"/>
    <cellStyle name="%_2011 CTO Budget - 12.08.10 4" xfId="122"/>
    <cellStyle name="%_2011 CTO Budget - 12.08.10_maycto" xfId="123"/>
    <cellStyle name="%_2011 CTO Budget - 12.08.10_maycto 2" xfId="124"/>
    <cellStyle name="%_2011 CTO Budget - 12.08.10_maycto_WA june stmts" xfId="125"/>
    <cellStyle name="%_2011 CTO Budget - 12.08.10_maycto_WA p&amp;l may" xfId="126"/>
    <cellStyle name="%_2011 CTO Budget - 12.08.10_WA june stmts" xfId="127"/>
    <cellStyle name="%_2011 CTO Budget - 12.08.10_WA p&amp;l may" xfId="128"/>
    <cellStyle name="%_2011 Expense Budget summary" xfId="129"/>
    <cellStyle name="%_2011 MARCH GERS UPLOAD - ROLL-UP" xfId="130"/>
    <cellStyle name="%_2011 MARCH GERS UPLOAD - ROLL-UP 2" xfId="131"/>
    <cellStyle name="%_2011 MARCH GERS UPLOAD - ROLL-UP_WA june stmts" xfId="132"/>
    <cellStyle name="%_2011 MARCH GERS UPLOAD - ROLL-UP_WA p&amp;l may" xfId="133"/>
    <cellStyle name="%_2011February Forecast Feb 18 RJ adjusted feb 21" xfId="134"/>
    <cellStyle name="%_2011February Forecast Feb 4 RJ" xfId="135"/>
    <cellStyle name="%_2011February Forecast Feb 4 RJ 2" xfId="136"/>
    <cellStyle name="%_2011February Forecast Feb 4 RJ_WA june stmts" xfId="137"/>
    <cellStyle name="%_2011February Forecast Feb 4 RJ_WA p&amp;l may" xfId="138"/>
    <cellStyle name="%_2012 Cap Ex Project Numbers" xfId="139"/>
    <cellStyle name="%_2012 Cap Ex Template" xfId="140"/>
    <cellStyle name="%_9112 - Information Center - IS" xfId="141"/>
    <cellStyle name="%_9124 - Technical Services - TS" xfId="142"/>
    <cellStyle name="%_April  1, 2010 CT valuation final DB approved" xfId="143"/>
    <cellStyle name="%_August 2009 All Carriers Deacts Back-Up" xfId="144"/>
    <cellStyle name="%_August 2009 All Carriers Deacts Back-Up 2" xfId="145"/>
    <cellStyle name="%_August 2011 Cap Ex" xfId="146"/>
    <cellStyle name="%_August VPEP 9.7.11" xfId="147"/>
    <cellStyle name="%_August VPEP 9.7.11_July VPEP FINAL 8.17.2012_AB &amp; SL adjustments_used for July GL close" xfId="148"/>
    <cellStyle name="%_August VPEP 9.7.11_June VPEP 7.16.12 FINAL used for June GL close revised July 30, 2012" xfId="149"/>
    <cellStyle name="%_Book1" xfId="150"/>
    <cellStyle name="%_Book1_July VPEP FINAL 8.17.2012_AB &amp; SL adjustments_used for July GL close" xfId="151"/>
    <cellStyle name="%_Book1_June VPEP 7.16.12 FINAL used for June GL close revised July 30, 2012" xfId="152"/>
    <cellStyle name="%_Copy of 2012 Headcount Summary 10.04.11" xfId="153"/>
    <cellStyle name="%_Copy of IT adm headcount add assessment nov 26 2010" xfId="154"/>
    <cellStyle name="%_Copy of IT adm headcount add assessment nov 26 2010 2" xfId="155"/>
    <cellStyle name="%_Copy of IT adm headcount add assessment nov 26 2010_WA june stmts" xfId="156"/>
    <cellStyle name="%_Copy of IT adm headcount add assessment nov 26 2010_WA p&amp;l may" xfId="157"/>
    <cellStyle name="%_CTFY11EnterpriseTechnology Budget" xfId="158"/>
    <cellStyle name="%_CTI Q1 2011 bod fin pkg rev for feb 18 forecast no back up" xfId="159"/>
    <cellStyle name="%_Dealer Statement Template TPR2" xfId="160"/>
    <cellStyle name="%_Dealer Statement Template TPR2 2" xfId="161"/>
    <cellStyle name="%_December 2011 Cap Ex 01.27.11" xfId="162"/>
    <cellStyle name="%_December 2011 Cap Ex 01.27.11_1" xfId="163"/>
    <cellStyle name="%_January VPEP 2.8.11" xfId="164"/>
    <cellStyle name="%_January VPEP 2.8.11 2" xfId="165"/>
    <cellStyle name="%_January VPEP 2.8.11 2 2" xfId="166"/>
    <cellStyle name="%_January VPEP 2.8.11 2_WA june stmts" xfId="167"/>
    <cellStyle name="%_January VPEP 2.8.11 2_WA p&amp;l may" xfId="168"/>
    <cellStyle name="%_January VPEP 2.8.11 3" xfId="169"/>
    <cellStyle name="%_January VPEP 2.8.11 3 2" xfId="170"/>
    <cellStyle name="%_January VPEP 2.8.11 3_WA june stmts" xfId="171"/>
    <cellStyle name="%_January VPEP 2.8.11 3_WA p&amp;l may" xfId="172"/>
    <cellStyle name="%_January VPEP 2.8.11 4" xfId="173"/>
    <cellStyle name="%_January VPEP 2.8.11_maycto" xfId="174"/>
    <cellStyle name="%_January VPEP 2.8.11_maycto 2" xfId="175"/>
    <cellStyle name="%_January VPEP 2.8.11_maycto_WA june stmts" xfId="176"/>
    <cellStyle name="%_January VPEP 2.8.11_maycto_WA p&amp;l may" xfId="177"/>
    <cellStyle name="%_January VPEP 2.8.11_WA june stmts" xfId="178"/>
    <cellStyle name="%_January VPEP 2.8.11_WA p&amp;l may" xfId="179"/>
    <cellStyle name="%_July VPEP FINAL 8.17.2012_AB &amp; SL adjustments_used for July GL close" xfId="180"/>
    <cellStyle name="%_June VPEP 7.16.12 FINAL used for June GL close revised July 30, 2012" xfId="181"/>
    <cellStyle name="%_March VPEP 4.6.11 -" xfId="182"/>
    <cellStyle name="%_May VPEP 6.1.11" xfId="183"/>
    <cellStyle name="%_May VPEP 6.1.11_July VPEP FINAL 8.17.2012_AB &amp; SL adjustments_used for July GL close" xfId="184"/>
    <cellStyle name="%_May VPEP 6.1.11_June VPEP 7.16.12 FINAL used for June GL close revised July 30, 2012" xfId="185"/>
    <cellStyle name="%_maycto" xfId="186"/>
    <cellStyle name="%_maycto 2" xfId="187"/>
    <cellStyle name="%_maycto_WA june stmts" xfId="188"/>
    <cellStyle name="%_maycto_WA p&amp;l may" xfId="189"/>
    <cellStyle name="%_October 2011 Cap Ex 11.17.11 wMatt Adj" xfId="190"/>
    <cellStyle name="%_OODIW" xfId="191"/>
    <cellStyle name="%_September 2011 Cap Ex New 10.24.11 wMatts Changes" xfId="192"/>
    <cellStyle name="%_September VPEP 10.4.11" xfId="193"/>
    <cellStyle name="%_September VPEP 10.4.11_July VPEP FINAL 8.17.2012_AB &amp; SL adjustments_used for July GL close" xfId="194"/>
    <cellStyle name="%_September VPEP 10.4.11_June VPEP 7.16.12 FINAL used for June GL close revised July 30, 2012" xfId="195"/>
    <cellStyle name="%_September VPEP 9.26.11" xfId="196"/>
    <cellStyle name="%_September VPEP 9.26.11_July VPEP FINAL 8.17.2012_AB &amp; SL adjustments_used for July GL close" xfId="197"/>
    <cellStyle name="%_September VPEP 9.26.11_June VPEP 7.16.12 FINAL used for June GL close revised July 30, 2012" xfId="198"/>
    <cellStyle name="%_TemplateCombined_TPR1" xfId="199"/>
    <cellStyle name="%_TemplateCombined_TPR1 2" xfId="200"/>
    <cellStyle name="%_VDM" xfId="201"/>
    <cellStyle name="%_VDM_July VPEP FINAL 8.17.2012_AB &amp; SL adjustments_used for July GL close" xfId="202"/>
    <cellStyle name="%_VDM_June VPEP 7.16.12 FINAL used for June GL close revised July 30, 2012" xfId="203"/>
    <cellStyle name="%_VIR RISK ANALYSIS 2011" xfId="204"/>
    <cellStyle name="%_vpep allocation for forecast" xfId="205"/>
    <cellStyle name="%_vpep allocation for forecast 2" xfId="206"/>
    <cellStyle name="%_vpep allocation for forecast 2 2" xfId="207"/>
    <cellStyle name="%_vpep allocation for forecast 2_WA june stmts" xfId="208"/>
    <cellStyle name="%_vpep allocation for forecast 2_WA p&amp;l may" xfId="209"/>
    <cellStyle name="%_vpep allocation for forecast 3" xfId="210"/>
    <cellStyle name="%_vpep allocation for forecast 3 2" xfId="211"/>
    <cellStyle name="%_vpep allocation for forecast 3_WA june stmts" xfId="212"/>
    <cellStyle name="%_vpep allocation for forecast 3_WA p&amp;l may" xfId="213"/>
    <cellStyle name="%_vpep allocation for forecast 4" xfId="214"/>
    <cellStyle name="%_vpep allocation for forecast_maycto" xfId="215"/>
    <cellStyle name="%_vpep allocation for forecast_maycto 2" xfId="216"/>
    <cellStyle name="%_vpep allocation for forecast_maycto_WA june stmts" xfId="217"/>
    <cellStyle name="%_vpep allocation for forecast_maycto_WA p&amp;l may" xfId="218"/>
    <cellStyle name="%_vpep allocation for forecast_WA june stmts" xfId="219"/>
    <cellStyle name="%_vpep allocation for forecast_WA p&amp;l may" xfId="220"/>
    <cellStyle name="%_WA june stmts" xfId="221"/>
    <cellStyle name="%_WA p&amp;l may" xfId="222"/>
    <cellStyle name=";;;" xfId="223"/>
    <cellStyle name="?? [0]_??" xfId="224"/>
    <cellStyle name="?????_VERA" xfId="225"/>
    <cellStyle name="??_?.????" xfId="226"/>
    <cellStyle name="_ heading$" xfId="227"/>
    <cellStyle name="_ heading%" xfId="228"/>
    <cellStyle name="_ heading£" xfId="229"/>
    <cellStyle name="_ heading¥" xfId="230"/>
    <cellStyle name="_ heading€" xfId="231"/>
    <cellStyle name="_ headingx" xfId="232"/>
    <cellStyle name="_%(SignOnly)" xfId="233"/>
    <cellStyle name="_%(SignSpaceOnly)" xfId="234"/>
    <cellStyle name="_0.0[1space]" xfId="235"/>
    <cellStyle name="_0.0[2space]" xfId="236"/>
    <cellStyle name="_0.0[3space]" xfId="237"/>
    <cellStyle name="_0.0[4space]" xfId="238"/>
    <cellStyle name="_0.00[1space]" xfId="239"/>
    <cellStyle name="_0.00[2space]" xfId="240"/>
    <cellStyle name="_0.00[3space]" xfId="241"/>
    <cellStyle name="_0.00[4space]" xfId="242"/>
    <cellStyle name="_0[1space]" xfId="243"/>
    <cellStyle name="_0[2space]" xfId="244"/>
    <cellStyle name="_0[3space]" xfId="245"/>
    <cellStyle name="_0[4space]" xfId="246"/>
    <cellStyle name="_05_07 Inventory Schedules" xfId="247"/>
    <cellStyle name="_06_07 Inventory Schedules" xfId="248"/>
    <cellStyle name="_07_07 Inventory Schedules" xfId="249"/>
    <cellStyle name="_08_07 Inventory Schedules-A" xfId="250"/>
    <cellStyle name="_Agent Pricing tracker" xfId="251"/>
    <cellStyle name="_Agent Pricing tracker 2" xfId="252"/>
    <cellStyle name="_Agent Pricing tracker 2 2" xfId="253"/>
    <cellStyle name="_Agent Pricing tracker 2_AT&amp;T" xfId="254"/>
    <cellStyle name="_Agent Pricing tracker 2_August Rebate Expense - 07.24.11" xfId="255"/>
    <cellStyle name="_Agent Pricing tracker 2_Carrier Margin v Prior Update" xfId="256"/>
    <cellStyle name="_Agent Pricing tracker 2_HD 10.3" xfId="257"/>
    <cellStyle name="_Agent Pricing tracker 2_HD 10.3 2" xfId="258"/>
    <cellStyle name="_Agent Pricing tracker 2_HD 10.3_AT&amp;T" xfId="259"/>
    <cellStyle name="_Agent Pricing tracker 2_HD 10.3_August Rebate Expense - 07.24.11" xfId="260"/>
    <cellStyle name="_Agent Pricing tracker 2_HD 10.3_Carrier Margin v Prior Update" xfId="261"/>
    <cellStyle name="_Agent Pricing tracker 2_HD 10.3_HD 6.01" xfId="262"/>
    <cellStyle name="_Agent Pricing tracker 2_HD 10.3_June Rebate Expense - 05.24.11" xfId="263"/>
    <cellStyle name="_Agent Pricing tracker 2_HD 10.3_June Rebate Expense - 06.13.11" xfId="264"/>
    <cellStyle name="_Agent Pricing tracker 2_HD 10.3_June Rebate Expense - 06.20.11_nextlap" xfId="265"/>
    <cellStyle name="_Agent Pricing tracker 2_HD 10.3_June Rebate Expense - 06.30.11_Prelim" xfId="266"/>
    <cellStyle name="_Agent Pricing tracker 2_HD 10.3_June Rebate Expense - 07.06.11_Prelim_Forecast" xfId="267"/>
    <cellStyle name="_Agent Pricing tracker 2_HD 10.3_June Request_05 20 11" xfId="268"/>
    <cellStyle name="_Agent Pricing tracker 2_HD 10.3_March Rebate Expense - 02.25.11" xfId="269"/>
    <cellStyle name="_Agent Pricing tracker 2_HD 10.3_March Rebate Expense - 03.04.11" xfId="270"/>
    <cellStyle name="_Agent Pricing tracker 2_HD 10.3_May Rebate Expense - 04.27.11_wks" xfId="271"/>
    <cellStyle name="_Agent Pricing tracker 2_HD 10.3_May Rebate Expense - 05.09.11" xfId="272"/>
    <cellStyle name="_Agent Pricing tracker 2_HD 10.3_May Rebate Expense - 05.16.11" xfId="273"/>
    <cellStyle name="_Agent Pricing tracker 2_HD 10.3_May Rebate Expense - 05.23.11_nextlap" xfId="274"/>
    <cellStyle name="_Agent Pricing tracker 2_HD 10.3_May Rebate Expense - 05.31.11_Final" xfId="275"/>
    <cellStyle name="_Agent Pricing tracker 2_HD 10.3_November Skus" xfId="276"/>
    <cellStyle name="_Agent Pricing tracker 2_HD 10.3_October Rebate Expense - 10.10.11" xfId="277"/>
    <cellStyle name="_Agent Pricing tracker 2_HD 10.3_Per Unit" xfId="278"/>
    <cellStyle name="_Agent Pricing tracker 2_HD 10.3_September Rebate Expense - 09.12.11" xfId="279"/>
    <cellStyle name="_Agent Pricing tracker 2_HD 10.3_T-Mobile" xfId="280"/>
    <cellStyle name="_Agent Pricing tracker 2_HD 10.3_Verizon" xfId="281"/>
    <cellStyle name="_Agent Pricing tracker 2_HD 6.01" xfId="282"/>
    <cellStyle name="_Agent Pricing tracker 2_June Rebate Expense - 05.24.11" xfId="283"/>
    <cellStyle name="_Agent Pricing tracker 2_June Rebate Expense - 06.13.11" xfId="284"/>
    <cellStyle name="_Agent Pricing tracker 2_June Rebate Expense - 06.20.11_nextlap" xfId="285"/>
    <cellStyle name="_Agent Pricing tracker 2_June Rebate Expense - 06.30.11_Prelim" xfId="286"/>
    <cellStyle name="_Agent Pricing tracker 2_June Rebate Expense - 07.06.11_Prelim_Forecast" xfId="287"/>
    <cellStyle name="_Agent Pricing tracker 2_June Request_05 20 11" xfId="288"/>
    <cellStyle name="_Agent Pricing tracker 2_March Rebate Expense - 02.25.11" xfId="289"/>
    <cellStyle name="_Agent Pricing tracker 2_March Rebate Expense - 03.04.11" xfId="290"/>
    <cellStyle name="_Agent Pricing tracker 2_May Rebate Expense - 04.27.11_wks" xfId="291"/>
    <cellStyle name="_Agent Pricing tracker 2_May Rebate Expense - 05.09.11" xfId="292"/>
    <cellStyle name="_Agent Pricing tracker 2_May Rebate Expense - 05.16.11" xfId="293"/>
    <cellStyle name="_Agent Pricing tracker 2_May Rebate Expense - 05.23.11_nextlap" xfId="294"/>
    <cellStyle name="_Agent Pricing tracker 2_May Rebate Expense - 05.31.11_Final" xfId="295"/>
    <cellStyle name="_Agent Pricing tracker 2_November Skus" xfId="296"/>
    <cellStyle name="_Agent Pricing tracker 2_October Rebate Expense - 10.10.11" xfId="297"/>
    <cellStyle name="_Agent Pricing tracker 2_Per Unit" xfId="298"/>
    <cellStyle name="_Agent Pricing tracker 2_September Rebate Expense - 09.12.11" xfId="299"/>
    <cellStyle name="_Agent Pricing tracker 2_T-Mobile" xfId="300"/>
    <cellStyle name="_Agent Pricing tracker 2_Verizon" xfId="301"/>
    <cellStyle name="_Agent Pricing tracker 2_WA june stmts" xfId="302"/>
    <cellStyle name="_Agent Pricing tracker 2_WA p&amp;l may" xfId="303"/>
    <cellStyle name="_Agent Pricing tracker 3" xfId="304"/>
    <cellStyle name="_Agent Pricing tracker 3 2" xfId="305"/>
    <cellStyle name="_Agent Pricing tracker 3 2 2" xfId="306"/>
    <cellStyle name="_Agent Pricing tracker 3 2_WA june stmts" xfId="307"/>
    <cellStyle name="_Agent Pricing tracker 3 2_WA p&amp;l may" xfId="308"/>
    <cellStyle name="_Agent Pricing tracker 3 3" xfId="309"/>
    <cellStyle name="_Agent Pricing tracker 3_WA june stmts" xfId="310"/>
    <cellStyle name="_Agent Pricing tracker 3_WA p&amp;l may" xfId="311"/>
    <cellStyle name="_Agent Pricing tracker 4" xfId="312"/>
    <cellStyle name="_Agent Pricing tracker 4 2" xfId="313"/>
    <cellStyle name="_Agent Pricing tracker 4_WA june stmts" xfId="314"/>
    <cellStyle name="_Agent Pricing tracker 4_WA p&amp;l may" xfId="315"/>
    <cellStyle name="_Agent Pricing tracker 5" xfId="316"/>
    <cellStyle name="_Agent Pricing tracker 6" xfId="317"/>
    <cellStyle name="_Agent Pricing tracker_2010 Budget Supplement Slides_1.15.10" xfId="318"/>
    <cellStyle name="_Agent Pricing tracker_2010 Forecast Update - Sept 15th - Q3_Updated 09 13 10" xfId="319"/>
    <cellStyle name="_Agent Pricing tracker_2010 Forecast Update - Sept 15th - Q3_Updated 09 13 10 2" xfId="320"/>
    <cellStyle name="_Agent Pricing tracker_2010 Forecast Update - Sept 15th - Q3_Updated 09 13 10_WA june stmts" xfId="321"/>
    <cellStyle name="_Agent Pricing tracker_2010 Forecast Update - Sept 15th - Q3_Updated 09 13 10_WA p&amp;l may" xfId="322"/>
    <cellStyle name="_Agent Pricing tracker_2011 Ad to Sales 11 26 10" xfId="323"/>
    <cellStyle name="_Agent Pricing tracker_2011 Ad to Sales 11 26 10 2" xfId="324"/>
    <cellStyle name="_Agent Pricing tracker_2011 Ad to Sales 11 26 10_WA june stmts" xfId="325"/>
    <cellStyle name="_Agent Pricing tracker_2011 Ad to Sales 11 26 10_WA p&amp;l may" xfId="326"/>
    <cellStyle name="_Agent Pricing tracker_2011 Admin Pyrl 9 ovr 9 rollforward 12 08 10 RJ" xfId="327"/>
    <cellStyle name="_Agent Pricing tracker_2011 Budget EBITDA High Level_11.18.2010" xfId="328"/>
    <cellStyle name="_Agent Pricing tracker_2011 Budget EBITDA High Level_11.18.2010 2" xfId="329"/>
    <cellStyle name="_Agent Pricing tracker_2011 Budget EBITDA High Level_11.18.2010_Cap Ex Summary8 12 11update" xfId="330"/>
    <cellStyle name="_Agent Pricing tracker_2011 Budget EBITDA High Level_11.18.2010_WA june stmts" xfId="331"/>
    <cellStyle name="_Agent Pricing tracker_2011 Budget EBITDA High Level_11.18.2010_WA p&amp;l may" xfId="332"/>
    <cellStyle name="_Agent Pricing tracker_2011 Budget Margin Meeting Slides_11.5.2010_FINALupdated Tracker" xfId="333"/>
    <cellStyle name="_Agent Pricing tracker_2011 Budget Presentation_CC_11 17 10TG" xfId="334"/>
    <cellStyle name="_Agent Pricing tracker_2011 Budget Slides" xfId="335"/>
    <cellStyle name="_Agent Pricing tracker_2011 Expense Budget summary" xfId="336"/>
    <cellStyle name="_Agent Pricing tracker_2011 MARCH GERS UPLOAD - ROLL-UP" xfId="337"/>
    <cellStyle name="_Agent Pricing tracker_2011 MARCH GERS UPLOAD - ROLL-UP 2" xfId="338"/>
    <cellStyle name="_Agent Pricing tracker_2011 MARCH GERS UPLOAD - ROLL-UP 2 2" xfId="339"/>
    <cellStyle name="_Agent Pricing tracker_2011 MARCH GERS UPLOAD - ROLL-UP 2_WA june stmts" xfId="340"/>
    <cellStyle name="_Agent Pricing tracker_2011 MARCH GERS UPLOAD - ROLL-UP 2_WA p&amp;l may" xfId="341"/>
    <cellStyle name="_Agent Pricing tracker_2011 MARCH GERS UPLOAD - ROLL-UP 3" xfId="342"/>
    <cellStyle name="_Agent Pricing tracker_2011 MARCH GERS UPLOAD - ROLL-UP 3 2" xfId="343"/>
    <cellStyle name="_Agent Pricing tracker_2011 MARCH GERS UPLOAD - ROLL-UP 3_WA june stmts" xfId="344"/>
    <cellStyle name="_Agent Pricing tracker_2011 MARCH GERS UPLOAD - ROLL-UP 3_WA p&amp;l may" xfId="345"/>
    <cellStyle name="_Agent Pricing tracker_2011 MARCH GERS UPLOAD - ROLL-UP 4" xfId="346"/>
    <cellStyle name="_Agent Pricing tracker_2011 MARCH GERS UPLOAD - ROLL-UP_maycto" xfId="347"/>
    <cellStyle name="_Agent Pricing tracker_2011 MARCH GERS UPLOAD - ROLL-UP_maycto 2" xfId="348"/>
    <cellStyle name="_Agent Pricing tracker_2011 MARCH GERS UPLOAD - ROLL-UP_maycto_WA june stmts" xfId="349"/>
    <cellStyle name="_Agent Pricing tracker_2011 MARCH GERS UPLOAD - ROLL-UP_maycto_WA p&amp;l may" xfId="350"/>
    <cellStyle name="_Agent Pricing tracker_2011 MARCH GERS UPLOAD - ROLL-UP_WA june stmts" xfId="351"/>
    <cellStyle name="_Agent Pricing tracker_2011 MARCH GERS UPLOAD - ROLL-UP_WA p&amp;l may" xfId="352"/>
    <cellStyle name="_Agent Pricing tracker_2011 Proforma_11.17.10" xfId="353"/>
    <cellStyle name="_Agent Pricing tracker_2011CashflowBudget(Execsummary)" xfId="354"/>
    <cellStyle name="_Agent Pricing tracker_2011February Forecast Feb 18 RJ adjusted feb 21" xfId="355"/>
    <cellStyle name="_Agent Pricing tracker_2012 Cap Ex Project Numbers" xfId="356"/>
    <cellStyle name="_Agent Pricing tracker_2012 Cap Ex Template" xfId="357"/>
    <cellStyle name="_Agent Pricing tracker_9112 - Information Center - IS" xfId="358"/>
    <cellStyle name="_Agent Pricing tracker_9124 - Technical Services - TS" xfId="359"/>
    <cellStyle name="_Agent Pricing tracker_August 2011 Cap Ex" xfId="360"/>
    <cellStyle name="_Agent Pricing tracker_Cap Ex Summary8 12 11update" xfId="361"/>
    <cellStyle name="_Agent Pricing tracker_Copy of 2011 April forecast EOM May 2" xfId="362"/>
    <cellStyle name="_Agent Pricing tracker_Copy of 2012 Headcount Summary 10.04.11" xfId="363"/>
    <cellStyle name="_Agent Pricing tracker_Copy of IT adm headcount add assessment nov 26 2010" xfId="364"/>
    <cellStyle name="_Agent Pricing tracker_Copy of IT adm headcount add assessment nov 26 2010 2" xfId="365"/>
    <cellStyle name="_Agent Pricing tracker_Copy of IT adm headcount add assessment nov 26 2010_WA june stmts" xfId="366"/>
    <cellStyle name="_Agent Pricing tracker_Copy of IT adm headcount add assessment nov 26 2010_WA p&amp;l may" xfId="367"/>
    <cellStyle name="_Agent Pricing tracker_CTFY11EnterpriseTechnology Budget" xfId="368"/>
    <cellStyle name="_Agent Pricing tracker_DB info request for FY 2010 vendor summit" xfId="369"/>
    <cellStyle name="_Agent Pricing tracker_DB info request for FY 2010 vendor summit 2" xfId="370"/>
    <cellStyle name="_Agent Pricing tracker_DB info request for FY 2010 vendor summit_WA june stmts" xfId="371"/>
    <cellStyle name="_Agent Pricing tracker_DB info request for FY 2010 vendor summit_WA p&amp;l may" xfId="372"/>
    <cellStyle name="_Agent Pricing tracker_December 2011 Cap Ex 01.27.11" xfId="373"/>
    <cellStyle name="_Agent Pricing tracker_December 2011 Cap Ex 01.27.11_1" xfId="374"/>
    <cellStyle name="_Agent Pricing tracker_February Ecommerce Rebate Expense - 02.22.11" xfId="375"/>
    <cellStyle name="_Agent Pricing tracker_February Ecommerce Rebate Expense - 02.22.11_June Request_05 20 11" xfId="376"/>
    <cellStyle name="_Agent Pricing tracker_Field Payroll 2011 Budget Workbook" xfId="377"/>
    <cellStyle name="_Agent Pricing tracker_Jul" xfId="378"/>
    <cellStyle name="_Agent Pricing tracker_Jul 2" xfId="379"/>
    <cellStyle name="_Agent Pricing tracker_Jul_2011 Budget Presentation_CC_11 17 10TG" xfId="380"/>
    <cellStyle name="_Agent Pricing tracker_Jul_2011 Budget Slides" xfId="381"/>
    <cellStyle name="_Agent Pricing tracker_Jul_2011 Budget Slides Package_02 21 11" xfId="382"/>
    <cellStyle name="_Agent Pricing tracker_Jul_2011 Proforma_11.17.10" xfId="383"/>
    <cellStyle name="_Agent Pricing tracker_Jul_Cap Ex Summary8 12 11update" xfId="384"/>
    <cellStyle name="_Agent Pricing tracker_Jul_June Ecommerce Rebate Expense - 05.24.11" xfId="385"/>
    <cellStyle name="_Agent Pricing tracker_Jul_June Request_05 20 11" xfId="386"/>
    <cellStyle name="_Agent Pricing tracker_Jul_WA june stmts" xfId="387"/>
    <cellStyle name="_Agent Pricing tracker_Jul_WA p&amp;l may" xfId="388"/>
    <cellStyle name="_Agent Pricing tracker_July VPEP FINAL 8.17.2012_AB &amp; SL adjustments_used for July GL close" xfId="389"/>
    <cellStyle name="_Agent Pricing tracker_June VPEP 7.16.12 FINAL used for June GL close revised July 30, 2012" xfId="390"/>
    <cellStyle name="_Agent Pricing tracker_March Rebate Expense - 02.22.11" xfId="391"/>
    <cellStyle name="_Agent Pricing tracker_May Rebate Expense - 05.31.11_Final" xfId="392"/>
    <cellStyle name="_Agent Pricing tracker_maycto" xfId="393"/>
    <cellStyle name="_Agent Pricing tracker_maycto 2" xfId="394"/>
    <cellStyle name="_Agent Pricing tracker_maycto_WA june stmts" xfId="395"/>
    <cellStyle name="_Agent Pricing tracker_maycto_WA p&amp;l may" xfId="396"/>
    <cellStyle name="_Agent Pricing tracker_October 2011 Cap Ex 11.17.11 wMatt Adj" xfId="397"/>
    <cellStyle name="_Agent Pricing tracker_Q3 2010 BOD Slides_11.10.10" xfId="398"/>
    <cellStyle name="_Agent Pricing tracker_Q4 AAFES P&amp;L_10.11.2010" xfId="399"/>
    <cellStyle name="_Agent Pricing tracker_Q4 AAFES P&amp;L_10.11.2010 2" xfId="400"/>
    <cellStyle name="_Agent Pricing tracker_Q4 AAFES P&amp;L_10.11.2010_Cap Ex Summary8 12 11update" xfId="401"/>
    <cellStyle name="_Agent Pricing tracker_Q4 AAFES P&amp;L_10.11.2010_WA june stmts" xfId="402"/>
    <cellStyle name="_Agent Pricing tracker_Q4 AAFES P&amp;L_10.11.2010_WA p&amp;l may" xfId="403"/>
    <cellStyle name="_Agent Pricing tracker_Sep" xfId="404"/>
    <cellStyle name="_Agent Pricing tracker_Sep 2" xfId="405"/>
    <cellStyle name="_Agent Pricing tracker_Sep_2011 Budget Presentation_CC_11 17 10TG" xfId="406"/>
    <cellStyle name="_Agent Pricing tracker_Sep_2011 Budget Slides" xfId="407"/>
    <cellStyle name="_Agent Pricing tracker_Sep_2011 Budget Slides Package_02 21 11" xfId="408"/>
    <cellStyle name="_Agent Pricing tracker_Sep_2011 Proforma_11.17.10" xfId="409"/>
    <cellStyle name="_Agent Pricing tracker_Sep_Cap Ex Summary8 12 11update" xfId="410"/>
    <cellStyle name="_Agent Pricing tracker_Sep_June Ecommerce Rebate Expense - 05.24.11" xfId="411"/>
    <cellStyle name="_Agent Pricing tracker_Sep_June Request_05 20 11" xfId="412"/>
    <cellStyle name="_Agent Pricing tracker_Sep_WA june stmts" xfId="413"/>
    <cellStyle name="_Agent Pricing tracker_Sep_WA p&amp;l may" xfId="414"/>
    <cellStyle name="_Agent Pricing tracker_September 2011 Cap Ex New 10.24.11 wMatts Changes" xfId="415"/>
    <cellStyle name="_Agent Pricing tracker_Sheet3" xfId="416"/>
    <cellStyle name="_Agent Pricing tracker_Staples Expenses Jun - Dec_06.30.11" xfId="417"/>
    <cellStyle name="_Agent Pricing tracker_VPEP 10.19.10" xfId="418"/>
    <cellStyle name="_Agent Pricing tracker_vpep allocation for forecast" xfId="419"/>
    <cellStyle name="_Agent Pricing tracker_vpep allocation for forecast 2" xfId="420"/>
    <cellStyle name="_Agent Pricing tracker_vpep allocation for forecast_WA june stmts" xfId="421"/>
    <cellStyle name="_Agent Pricing tracker_vpep allocation for forecast_WA p&amp;l may" xfId="422"/>
    <cellStyle name="_Agent Pricing tracker_WA june stmts" xfId="423"/>
    <cellStyle name="_Agent Pricing tracker_WA p&amp;l may" xfId="424"/>
    <cellStyle name="_April Forecats for Finance 4 08 10 (2)" xfId="425"/>
    <cellStyle name="_April Forecats for Finance 4 08 10 (2) 2" xfId="426"/>
    <cellStyle name="_April Forecats for Finance 4 08 10 (2)_June Ecommerce Rebate Expense - 05.24.11" xfId="427"/>
    <cellStyle name="_April Forecats for Finance 4 08 10 (2)_June Request_05 20 11" xfId="428"/>
    <cellStyle name="_April Forecats for Finance 4 08 10 (2)_WA june stmts" xfId="429"/>
    <cellStyle name="_April Forecats for Finance 4 08 10 (2)_WA p&amp;l may" xfId="430"/>
    <cellStyle name="_Blue shade" xfId="431"/>
    <cellStyle name="_BlueHeading" xfId="432"/>
    <cellStyle name="_Comma" xfId="433"/>
    <cellStyle name="_Comma_Applicazione Multipli" xfId="434"/>
    <cellStyle name="_Comma_AVP" xfId="435"/>
    <cellStyle name="_Comma_bapv" xfId="436"/>
    <cellStyle name="_Comma_Marks 2-21-02 v4" xfId="437"/>
    <cellStyle name="_Comma_Merger Plan 01" xfId="438"/>
    <cellStyle name="_Comma_Ownership structure - UCI" xfId="439"/>
    <cellStyle name="_Comma_Pep Boys - Financial Summary" xfId="440"/>
    <cellStyle name="_Comma_Project Regal Portfolio Valuation Model - Eileen'strial" xfId="441"/>
    <cellStyle name="_Comma_Summary LR1" xfId="442"/>
    <cellStyle name="_Comma_Valuation Summary" xfId="443"/>
    <cellStyle name="_Copy of BAC 486_w mapping_PIVOT" xfId="444"/>
    <cellStyle name="_Currency" xfId="445"/>
    <cellStyle name="_Currency_Applicazione Multipli" xfId="446"/>
    <cellStyle name="_Currency_AVP" xfId="447"/>
    <cellStyle name="_Currency_bapv" xfId="448"/>
    <cellStyle name="_Currency_Book1" xfId="449"/>
    <cellStyle name="_Currency_Book1_Merger Plan" xfId="450"/>
    <cellStyle name="_Currency_Book2" xfId="451"/>
    <cellStyle name="_Currency_Book2_Merger Plan" xfId="452"/>
    <cellStyle name="_Currency_Contribution Analysis" xfId="453"/>
    <cellStyle name="_Currency_CSC Banche new1" xfId="454"/>
    <cellStyle name="_Currency_Financials" xfId="455"/>
    <cellStyle name="_Currency_Marks 2-21-02 v4" xfId="456"/>
    <cellStyle name="_Currency_Merger Plan" xfId="457"/>
    <cellStyle name="_Currency_Merger Plan 01" xfId="458"/>
    <cellStyle name="_Currency_Merger Plan A" xfId="459"/>
    <cellStyle name="_Currency_Merger Plan A_Merger Plan" xfId="460"/>
    <cellStyle name="_Currency_Merger Plan SP_CA" xfId="461"/>
    <cellStyle name="_Currency_Ownership structure - UCI" xfId="462"/>
    <cellStyle name="_Currency_Pep Boys - Financial Summary" xfId="463"/>
    <cellStyle name="_Currency_Pro Forma AVP" xfId="464"/>
    <cellStyle name="_Currency_Proforma Shareholders" xfId="465"/>
    <cellStyle name="_Currency_Proforma Shareholders_Merger Plan" xfId="466"/>
    <cellStyle name="_Currency_Project Regal Portfolio Valuation Model - Eileen'strial" xfId="467"/>
    <cellStyle name="_Currency_Share Prices" xfId="468"/>
    <cellStyle name="_Currency_Share Prices_Merger Plan" xfId="469"/>
    <cellStyle name="_Currency_shareholders" xfId="470"/>
    <cellStyle name="_Currency_shareholders new" xfId="471"/>
    <cellStyle name="_Currency_shareholders_Merger Plan" xfId="472"/>
    <cellStyle name="_Currency_Summary LR1" xfId="473"/>
    <cellStyle name="_Currency_Valuation Summary" xfId="474"/>
    <cellStyle name="_CurrencySpace" xfId="475"/>
    <cellStyle name="_CurrencySpace_Applicazione Multipli" xfId="476"/>
    <cellStyle name="_CurrencySpace_AVP" xfId="477"/>
    <cellStyle name="_CurrencySpace_bapv" xfId="478"/>
    <cellStyle name="_CurrencySpace_Marks 2-21-02 v4" xfId="479"/>
    <cellStyle name="_CurrencySpace_Merger Plan 01" xfId="480"/>
    <cellStyle name="_CurrencySpace_Ownership structure - UCI" xfId="481"/>
    <cellStyle name="_CurrencySpace_Pep Boys - Financial Summary" xfId="482"/>
    <cellStyle name="_CurrencySpace_Project Regal Portfolio Valuation Model - Eileen'strial" xfId="483"/>
    <cellStyle name="_CurrencySpace_Summary LR1" xfId="484"/>
    <cellStyle name="_CurrencySpace_Valuation Summary" xfId="485"/>
    <cellStyle name="_Dollar" xfId="486"/>
    <cellStyle name="_Dollar_Merger_Plans_Stockholm_799 revised02" xfId="487"/>
    <cellStyle name="_Dollar_qwst2, 1-16" xfId="488"/>
    <cellStyle name="_EI Effect" xfId="489"/>
    <cellStyle name="_Euro" xfId="490"/>
    <cellStyle name="_FY09 Comps" xfId="491"/>
    <cellStyle name="_FY09 Comps 2" xfId="492"/>
    <cellStyle name="_FY09 Comps 2 2" xfId="493"/>
    <cellStyle name="_FY09 Comps 2_WA june stmts" xfId="494"/>
    <cellStyle name="_FY09 Comps 2_WA p&amp;l may" xfId="495"/>
    <cellStyle name="_FY09 Comps 3" xfId="496"/>
    <cellStyle name="_FY09 Comps_WA june stmts" xfId="497"/>
    <cellStyle name="_FY09 Comps_WA p&amp;l may" xfId="498"/>
    <cellStyle name="_HeaderBlue" xfId="499"/>
    <cellStyle name="_Heading" xfId="500"/>
    <cellStyle name="_Heading_prestemp" xfId="501"/>
    <cellStyle name="_Highlight" xfId="502"/>
    <cellStyle name="_HT Basket Report_MayWk4" xfId="503"/>
    <cellStyle name="_Kurek Gl to CC mappingfor retail a_cs refods_bsc_bs_fin_acct_bu_map_in" xfId="504"/>
    <cellStyle name="_May 14 - June 17 2007 pricing w- cost (2)" xfId="505"/>
    <cellStyle name="_May 14 - June 17 2007 pricing w- cost (2) 2" xfId="506"/>
    <cellStyle name="_May 14 - June 17 2007 pricing w- cost (2) 2 2" xfId="507"/>
    <cellStyle name="_May 14 - June 17 2007 pricing w- cost (2) 2_AT&amp;T" xfId="508"/>
    <cellStyle name="_May 14 - June 17 2007 pricing w- cost (2) 2_August Rebate Expense - 07.24.11" xfId="509"/>
    <cellStyle name="_May 14 - June 17 2007 pricing w- cost (2) 2_Carrier Margin v Prior Update" xfId="510"/>
    <cellStyle name="_May 14 - June 17 2007 pricing w- cost (2) 2_HD 10.3" xfId="511"/>
    <cellStyle name="_May 14 - June 17 2007 pricing w- cost (2) 2_HD 10.3 2" xfId="512"/>
    <cellStyle name="_May 14 - June 17 2007 pricing w- cost (2) 2_HD 10.3_AT&amp;T" xfId="513"/>
    <cellStyle name="_May 14 - June 17 2007 pricing w- cost (2) 2_HD 10.3_August Rebate Expense - 07.24.11" xfId="514"/>
    <cellStyle name="_May 14 - June 17 2007 pricing w- cost (2) 2_HD 10.3_Carrier Margin v Prior Update" xfId="515"/>
    <cellStyle name="_May 14 - June 17 2007 pricing w- cost (2) 2_HD 10.3_HD 6.01" xfId="516"/>
    <cellStyle name="_May 14 - June 17 2007 pricing w- cost (2) 2_HD 10.3_June Rebate Expense - 05.24.11" xfId="517"/>
    <cellStyle name="_May 14 - June 17 2007 pricing w- cost (2) 2_HD 10.3_June Rebate Expense - 06.13.11" xfId="518"/>
    <cellStyle name="_May 14 - June 17 2007 pricing w- cost (2) 2_HD 10.3_June Rebate Expense - 06.20.11_nextlap" xfId="519"/>
    <cellStyle name="_May 14 - June 17 2007 pricing w- cost (2) 2_HD 10.3_June Rebate Expense - 06.30.11_Prelim" xfId="520"/>
    <cellStyle name="_May 14 - June 17 2007 pricing w- cost (2) 2_HD 10.3_June Rebate Expense - 07.06.11_Prelim_Forecast" xfId="521"/>
    <cellStyle name="_May 14 - June 17 2007 pricing w- cost (2) 2_HD 10.3_June Request_05 20 11" xfId="522"/>
    <cellStyle name="_May 14 - June 17 2007 pricing w- cost (2) 2_HD 10.3_March Rebate Expense - 02.25.11" xfId="523"/>
    <cellStyle name="_May 14 - June 17 2007 pricing w- cost (2) 2_HD 10.3_March Rebate Expense - 03.04.11" xfId="524"/>
    <cellStyle name="_May 14 - June 17 2007 pricing w- cost (2) 2_HD 10.3_May Rebate Expense - 04.27.11_wks" xfId="525"/>
    <cellStyle name="_May 14 - June 17 2007 pricing w- cost (2) 2_HD 10.3_May Rebate Expense - 05.09.11" xfId="526"/>
    <cellStyle name="_May 14 - June 17 2007 pricing w- cost (2) 2_HD 10.3_May Rebate Expense - 05.16.11" xfId="527"/>
    <cellStyle name="_May 14 - June 17 2007 pricing w- cost (2) 2_HD 10.3_May Rebate Expense - 05.23.11_nextlap" xfId="528"/>
    <cellStyle name="_May 14 - June 17 2007 pricing w- cost (2) 2_HD 10.3_May Rebate Expense - 05.31.11_Final" xfId="529"/>
    <cellStyle name="_May 14 - June 17 2007 pricing w- cost (2) 2_HD 10.3_November Skus" xfId="530"/>
    <cellStyle name="_May 14 - June 17 2007 pricing w- cost (2) 2_HD 10.3_October Rebate Expense - 10.10.11" xfId="531"/>
    <cellStyle name="_May 14 - June 17 2007 pricing w- cost (2) 2_HD 10.3_Per Unit" xfId="532"/>
    <cellStyle name="_May 14 - June 17 2007 pricing w- cost (2) 2_HD 10.3_September Rebate Expense - 09.12.11" xfId="533"/>
    <cellStyle name="_May 14 - June 17 2007 pricing w- cost (2) 2_HD 10.3_T-Mobile" xfId="534"/>
    <cellStyle name="_May 14 - June 17 2007 pricing w- cost (2) 2_HD 10.3_Verizon" xfId="535"/>
    <cellStyle name="_May 14 - June 17 2007 pricing w- cost (2) 2_HD 6.01" xfId="536"/>
    <cellStyle name="_May 14 - June 17 2007 pricing w- cost (2) 2_June Rebate Expense - 05.24.11" xfId="537"/>
    <cellStyle name="_May 14 - June 17 2007 pricing w- cost (2) 2_June Rebate Expense - 06.13.11" xfId="538"/>
    <cellStyle name="_May 14 - June 17 2007 pricing w- cost (2) 2_June Rebate Expense - 06.20.11_nextlap" xfId="539"/>
    <cellStyle name="_May 14 - June 17 2007 pricing w- cost (2) 2_June Rebate Expense - 06.30.11_Prelim" xfId="540"/>
    <cellStyle name="_May 14 - June 17 2007 pricing w- cost (2) 2_June Rebate Expense - 07.06.11_Prelim_Forecast" xfId="541"/>
    <cellStyle name="_May 14 - June 17 2007 pricing w- cost (2) 2_June Request_05 20 11" xfId="542"/>
    <cellStyle name="_May 14 - June 17 2007 pricing w- cost (2) 2_March Rebate Expense - 02.25.11" xfId="543"/>
    <cellStyle name="_May 14 - June 17 2007 pricing w- cost (2) 2_March Rebate Expense - 03.04.11" xfId="544"/>
    <cellStyle name="_May 14 - June 17 2007 pricing w- cost (2) 2_May Rebate Expense - 04.27.11_wks" xfId="545"/>
    <cellStyle name="_May 14 - June 17 2007 pricing w- cost (2) 2_May Rebate Expense - 05.09.11" xfId="546"/>
    <cellStyle name="_May 14 - June 17 2007 pricing w- cost (2) 2_May Rebate Expense - 05.16.11" xfId="547"/>
    <cellStyle name="_May 14 - June 17 2007 pricing w- cost (2) 2_May Rebate Expense - 05.23.11_nextlap" xfId="548"/>
    <cellStyle name="_May 14 - June 17 2007 pricing w- cost (2) 2_May Rebate Expense - 05.31.11_Final" xfId="549"/>
    <cellStyle name="_May 14 - June 17 2007 pricing w- cost (2) 2_November Skus" xfId="550"/>
    <cellStyle name="_May 14 - June 17 2007 pricing w- cost (2) 2_October Rebate Expense - 10.10.11" xfId="551"/>
    <cellStyle name="_May 14 - June 17 2007 pricing w- cost (2) 2_Per Unit" xfId="552"/>
    <cellStyle name="_May 14 - June 17 2007 pricing w- cost (2) 2_September Rebate Expense - 09.12.11" xfId="553"/>
    <cellStyle name="_May 14 - June 17 2007 pricing w- cost (2) 2_T-Mobile" xfId="554"/>
    <cellStyle name="_May 14 - June 17 2007 pricing w- cost (2) 2_Verizon" xfId="555"/>
    <cellStyle name="_May 14 - June 17 2007 pricing w- cost (2) 2_WA june stmts" xfId="556"/>
    <cellStyle name="_May 14 - June 17 2007 pricing w- cost (2) 2_WA p&amp;l may" xfId="557"/>
    <cellStyle name="_May 14 - June 17 2007 pricing w- cost (2) 3" xfId="558"/>
    <cellStyle name="_May 14 - June 17 2007 pricing w- cost (2) 3 2" xfId="559"/>
    <cellStyle name="_May 14 - June 17 2007 pricing w- cost (2) 3 2 2" xfId="560"/>
    <cellStyle name="_May 14 - June 17 2007 pricing w- cost (2) 3 2_WA june stmts" xfId="561"/>
    <cellStyle name="_May 14 - June 17 2007 pricing w- cost (2) 3 2_WA p&amp;l may" xfId="562"/>
    <cellStyle name="_May 14 - June 17 2007 pricing w- cost (2) 3 3" xfId="563"/>
    <cellStyle name="_May 14 - June 17 2007 pricing w- cost (2) 3_WA june stmts" xfId="564"/>
    <cellStyle name="_May 14 - June 17 2007 pricing w- cost (2) 3_WA p&amp;l may" xfId="565"/>
    <cellStyle name="_May 14 - June 17 2007 pricing w- cost (2) 4" xfId="566"/>
    <cellStyle name="_May 14 - June 17 2007 pricing w- cost (2) 4 2" xfId="567"/>
    <cellStyle name="_May 14 - June 17 2007 pricing w- cost (2) 4_WA june stmts" xfId="568"/>
    <cellStyle name="_May 14 - June 17 2007 pricing w- cost (2) 4_WA p&amp;l may" xfId="569"/>
    <cellStyle name="_May 14 - June 17 2007 pricing w- cost (2) 5" xfId="570"/>
    <cellStyle name="_May 14 - June 17 2007 pricing w- cost (2) 6" xfId="571"/>
    <cellStyle name="_May 14 - June 17 2007 pricing w- cost (2)_2010 Budget Supplement Slides_1.15.10" xfId="572"/>
    <cellStyle name="_May 14 - June 17 2007 pricing w- cost (2)_2010 Forecast Update - Sept 15th - Q3_Updated 09 13 10" xfId="573"/>
    <cellStyle name="_May 14 - June 17 2007 pricing w- cost (2)_2010 Forecast Update - Sept 15th - Q3_Updated 09 13 10 2" xfId="574"/>
    <cellStyle name="_May 14 - June 17 2007 pricing w- cost (2)_2010 Forecast Update - Sept 15th - Q3_Updated 09 13 10_WA june stmts" xfId="575"/>
    <cellStyle name="_May 14 - June 17 2007 pricing w- cost (2)_2010 Forecast Update - Sept 15th - Q3_Updated 09 13 10_WA p&amp;l may" xfId="576"/>
    <cellStyle name="_May 14 - June 17 2007 pricing w- cost (2)_2011 Ad to Sales 11 26 10" xfId="577"/>
    <cellStyle name="_May 14 - June 17 2007 pricing w- cost (2)_2011 Ad to Sales 11 26 10 2" xfId="578"/>
    <cellStyle name="_May 14 - June 17 2007 pricing w- cost (2)_2011 Ad to Sales 11 26 10_WA june stmts" xfId="579"/>
    <cellStyle name="_May 14 - June 17 2007 pricing w- cost (2)_2011 Ad to Sales 11 26 10_WA p&amp;l may" xfId="580"/>
    <cellStyle name="_May 14 - June 17 2007 pricing w- cost (2)_2011 Admin Pyrl 9 ovr 9 rollforward 12 08 10 RJ" xfId="581"/>
    <cellStyle name="_May 14 - June 17 2007 pricing w- cost (2)_2011 Budget EBITDA High Level_11.18.2010" xfId="582"/>
    <cellStyle name="_May 14 - June 17 2007 pricing w- cost (2)_2011 Budget EBITDA High Level_11.18.2010 2" xfId="583"/>
    <cellStyle name="_May 14 - June 17 2007 pricing w- cost (2)_2011 Budget EBITDA High Level_11.18.2010_Cap Ex Summary8 12 11update" xfId="584"/>
    <cellStyle name="_May 14 - June 17 2007 pricing w- cost (2)_2011 Budget EBITDA High Level_11.18.2010_WA june stmts" xfId="585"/>
    <cellStyle name="_May 14 - June 17 2007 pricing w- cost (2)_2011 Budget EBITDA High Level_11.18.2010_WA p&amp;l may" xfId="586"/>
    <cellStyle name="_May 14 - June 17 2007 pricing w- cost (2)_2011 Budget Margin Meeting Slides_11.5.2010_FINALupdated Tracker" xfId="587"/>
    <cellStyle name="_May 14 - June 17 2007 pricing w- cost (2)_2011 Budget Presentation_CC_11 17 10TG" xfId="588"/>
    <cellStyle name="_May 14 - June 17 2007 pricing w- cost (2)_2011 Budget Slides" xfId="589"/>
    <cellStyle name="_May 14 - June 17 2007 pricing w- cost (2)_2011 Expense Budget summary" xfId="590"/>
    <cellStyle name="_May 14 - June 17 2007 pricing w- cost (2)_2011 MARCH GERS UPLOAD - ROLL-UP" xfId="591"/>
    <cellStyle name="_May 14 - June 17 2007 pricing w- cost (2)_2011 MARCH GERS UPLOAD - ROLL-UP 2" xfId="592"/>
    <cellStyle name="_May 14 - June 17 2007 pricing w- cost (2)_2011 MARCH GERS UPLOAD - ROLL-UP 2 2" xfId="593"/>
    <cellStyle name="_May 14 - June 17 2007 pricing w- cost (2)_2011 MARCH GERS UPLOAD - ROLL-UP 2_WA june stmts" xfId="594"/>
    <cellStyle name="_May 14 - June 17 2007 pricing w- cost (2)_2011 MARCH GERS UPLOAD - ROLL-UP 2_WA p&amp;l may" xfId="595"/>
    <cellStyle name="_May 14 - June 17 2007 pricing w- cost (2)_2011 MARCH GERS UPLOAD - ROLL-UP 3" xfId="596"/>
    <cellStyle name="_May 14 - June 17 2007 pricing w- cost (2)_2011 MARCH GERS UPLOAD - ROLL-UP 3 2" xfId="597"/>
    <cellStyle name="_May 14 - June 17 2007 pricing w- cost (2)_2011 MARCH GERS UPLOAD - ROLL-UP 3_WA june stmts" xfId="598"/>
    <cellStyle name="_May 14 - June 17 2007 pricing w- cost (2)_2011 MARCH GERS UPLOAD - ROLL-UP 3_WA p&amp;l may" xfId="599"/>
    <cellStyle name="_May 14 - June 17 2007 pricing w- cost (2)_2011 MARCH GERS UPLOAD - ROLL-UP 4" xfId="600"/>
    <cellStyle name="_May 14 - June 17 2007 pricing w- cost (2)_2011 MARCH GERS UPLOAD - ROLL-UP_maycto" xfId="601"/>
    <cellStyle name="_May 14 - June 17 2007 pricing w- cost (2)_2011 MARCH GERS UPLOAD - ROLL-UP_maycto 2" xfId="602"/>
    <cellStyle name="_May 14 - June 17 2007 pricing w- cost (2)_2011 MARCH GERS UPLOAD - ROLL-UP_maycto_WA june stmts" xfId="603"/>
    <cellStyle name="_May 14 - June 17 2007 pricing w- cost (2)_2011 MARCH GERS UPLOAD - ROLL-UP_maycto_WA p&amp;l may" xfId="604"/>
    <cellStyle name="_May 14 - June 17 2007 pricing w- cost (2)_2011 MARCH GERS UPLOAD - ROLL-UP_WA june stmts" xfId="605"/>
    <cellStyle name="_May 14 - June 17 2007 pricing w- cost (2)_2011 MARCH GERS UPLOAD - ROLL-UP_WA p&amp;l may" xfId="606"/>
    <cellStyle name="_May 14 - June 17 2007 pricing w- cost (2)_2011 Proforma_11.17.10" xfId="607"/>
    <cellStyle name="_May 14 - June 17 2007 pricing w- cost (2)_2011CashflowBudget(Execsummary)" xfId="608"/>
    <cellStyle name="_May 14 - June 17 2007 pricing w- cost (2)_2011February Forecast Feb 18 RJ adjusted feb 21" xfId="609"/>
    <cellStyle name="_May 14 - June 17 2007 pricing w- cost (2)_2012 Cap Ex Project Numbers" xfId="610"/>
    <cellStyle name="_May 14 - June 17 2007 pricing w- cost (2)_2012 Cap Ex Template" xfId="611"/>
    <cellStyle name="_May 14 - June 17 2007 pricing w- cost (2)_9112 - Information Center - IS" xfId="612"/>
    <cellStyle name="_May 14 - June 17 2007 pricing w- cost (2)_9124 - Technical Services - TS" xfId="613"/>
    <cellStyle name="_May 14 - June 17 2007 pricing w- cost (2)_August 2011 Cap Ex" xfId="614"/>
    <cellStyle name="_May 14 - June 17 2007 pricing w- cost (2)_Cap Ex Summary8 12 11update" xfId="615"/>
    <cellStyle name="_May 14 - June 17 2007 pricing w- cost (2)_Copy of 2011 April forecast EOM May 2" xfId="616"/>
    <cellStyle name="_May 14 - June 17 2007 pricing w- cost (2)_Copy of 2012 Headcount Summary 10.04.11" xfId="617"/>
    <cellStyle name="_May 14 - June 17 2007 pricing w- cost (2)_Copy of IT adm headcount add assessment nov 26 2010" xfId="618"/>
    <cellStyle name="_May 14 - June 17 2007 pricing w- cost (2)_Copy of IT adm headcount add assessment nov 26 2010 2" xfId="619"/>
    <cellStyle name="_May 14 - June 17 2007 pricing w- cost (2)_Copy of IT adm headcount add assessment nov 26 2010_WA june stmts" xfId="620"/>
    <cellStyle name="_May 14 - June 17 2007 pricing w- cost (2)_Copy of IT adm headcount add assessment nov 26 2010_WA p&amp;l may" xfId="621"/>
    <cellStyle name="_May 14 - June 17 2007 pricing w- cost (2)_CTFY11EnterpriseTechnology Budget" xfId="622"/>
    <cellStyle name="_May 14 - June 17 2007 pricing w- cost (2)_DB info request for FY 2010 vendor summit" xfId="623"/>
    <cellStyle name="_May 14 - June 17 2007 pricing w- cost (2)_DB info request for FY 2010 vendor summit 2" xfId="624"/>
    <cellStyle name="_May 14 - June 17 2007 pricing w- cost (2)_DB info request for FY 2010 vendor summit_WA june stmts" xfId="625"/>
    <cellStyle name="_May 14 - June 17 2007 pricing w- cost (2)_DB info request for FY 2010 vendor summit_WA p&amp;l may" xfId="626"/>
    <cellStyle name="_May 14 - June 17 2007 pricing w- cost (2)_December 2011 Cap Ex 01.27.11" xfId="627"/>
    <cellStyle name="_May 14 - June 17 2007 pricing w- cost (2)_December 2011 Cap Ex 01.27.11_1" xfId="628"/>
    <cellStyle name="_May 14 - June 17 2007 pricing w- cost (2)_February Ecommerce Rebate Expense - 02.22.11" xfId="629"/>
    <cellStyle name="_May 14 - June 17 2007 pricing w- cost (2)_February Ecommerce Rebate Expense - 02.22.11_June Request_05 20 11" xfId="630"/>
    <cellStyle name="_May 14 - June 17 2007 pricing w- cost (2)_Field Payroll 2011 Budget Workbook" xfId="631"/>
    <cellStyle name="_May 14 - June 17 2007 pricing w- cost (2)_Jul" xfId="632"/>
    <cellStyle name="_May 14 - June 17 2007 pricing w- cost (2)_Jul 2" xfId="633"/>
    <cellStyle name="_May 14 - June 17 2007 pricing w- cost (2)_Jul_2011 Budget Presentation_CC_11 17 10TG" xfId="634"/>
    <cellStyle name="_May 14 - June 17 2007 pricing w- cost (2)_Jul_2011 Budget Slides" xfId="635"/>
    <cellStyle name="_May 14 - June 17 2007 pricing w- cost (2)_Jul_2011 Budget Slides Package_02 21 11" xfId="636"/>
    <cellStyle name="_May 14 - June 17 2007 pricing w- cost (2)_Jul_2011 Proforma_11.17.10" xfId="637"/>
    <cellStyle name="_May 14 - June 17 2007 pricing w- cost (2)_Jul_Cap Ex Summary8 12 11update" xfId="638"/>
    <cellStyle name="_May 14 - June 17 2007 pricing w- cost (2)_Jul_June Ecommerce Rebate Expense - 05.24.11" xfId="639"/>
    <cellStyle name="_May 14 - June 17 2007 pricing w- cost (2)_Jul_June Request_05 20 11" xfId="640"/>
    <cellStyle name="_May 14 - June 17 2007 pricing w- cost (2)_Jul_WA june stmts" xfId="641"/>
    <cellStyle name="_May 14 - June 17 2007 pricing w- cost (2)_Jul_WA p&amp;l may" xfId="642"/>
    <cellStyle name="_May 14 - June 17 2007 pricing w- cost (2)_July VPEP FINAL 8.17.2012_AB &amp; SL adjustments_used for July GL close" xfId="643"/>
    <cellStyle name="_May 14 - June 17 2007 pricing w- cost (2)_June VPEP 7.16.12 FINAL used for June GL close revised July 30, 2012" xfId="644"/>
    <cellStyle name="_May 14 - June 17 2007 pricing w- cost (2)_March Rebate Expense - 02.22.11" xfId="645"/>
    <cellStyle name="_May 14 - June 17 2007 pricing w- cost (2)_May Rebate Expense - 05.31.11_Final" xfId="646"/>
    <cellStyle name="_May 14 - June 17 2007 pricing w- cost (2)_maycto" xfId="647"/>
    <cellStyle name="_May 14 - June 17 2007 pricing w- cost (2)_maycto 2" xfId="648"/>
    <cellStyle name="_May 14 - June 17 2007 pricing w- cost (2)_maycto_WA june stmts" xfId="649"/>
    <cellStyle name="_May 14 - June 17 2007 pricing w- cost (2)_maycto_WA p&amp;l may" xfId="650"/>
    <cellStyle name="_May 14 - June 17 2007 pricing w- cost (2)_October 2011 Cap Ex 11.17.11 wMatt Adj" xfId="651"/>
    <cellStyle name="_May 14 - June 17 2007 pricing w- cost (2)_Q3 2010 BOD Slides_11.10.10" xfId="652"/>
    <cellStyle name="_May 14 - June 17 2007 pricing w- cost (2)_Q4 AAFES P&amp;L_10.11.2010" xfId="653"/>
    <cellStyle name="_May 14 - June 17 2007 pricing w- cost (2)_Q4 AAFES P&amp;L_10.11.2010 2" xfId="654"/>
    <cellStyle name="_May 14 - June 17 2007 pricing w- cost (2)_Q4 AAFES P&amp;L_10.11.2010_Cap Ex Summary8 12 11update" xfId="655"/>
    <cellStyle name="_May 14 - June 17 2007 pricing w- cost (2)_Q4 AAFES P&amp;L_10.11.2010_WA june stmts" xfId="656"/>
    <cellStyle name="_May 14 - June 17 2007 pricing w- cost (2)_Q4 AAFES P&amp;L_10.11.2010_WA p&amp;l may" xfId="657"/>
    <cellStyle name="_May 14 - June 17 2007 pricing w- cost (2)_Sep" xfId="658"/>
    <cellStyle name="_May 14 - June 17 2007 pricing w- cost (2)_Sep 2" xfId="659"/>
    <cellStyle name="_May 14 - June 17 2007 pricing w- cost (2)_Sep_2011 Budget Presentation_CC_11 17 10TG" xfId="660"/>
    <cellStyle name="_May 14 - June 17 2007 pricing w- cost (2)_Sep_2011 Budget Slides" xfId="661"/>
    <cellStyle name="_May 14 - June 17 2007 pricing w- cost (2)_Sep_2011 Budget Slides Package_02 21 11" xfId="662"/>
    <cellStyle name="_May 14 - June 17 2007 pricing w- cost (2)_Sep_2011 Proforma_11.17.10" xfId="663"/>
    <cellStyle name="_May 14 - June 17 2007 pricing w- cost (2)_Sep_Cap Ex Summary8 12 11update" xfId="664"/>
    <cellStyle name="_May 14 - June 17 2007 pricing w- cost (2)_Sep_June Ecommerce Rebate Expense - 05.24.11" xfId="665"/>
    <cellStyle name="_May 14 - June 17 2007 pricing w- cost (2)_Sep_June Request_05 20 11" xfId="666"/>
    <cellStyle name="_May 14 - June 17 2007 pricing w- cost (2)_Sep_WA june stmts" xfId="667"/>
    <cellStyle name="_May 14 - June 17 2007 pricing w- cost (2)_Sep_WA p&amp;l may" xfId="668"/>
    <cellStyle name="_May 14 - June 17 2007 pricing w- cost (2)_September 2011 Cap Ex New 10.24.11 wMatts Changes" xfId="669"/>
    <cellStyle name="_May 14 - June 17 2007 pricing w- cost (2)_Sheet3" xfId="670"/>
    <cellStyle name="_May 14 - June 17 2007 pricing w- cost (2)_Staples Expenses Jun - Dec_06.30.11" xfId="671"/>
    <cellStyle name="_May 14 - June 17 2007 pricing w- cost (2)_VPEP 10.19.10" xfId="672"/>
    <cellStyle name="_May 14 - June 17 2007 pricing w- cost (2)_vpep allocation for forecast" xfId="673"/>
    <cellStyle name="_May 14 - June 17 2007 pricing w- cost (2)_vpep allocation for forecast 2" xfId="674"/>
    <cellStyle name="_May 14 - June 17 2007 pricing w- cost (2)_vpep allocation for forecast_WA june stmts" xfId="675"/>
    <cellStyle name="_May 14 - June 17 2007 pricing w- cost (2)_vpep allocation for forecast_WA p&amp;l may" xfId="676"/>
    <cellStyle name="_May 14 - June 17 2007 pricing w- cost (2)_WA june stmts" xfId="677"/>
    <cellStyle name="_May 14 - June 17 2007 pricing w- cost (2)_WA p&amp;l may" xfId="678"/>
    <cellStyle name="_May Forecats for Finance 4 07 10 (2)" xfId="679"/>
    <cellStyle name="_May Forecats for Finance 4 07 10 (2) 2" xfId="680"/>
    <cellStyle name="_May Forecats for Finance 4 07 10 (2)_June Ecommerce Rebate Expense - 05.24.11" xfId="681"/>
    <cellStyle name="_May Forecats for Finance 4 07 10 (2)_June Request_05 20 11" xfId="682"/>
    <cellStyle name="_May Forecats for Finance 4 07 10 (2)_WA june stmts" xfId="683"/>
    <cellStyle name="_May Forecats for Finance 4 07 10 (2)_WA p&amp;l may" xfId="684"/>
    <cellStyle name="_May Forecats for Finance 4 27 10 (2)" xfId="685"/>
    <cellStyle name="_May Forecats for Finance 4 27 10 (2) 2" xfId="686"/>
    <cellStyle name="_May Forecats for Finance 4 27 10 (2)_June Ecommerce Rebate Expense - 05.24.11" xfId="687"/>
    <cellStyle name="_May Forecats for Finance 4 27 10 (2)_June Request_05 20 11" xfId="688"/>
    <cellStyle name="_May Forecats for Finance 4 27 10 (2)_WA june stmts" xfId="689"/>
    <cellStyle name="_May Forecats for Finance 4 27 10 (2)_WA p&amp;l may" xfId="690"/>
    <cellStyle name="_Multiple" xfId="691"/>
    <cellStyle name="_Multiple_Applicazione Multipli" xfId="692"/>
    <cellStyle name="_Multiple_AVP" xfId="693"/>
    <cellStyle name="_Multiple_bapv" xfId="694"/>
    <cellStyle name="_Multiple_Marks 2-21-02 v4" xfId="695"/>
    <cellStyle name="_Multiple_Merger Plan 01" xfId="696"/>
    <cellStyle name="_Multiple_Ownership structure - UCI" xfId="697"/>
    <cellStyle name="_Multiple_Pep Boys - Financial Summary" xfId="698"/>
    <cellStyle name="_Multiple_Project Regal Portfolio Valuation Model - Eileen'strial" xfId="699"/>
    <cellStyle name="_Multiple_Summary LR1" xfId="700"/>
    <cellStyle name="_Multiple_Valuation Summary" xfId="701"/>
    <cellStyle name="_MultipleSpace" xfId="702"/>
    <cellStyle name="_MultipleSpace_Analysis of Generali Offer" xfId="703"/>
    <cellStyle name="_MultipleSpace_Applicazione Multipli" xfId="704"/>
    <cellStyle name="_MultipleSpace_AVP" xfId="705"/>
    <cellStyle name="_MultipleSpace_bapv" xfId="706"/>
    <cellStyle name="_MultipleSpace_Marks 2-21-02 v4" xfId="707"/>
    <cellStyle name="_MultipleSpace_Merger Plan 01" xfId="708"/>
    <cellStyle name="_MultipleSpace_Ownership structure - UCI" xfId="709"/>
    <cellStyle name="_MultipleSpace_Pep Boys - Financial Summary" xfId="710"/>
    <cellStyle name="_MultipleSpace_Project Regal Portfolio Valuation Model - Eileen'strial" xfId="711"/>
    <cellStyle name="_MultipleSpace_Share Prices" xfId="712"/>
    <cellStyle name="_MultipleSpace_Summary LR1" xfId="713"/>
    <cellStyle name="_MultipleSpace_valuation" xfId="714"/>
    <cellStyle name="_MultipleSpace_Valuation Summary" xfId="715"/>
    <cellStyle name="_MultipleSpace_Valuation_1" xfId="716"/>
    <cellStyle name="_Percent" xfId="717"/>
    <cellStyle name="_Percent_Analysis of Generali Offer" xfId="718"/>
    <cellStyle name="_Percent_Share Prices" xfId="719"/>
    <cellStyle name="_Percent_valuation" xfId="720"/>
    <cellStyle name="_Percent_Valuation_1" xfId="721"/>
    <cellStyle name="_PercentSpace" xfId="722"/>
    <cellStyle name="_PercentSpace_Analysis of Generali Offer" xfId="723"/>
    <cellStyle name="_PercentSpace_Share Prices" xfId="724"/>
    <cellStyle name="_PercentSpace_valuation" xfId="725"/>
    <cellStyle name="_PercentSpace_Valuation_1" xfId="726"/>
    <cellStyle name="_Price " xfId="727"/>
    <cellStyle name="_Price  2" xfId="728"/>
    <cellStyle name="_Price  2 2" xfId="729"/>
    <cellStyle name="_Price  2_AT&amp;T" xfId="730"/>
    <cellStyle name="_Price  2_August Rebate Expense - 07.24.11" xfId="731"/>
    <cellStyle name="_Price  2_Carrier Margin v Prior Update" xfId="732"/>
    <cellStyle name="_Price  2_HD 10.3" xfId="733"/>
    <cellStyle name="_Price  2_HD 10.3 2" xfId="734"/>
    <cellStyle name="_Price  2_HD 10.3_AT&amp;T" xfId="735"/>
    <cellStyle name="_Price  2_HD 10.3_August Rebate Expense - 07.24.11" xfId="736"/>
    <cellStyle name="_Price  2_HD 10.3_Carrier Margin v Prior Update" xfId="737"/>
    <cellStyle name="_Price  2_HD 10.3_HD 6.01" xfId="738"/>
    <cellStyle name="_Price  2_HD 10.3_June Rebate Expense - 05.24.11" xfId="739"/>
    <cellStyle name="_Price  2_HD 10.3_June Rebate Expense - 06.13.11" xfId="740"/>
    <cellStyle name="_Price  2_HD 10.3_June Rebate Expense - 06.20.11_nextlap" xfId="741"/>
    <cellStyle name="_Price  2_HD 10.3_June Rebate Expense - 06.30.11_Prelim" xfId="742"/>
    <cellStyle name="_Price  2_HD 10.3_June Rebate Expense - 07.06.11_Prelim_Forecast" xfId="743"/>
    <cellStyle name="_Price  2_HD 10.3_June Request_05 20 11" xfId="744"/>
    <cellStyle name="_Price  2_HD 10.3_March Rebate Expense - 02.25.11" xfId="745"/>
    <cellStyle name="_Price  2_HD 10.3_March Rebate Expense - 03.04.11" xfId="746"/>
    <cellStyle name="_Price  2_HD 10.3_May Rebate Expense - 04.27.11_wks" xfId="747"/>
    <cellStyle name="_Price  2_HD 10.3_May Rebate Expense - 05.09.11" xfId="748"/>
    <cellStyle name="_Price  2_HD 10.3_May Rebate Expense - 05.16.11" xfId="749"/>
    <cellStyle name="_Price  2_HD 10.3_May Rebate Expense - 05.23.11_nextlap" xfId="750"/>
    <cellStyle name="_Price  2_HD 10.3_May Rebate Expense - 05.31.11_Final" xfId="751"/>
    <cellStyle name="_Price  2_HD 10.3_November Skus" xfId="752"/>
    <cellStyle name="_Price  2_HD 10.3_October Rebate Expense - 10.10.11" xfId="753"/>
    <cellStyle name="_Price  2_HD 10.3_Per Unit" xfId="754"/>
    <cellStyle name="_Price  2_HD 10.3_September Rebate Expense - 09.12.11" xfId="755"/>
    <cellStyle name="_Price  2_HD 10.3_T-Mobile" xfId="756"/>
    <cellStyle name="_Price  2_HD 10.3_Verizon" xfId="757"/>
    <cellStyle name="_Price  2_HD 6.01" xfId="758"/>
    <cellStyle name="_Price  2_June Rebate Expense - 05.24.11" xfId="759"/>
    <cellStyle name="_Price  2_June Rebate Expense - 06.13.11" xfId="760"/>
    <cellStyle name="_Price  2_June Rebate Expense - 06.20.11_nextlap" xfId="761"/>
    <cellStyle name="_Price  2_June Rebate Expense - 06.30.11_Prelim" xfId="762"/>
    <cellStyle name="_Price  2_June Rebate Expense - 07.06.11_Prelim_Forecast" xfId="763"/>
    <cellStyle name="_Price  2_June Request_05 20 11" xfId="764"/>
    <cellStyle name="_Price  2_March Rebate Expense - 02.25.11" xfId="765"/>
    <cellStyle name="_Price  2_March Rebate Expense - 03.04.11" xfId="766"/>
    <cellStyle name="_Price  2_May Rebate Expense - 04.27.11_wks" xfId="767"/>
    <cellStyle name="_Price  2_May Rebate Expense - 05.09.11" xfId="768"/>
    <cellStyle name="_Price  2_May Rebate Expense - 05.16.11" xfId="769"/>
    <cellStyle name="_Price  2_May Rebate Expense - 05.23.11_nextlap" xfId="770"/>
    <cellStyle name="_Price  2_May Rebate Expense - 05.31.11_Final" xfId="771"/>
    <cellStyle name="_Price  2_November Skus" xfId="772"/>
    <cellStyle name="_Price  2_October Rebate Expense - 10.10.11" xfId="773"/>
    <cellStyle name="_Price  2_Per Unit" xfId="774"/>
    <cellStyle name="_Price  2_September Rebate Expense - 09.12.11" xfId="775"/>
    <cellStyle name="_Price  2_T-Mobile" xfId="776"/>
    <cellStyle name="_Price  2_Verizon" xfId="777"/>
    <cellStyle name="_Price  2_WA june stmts" xfId="778"/>
    <cellStyle name="_Price  2_WA p&amp;l may" xfId="779"/>
    <cellStyle name="_Price  3" xfId="780"/>
    <cellStyle name="_Price  3 2" xfId="781"/>
    <cellStyle name="_Price  3 2 2" xfId="782"/>
    <cellStyle name="_Price  3 2_WA june stmts" xfId="783"/>
    <cellStyle name="_Price  3 2_WA p&amp;l may" xfId="784"/>
    <cellStyle name="_Price  3 3" xfId="785"/>
    <cellStyle name="_Price  3_WA june stmts" xfId="786"/>
    <cellStyle name="_Price  3_WA p&amp;l may" xfId="787"/>
    <cellStyle name="_Price  4" xfId="788"/>
    <cellStyle name="_Price  4 2" xfId="789"/>
    <cellStyle name="_Price  4_WA june stmts" xfId="790"/>
    <cellStyle name="_Price  4_WA p&amp;l may" xfId="791"/>
    <cellStyle name="_Price  5" xfId="792"/>
    <cellStyle name="_Price  6" xfId="793"/>
    <cellStyle name="_Price _2010 Budget Supplement Slides_1.15.10" xfId="794"/>
    <cellStyle name="_Price _2010 Forecast Update - Sept 15th - Q3_Updated 09 13 10" xfId="795"/>
    <cellStyle name="_Price _2010 Forecast Update - Sept 15th - Q3_Updated 09 13 10 2" xfId="796"/>
    <cellStyle name="_Price _2010 Forecast Update - Sept 15th - Q3_Updated 09 13 10_WA june stmts" xfId="797"/>
    <cellStyle name="_Price _2010 Forecast Update - Sept 15th - Q3_Updated 09 13 10_WA p&amp;l may" xfId="798"/>
    <cellStyle name="_Price _2011 Ad to Sales 11 26 10" xfId="799"/>
    <cellStyle name="_Price _2011 Ad to Sales 11 26 10 2" xfId="800"/>
    <cellStyle name="_Price _2011 Ad to Sales 11 26 10_WA june stmts" xfId="801"/>
    <cellStyle name="_Price _2011 Ad to Sales 11 26 10_WA p&amp;l may" xfId="802"/>
    <cellStyle name="_Price _2011 Admin Pyrl 9 ovr 9 rollforward 12 08 10 RJ" xfId="803"/>
    <cellStyle name="_Price _2011 Budget EBITDA High Level_11.18.2010" xfId="804"/>
    <cellStyle name="_Price _2011 Budget EBITDA High Level_11.18.2010 2" xfId="805"/>
    <cellStyle name="_Price _2011 Budget EBITDA High Level_11.18.2010_Cap Ex Summary8 12 11update" xfId="806"/>
    <cellStyle name="_Price _2011 Budget EBITDA High Level_11.18.2010_WA june stmts" xfId="807"/>
    <cellStyle name="_Price _2011 Budget EBITDA High Level_11.18.2010_WA p&amp;l may" xfId="808"/>
    <cellStyle name="_Price _2011 Budget Margin Meeting Slides_11.5.2010_FINALupdated Tracker" xfId="809"/>
    <cellStyle name="_Price _2011 Budget Presentation_CC_11 17 10TG" xfId="810"/>
    <cellStyle name="_Price _2011 Budget Slides" xfId="811"/>
    <cellStyle name="_Price _2011 Expense Budget summary" xfId="812"/>
    <cellStyle name="_Price _2011 MARCH GERS UPLOAD - ROLL-UP" xfId="813"/>
    <cellStyle name="_Price _2011 MARCH GERS UPLOAD - ROLL-UP 2" xfId="814"/>
    <cellStyle name="_Price _2011 MARCH GERS UPLOAD - ROLL-UP 2 2" xfId="815"/>
    <cellStyle name="_Price _2011 MARCH GERS UPLOAD - ROLL-UP 2_WA june stmts" xfId="816"/>
    <cellStyle name="_Price _2011 MARCH GERS UPLOAD - ROLL-UP 2_WA p&amp;l may" xfId="817"/>
    <cellStyle name="_Price _2011 MARCH GERS UPLOAD - ROLL-UP 3" xfId="818"/>
    <cellStyle name="_Price _2011 MARCH GERS UPLOAD - ROLL-UP 3 2" xfId="819"/>
    <cellStyle name="_Price _2011 MARCH GERS UPLOAD - ROLL-UP 3_WA june stmts" xfId="820"/>
    <cellStyle name="_Price _2011 MARCH GERS UPLOAD - ROLL-UP 3_WA p&amp;l may" xfId="821"/>
    <cellStyle name="_Price _2011 MARCH GERS UPLOAD - ROLL-UP 4" xfId="822"/>
    <cellStyle name="_Price _2011 MARCH GERS UPLOAD - ROLL-UP_maycto" xfId="823"/>
    <cellStyle name="_Price _2011 MARCH GERS UPLOAD - ROLL-UP_maycto 2" xfId="824"/>
    <cellStyle name="_Price _2011 MARCH GERS UPLOAD - ROLL-UP_maycto_WA june stmts" xfId="825"/>
    <cellStyle name="_Price _2011 MARCH GERS UPLOAD - ROLL-UP_maycto_WA p&amp;l may" xfId="826"/>
    <cellStyle name="_Price _2011 MARCH GERS UPLOAD - ROLL-UP_WA june stmts" xfId="827"/>
    <cellStyle name="_Price _2011 MARCH GERS UPLOAD - ROLL-UP_WA p&amp;l may" xfId="828"/>
    <cellStyle name="_Price _2011 Proforma_11.17.10" xfId="829"/>
    <cellStyle name="_Price _2011CashflowBudget(Execsummary)" xfId="830"/>
    <cellStyle name="_Price _2011February Forecast Feb 18 RJ adjusted feb 21" xfId="831"/>
    <cellStyle name="_Price _2012 Cap Ex Project Numbers" xfId="832"/>
    <cellStyle name="_Price _2012 Cap Ex Template" xfId="833"/>
    <cellStyle name="_Price _9112 - Information Center - IS" xfId="834"/>
    <cellStyle name="_Price _9124 - Technical Services - TS" xfId="835"/>
    <cellStyle name="_Price _August 2011 Cap Ex" xfId="836"/>
    <cellStyle name="_Price _Cap Ex Summary8 12 11update" xfId="837"/>
    <cellStyle name="_Price _Copy of 2011 April forecast EOM May 2" xfId="838"/>
    <cellStyle name="_Price _Copy of 2012 Headcount Summary 10.04.11" xfId="839"/>
    <cellStyle name="_Price _Copy of IT adm headcount add assessment nov 26 2010" xfId="840"/>
    <cellStyle name="_Price _Copy of IT adm headcount add assessment nov 26 2010 2" xfId="841"/>
    <cellStyle name="_Price _Copy of IT adm headcount add assessment nov 26 2010_WA june stmts" xfId="842"/>
    <cellStyle name="_Price _Copy of IT adm headcount add assessment nov 26 2010_WA p&amp;l may" xfId="843"/>
    <cellStyle name="_Price _CTFY11EnterpriseTechnology Budget" xfId="844"/>
    <cellStyle name="_Price _DB info request for FY 2010 vendor summit" xfId="845"/>
    <cellStyle name="_Price _DB info request for FY 2010 vendor summit 2" xfId="846"/>
    <cellStyle name="_Price _DB info request for FY 2010 vendor summit_WA june stmts" xfId="847"/>
    <cellStyle name="_Price _DB info request for FY 2010 vendor summit_WA p&amp;l may" xfId="848"/>
    <cellStyle name="_Price _December 2011 Cap Ex 01.27.11" xfId="849"/>
    <cellStyle name="_Price _December 2011 Cap Ex 01.27.11_1" xfId="850"/>
    <cellStyle name="_Price _February Ecommerce Rebate Expense - 02.22.11" xfId="851"/>
    <cellStyle name="_Price _February Ecommerce Rebate Expense - 02.22.11_June Request_05 20 11" xfId="852"/>
    <cellStyle name="_Price _Field Payroll 2011 Budget Workbook" xfId="853"/>
    <cellStyle name="_Price _Jul" xfId="854"/>
    <cellStyle name="_Price _Jul 2" xfId="855"/>
    <cellStyle name="_Price _Jul_2011 Budget Presentation_CC_11 17 10TG" xfId="856"/>
    <cellStyle name="_Price _Jul_2011 Budget Slides" xfId="857"/>
    <cellStyle name="_Price _Jul_2011 Budget Slides Package_02 21 11" xfId="858"/>
    <cellStyle name="_Price _Jul_2011 Proforma_11.17.10" xfId="859"/>
    <cellStyle name="_Price _Jul_Cap Ex Summary8 12 11update" xfId="860"/>
    <cellStyle name="_Price _Jul_June Ecommerce Rebate Expense - 05.24.11" xfId="861"/>
    <cellStyle name="_Price _Jul_June Request_05 20 11" xfId="862"/>
    <cellStyle name="_Price _Jul_WA june stmts" xfId="863"/>
    <cellStyle name="_Price _Jul_WA p&amp;l may" xfId="864"/>
    <cellStyle name="_Price _July VPEP FINAL 8.17.2012_AB &amp; SL adjustments_used for July GL close" xfId="865"/>
    <cellStyle name="_Price _June VPEP 7.16.12 FINAL used for June GL close revised July 30, 2012" xfId="866"/>
    <cellStyle name="_Price _March Rebate Expense - 02.22.11" xfId="867"/>
    <cellStyle name="_Price _May Rebate Expense - 05.31.11_Final" xfId="868"/>
    <cellStyle name="_Price _maycto" xfId="869"/>
    <cellStyle name="_Price _maycto 2" xfId="870"/>
    <cellStyle name="_Price _maycto_WA june stmts" xfId="871"/>
    <cellStyle name="_Price _maycto_WA p&amp;l may" xfId="872"/>
    <cellStyle name="_Price _October 2011 Cap Ex 11.17.11 wMatt Adj" xfId="873"/>
    <cellStyle name="_Price _Q3 2010 BOD Slides_11.10.10" xfId="874"/>
    <cellStyle name="_Price _Q4 AAFES P&amp;L_10.11.2010" xfId="875"/>
    <cellStyle name="_Price _Q4 AAFES P&amp;L_10.11.2010 2" xfId="876"/>
    <cellStyle name="_Price _Q4 AAFES P&amp;L_10.11.2010_Cap Ex Summary8 12 11update" xfId="877"/>
    <cellStyle name="_Price _Q4 AAFES P&amp;L_10.11.2010_WA june stmts" xfId="878"/>
    <cellStyle name="_Price _Q4 AAFES P&amp;L_10.11.2010_WA p&amp;l may" xfId="879"/>
    <cellStyle name="_Price _Sep" xfId="880"/>
    <cellStyle name="_Price _Sep 2" xfId="881"/>
    <cellStyle name="_Price _Sep_2011 Budget Presentation_CC_11 17 10TG" xfId="882"/>
    <cellStyle name="_Price _Sep_2011 Budget Slides" xfId="883"/>
    <cellStyle name="_Price _Sep_2011 Budget Slides Package_02 21 11" xfId="884"/>
    <cellStyle name="_Price _Sep_2011 Proforma_11.17.10" xfId="885"/>
    <cellStyle name="_Price _Sep_Cap Ex Summary8 12 11update" xfId="886"/>
    <cellStyle name="_Price _Sep_June Ecommerce Rebate Expense - 05.24.11" xfId="887"/>
    <cellStyle name="_Price _Sep_June Request_05 20 11" xfId="888"/>
    <cellStyle name="_Price _Sep_WA june stmts" xfId="889"/>
    <cellStyle name="_Price _Sep_WA p&amp;l may" xfId="890"/>
    <cellStyle name="_Price _September 2011 Cap Ex New 10.24.11 wMatts Changes" xfId="891"/>
    <cellStyle name="_Price _Sheet3" xfId="892"/>
    <cellStyle name="_Price _Staples Expenses Jun - Dec_06.30.11" xfId="893"/>
    <cellStyle name="_Price _VPEP 10.19.10" xfId="894"/>
    <cellStyle name="_Price _vpep allocation for forecast" xfId="895"/>
    <cellStyle name="_Price _vpep allocation for forecast 2" xfId="896"/>
    <cellStyle name="_Price _vpep allocation for forecast_WA june stmts" xfId="897"/>
    <cellStyle name="_Price _vpep allocation for forecast_WA p&amp;l may" xfId="898"/>
    <cellStyle name="_Price _WA june stmts" xfId="899"/>
    <cellStyle name="_Price _WA p&amp;l may" xfId="900"/>
    <cellStyle name="_Price -AWE Direct" xfId="901"/>
    <cellStyle name="_Price -AWE Direct 2" xfId="902"/>
    <cellStyle name="_Price -AWE Direct 2 2" xfId="903"/>
    <cellStyle name="_Price -AWE Direct 2_AT&amp;T" xfId="904"/>
    <cellStyle name="_Price -AWE Direct 2_August Rebate Expense - 07.24.11" xfId="905"/>
    <cellStyle name="_Price -AWE Direct 2_Carrier Margin v Prior Update" xfId="906"/>
    <cellStyle name="_Price -AWE Direct 2_HD 10.3" xfId="907"/>
    <cellStyle name="_Price -AWE Direct 2_HD 10.3 2" xfId="908"/>
    <cellStyle name="_Price -AWE Direct 2_HD 10.3_AT&amp;T" xfId="909"/>
    <cellStyle name="_Price -AWE Direct 2_HD 10.3_August Rebate Expense - 07.24.11" xfId="910"/>
    <cellStyle name="_Price -AWE Direct 2_HD 10.3_Carrier Margin v Prior Update" xfId="911"/>
    <cellStyle name="_Price -AWE Direct 2_HD 10.3_HD 6.01" xfId="912"/>
    <cellStyle name="_Price -AWE Direct 2_HD 10.3_June Rebate Expense - 05.24.11" xfId="913"/>
    <cellStyle name="_Price -AWE Direct 2_HD 10.3_June Rebate Expense - 06.13.11" xfId="914"/>
    <cellStyle name="_Price -AWE Direct 2_HD 10.3_June Rebate Expense - 06.20.11_nextlap" xfId="915"/>
    <cellStyle name="_Price -AWE Direct 2_HD 10.3_June Rebate Expense - 06.30.11_Prelim" xfId="916"/>
    <cellStyle name="_Price -AWE Direct 2_HD 10.3_June Rebate Expense - 07.06.11_Prelim_Forecast" xfId="917"/>
    <cellStyle name="_Price -AWE Direct 2_HD 10.3_June Request_05 20 11" xfId="918"/>
    <cellStyle name="_Price -AWE Direct 2_HD 10.3_March Rebate Expense - 02.25.11" xfId="919"/>
    <cellStyle name="_Price -AWE Direct 2_HD 10.3_March Rebate Expense - 03.04.11" xfId="920"/>
    <cellStyle name="_Price -AWE Direct 2_HD 10.3_May Rebate Expense - 04.27.11_wks" xfId="921"/>
    <cellStyle name="_Price -AWE Direct 2_HD 10.3_May Rebate Expense - 05.09.11" xfId="922"/>
    <cellStyle name="_Price -AWE Direct 2_HD 10.3_May Rebate Expense - 05.16.11" xfId="923"/>
    <cellStyle name="_Price -AWE Direct 2_HD 10.3_May Rebate Expense - 05.23.11_nextlap" xfId="924"/>
    <cellStyle name="_Price -AWE Direct 2_HD 10.3_May Rebate Expense - 05.31.11_Final" xfId="925"/>
    <cellStyle name="_Price -AWE Direct 2_HD 10.3_November Skus" xfId="926"/>
    <cellStyle name="_Price -AWE Direct 2_HD 10.3_October Rebate Expense - 10.10.11" xfId="927"/>
    <cellStyle name="_Price -AWE Direct 2_HD 10.3_Per Unit" xfId="928"/>
    <cellStyle name="_Price -AWE Direct 2_HD 10.3_September Rebate Expense - 09.12.11" xfId="929"/>
    <cellStyle name="_Price -AWE Direct 2_HD 10.3_T-Mobile" xfId="930"/>
    <cellStyle name="_Price -AWE Direct 2_HD 10.3_Verizon" xfId="931"/>
    <cellStyle name="_Price -AWE Direct 2_HD 6.01" xfId="932"/>
    <cellStyle name="_Price -AWE Direct 2_June Rebate Expense - 05.24.11" xfId="933"/>
    <cellStyle name="_Price -AWE Direct 2_June Rebate Expense - 06.13.11" xfId="934"/>
    <cellStyle name="_Price -AWE Direct 2_June Rebate Expense - 06.20.11_nextlap" xfId="935"/>
    <cellStyle name="_Price -AWE Direct 2_June Rebate Expense - 06.30.11_Prelim" xfId="936"/>
    <cellStyle name="_Price -AWE Direct 2_June Rebate Expense - 07.06.11_Prelim_Forecast" xfId="937"/>
    <cellStyle name="_Price -AWE Direct 2_June Request_05 20 11" xfId="938"/>
    <cellStyle name="_Price -AWE Direct 2_March Rebate Expense - 02.25.11" xfId="939"/>
    <cellStyle name="_Price -AWE Direct 2_March Rebate Expense - 03.04.11" xfId="940"/>
    <cellStyle name="_Price -AWE Direct 2_May Rebate Expense - 04.27.11_wks" xfId="941"/>
    <cellStyle name="_Price -AWE Direct 2_May Rebate Expense - 05.09.11" xfId="942"/>
    <cellStyle name="_Price -AWE Direct 2_May Rebate Expense - 05.16.11" xfId="943"/>
    <cellStyle name="_Price -AWE Direct 2_May Rebate Expense - 05.23.11_nextlap" xfId="944"/>
    <cellStyle name="_Price -AWE Direct 2_May Rebate Expense - 05.31.11_Final" xfId="945"/>
    <cellStyle name="_Price -AWE Direct 2_November Skus" xfId="946"/>
    <cellStyle name="_Price -AWE Direct 2_October Rebate Expense - 10.10.11" xfId="947"/>
    <cellStyle name="_Price -AWE Direct 2_Per Unit" xfId="948"/>
    <cellStyle name="_Price -AWE Direct 2_September Rebate Expense - 09.12.11" xfId="949"/>
    <cellStyle name="_Price -AWE Direct 2_T-Mobile" xfId="950"/>
    <cellStyle name="_Price -AWE Direct 2_Verizon" xfId="951"/>
    <cellStyle name="_Price -AWE Direct 2_WA june stmts" xfId="952"/>
    <cellStyle name="_Price -AWE Direct 2_WA p&amp;l may" xfId="953"/>
    <cellStyle name="_Price -AWE Direct 3" xfId="954"/>
    <cellStyle name="_Price -AWE Direct 3 2" xfId="955"/>
    <cellStyle name="_Price -AWE Direct 3 2 2" xfId="956"/>
    <cellStyle name="_Price -AWE Direct 3 2_WA june stmts" xfId="957"/>
    <cellStyle name="_Price -AWE Direct 3 2_WA p&amp;l may" xfId="958"/>
    <cellStyle name="_Price -AWE Direct 3 3" xfId="959"/>
    <cellStyle name="_Price -AWE Direct 3_WA june stmts" xfId="960"/>
    <cellStyle name="_Price -AWE Direct 3_WA p&amp;l may" xfId="961"/>
    <cellStyle name="_Price -AWE Direct 4" xfId="962"/>
    <cellStyle name="_Price -AWE Direct 4 2" xfId="963"/>
    <cellStyle name="_Price -AWE Direct 4_WA june stmts" xfId="964"/>
    <cellStyle name="_Price -AWE Direct 4_WA p&amp;l may" xfId="965"/>
    <cellStyle name="_Price -AWE Direct 5" xfId="966"/>
    <cellStyle name="_Price -AWE Direct 6" xfId="967"/>
    <cellStyle name="_Price -AWE Direct_2010 Budget Supplement Slides_1.15.10" xfId="968"/>
    <cellStyle name="_Price -AWE Direct_2010 Forecast Update - Sept 15th - Q3_Updated 09 13 10" xfId="969"/>
    <cellStyle name="_Price -AWE Direct_2010 Forecast Update - Sept 15th - Q3_Updated 09 13 10 2" xfId="970"/>
    <cellStyle name="_Price -AWE Direct_2010 Forecast Update - Sept 15th - Q3_Updated 09 13 10_WA june stmts" xfId="971"/>
    <cellStyle name="_Price -AWE Direct_2010 Forecast Update - Sept 15th - Q3_Updated 09 13 10_WA p&amp;l may" xfId="972"/>
    <cellStyle name="_Price -AWE Direct_2011 Ad to Sales 11 26 10" xfId="973"/>
    <cellStyle name="_Price -AWE Direct_2011 Ad to Sales 11 26 10 2" xfId="974"/>
    <cellStyle name="_Price -AWE Direct_2011 Ad to Sales 11 26 10_WA june stmts" xfId="975"/>
    <cellStyle name="_Price -AWE Direct_2011 Ad to Sales 11 26 10_WA p&amp;l may" xfId="976"/>
    <cellStyle name="_Price -AWE Direct_2011 Admin Pyrl 9 ovr 9 rollforward 12 08 10 RJ" xfId="977"/>
    <cellStyle name="_Price -AWE Direct_2011 Budget EBITDA High Level_11.18.2010" xfId="978"/>
    <cellStyle name="_Price -AWE Direct_2011 Budget EBITDA High Level_11.18.2010 2" xfId="979"/>
    <cellStyle name="_Price -AWE Direct_2011 Budget EBITDA High Level_11.18.2010_Cap Ex Summary8 12 11update" xfId="980"/>
    <cellStyle name="_Price -AWE Direct_2011 Budget EBITDA High Level_11.18.2010_WA june stmts" xfId="981"/>
    <cellStyle name="_Price -AWE Direct_2011 Budget EBITDA High Level_11.18.2010_WA p&amp;l may" xfId="982"/>
    <cellStyle name="_Price -AWE Direct_2011 Budget Margin Meeting Slides_11.5.2010_FINALupdated Tracker" xfId="983"/>
    <cellStyle name="_Price -AWE Direct_2011 Budget Presentation_CC_11 17 10TG" xfId="984"/>
    <cellStyle name="_Price -AWE Direct_2011 Budget Slides" xfId="985"/>
    <cellStyle name="_Price -AWE Direct_2011 Expense Budget summary" xfId="986"/>
    <cellStyle name="_Price -AWE Direct_2011 MARCH GERS UPLOAD - ROLL-UP" xfId="987"/>
    <cellStyle name="_Price -AWE Direct_2011 MARCH GERS UPLOAD - ROLL-UP 2" xfId="988"/>
    <cellStyle name="_Price -AWE Direct_2011 MARCH GERS UPLOAD - ROLL-UP 2 2" xfId="989"/>
    <cellStyle name="_Price -AWE Direct_2011 MARCH GERS UPLOAD - ROLL-UP 2_WA june stmts" xfId="990"/>
    <cellStyle name="_Price -AWE Direct_2011 MARCH GERS UPLOAD - ROLL-UP 2_WA p&amp;l may" xfId="991"/>
    <cellStyle name="_Price -AWE Direct_2011 MARCH GERS UPLOAD - ROLL-UP 3" xfId="992"/>
    <cellStyle name="_Price -AWE Direct_2011 MARCH GERS UPLOAD - ROLL-UP 3 2" xfId="993"/>
    <cellStyle name="_Price -AWE Direct_2011 MARCH GERS UPLOAD - ROLL-UP 3_WA june stmts" xfId="994"/>
    <cellStyle name="_Price -AWE Direct_2011 MARCH GERS UPLOAD - ROLL-UP 3_WA p&amp;l may" xfId="995"/>
    <cellStyle name="_Price -AWE Direct_2011 MARCH GERS UPLOAD - ROLL-UP 4" xfId="996"/>
    <cellStyle name="_Price -AWE Direct_2011 MARCH GERS UPLOAD - ROLL-UP_maycto" xfId="997"/>
    <cellStyle name="_Price -AWE Direct_2011 MARCH GERS UPLOAD - ROLL-UP_maycto 2" xfId="998"/>
    <cellStyle name="_Price -AWE Direct_2011 MARCH GERS UPLOAD - ROLL-UP_maycto_WA june stmts" xfId="999"/>
    <cellStyle name="_Price -AWE Direct_2011 MARCH GERS UPLOAD - ROLL-UP_maycto_WA p&amp;l may" xfId="1000"/>
    <cellStyle name="_Price -AWE Direct_2011 MARCH GERS UPLOAD - ROLL-UP_WA june stmts" xfId="1001"/>
    <cellStyle name="_Price -AWE Direct_2011 MARCH GERS UPLOAD - ROLL-UP_WA p&amp;l may" xfId="1002"/>
    <cellStyle name="_Price -AWE Direct_2011 Proforma_11.17.10" xfId="1003"/>
    <cellStyle name="_Price -AWE Direct_2011CashflowBudget(Execsummary)" xfId="1004"/>
    <cellStyle name="_Price -AWE Direct_2011February Forecast Feb 18 RJ adjusted feb 21" xfId="1005"/>
    <cellStyle name="_Price -AWE Direct_2012 Cap Ex Project Numbers" xfId="1006"/>
    <cellStyle name="_Price -AWE Direct_2012 Cap Ex Template" xfId="1007"/>
    <cellStyle name="_Price -AWE Direct_9112 - Information Center - IS" xfId="1008"/>
    <cellStyle name="_Price -AWE Direct_9124 - Technical Services - TS" xfId="1009"/>
    <cellStyle name="_Price -AWE Direct_August 2011 Cap Ex" xfId="1010"/>
    <cellStyle name="_Price -AWE Direct_Cap Ex Summary8 12 11update" xfId="1011"/>
    <cellStyle name="_Price -AWE Direct_Copy of 2011 April forecast EOM May 2" xfId="1012"/>
    <cellStyle name="_Price -AWE Direct_Copy of 2012 Headcount Summary 10.04.11" xfId="1013"/>
    <cellStyle name="_Price -AWE Direct_Copy of IT adm headcount add assessment nov 26 2010" xfId="1014"/>
    <cellStyle name="_Price -AWE Direct_Copy of IT adm headcount add assessment nov 26 2010 2" xfId="1015"/>
    <cellStyle name="_Price -AWE Direct_Copy of IT adm headcount add assessment nov 26 2010_WA june stmts" xfId="1016"/>
    <cellStyle name="_Price -AWE Direct_Copy of IT adm headcount add assessment nov 26 2010_WA p&amp;l may" xfId="1017"/>
    <cellStyle name="_Price -AWE Direct_CTFY11EnterpriseTechnology Budget" xfId="1018"/>
    <cellStyle name="_Price -AWE Direct_DB info request for FY 2010 vendor summit" xfId="1019"/>
    <cellStyle name="_Price -AWE Direct_DB info request for FY 2010 vendor summit 2" xfId="1020"/>
    <cellStyle name="_Price -AWE Direct_DB info request for FY 2010 vendor summit_WA june stmts" xfId="1021"/>
    <cellStyle name="_Price -AWE Direct_DB info request for FY 2010 vendor summit_WA p&amp;l may" xfId="1022"/>
    <cellStyle name="_Price -AWE Direct_December 2011 Cap Ex 01.27.11" xfId="1023"/>
    <cellStyle name="_Price -AWE Direct_December 2011 Cap Ex 01.27.11_1" xfId="1024"/>
    <cellStyle name="_Price -AWE Direct_February Ecommerce Rebate Expense - 02.22.11" xfId="1025"/>
    <cellStyle name="_Price -AWE Direct_February Ecommerce Rebate Expense - 02.22.11_June Request_05 20 11" xfId="1026"/>
    <cellStyle name="_Price -AWE Direct_Field Payroll 2011 Budget Workbook" xfId="1027"/>
    <cellStyle name="_Price -AWE Direct_Jul" xfId="1028"/>
    <cellStyle name="_Price -AWE Direct_Jul 2" xfId="1029"/>
    <cellStyle name="_Price -AWE Direct_Jul_2011 Budget Presentation_CC_11 17 10TG" xfId="1030"/>
    <cellStyle name="_Price -AWE Direct_Jul_2011 Budget Slides" xfId="1031"/>
    <cellStyle name="_Price -AWE Direct_Jul_2011 Budget Slides Package_02 21 11" xfId="1032"/>
    <cellStyle name="_Price -AWE Direct_Jul_2011 Proforma_11.17.10" xfId="1033"/>
    <cellStyle name="_Price -AWE Direct_Jul_Cap Ex Summary8 12 11update" xfId="1034"/>
    <cellStyle name="_Price -AWE Direct_Jul_June Ecommerce Rebate Expense - 05.24.11" xfId="1035"/>
    <cellStyle name="_Price -AWE Direct_Jul_June Request_05 20 11" xfId="1036"/>
    <cellStyle name="_Price -AWE Direct_Jul_WA june stmts" xfId="1037"/>
    <cellStyle name="_Price -AWE Direct_Jul_WA p&amp;l may" xfId="1038"/>
    <cellStyle name="_Price -AWE Direct_July VPEP FINAL 8.17.2012_AB &amp; SL adjustments_used for July GL close" xfId="1039"/>
    <cellStyle name="_Price -AWE Direct_June VPEP 7.16.12 FINAL used for June GL close revised July 30, 2012" xfId="1040"/>
    <cellStyle name="_Price -AWE Direct_March Rebate Expense - 02.22.11" xfId="1041"/>
    <cellStyle name="_Price -AWE Direct_May Rebate Expense - 05.31.11_Final" xfId="1042"/>
    <cellStyle name="_Price -AWE Direct_maycto" xfId="1043"/>
    <cellStyle name="_Price -AWE Direct_maycto 2" xfId="1044"/>
    <cellStyle name="_Price -AWE Direct_maycto_WA june stmts" xfId="1045"/>
    <cellStyle name="_Price -AWE Direct_maycto_WA p&amp;l may" xfId="1046"/>
    <cellStyle name="_Price -AWE Direct_October 2011 Cap Ex 11.17.11 wMatt Adj" xfId="1047"/>
    <cellStyle name="_Price -AWE Direct_Q3 2010 BOD Slides_11.10.10" xfId="1048"/>
    <cellStyle name="_Price -AWE Direct_Q4 AAFES P&amp;L_10.11.2010" xfId="1049"/>
    <cellStyle name="_Price -AWE Direct_Q4 AAFES P&amp;L_10.11.2010 2" xfId="1050"/>
    <cellStyle name="_Price -AWE Direct_Q4 AAFES P&amp;L_10.11.2010_Cap Ex Summary8 12 11update" xfId="1051"/>
    <cellStyle name="_Price -AWE Direct_Q4 AAFES P&amp;L_10.11.2010_WA june stmts" xfId="1052"/>
    <cellStyle name="_Price -AWE Direct_Q4 AAFES P&amp;L_10.11.2010_WA p&amp;l may" xfId="1053"/>
    <cellStyle name="_Price -AWE Direct_Sep" xfId="1054"/>
    <cellStyle name="_Price -AWE Direct_Sep 2" xfId="1055"/>
    <cellStyle name="_Price -AWE Direct_Sep_2011 Budget Presentation_CC_11 17 10TG" xfId="1056"/>
    <cellStyle name="_Price -AWE Direct_Sep_2011 Budget Slides" xfId="1057"/>
    <cellStyle name="_Price -AWE Direct_Sep_2011 Budget Slides Package_02 21 11" xfId="1058"/>
    <cellStyle name="_Price -AWE Direct_Sep_2011 Proforma_11.17.10" xfId="1059"/>
    <cellStyle name="_Price -AWE Direct_Sep_Cap Ex Summary8 12 11update" xfId="1060"/>
    <cellStyle name="_Price -AWE Direct_Sep_June Ecommerce Rebate Expense - 05.24.11" xfId="1061"/>
    <cellStyle name="_Price -AWE Direct_Sep_June Request_05 20 11" xfId="1062"/>
    <cellStyle name="_Price -AWE Direct_Sep_WA june stmts" xfId="1063"/>
    <cellStyle name="_Price -AWE Direct_Sep_WA p&amp;l may" xfId="1064"/>
    <cellStyle name="_Price -AWE Direct_September 2011 Cap Ex New 10.24.11 wMatts Changes" xfId="1065"/>
    <cellStyle name="_Price -AWE Direct_Sheet3" xfId="1066"/>
    <cellStyle name="_Price -AWE Direct_Staples Expenses Jun - Dec_06.30.11" xfId="1067"/>
    <cellStyle name="_Price -AWE Direct_VPEP 10.19.10" xfId="1068"/>
    <cellStyle name="_Price -AWE Direct_vpep allocation for forecast" xfId="1069"/>
    <cellStyle name="_Price -AWE Direct_vpep allocation for forecast 2" xfId="1070"/>
    <cellStyle name="_Price -AWE Direct_vpep allocation for forecast_WA june stmts" xfId="1071"/>
    <cellStyle name="_Price -AWE Direct_vpep allocation for forecast_WA p&amp;l may" xfId="1072"/>
    <cellStyle name="_Price -AWE Direct_WA june stmts" xfId="1073"/>
    <cellStyle name="_Price -AWE Direct_WA p&amp;l may" xfId="1074"/>
    <cellStyle name="_Pricing - New" xfId="1075"/>
    <cellStyle name="_Pricing - New 2" xfId="1076"/>
    <cellStyle name="_Pricing - New 2 2" xfId="1077"/>
    <cellStyle name="_Pricing - New 2_AT&amp;T" xfId="1078"/>
    <cellStyle name="_Pricing - New 2_August Rebate Expense - 07.24.11" xfId="1079"/>
    <cellStyle name="_Pricing - New 2_Carrier Margin v Prior Update" xfId="1080"/>
    <cellStyle name="_Pricing - New 2_HD 10.3" xfId="1081"/>
    <cellStyle name="_Pricing - New 2_HD 10.3 2" xfId="1082"/>
    <cellStyle name="_Pricing - New 2_HD 10.3_AT&amp;T" xfId="1083"/>
    <cellStyle name="_Pricing - New 2_HD 10.3_August Rebate Expense - 07.24.11" xfId="1084"/>
    <cellStyle name="_Pricing - New 2_HD 10.3_Carrier Margin v Prior Update" xfId="1085"/>
    <cellStyle name="_Pricing - New 2_HD 10.3_HD 6.01" xfId="1086"/>
    <cellStyle name="_Pricing - New 2_HD 10.3_June Rebate Expense - 05.24.11" xfId="1087"/>
    <cellStyle name="_Pricing - New 2_HD 10.3_June Rebate Expense - 06.13.11" xfId="1088"/>
    <cellStyle name="_Pricing - New 2_HD 10.3_June Rebate Expense - 06.20.11_nextlap" xfId="1089"/>
    <cellStyle name="_Pricing - New 2_HD 10.3_June Rebate Expense - 06.30.11_Prelim" xfId="1090"/>
    <cellStyle name="_Pricing - New 2_HD 10.3_June Rebate Expense - 07.06.11_Prelim_Forecast" xfId="1091"/>
    <cellStyle name="_Pricing - New 2_HD 10.3_June Request_05 20 11" xfId="1092"/>
    <cellStyle name="_Pricing - New 2_HD 10.3_March Rebate Expense - 02.25.11" xfId="1093"/>
    <cellStyle name="_Pricing - New 2_HD 10.3_March Rebate Expense - 03.04.11" xfId="1094"/>
    <cellStyle name="_Pricing - New 2_HD 10.3_May Rebate Expense - 04.27.11_wks" xfId="1095"/>
    <cellStyle name="_Pricing - New 2_HD 10.3_May Rebate Expense - 05.09.11" xfId="1096"/>
    <cellStyle name="_Pricing - New 2_HD 10.3_May Rebate Expense - 05.16.11" xfId="1097"/>
    <cellStyle name="_Pricing - New 2_HD 10.3_May Rebate Expense - 05.23.11_nextlap" xfId="1098"/>
    <cellStyle name="_Pricing - New 2_HD 10.3_May Rebate Expense - 05.31.11_Final" xfId="1099"/>
    <cellStyle name="_Pricing - New 2_HD 10.3_November Skus" xfId="1100"/>
    <cellStyle name="_Pricing - New 2_HD 10.3_October Rebate Expense - 10.10.11" xfId="1101"/>
    <cellStyle name="_Pricing - New 2_HD 10.3_Per Unit" xfId="1102"/>
    <cellStyle name="_Pricing - New 2_HD 10.3_September Rebate Expense - 09.12.11" xfId="1103"/>
    <cellStyle name="_Pricing - New 2_HD 10.3_T-Mobile" xfId="1104"/>
    <cellStyle name="_Pricing - New 2_HD 10.3_Verizon" xfId="1105"/>
    <cellStyle name="_Pricing - New 2_HD 6.01" xfId="1106"/>
    <cellStyle name="_Pricing - New 2_June Rebate Expense - 05.24.11" xfId="1107"/>
    <cellStyle name="_Pricing - New 2_June Rebate Expense - 06.13.11" xfId="1108"/>
    <cellStyle name="_Pricing - New 2_June Rebate Expense - 06.20.11_nextlap" xfId="1109"/>
    <cellStyle name="_Pricing - New 2_June Rebate Expense - 06.30.11_Prelim" xfId="1110"/>
    <cellStyle name="_Pricing - New 2_June Rebate Expense - 07.06.11_Prelim_Forecast" xfId="1111"/>
    <cellStyle name="_Pricing - New 2_June Request_05 20 11" xfId="1112"/>
    <cellStyle name="_Pricing - New 2_March Rebate Expense - 02.25.11" xfId="1113"/>
    <cellStyle name="_Pricing - New 2_March Rebate Expense - 03.04.11" xfId="1114"/>
    <cellStyle name="_Pricing - New 2_May Rebate Expense - 04.27.11_wks" xfId="1115"/>
    <cellStyle name="_Pricing - New 2_May Rebate Expense - 05.09.11" xfId="1116"/>
    <cellStyle name="_Pricing - New 2_May Rebate Expense - 05.16.11" xfId="1117"/>
    <cellStyle name="_Pricing - New 2_May Rebate Expense - 05.23.11_nextlap" xfId="1118"/>
    <cellStyle name="_Pricing - New 2_May Rebate Expense - 05.31.11_Final" xfId="1119"/>
    <cellStyle name="_Pricing - New 2_November Skus" xfId="1120"/>
    <cellStyle name="_Pricing - New 2_October Rebate Expense - 10.10.11" xfId="1121"/>
    <cellStyle name="_Pricing - New 2_Per Unit" xfId="1122"/>
    <cellStyle name="_Pricing - New 2_September Rebate Expense - 09.12.11" xfId="1123"/>
    <cellStyle name="_Pricing - New 2_T-Mobile" xfId="1124"/>
    <cellStyle name="_Pricing - New 2_Verizon" xfId="1125"/>
    <cellStyle name="_Pricing - New 2_WA june stmts" xfId="1126"/>
    <cellStyle name="_Pricing - New 2_WA p&amp;l may" xfId="1127"/>
    <cellStyle name="_Pricing - New 3" xfId="1128"/>
    <cellStyle name="_Pricing - New 3 2" xfId="1129"/>
    <cellStyle name="_Pricing - New 3 2 2" xfId="1130"/>
    <cellStyle name="_Pricing - New 3 2_WA june stmts" xfId="1131"/>
    <cellStyle name="_Pricing - New 3 2_WA p&amp;l may" xfId="1132"/>
    <cellStyle name="_Pricing - New 3 3" xfId="1133"/>
    <cellStyle name="_Pricing - New 3_WA june stmts" xfId="1134"/>
    <cellStyle name="_Pricing - New 3_WA p&amp;l may" xfId="1135"/>
    <cellStyle name="_Pricing - New 4" xfId="1136"/>
    <cellStyle name="_Pricing - New 4 2" xfId="1137"/>
    <cellStyle name="_Pricing - New 4_WA june stmts" xfId="1138"/>
    <cellStyle name="_Pricing - New 4_WA p&amp;l may" xfId="1139"/>
    <cellStyle name="_Pricing - New 5" xfId="1140"/>
    <cellStyle name="_Pricing - New 6" xfId="1141"/>
    <cellStyle name="_Pricing - New_2010 Budget Supplement Slides_1.15.10" xfId="1142"/>
    <cellStyle name="_Pricing - New_2010 Forecast Update - Sept 15th - Q3_Updated 09 13 10" xfId="1143"/>
    <cellStyle name="_Pricing - New_2010 Forecast Update - Sept 15th - Q3_Updated 09 13 10 2" xfId="1144"/>
    <cellStyle name="_Pricing - New_2010 Forecast Update - Sept 15th - Q3_Updated 09 13 10_WA june stmts" xfId="1145"/>
    <cellStyle name="_Pricing - New_2010 Forecast Update - Sept 15th - Q3_Updated 09 13 10_WA p&amp;l may" xfId="1146"/>
    <cellStyle name="_Pricing - New_2011 Ad to Sales 11 26 10" xfId="1147"/>
    <cellStyle name="_Pricing - New_2011 Ad to Sales 11 26 10 2" xfId="1148"/>
    <cellStyle name="_Pricing - New_2011 Ad to Sales 11 26 10_WA june stmts" xfId="1149"/>
    <cellStyle name="_Pricing - New_2011 Ad to Sales 11 26 10_WA p&amp;l may" xfId="1150"/>
    <cellStyle name="_Pricing - New_2011 Admin Pyrl 9 ovr 9 rollforward 12 08 10 RJ" xfId="1151"/>
    <cellStyle name="_Pricing - New_2011 Budget EBITDA High Level_11.18.2010" xfId="1152"/>
    <cellStyle name="_Pricing - New_2011 Budget EBITDA High Level_11.18.2010 2" xfId="1153"/>
    <cellStyle name="_Pricing - New_2011 Budget EBITDA High Level_11.18.2010_Cap Ex Summary8 12 11update" xfId="1154"/>
    <cellStyle name="_Pricing - New_2011 Budget EBITDA High Level_11.18.2010_WA june stmts" xfId="1155"/>
    <cellStyle name="_Pricing - New_2011 Budget EBITDA High Level_11.18.2010_WA p&amp;l may" xfId="1156"/>
    <cellStyle name="_Pricing - New_2011 Budget Margin Meeting Slides_11.5.2010_FINALupdated Tracker" xfId="1157"/>
    <cellStyle name="_Pricing - New_2011 Budget Presentation_CC_11 17 10TG" xfId="1158"/>
    <cellStyle name="_Pricing - New_2011 Budget Slides" xfId="1159"/>
    <cellStyle name="_Pricing - New_2011 Expense Budget summary" xfId="1160"/>
    <cellStyle name="_Pricing - New_2011 MARCH GERS UPLOAD - ROLL-UP" xfId="1161"/>
    <cellStyle name="_Pricing - New_2011 MARCH GERS UPLOAD - ROLL-UP 2" xfId="1162"/>
    <cellStyle name="_Pricing - New_2011 MARCH GERS UPLOAD - ROLL-UP 2 2" xfId="1163"/>
    <cellStyle name="_Pricing - New_2011 MARCH GERS UPLOAD - ROLL-UP 2_WA june stmts" xfId="1164"/>
    <cellStyle name="_Pricing - New_2011 MARCH GERS UPLOAD - ROLL-UP 2_WA p&amp;l may" xfId="1165"/>
    <cellStyle name="_Pricing - New_2011 MARCH GERS UPLOAD - ROLL-UP 3" xfId="1166"/>
    <cellStyle name="_Pricing - New_2011 MARCH GERS UPLOAD - ROLL-UP 3 2" xfId="1167"/>
    <cellStyle name="_Pricing - New_2011 MARCH GERS UPLOAD - ROLL-UP 3_WA june stmts" xfId="1168"/>
    <cellStyle name="_Pricing - New_2011 MARCH GERS UPLOAD - ROLL-UP 3_WA p&amp;l may" xfId="1169"/>
    <cellStyle name="_Pricing - New_2011 MARCH GERS UPLOAD - ROLL-UP 4" xfId="1170"/>
    <cellStyle name="_Pricing - New_2011 MARCH GERS UPLOAD - ROLL-UP_maycto" xfId="1171"/>
    <cellStyle name="_Pricing - New_2011 MARCH GERS UPLOAD - ROLL-UP_maycto 2" xfId="1172"/>
    <cellStyle name="_Pricing - New_2011 MARCH GERS UPLOAD - ROLL-UP_maycto_WA june stmts" xfId="1173"/>
    <cellStyle name="_Pricing - New_2011 MARCH GERS UPLOAD - ROLL-UP_maycto_WA p&amp;l may" xfId="1174"/>
    <cellStyle name="_Pricing - New_2011 MARCH GERS UPLOAD - ROLL-UP_WA june stmts" xfId="1175"/>
    <cellStyle name="_Pricing - New_2011 MARCH GERS UPLOAD - ROLL-UP_WA p&amp;l may" xfId="1176"/>
    <cellStyle name="_Pricing - New_2011 Proforma_11.17.10" xfId="1177"/>
    <cellStyle name="_Pricing - New_2011CashflowBudget(Execsummary)" xfId="1178"/>
    <cellStyle name="_Pricing - New_2011February Forecast Feb 18 RJ adjusted feb 21" xfId="1179"/>
    <cellStyle name="_Pricing - New_2012 Cap Ex Project Numbers" xfId="1180"/>
    <cellStyle name="_Pricing - New_2012 Cap Ex Template" xfId="1181"/>
    <cellStyle name="_Pricing - New_9112 - Information Center - IS" xfId="1182"/>
    <cellStyle name="_Pricing - New_9124 - Technical Services - TS" xfId="1183"/>
    <cellStyle name="_Pricing - New_August 2011 Cap Ex" xfId="1184"/>
    <cellStyle name="_Pricing - New_Cap Ex Summary8 12 11update" xfId="1185"/>
    <cellStyle name="_Pricing - New_Copy of 2011 April forecast EOM May 2" xfId="1186"/>
    <cellStyle name="_Pricing - New_Copy of 2012 Headcount Summary 10.04.11" xfId="1187"/>
    <cellStyle name="_Pricing - New_Copy of IT adm headcount add assessment nov 26 2010" xfId="1188"/>
    <cellStyle name="_Pricing - New_Copy of IT adm headcount add assessment nov 26 2010 2" xfId="1189"/>
    <cellStyle name="_Pricing - New_Copy of IT adm headcount add assessment nov 26 2010_WA june stmts" xfId="1190"/>
    <cellStyle name="_Pricing - New_Copy of IT adm headcount add assessment nov 26 2010_WA p&amp;l may" xfId="1191"/>
    <cellStyle name="_Pricing - New_CTFY11EnterpriseTechnology Budget" xfId="1192"/>
    <cellStyle name="_Pricing - New_DB info request for FY 2010 vendor summit" xfId="1193"/>
    <cellStyle name="_Pricing - New_DB info request for FY 2010 vendor summit 2" xfId="1194"/>
    <cellStyle name="_Pricing - New_DB info request for FY 2010 vendor summit_WA june stmts" xfId="1195"/>
    <cellStyle name="_Pricing - New_DB info request for FY 2010 vendor summit_WA p&amp;l may" xfId="1196"/>
    <cellStyle name="_Pricing - New_December 2011 Cap Ex 01.27.11" xfId="1197"/>
    <cellStyle name="_Pricing - New_December 2011 Cap Ex 01.27.11_1" xfId="1198"/>
    <cellStyle name="_Pricing - New_February Ecommerce Rebate Expense - 02.22.11" xfId="1199"/>
    <cellStyle name="_Pricing - New_February Ecommerce Rebate Expense - 02.22.11_June Request_05 20 11" xfId="1200"/>
    <cellStyle name="_Pricing - New_Field Payroll 2011 Budget Workbook" xfId="1201"/>
    <cellStyle name="_Pricing - New_Jul" xfId="1202"/>
    <cellStyle name="_Pricing - New_Jul 2" xfId="1203"/>
    <cellStyle name="_Pricing - New_Jul_2011 Budget Presentation_CC_11 17 10TG" xfId="1204"/>
    <cellStyle name="_Pricing - New_Jul_2011 Budget Slides" xfId="1205"/>
    <cellStyle name="_Pricing - New_Jul_2011 Budget Slides Package_02 21 11" xfId="1206"/>
    <cellStyle name="_Pricing - New_Jul_2011 Proforma_11.17.10" xfId="1207"/>
    <cellStyle name="_Pricing - New_Jul_Cap Ex Summary8 12 11update" xfId="1208"/>
    <cellStyle name="_Pricing - New_Jul_June Ecommerce Rebate Expense - 05.24.11" xfId="1209"/>
    <cellStyle name="_Pricing - New_Jul_June Request_05 20 11" xfId="1210"/>
    <cellStyle name="_Pricing - New_Jul_WA june stmts" xfId="1211"/>
    <cellStyle name="_Pricing - New_Jul_WA p&amp;l may" xfId="1212"/>
    <cellStyle name="_Pricing - New_July VPEP FINAL 8.17.2012_AB &amp; SL adjustments_used for July GL close" xfId="1213"/>
    <cellStyle name="_Pricing - New_June VPEP 7.16.12 FINAL used for June GL close revised July 30, 2012" xfId="1214"/>
    <cellStyle name="_Pricing - New_March Rebate Expense - 02.22.11" xfId="1215"/>
    <cellStyle name="_Pricing - New_May Rebate Expense - 05.31.11_Final" xfId="1216"/>
    <cellStyle name="_Pricing - New_maycto" xfId="1217"/>
    <cellStyle name="_Pricing - New_maycto 2" xfId="1218"/>
    <cellStyle name="_Pricing - New_maycto_WA june stmts" xfId="1219"/>
    <cellStyle name="_Pricing - New_maycto_WA p&amp;l may" xfId="1220"/>
    <cellStyle name="_Pricing - New_October 2011 Cap Ex 11.17.11 wMatt Adj" xfId="1221"/>
    <cellStyle name="_Pricing - New_Q3 2010 BOD Slides_11.10.10" xfId="1222"/>
    <cellStyle name="_Pricing - New_Q4 AAFES P&amp;L_10.11.2010" xfId="1223"/>
    <cellStyle name="_Pricing - New_Q4 AAFES P&amp;L_10.11.2010 2" xfId="1224"/>
    <cellStyle name="_Pricing - New_Q4 AAFES P&amp;L_10.11.2010_Cap Ex Summary8 12 11update" xfId="1225"/>
    <cellStyle name="_Pricing - New_Q4 AAFES P&amp;L_10.11.2010_WA june stmts" xfId="1226"/>
    <cellStyle name="_Pricing - New_Q4 AAFES P&amp;L_10.11.2010_WA p&amp;l may" xfId="1227"/>
    <cellStyle name="_Pricing - New_Sep" xfId="1228"/>
    <cellStyle name="_Pricing - New_Sep 2" xfId="1229"/>
    <cellStyle name="_Pricing - New_Sep_2011 Budget Presentation_CC_11 17 10TG" xfId="1230"/>
    <cellStyle name="_Pricing - New_Sep_2011 Budget Slides" xfId="1231"/>
    <cellStyle name="_Pricing - New_Sep_2011 Budget Slides Package_02 21 11" xfId="1232"/>
    <cellStyle name="_Pricing - New_Sep_2011 Proforma_11.17.10" xfId="1233"/>
    <cellStyle name="_Pricing - New_Sep_Cap Ex Summary8 12 11update" xfId="1234"/>
    <cellStyle name="_Pricing - New_Sep_June Ecommerce Rebate Expense - 05.24.11" xfId="1235"/>
    <cellStyle name="_Pricing - New_Sep_June Request_05 20 11" xfId="1236"/>
    <cellStyle name="_Pricing - New_Sep_WA june stmts" xfId="1237"/>
    <cellStyle name="_Pricing - New_Sep_WA p&amp;l may" xfId="1238"/>
    <cellStyle name="_Pricing - New_September 2011 Cap Ex New 10.24.11 wMatts Changes" xfId="1239"/>
    <cellStyle name="_Pricing - New_Sheet3" xfId="1240"/>
    <cellStyle name="_Pricing - New_Staples Expenses Jun - Dec_06.30.11" xfId="1241"/>
    <cellStyle name="_Pricing - New_VPEP 10.19.10" xfId="1242"/>
    <cellStyle name="_Pricing - New_vpep allocation for forecast" xfId="1243"/>
    <cellStyle name="_Pricing - New_vpep allocation for forecast 2" xfId="1244"/>
    <cellStyle name="_Pricing - New_vpep allocation for forecast_WA june stmts" xfId="1245"/>
    <cellStyle name="_Pricing - New_vpep allocation for forecast_WA p&amp;l may" xfId="1246"/>
    <cellStyle name="_Pricing - New_WA june stmts" xfId="1247"/>
    <cellStyle name="_Pricing - New_WA p&amp;l may" xfId="1248"/>
    <cellStyle name="_Q2 Pricing 06-24-04" xfId="1249"/>
    <cellStyle name="_Q2 Pricing 06-24-04 2" xfId="1250"/>
    <cellStyle name="_Q2 Pricing 06-24-04 2 2" xfId="1251"/>
    <cellStyle name="_Q2 Pricing 06-24-04 2_AT&amp;T" xfId="1252"/>
    <cellStyle name="_Q2 Pricing 06-24-04 2_August Rebate Expense - 07.24.11" xfId="1253"/>
    <cellStyle name="_Q2 Pricing 06-24-04 2_Carrier Margin v Prior Update" xfId="1254"/>
    <cellStyle name="_Q2 Pricing 06-24-04 2_HD 10.3" xfId="1255"/>
    <cellStyle name="_Q2 Pricing 06-24-04 2_HD 10.3 2" xfId="1256"/>
    <cellStyle name="_Q2 Pricing 06-24-04 2_HD 10.3_AT&amp;T" xfId="1257"/>
    <cellStyle name="_Q2 Pricing 06-24-04 2_HD 10.3_August Rebate Expense - 07.24.11" xfId="1258"/>
    <cellStyle name="_Q2 Pricing 06-24-04 2_HD 10.3_Carrier Margin v Prior Update" xfId="1259"/>
    <cellStyle name="_Q2 Pricing 06-24-04 2_HD 10.3_HD 6.01" xfId="1260"/>
    <cellStyle name="_Q2 Pricing 06-24-04 2_HD 10.3_June Rebate Expense - 05.24.11" xfId="1261"/>
    <cellStyle name="_Q2 Pricing 06-24-04 2_HD 10.3_June Rebate Expense - 06.13.11" xfId="1262"/>
    <cellStyle name="_Q2 Pricing 06-24-04 2_HD 10.3_June Rebate Expense - 06.20.11_nextlap" xfId="1263"/>
    <cellStyle name="_Q2 Pricing 06-24-04 2_HD 10.3_June Rebate Expense - 06.30.11_Prelim" xfId="1264"/>
    <cellStyle name="_Q2 Pricing 06-24-04 2_HD 10.3_June Rebate Expense - 07.06.11_Prelim_Forecast" xfId="1265"/>
    <cellStyle name="_Q2 Pricing 06-24-04 2_HD 10.3_June Request_05 20 11" xfId="1266"/>
    <cellStyle name="_Q2 Pricing 06-24-04 2_HD 10.3_March Rebate Expense - 02.25.11" xfId="1267"/>
    <cellStyle name="_Q2 Pricing 06-24-04 2_HD 10.3_March Rebate Expense - 03.04.11" xfId="1268"/>
    <cellStyle name="_Q2 Pricing 06-24-04 2_HD 10.3_May Rebate Expense - 04.27.11_wks" xfId="1269"/>
    <cellStyle name="_Q2 Pricing 06-24-04 2_HD 10.3_May Rebate Expense - 05.09.11" xfId="1270"/>
    <cellStyle name="_Q2 Pricing 06-24-04 2_HD 10.3_May Rebate Expense - 05.16.11" xfId="1271"/>
    <cellStyle name="_Q2 Pricing 06-24-04 2_HD 10.3_May Rebate Expense - 05.23.11_nextlap" xfId="1272"/>
    <cellStyle name="_Q2 Pricing 06-24-04 2_HD 10.3_May Rebate Expense - 05.31.11_Final" xfId="1273"/>
    <cellStyle name="_Q2 Pricing 06-24-04 2_HD 10.3_November Skus" xfId="1274"/>
    <cellStyle name="_Q2 Pricing 06-24-04 2_HD 10.3_October Rebate Expense - 10.10.11" xfId="1275"/>
    <cellStyle name="_Q2 Pricing 06-24-04 2_HD 10.3_Per Unit" xfId="1276"/>
    <cellStyle name="_Q2 Pricing 06-24-04 2_HD 10.3_September Rebate Expense - 09.12.11" xfId="1277"/>
    <cellStyle name="_Q2 Pricing 06-24-04 2_HD 10.3_T-Mobile" xfId="1278"/>
    <cellStyle name="_Q2 Pricing 06-24-04 2_HD 10.3_Verizon" xfId="1279"/>
    <cellStyle name="_Q2 Pricing 06-24-04 2_HD 6.01" xfId="1280"/>
    <cellStyle name="_Q2 Pricing 06-24-04 2_June Rebate Expense - 05.24.11" xfId="1281"/>
    <cellStyle name="_Q2 Pricing 06-24-04 2_June Rebate Expense - 06.13.11" xfId="1282"/>
    <cellStyle name="_Q2 Pricing 06-24-04 2_June Rebate Expense - 06.20.11_nextlap" xfId="1283"/>
    <cellStyle name="_Q2 Pricing 06-24-04 2_June Rebate Expense - 06.30.11_Prelim" xfId="1284"/>
    <cellStyle name="_Q2 Pricing 06-24-04 2_June Rebate Expense - 07.06.11_Prelim_Forecast" xfId="1285"/>
    <cellStyle name="_Q2 Pricing 06-24-04 2_June Request_05 20 11" xfId="1286"/>
    <cellStyle name="_Q2 Pricing 06-24-04 2_March Rebate Expense - 02.25.11" xfId="1287"/>
    <cellStyle name="_Q2 Pricing 06-24-04 2_March Rebate Expense - 03.04.11" xfId="1288"/>
    <cellStyle name="_Q2 Pricing 06-24-04 2_May Rebate Expense - 04.27.11_wks" xfId="1289"/>
    <cellStyle name="_Q2 Pricing 06-24-04 2_May Rebate Expense - 05.09.11" xfId="1290"/>
    <cellStyle name="_Q2 Pricing 06-24-04 2_May Rebate Expense - 05.16.11" xfId="1291"/>
    <cellStyle name="_Q2 Pricing 06-24-04 2_May Rebate Expense - 05.23.11_nextlap" xfId="1292"/>
    <cellStyle name="_Q2 Pricing 06-24-04 2_May Rebate Expense - 05.31.11_Final" xfId="1293"/>
    <cellStyle name="_Q2 Pricing 06-24-04 2_November Skus" xfId="1294"/>
    <cellStyle name="_Q2 Pricing 06-24-04 2_October Rebate Expense - 10.10.11" xfId="1295"/>
    <cellStyle name="_Q2 Pricing 06-24-04 2_Per Unit" xfId="1296"/>
    <cellStyle name="_Q2 Pricing 06-24-04 2_September Rebate Expense - 09.12.11" xfId="1297"/>
    <cellStyle name="_Q2 Pricing 06-24-04 2_T-Mobile" xfId="1298"/>
    <cellStyle name="_Q2 Pricing 06-24-04 2_Verizon" xfId="1299"/>
    <cellStyle name="_Q2 Pricing 06-24-04 2_WA june stmts" xfId="1300"/>
    <cellStyle name="_Q2 Pricing 06-24-04 2_WA p&amp;l may" xfId="1301"/>
    <cellStyle name="_Q2 Pricing 06-24-04 3" xfId="1302"/>
    <cellStyle name="_Q2 Pricing 06-24-04 3 2" xfId="1303"/>
    <cellStyle name="_Q2 Pricing 06-24-04 3 2 2" xfId="1304"/>
    <cellStyle name="_Q2 Pricing 06-24-04 3 2_WA june stmts" xfId="1305"/>
    <cellStyle name="_Q2 Pricing 06-24-04 3 2_WA p&amp;l may" xfId="1306"/>
    <cellStyle name="_Q2 Pricing 06-24-04 3 3" xfId="1307"/>
    <cellStyle name="_Q2 Pricing 06-24-04 3_WA june stmts" xfId="1308"/>
    <cellStyle name="_Q2 Pricing 06-24-04 3_WA p&amp;l may" xfId="1309"/>
    <cellStyle name="_Q2 Pricing 06-24-04 4" xfId="1310"/>
    <cellStyle name="_Q2 Pricing 06-24-04 4 2" xfId="1311"/>
    <cellStyle name="_Q2 Pricing 06-24-04 4_WA june stmts" xfId="1312"/>
    <cellStyle name="_Q2 Pricing 06-24-04 4_WA p&amp;l may" xfId="1313"/>
    <cellStyle name="_Q2 Pricing 06-24-04 5" xfId="1314"/>
    <cellStyle name="_Q2 Pricing 06-24-04 6" xfId="1315"/>
    <cellStyle name="_Q2 Pricing 06-24-04_2010 Budget Supplement Slides_1.15.10" xfId="1316"/>
    <cellStyle name="_Q2 Pricing 06-24-04_2010 Forecast Update - Sept 15th - Q3_Updated 09 13 10" xfId="1317"/>
    <cellStyle name="_Q2 Pricing 06-24-04_2010 Forecast Update - Sept 15th - Q3_Updated 09 13 10 2" xfId="1318"/>
    <cellStyle name="_Q2 Pricing 06-24-04_2010 Forecast Update - Sept 15th - Q3_Updated 09 13 10_WA june stmts" xfId="1319"/>
    <cellStyle name="_Q2 Pricing 06-24-04_2010 Forecast Update - Sept 15th - Q3_Updated 09 13 10_WA p&amp;l may" xfId="1320"/>
    <cellStyle name="_Q2 Pricing 06-24-04_2011 Ad to Sales 11 26 10" xfId="1321"/>
    <cellStyle name="_Q2 Pricing 06-24-04_2011 Ad to Sales 11 26 10 2" xfId="1322"/>
    <cellStyle name="_Q2 Pricing 06-24-04_2011 Ad to Sales 11 26 10_WA june stmts" xfId="1323"/>
    <cellStyle name="_Q2 Pricing 06-24-04_2011 Ad to Sales 11 26 10_WA p&amp;l may" xfId="1324"/>
    <cellStyle name="_Q2 Pricing 06-24-04_2011 Admin Pyrl 9 ovr 9 rollforward 12 08 10 RJ" xfId="1325"/>
    <cellStyle name="_Q2 Pricing 06-24-04_2011 Budget EBITDA High Level_11.18.2010" xfId="1326"/>
    <cellStyle name="_Q2 Pricing 06-24-04_2011 Budget EBITDA High Level_11.18.2010 2" xfId="1327"/>
    <cellStyle name="_Q2 Pricing 06-24-04_2011 Budget EBITDA High Level_11.18.2010_Cap Ex Summary8 12 11update" xfId="1328"/>
    <cellStyle name="_Q2 Pricing 06-24-04_2011 Budget EBITDA High Level_11.18.2010_WA june stmts" xfId="1329"/>
    <cellStyle name="_Q2 Pricing 06-24-04_2011 Budget EBITDA High Level_11.18.2010_WA p&amp;l may" xfId="1330"/>
    <cellStyle name="_Q2 Pricing 06-24-04_2011 Budget Margin Meeting Slides_11.5.2010_FINALupdated Tracker" xfId="1331"/>
    <cellStyle name="_Q2 Pricing 06-24-04_2011 Budget Presentation_CC_11 17 10TG" xfId="1332"/>
    <cellStyle name="_Q2 Pricing 06-24-04_2011 Budget Slides" xfId="1333"/>
    <cellStyle name="_Q2 Pricing 06-24-04_2011 Expense Budget summary" xfId="1334"/>
    <cellStyle name="_Q2 Pricing 06-24-04_2011 MARCH GERS UPLOAD - ROLL-UP" xfId="1335"/>
    <cellStyle name="_Q2 Pricing 06-24-04_2011 MARCH GERS UPLOAD - ROLL-UP 2" xfId="1336"/>
    <cellStyle name="_Q2 Pricing 06-24-04_2011 MARCH GERS UPLOAD - ROLL-UP 2 2" xfId="1337"/>
    <cellStyle name="_Q2 Pricing 06-24-04_2011 MARCH GERS UPLOAD - ROLL-UP 2_WA june stmts" xfId="1338"/>
    <cellStyle name="_Q2 Pricing 06-24-04_2011 MARCH GERS UPLOAD - ROLL-UP 2_WA p&amp;l may" xfId="1339"/>
    <cellStyle name="_Q2 Pricing 06-24-04_2011 MARCH GERS UPLOAD - ROLL-UP 3" xfId="1340"/>
    <cellStyle name="_Q2 Pricing 06-24-04_2011 MARCH GERS UPLOAD - ROLL-UP 3 2" xfId="1341"/>
    <cellStyle name="_Q2 Pricing 06-24-04_2011 MARCH GERS UPLOAD - ROLL-UP 3_WA june stmts" xfId="1342"/>
    <cellStyle name="_Q2 Pricing 06-24-04_2011 MARCH GERS UPLOAD - ROLL-UP 3_WA p&amp;l may" xfId="1343"/>
    <cellStyle name="_Q2 Pricing 06-24-04_2011 MARCH GERS UPLOAD - ROLL-UP 4" xfId="1344"/>
    <cellStyle name="_Q2 Pricing 06-24-04_2011 MARCH GERS UPLOAD - ROLL-UP_maycto" xfId="1345"/>
    <cellStyle name="_Q2 Pricing 06-24-04_2011 MARCH GERS UPLOAD - ROLL-UP_maycto 2" xfId="1346"/>
    <cellStyle name="_Q2 Pricing 06-24-04_2011 MARCH GERS UPLOAD - ROLL-UP_maycto_WA june stmts" xfId="1347"/>
    <cellStyle name="_Q2 Pricing 06-24-04_2011 MARCH GERS UPLOAD - ROLL-UP_maycto_WA p&amp;l may" xfId="1348"/>
    <cellStyle name="_Q2 Pricing 06-24-04_2011 MARCH GERS UPLOAD - ROLL-UP_WA june stmts" xfId="1349"/>
    <cellStyle name="_Q2 Pricing 06-24-04_2011 MARCH GERS UPLOAD - ROLL-UP_WA p&amp;l may" xfId="1350"/>
    <cellStyle name="_Q2 Pricing 06-24-04_2011 Proforma_11.17.10" xfId="1351"/>
    <cellStyle name="_Q2 Pricing 06-24-04_2011CashflowBudget(Execsummary)" xfId="1352"/>
    <cellStyle name="_Q2 Pricing 06-24-04_2011February Forecast Feb 18 RJ adjusted feb 21" xfId="1353"/>
    <cellStyle name="_Q2 Pricing 06-24-04_2012 Cap Ex Project Numbers" xfId="1354"/>
    <cellStyle name="_Q2 Pricing 06-24-04_2012 Cap Ex Template" xfId="1355"/>
    <cellStyle name="_Q2 Pricing 06-24-04_9112 - Information Center - IS" xfId="1356"/>
    <cellStyle name="_Q2 Pricing 06-24-04_9124 - Technical Services - TS" xfId="1357"/>
    <cellStyle name="_Q2 Pricing 06-24-04_August 2011 Cap Ex" xfId="1358"/>
    <cellStyle name="_Q2 Pricing 06-24-04_Cap Ex Summary8 12 11update" xfId="1359"/>
    <cellStyle name="_Q2 Pricing 06-24-04_Copy of 2011 April forecast EOM May 2" xfId="1360"/>
    <cellStyle name="_Q2 Pricing 06-24-04_Copy of 2012 Headcount Summary 10.04.11" xfId="1361"/>
    <cellStyle name="_Q2 Pricing 06-24-04_Copy of IT adm headcount add assessment nov 26 2010" xfId="1362"/>
    <cellStyle name="_Q2 Pricing 06-24-04_Copy of IT adm headcount add assessment nov 26 2010 2" xfId="1363"/>
    <cellStyle name="_Q2 Pricing 06-24-04_Copy of IT adm headcount add assessment nov 26 2010_WA june stmts" xfId="1364"/>
    <cellStyle name="_Q2 Pricing 06-24-04_Copy of IT adm headcount add assessment nov 26 2010_WA p&amp;l may" xfId="1365"/>
    <cellStyle name="_Q2 Pricing 06-24-04_CTFY11EnterpriseTechnology Budget" xfId="1366"/>
    <cellStyle name="_Q2 Pricing 06-24-04_DB info request for FY 2010 vendor summit" xfId="1367"/>
    <cellStyle name="_Q2 Pricing 06-24-04_DB info request for FY 2010 vendor summit 2" xfId="1368"/>
    <cellStyle name="_Q2 Pricing 06-24-04_DB info request for FY 2010 vendor summit_WA june stmts" xfId="1369"/>
    <cellStyle name="_Q2 Pricing 06-24-04_DB info request for FY 2010 vendor summit_WA p&amp;l may" xfId="1370"/>
    <cellStyle name="_Q2 Pricing 06-24-04_December 2011 Cap Ex 01.27.11" xfId="1371"/>
    <cellStyle name="_Q2 Pricing 06-24-04_December 2011 Cap Ex 01.27.11_1" xfId="1372"/>
    <cellStyle name="_Q2 Pricing 06-24-04_February Ecommerce Rebate Expense - 02.22.11" xfId="1373"/>
    <cellStyle name="_Q2 Pricing 06-24-04_February Ecommerce Rebate Expense - 02.22.11_June Request_05 20 11" xfId="1374"/>
    <cellStyle name="_Q2 Pricing 06-24-04_Field Payroll 2011 Budget Workbook" xfId="1375"/>
    <cellStyle name="_Q2 Pricing 06-24-04_Jul" xfId="1376"/>
    <cellStyle name="_Q2 Pricing 06-24-04_Jul 2" xfId="1377"/>
    <cellStyle name="_Q2 Pricing 06-24-04_Jul_2011 Budget Presentation_CC_11 17 10TG" xfId="1378"/>
    <cellStyle name="_Q2 Pricing 06-24-04_Jul_2011 Budget Slides" xfId="1379"/>
    <cellStyle name="_Q2 Pricing 06-24-04_Jul_2011 Budget Slides Package_02 21 11" xfId="1380"/>
    <cellStyle name="_Q2 Pricing 06-24-04_Jul_2011 Proforma_11.17.10" xfId="1381"/>
    <cellStyle name="_Q2 Pricing 06-24-04_Jul_Cap Ex Summary8 12 11update" xfId="1382"/>
    <cellStyle name="_Q2 Pricing 06-24-04_Jul_June Ecommerce Rebate Expense - 05.24.11" xfId="1383"/>
    <cellStyle name="_Q2 Pricing 06-24-04_Jul_June Request_05 20 11" xfId="1384"/>
    <cellStyle name="_Q2 Pricing 06-24-04_Jul_WA june stmts" xfId="1385"/>
    <cellStyle name="_Q2 Pricing 06-24-04_Jul_WA p&amp;l may" xfId="1386"/>
    <cellStyle name="_Q2 Pricing 06-24-04_July VPEP FINAL 8.17.2012_AB &amp; SL adjustments_used for July GL close" xfId="1387"/>
    <cellStyle name="_Q2 Pricing 06-24-04_June VPEP 7.16.12 FINAL used for June GL close revised July 30, 2012" xfId="1388"/>
    <cellStyle name="_Q2 Pricing 06-24-04_March Rebate Expense - 02.22.11" xfId="1389"/>
    <cellStyle name="_Q2 Pricing 06-24-04_May Rebate Expense - 05.31.11_Final" xfId="1390"/>
    <cellStyle name="_Q2 Pricing 06-24-04_maycto" xfId="1391"/>
    <cellStyle name="_Q2 Pricing 06-24-04_maycto 2" xfId="1392"/>
    <cellStyle name="_Q2 Pricing 06-24-04_maycto_WA june stmts" xfId="1393"/>
    <cellStyle name="_Q2 Pricing 06-24-04_maycto_WA p&amp;l may" xfId="1394"/>
    <cellStyle name="_Q2 Pricing 06-24-04_October 2011 Cap Ex 11.17.11 wMatt Adj" xfId="1395"/>
    <cellStyle name="_Q2 Pricing 06-24-04_Q3 2010 BOD Slides_11.10.10" xfId="1396"/>
    <cellStyle name="_Q2 Pricing 06-24-04_Q4 AAFES P&amp;L_10.11.2010" xfId="1397"/>
    <cellStyle name="_Q2 Pricing 06-24-04_Q4 AAFES P&amp;L_10.11.2010 2" xfId="1398"/>
    <cellStyle name="_Q2 Pricing 06-24-04_Q4 AAFES P&amp;L_10.11.2010_Cap Ex Summary8 12 11update" xfId="1399"/>
    <cellStyle name="_Q2 Pricing 06-24-04_Q4 AAFES P&amp;L_10.11.2010_WA june stmts" xfId="1400"/>
    <cellStyle name="_Q2 Pricing 06-24-04_Q4 AAFES P&amp;L_10.11.2010_WA p&amp;l may" xfId="1401"/>
    <cellStyle name="_Q2 Pricing 06-24-04_Sep" xfId="1402"/>
    <cellStyle name="_Q2 Pricing 06-24-04_Sep 2" xfId="1403"/>
    <cellStyle name="_Q2 Pricing 06-24-04_Sep_2011 Budget Presentation_CC_11 17 10TG" xfId="1404"/>
    <cellStyle name="_Q2 Pricing 06-24-04_Sep_2011 Budget Slides" xfId="1405"/>
    <cellStyle name="_Q2 Pricing 06-24-04_Sep_2011 Budget Slides Package_02 21 11" xfId="1406"/>
    <cellStyle name="_Q2 Pricing 06-24-04_Sep_2011 Proforma_11.17.10" xfId="1407"/>
    <cellStyle name="_Q2 Pricing 06-24-04_Sep_Cap Ex Summary8 12 11update" xfId="1408"/>
    <cellStyle name="_Q2 Pricing 06-24-04_Sep_June Ecommerce Rebate Expense - 05.24.11" xfId="1409"/>
    <cellStyle name="_Q2 Pricing 06-24-04_Sep_June Request_05 20 11" xfId="1410"/>
    <cellStyle name="_Q2 Pricing 06-24-04_Sep_WA june stmts" xfId="1411"/>
    <cellStyle name="_Q2 Pricing 06-24-04_Sep_WA p&amp;l may" xfId="1412"/>
    <cellStyle name="_Q2 Pricing 06-24-04_September 2011 Cap Ex New 10.24.11 wMatts Changes" xfId="1413"/>
    <cellStyle name="_Q2 Pricing 06-24-04_Sheet3" xfId="1414"/>
    <cellStyle name="_Q2 Pricing 06-24-04_Staples Expenses Jun - Dec_06.30.11" xfId="1415"/>
    <cellStyle name="_Q2 Pricing 06-24-04_VPEP 10.19.10" xfId="1416"/>
    <cellStyle name="_Q2 Pricing 06-24-04_vpep allocation for forecast" xfId="1417"/>
    <cellStyle name="_Q2 Pricing 06-24-04_vpep allocation for forecast 2" xfId="1418"/>
    <cellStyle name="_Q2 Pricing 06-24-04_vpep allocation for forecast_WA june stmts" xfId="1419"/>
    <cellStyle name="_Q2 Pricing 06-24-04_vpep allocation for forecast_WA p&amp;l may" xfId="1420"/>
    <cellStyle name="_Q2 Pricing 06-24-04_WA june stmts" xfId="1421"/>
    <cellStyle name="_Q2 Pricing 06-24-04_WA p&amp;l may" xfId="1422"/>
    <cellStyle name="_Q2PricingMatrixv4.24-06152004" xfId="1423"/>
    <cellStyle name="_Q2PricingMatrixv4.24-06152004 2" xfId="1424"/>
    <cellStyle name="_Q2PricingMatrixv4.24-06152004 2 2" xfId="1425"/>
    <cellStyle name="_Q2PricingMatrixv4.24-06152004 2_AT&amp;T" xfId="1426"/>
    <cellStyle name="_Q2PricingMatrixv4.24-06152004 2_August Rebate Expense - 07.24.11" xfId="1427"/>
    <cellStyle name="_Q2PricingMatrixv4.24-06152004 2_Carrier Margin v Prior Update" xfId="1428"/>
    <cellStyle name="_Q2PricingMatrixv4.24-06152004 2_HD 10.3" xfId="1429"/>
    <cellStyle name="_Q2PricingMatrixv4.24-06152004 2_HD 10.3 2" xfId="1430"/>
    <cellStyle name="_Q2PricingMatrixv4.24-06152004 2_HD 10.3_AT&amp;T" xfId="1431"/>
    <cellStyle name="_Q2PricingMatrixv4.24-06152004 2_HD 10.3_August Rebate Expense - 07.24.11" xfId="1432"/>
    <cellStyle name="_Q2PricingMatrixv4.24-06152004 2_HD 10.3_Carrier Margin v Prior Update" xfId="1433"/>
    <cellStyle name="_Q2PricingMatrixv4.24-06152004 2_HD 10.3_HD 6.01" xfId="1434"/>
    <cellStyle name="_Q2PricingMatrixv4.24-06152004 2_HD 10.3_June Rebate Expense - 05.24.11" xfId="1435"/>
    <cellStyle name="_Q2PricingMatrixv4.24-06152004 2_HD 10.3_June Rebate Expense - 06.13.11" xfId="1436"/>
    <cellStyle name="_Q2PricingMatrixv4.24-06152004 2_HD 10.3_June Rebate Expense - 06.20.11_nextlap" xfId="1437"/>
    <cellStyle name="_Q2PricingMatrixv4.24-06152004 2_HD 10.3_June Rebate Expense - 06.30.11_Prelim" xfId="1438"/>
    <cellStyle name="_Q2PricingMatrixv4.24-06152004 2_HD 10.3_June Rebate Expense - 07.06.11_Prelim_Forecast" xfId="1439"/>
    <cellStyle name="_Q2PricingMatrixv4.24-06152004 2_HD 10.3_June Request_05 20 11" xfId="1440"/>
    <cellStyle name="_Q2PricingMatrixv4.24-06152004 2_HD 10.3_March Rebate Expense - 02.25.11" xfId="1441"/>
    <cellStyle name="_Q2PricingMatrixv4.24-06152004 2_HD 10.3_March Rebate Expense - 03.04.11" xfId="1442"/>
    <cellStyle name="_Q2PricingMatrixv4.24-06152004 2_HD 10.3_May Rebate Expense - 04.27.11_wks" xfId="1443"/>
    <cellStyle name="_Q2PricingMatrixv4.24-06152004 2_HD 10.3_May Rebate Expense - 05.09.11" xfId="1444"/>
    <cellStyle name="_Q2PricingMatrixv4.24-06152004 2_HD 10.3_May Rebate Expense - 05.16.11" xfId="1445"/>
    <cellStyle name="_Q2PricingMatrixv4.24-06152004 2_HD 10.3_May Rebate Expense - 05.23.11_nextlap" xfId="1446"/>
    <cellStyle name="_Q2PricingMatrixv4.24-06152004 2_HD 10.3_May Rebate Expense - 05.31.11_Final" xfId="1447"/>
    <cellStyle name="_Q2PricingMatrixv4.24-06152004 2_HD 10.3_November Skus" xfId="1448"/>
    <cellStyle name="_Q2PricingMatrixv4.24-06152004 2_HD 10.3_October Rebate Expense - 10.10.11" xfId="1449"/>
    <cellStyle name="_Q2PricingMatrixv4.24-06152004 2_HD 10.3_Per Unit" xfId="1450"/>
    <cellStyle name="_Q2PricingMatrixv4.24-06152004 2_HD 10.3_September Rebate Expense - 09.12.11" xfId="1451"/>
    <cellStyle name="_Q2PricingMatrixv4.24-06152004 2_HD 10.3_T-Mobile" xfId="1452"/>
    <cellStyle name="_Q2PricingMatrixv4.24-06152004 2_HD 10.3_Verizon" xfId="1453"/>
    <cellStyle name="_Q2PricingMatrixv4.24-06152004 2_HD 6.01" xfId="1454"/>
    <cellStyle name="_Q2PricingMatrixv4.24-06152004 2_June Rebate Expense - 05.24.11" xfId="1455"/>
    <cellStyle name="_Q2PricingMatrixv4.24-06152004 2_June Rebate Expense - 06.13.11" xfId="1456"/>
    <cellStyle name="_Q2PricingMatrixv4.24-06152004 2_June Rebate Expense - 06.20.11_nextlap" xfId="1457"/>
    <cellStyle name="_Q2PricingMatrixv4.24-06152004 2_June Rebate Expense - 06.30.11_Prelim" xfId="1458"/>
    <cellStyle name="_Q2PricingMatrixv4.24-06152004 2_June Rebate Expense - 07.06.11_Prelim_Forecast" xfId="1459"/>
    <cellStyle name="_Q2PricingMatrixv4.24-06152004 2_June Request_05 20 11" xfId="1460"/>
    <cellStyle name="_Q2PricingMatrixv4.24-06152004 2_March Rebate Expense - 02.25.11" xfId="1461"/>
    <cellStyle name="_Q2PricingMatrixv4.24-06152004 2_March Rebate Expense - 03.04.11" xfId="1462"/>
    <cellStyle name="_Q2PricingMatrixv4.24-06152004 2_May Rebate Expense - 04.27.11_wks" xfId="1463"/>
    <cellStyle name="_Q2PricingMatrixv4.24-06152004 2_May Rebate Expense - 05.09.11" xfId="1464"/>
    <cellStyle name="_Q2PricingMatrixv4.24-06152004 2_May Rebate Expense - 05.16.11" xfId="1465"/>
    <cellStyle name="_Q2PricingMatrixv4.24-06152004 2_May Rebate Expense - 05.23.11_nextlap" xfId="1466"/>
    <cellStyle name="_Q2PricingMatrixv4.24-06152004 2_May Rebate Expense - 05.31.11_Final" xfId="1467"/>
    <cellStyle name="_Q2PricingMatrixv4.24-06152004 2_November Skus" xfId="1468"/>
    <cellStyle name="_Q2PricingMatrixv4.24-06152004 2_October Rebate Expense - 10.10.11" xfId="1469"/>
    <cellStyle name="_Q2PricingMatrixv4.24-06152004 2_Per Unit" xfId="1470"/>
    <cellStyle name="_Q2PricingMatrixv4.24-06152004 2_September Rebate Expense - 09.12.11" xfId="1471"/>
    <cellStyle name="_Q2PricingMatrixv4.24-06152004 2_T-Mobile" xfId="1472"/>
    <cellStyle name="_Q2PricingMatrixv4.24-06152004 2_Verizon" xfId="1473"/>
    <cellStyle name="_Q2PricingMatrixv4.24-06152004 2_WA june stmts" xfId="1474"/>
    <cellStyle name="_Q2PricingMatrixv4.24-06152004 2_WA p&amp;l may" xfId="1475"/>
    <cellStyle name="_Q2PricingMatrixv4.24-06152004 3" xfId="1476"/>
    <cellStyle name="_Q2PricingMatrixv4.24-06152004 3 2" xfId="1477"/>
    <cellStyle name="_Q2PricingMatrixv4.24-06152004 3 2 2" xfId="1478"/>
    <cellStyle name="_Q2PricingMatrixv4.24-06152004 3 2_WA june stmts" xfId="1479"/>
    <cellStyle name="_Q2PricingMatrixv4.24-06152004 3 2_WA p&amp;l may" xfId="1480"/>
    <cellStyle name="_Q2PricingMatrixv4.24-06152004 3 3" xfId="1481"/>
    <cellStyle name="_Q2PricingMatrixv4.24-06152004 3_WA june stmts" xfId="1482"/>
    <cellStyle name="_Q2PricingMatrixv4.24-06152004 3_WA p&amp;l may" xfId="1483"/>
    <cellStyle name="_Q2PricingMatrixv4.24-06152004 4" xfId="1484"/>
    <cellStyle name="_Q2PricingMatrixv4.24-06152004 4 2" xfId="1485"/>
    <cellStyle name="_Q2PricingMatrixv4.24-06152004 4_WA june stmts" xfId="1486"/>
    <cellStyle name="_Q2PricingMatrixv4.24-06152004 4_WA p&amp;l may" xfId="1487"/>
    <cellStyle name="_Q2PricingMatrixv4.24-06152004 5" xfId="1488"/>
    <cellStyle name="_Q2PricingMatrixv4.24-06152004 6" xfId="1489"/>
    <cellStyle name="_Q2PricingMatrixv4.24-06152004_2010 Budget Supplement Slides_1.15.10" xfId="1490"/>
    <cellStyle name="_Q2PricingMatrixv4.24-06152004_2010 Forecast Update - Sept 15th - Q3_Updated 09 13 10" xfId="1491"/>
    <cellStyle name="_Q2PricingMatrixv4.24-06152004_2010 Forecast Update - Sept 15th - Q3_Updated 09 13 10 2" xfId="1492"/>
    <cellStyle name="_Q2PricingMatrixv4.24-06152004_2010 Forecast Update - Sept 15th - Q3_Updated 09 13 10_WA june stmts" xfId="1493"/>
    <cellStyle name="_Q2PricingMatrixv4.24-06152004_2010 Forecast Update - Sept 15th - Q3_Updated 09 13 10_WA p&amp;l may" xfId="1494"/>
    <cellStyle name="_Q2PricingMatrixv4.24-06152004_2011 Ad to Sales 11 26 10" xfId="1495"/>
    <cellStyle name="_Q2PricingMatrixv4.24-06152004_2011 Ad to Sales 11 26 10 2" xfId="1496"/>
    <cellStyle name="_Q2PricingMatrixv4.24-06152004_2011 Ad to Sales 11 26 10_WA june stmts" xfId="1497"/>
    <cellStyle name="_Q2PricingMatrixv4.24-06152004_2011 Ad to Sales 11 26 10_WA p&amp;l may" xfId="1498"/>
    <cellStyle name="_Q2PricingMatrixv4.24-06152004_2011 Admin Pyrl 9 ovr 9 rollforward 12 08 10 RJ" xfId="1499"/>
    <cellStyle name="_Q2PricingMatrixv4.24-06152004_2011 Budget EBITDA High Level_11.18.2010" xfId="1500"/>
    <cellStyle name="_Q2PricingMatrixv4.24-06152004_2011 Budget EBITDA High Level_11.18.2010 2" xfId="1501"/>
    <cellStyle name="_Q2PricingMatrixv4.24-06152004_2011 Budget EBITDA High Level_11.18.2010_Cap Ex Summary8 12 11update" xfId="1502"/>
    <cellStyle name="_Q2PricingMatrixv4.24-06152004_2011 Budget EBITDA High Level_11.18.2010_WA june stmts" xfId="1503"/>
    <cellStyle name="_Q2PricingMatrixv4.24-06152004_2011 Budget EBITDA High Level_11.18.2010_WA p&amp;l may" xfId="1504"/>
    <cellStyle name="_Q2PricingMatrixv4.24-06152004_2011 Budget Margin Meeting Slides_11.5.2010_FINALupdated Tracker" xfId="1505"/>
    <cellStyle name="_Q2PricingMatrixv4.24-06152004_2011 Budget Presentation_CC_11 17 10TG" xfId="1506"/>
    <cellStyle name="_Q2PricingMatrixv4.24-06152004_2011 Budget Slides" xfId="1507"/>
    <cellStyle name="_Q2PricingMatrixv4.24-06152004_2011 Expense Budget summary" xfId="1508"/>
    <cellStyle name="_Q2PricingMatrixv4.24-06152004_2011 MARCH GERS UPLOAD - ROLL-UP" xfId="1509"/>
    <cellStyle name="_Q2PricingMatrixv4.24-06152004_2011 MARCH GERS UPLOAD - ROLL-UP 2" xfId="1510"/>
    <cellStyle name="_Q2PricingMatrixv4.24-06152004_2011 MARCH GERS UPLOAD - ROLL-UP 2 2" xfId="1511"/>
    <cellStyle name="_Q2PricingMatrixv4.24-06152004_2011 MARCH GERS UPLOAD - ROLL-UP 2_WA june stmts" xfId="1512"/>
    <cellStyle name="_Q2PricingMatrixv4.24-06152004_2011 MARCH GERS UPLOAD - ROLL-UP 2_WA p&amp;l may" xfId="1513"/>
    <cellStyle name="_Q2PricingMatrixv4.24-06152004_2011 MARCH GERS UPLOAD - ROLL-UP 3" xfId="1514"/>
    <cellStyle name="_Q2PricingMatrixv4.24-06152004_2011 MARCH GERS UPLOAD - ROLL-UP 3 2" xfId="1515"/>
    <cellStyle name="_Q2PricingMatrixv4.24-06152004_2011 MARCH GERS UPLOAD - ROLL-UP 3_WA june stmts" xfId="1516"/>
    <cellStyle name="_Q2PricingMatrixv4.24-06152004_2011 MARCH GERS UPLOAD - ROLL-UP 3_WA p&amp;l may" xfId="1517"/>
    <cellStyle name="_Q2PricingMatrixv4.24-06152004_2011 MARCH GERS UPLOAD - ROLL-UP 4" xfId="1518"/>
    <cellStyle name="_Q2PricingMatrixv4.24-06152004_2011 MARCH GERS UPLOAD - ROLL-UP_maycto" xfId="1519"/>
    <cellStyle name="_Q2PricingMatrixv4.24-06152004_2011 MARCH GERS UPLOAD - ROLL-UP_maycto 2" xfId="1520"/>
    <cellStyle name="_Q2PricingMatrixv4.24-06152004_2011 MARCH GERS UPLOAD - ROLL-UP_maycto_WA june stmts" xfId="1521"/>
    <cellStyle name="_Q2PricingMatrixv4.24-06152004_2011 MARCH GERS UPLOAD - ROLL-UP_maycto_WA p&amp;l may" xfId="1522"/>
    <cellStyle name="_Q2PricingMatrixv4.24-06152004_2011 MARCH GERS UPLOAD - ROLL-UP_WA june stmts" xfId="1523"/>
    <cellStyle name="_Q2PricingMatrixv4.24-06152004_2011 MARCH GERS UPLOAD - ROLL-UP_WA p&amp;l may" xfId="1524"/>
    <cellStyle name="_Q2PricingMatrixv4.24-06152004_2011 Proforma_11.17.10" xfId="1525"/>
    <cellStyle name="_Q2PricingMatrixv4.24-06152004_2011CashflowBudget(Execsummary)" xfId="1526"/>
    <cellStyle name="_Q2PricingMatrixv4.24-06152004_2011February Forecast Feb 18 RJ adjusted feb 21" xfId="1527"/>
    <cellStyle name="_Q2PricingMatrixv4.24-06152004_2012 Cap Ex Project Numbers" xfId="1528"/>
    <cellStyle name="_Q2PricingMatrixv4.24-06152004_2012 Cap Ex Template" xfId="1529"/>
    <cellStyle name="_Q2PricingMatrixv4.24-06152004_9112 - Information Center - IS" xfId="1530"/>
    <cellStyle name="_Q2PricingMatrixv4.24-06152004_9124 - Technical Services - TS" xfId="1531"/>
    <cellStyle name="_Q2PricingMatrixv4.24-06152004_August 2011 Cap Ex" xfId="1532"/>
    <cellStyle name="_Q2PricingMatrixv4.24-06152004_Cap Ex Summary8 12 11update" xfId="1533"/>
    <cellStyle name="_Q2PricingMatrixv4.24-06152004_Copy of 2011 April forecast EOM May 2" xfId="1534"/>
    <cellStyle name="_Q2PricingMatrixv4.24-06152004_Copy of 2012 Headcount Summary 10.04.11" xfId="1535"/>
    <cellStyle name="_Q2PricingMatrixv4.24-06152004_Copy of IT adm headcount add assessment nov 26 2010" xfId="1536"/>
    <cellStyle name="_Q2PricingMatrixv4.24-06152004_Copy of IT adm headcount add assessment nov 26 2010 2" xfId="1537"/>
    <cellStyle name="_Q2PricingMatrixv4.24-06152004_Copy of IT adm headcount add assessment nov 26 2010_WA june stmts" xfId="1538"/>
    <cellStyle name="_Q2PricingMatrixv4.24-06152004_Copy of IT adm headcount add assessment nov 26 2010_WA p&amp;l may" xfId="1539"/>
    <cellStyle name="_Q2PricingMatrixv4.24-06152004_CTFY11EnterpriseTechnology Budget" xfId="1540"/>
    <cellStyle name="_Q2PricingMatrixv4.24-06152004_DB info request for FY 2010 vendor summit" xfId="1541"/>
    <cellStyle name="_Q2PricingMatrixv4.24-06152004_DB info request for FY 2010 vendor summit 2" xfId="1542"/>
    <cellStyle name="_Q2PricingMatrixv4.24-06152004_DB info request for FY 2010 vendor summit_WA june stmts" xfId="1543"/>
    <cellStyle name="_Q2PricingMatrixv4.24-06152004_DB info request for FY 2010 vendor summit_WA p&amp;l may" xfId="1544"/>
    <cellStyle name="_Q2PricingMatrixv4.24-06152004_December 2011 Cap Ex 01.27.11" xfId="1545"/>
    <cellStyle name="_Q2PricingMatrixv4.24-06152004_December 2011 Cap Ex 01.27.11_1" xfId="1546"/>
    <cellStyle name="_Q2PricingMatrixv4.24-06152004_February Ecommerce Rebate Expense - 02.22.11" xfId="1547"/>
    <cellStyle name="_Q2PricingMatrixv4.24-06152004_February Ecommerce Rebate Expense - 02.22.11_June Request_05 20 11" xfId="1548"/>
    <cellStyle name="_Q2PricingMatrixv4.24-06152004_Field Payroll 2011 Budget Workbook" xfId="1549"/>
    <cellStyle name="_Q2PricingMatrixv4.24-06152004_Jul" xfId="1550"/>
    <cellStyle name="_Q2PricingMatrixv4.24-06152004_Jul 2" xfId="1551"/>
    <cellStyle name="_Q2PricingMatrixv4.24-06152004_Jul_2011 Budget Presentation_CC_11 17 10TG" xfId="1552"/>
    <cellStyle name="_Q2PricingMatrixv4.24-06152004_Jul_2011 Budget Slides" xfId="1553"/>
    <cellStyle name="_Q2PricingMatrixv4.24-06152004_Jul_2011 Budget Slides Package_02 21 11" xfId="1554"/>
    <cellStyle name="_Q2PricingMatrixv4.24-06152004_Jul_2011 Proforma_11.17.10" xfId="1555"/>
    <cellStyle name="_Q2PricingMatrixv4.24-06152004_Jul_Cap Ex Summary8 12 11update" xfId="1556"/>
    <cellStyle name="_Q2PricingMatrixv4.24-06152004_Jul_June Ecommerce Rebate Expense - 05.24.11" xfId="1557"/>
    <cellStyle name="_Q2PricingMatrixv4.24-06152004_Jul_June Request_05 20 11" xfId="1558"/>
    <cellStyle name="_Q2PricingMatrixv4.24-06152004_Jul_WA june stmts" xfId="1559"/>
    <cellStyle name="_Q2PricingMatrixv4.24-06152004_Jul_WA p&amp;l may" xfId="1560"/>
    <cellStyle name="_Q2PricingMatrixv4.24-06152004_July VPEP FINAL 8.17.2012_AB &amp; SL adjustments_used for July GL close" xfId="1561"/>
    <cellStyle name="_Q2PricingMatrixv4.24-06152004_June VPEP 7.16.12 FINAL used for June GL close revised July 30, 2012" xfId="1562"/>
    <cellStyle name="_Q2PricingMatrixv4.24-06152004_March Rebate Expense - 02.22.11" xfId="1563"/>
    <cellStyle name="_Q2PricingMatrixv4.24-06152004_May Rebate Expense - 05.31.11_Final" xfId="1564"/>
    <cellStyle name="_Q2PricingMatrixv4.24-06152004_maycto" xfId="1565"/>
    <cellStyle name="_Q2PricingMatrixv4.24-06152004_maycto 2" xfId="1566"/>
    <cellStyle name="_Q2PricingMatrixv4.24-06152004_maycto_WA june stmts" xfId="1567"/>
    <cellStyle name="_Q2PricingMatrixv4.24-06152004_maycto_WA p&amp;l may" xfId="1568"/>
    <cellStyle name="_Q2PricingMatrixv4.24-06152004_October 2011 Cap Ex 11.17.11 wMatt Adj" xfId="1569"/>
    <cellStyle name="_Q2PricingMatrixv4.24-06152004_Q3 2010 BOD Slides_11.10.10" xfId="1570"/>
    <cellStyle name="_Q2PricingMatrixv4.24-06152004_Q4 AAFES P&amp;L_10.11.2010" xfId="1571"/>
    <cellStyle name="_Q2PricingMatrixv4.24-06152004_Q4 AAFES P&amp;L_10.11.2010 2" xfId="1572"/>
    <cellStyle name="_Q2PricingMatrixv4.24-06152004_Q4 AAFES P&amp;L_10.11.2010_Cap Ex Summary8 12 11update" xfId="1573"/>
    <cellStyle name="_Q2PricingMatrixv4.24-06152004_Q4 AAFES P&amp;L_10.11.2010_WA june stmts" xfId="1574"/>
    <cellStyle name="_Q2PricingMatrixv4.24-06152004_Q4 AAFES P&amp;L_10.11.2010_WA p&amp;l may" xfId="1575"/>
    <cellStyle name="_Q2PricingMatrixv4.24-06152004_Sep" xfId="1576"/>
    <cellStyle name="_Q2PricingMatrixv4.24-06152004_Sep 2" xfId="1577"/>
    <cellStyle name="_Q2PricingMatrixv4.24-06152004_Sep_2011 Budget Presentation_CC_11 17 10TG" xfId="1578"/>
    <cellStyle name="_Q2PricingMatrixv4.24-06152004_Sep_2011 Budget Slides" xfId="1579"/>
    <cellStyle name="_Q2PricingMatrixv4.24-06152004_Sep_2011 Budget Slides Package_02 21 11" xfId="1580"/>
    <cellStyle name="_Q2PricingMatrixv4.24-06152004_Sep_2011 Proforma_11.17.10" xfId="1581"/>
    <cellStyle name="_Q2PricingMatrixv4.24-06152004_Sep_Cap Ex Summary8 12 11update" xfId="1582"/>
    <cellStyle name="_Q2PricingMatrixv4.24-06152004_Sep_June Ecommerce Rebate Expense - 05.24.11" xfId="1583"/>
    <cellStyle name="_Q2PricingMatrixv4.24-06152004_Sep_June Request_05 20 11" xfId="1584"/>
    <cellStyle name="_Q2PricingMatrixv4.24-06152004_Sep_WA june stmts" xfId="1585"/>
    <cellStyle name="_Q2PricingMatrixv4.24-06152004_Sep_WA p&amp;l may" xfId="1586"/>
    <cellStyle name="_Q2PricingMatrixv4.24-06152004_September 2011 Cap Ex New 10.24.11 wMatts Changes" xfId="1587"/>
    <cellStyle name="_Q2PricingMatrixv4.24-06152004_Sheet3" xfId="1588"/>
    <cellStyle name="_Q2PricingMatrixv4.24-06152004_Staples Expenses Jun - Dec_06.30.11" xfId="1589"/>
    <cellStyle name="_Q2PricingMatrixv4.24-06152004_VPEP 10.19.10" xfId="1590"/>
    <cellStyle name="_Q2PricingMatrixv4.24-06152004_vpep allocation for forecast" xfId="1591"/>
    <cellStyle name="_Q2PricingMatrixv4.24-06152004_vpep allocation for forecast 2" xfId="1592"/>
    <cellStyle name="_Q2PricingMatrixv4.24-06152004_vpep allocation for forecast_WA june stmts" xfId="1593"/>
    <cellStyle name="_Q2PricingMatrixv4.24-06152004_vpep allocation for forecast_WA p&amp;l may" xfId="1594"/>
    <cellStyle name="_Q2PricingMatrixv4.24-06152004_WA june stmts" xfId="1595"/>
    <cellStyle name="_Q2PricingMatrixv4.24-06152004_WA p&amp;l may" xfId="1596"/>
    <cellStyle name="_Q2PricingMatrixv4.24-06172004" xfId="1597"/>
    <cellStyle name="_Q2PricingMatrixv4.24-06172004 2" xfId="1598"/>
    <cellStyle name="_Q2PricingMatrixv4.24-06172004 2 2" xfId="1599"/>
    <cellStyle name="_Q2PricingMatrixv4.24-06172004 2_AT&amp;T" xfId="1600"/>
    <cellStyle name="_Q2PricingMatrixv4.24-06172004 2_August Rebate Expense - 07.24.11" xfId="1601"/>
    <cellStyle name="_Q2PricingMatrixv4.24-06172004 2_Carrier Margin v Prior Update" xfId="1602"/>
    <cellStyle name="_Q2PricingMatrixv4.24-06172004 2_HD 10.3" xfId="1603"/>
    <cellStyle name="_Q2PricingMatrixv4.24-06172004 2_HD 10.3 2" xfId="1604"/>
    <cellStyle name="_Q2PricingMatrixv4.24-06172004 2_HD 10.3_AT&amp;T" xfId="1605"/>
    <cellStyle name="_Q2PricingMatrixv4.24-06172004 2_HD 10.3_August Rebate Expense - 07.24.11" xfId="1606"/>
    <cellStyle name="_Q2PricingMatrixv4.24-06172004 2_HD 10.3_Carrier Margin v Prior Update" xfId="1607"/>
    <cellStyle name="_Q2PricingMatrixv4.24-06172004 2_HD 10.3_HD 6.01" xfId="1608"/>
    <cellStyle name="_Q2PricingMatrixv4.24-06172004 2_HD 10.3_June Rebate Expense - 05.24.11" xfId="1609"/>
    <cellStyle name="_Q2PricingMatrixv4.24-06172004 2_HD 10.3_June Rebate Expense - 06.13.11" xfId="1610"/>
    <cellStyle name="_Q2PricingMatrixv4.24-06172004 2_HD 10.3_June Rebate Expense - 06.20.11_nextlap" xfId="1611"/>
    <cellStyle name="_Q2PricingMatrixv4.24-06172004 2_HD 10.3_June Rebate Expense - 06.30.11_Prelim" xfId="1612"/>
    <cellStyle name="_Q2PricingMatrixv4.24-06172004 2_HD 10.3_June Rebate Expense - 07.06.11_Prelim_Forecast" xfId="1613"/>
    <cellStyle name="_Q2PricingMatrixv4.24-06172004 2_HD 10.3_June Request_05 20 11" xfId="1614"/>
    <cellStyle name="_Q2PricingMatrixv4.24-06172004 2_HD 10.3_March Rebate Expense - 02.25.11" xfId="1615"/>
    <cellStyle name="_Q2PricingMatrixv4.24-06172004 2_HD 10.3_March Rebate Expense - 03.04.11" xfId="1616"/>
    <cellStyle name="_Q2PricingMatrixv4.24-06172004 2_HD 10.3_May Rebate Expense - 04.27.11_wks" xfId="1617"/>
    <cellStyle name="_Q2PricingMatrixv4.24-06172004 2_HD 10.3_May Rebate Expense - 05.09.11" xfId="1618"/>
    <cellStyle name="_Q2PricingMatrixv4.24-06172004 2_HD 10.3_May Rebate Expense - 05.16.11" xfId="1619"/>
    <cellStyle name="_Q2PricingMatrixv4.24-06172004 2_HD 10.3_May Rebate Expense - 05.23.11_nextlap" xfId="1620"/>
    <cellStyle name="_Q2PricingMatrixv4.24-06172004 2_HD 10.3_May Rebate Expense - 05.31.11_Final" xfId="1621"/>
    <cellStyle name="_Q2PricingMatrixv4.24-06172004 2_HD 10.3_November Skus" xfId="1622"/>
    <cellStyle name="_Q2PricingMatrixv4.24-06172004 2_HD 10.3_October Rebate Expense - 10.10.11" xfId="1623"/>
    <cellStyle name="_Q2PricingMatrixv4.24-06172004 2_HD 10.3_Per Unit" xfId="1624"/>
    <cellStyle name="_Q2PricingMatrixv4.24-06172004 2_HD 10.3_September Rebate Expense - 09.12.11" xfId="1625"/>
    <cellStyle name="_Q2PricingMatrixv4.24-06172004 2_HD 10.3_T-Mobile" xfId="1626"/>
    <cellStyle name="_Q2PricingMatrixv4.24-06172004 2_HD 10.3_Verizon" xfId="1627"/>
    <cellStyle name="_Q2PricingMatrixv4.24-06172004 2_HD 6.01" xfId="1628"/>
    <cellStyle name="_Q2PricingMatrixv4.24-06172004 2_June Rebate Expense - 05.24.11" xfId="1629"/>
    <cellStyle name="_Q2PricingMatrixv4.24-06172004 2_June Rebate Expense - 06.13.11" xfId="1630"/>
    <cellStyle name="_Q2PricingMatrixv4.24-06172004 2_June Rebate Expense - 06.20.11_nextlap" xfId="1631"/>
    <cellStyle name="_Q2PricingMatrixv4.24-06172004 2_June Rebate Expense - 06.30.11_Prelim" xfId="1632"/>
    <cellStyle name="_Q2PricingMatrixv4.24-06172004 2_June Rebate Expense - 07.06.11_Prelim_Forecast" xfId="1633"/>
    <cellStyle name="_Q2PricingMatrixv4.24-06172004 2_June Request_05 20 11" xfId="1634"/>
    <cellStyle name="_Q2PricingMatrixv4.24-06172004 2_March Rebate Expense - 02.25.11" xfId="1635"/>
    <cellStyle name="_Q2PricingMatrixv4.24-06172004 2_March Rebate Expense - 03.04.11" xfId="1636"/>
    <cellStyle name="_Q2PricingMatrixv4.24-06172004 2_May Rebate Expense - 04.27.11_wks" xfId="1637"/>
    <cellStyle name="_Q2PricingMatrixv4.24-06172004 2_May Rebate Expense - 05.09.11" xfId="1638"/>
    <cellStyle name="_Q2PricingMatrixv4.24-06172004 2_May Rebate Expense - 05.16.11" xfId="1639"/>
    <cellStyle name="_Q2PricingMatrixv4.24-06172004 2_May Rebate Expense - 05.23.11_nextlap" xfId="1640"/>
    <cellStyle name="_Q2PricingMatrixv4.24-06172004 2_May Rebate Expense - 05.31.11_Final" xfId="1641"/>
    <cellStyle name="_Q2PricingMatrixv4.24-06172004 2_November Skus" xfId="1642"/>
    <cellStyle name="_Q2PricingMatrixv4.24-06172004 2_October Rebate Expense - 10.10.11" xfId="1643"/>
    <cellStyle name="_Q2PricingMatrixv4.24-06172004 2_Per Unit" xfId="1644"/>
    <cellStyle name="_Q2PricingMatrixv4.24-06172004 2_September Rebate Expense - 09.12.11" xfId="1645"/>
    <cellStyle name="_Q2PricingMatrixv4.24-06172004 2_T-Mobile" xfId="1646"/>
    <cellStyle name="_Q2PricingMatrixv4.24-06172004 2_Verizon" xfId="1647"/>
    <cellStyle name="_Q2PricingMatrixv4.24-06172004 2_WA june stmts" xfId="1648"/>
    <cellStyle name="_Q2PricingMatrixv4.24-06172004 2_WA p&amp;l may" xfId="1649"/>
    <cellStyle name="_Q2PricingMatrixv4.24-06172004 3" xfId="1650"/>
    <cellStyle name="_Q2PricingMatrixv4.24-06172004 3 2" xfId="1651"/>
    <cellStyle name="_Q2PricingMatrixv4.24-06172004 3 2 2" xfId="1652"/>
    <cellStyle name="_Q2PricingMatrixv4.24-06172004 3 2_WA june stmts" xfId="1653"/>
    <cellStyle name="_Q2PricingMatrixv4.24-06172004 3 2_WA p&amp;l may" xfId="1654"/>
    <cellStyle name="_Q2PricingMatrixv4.24-06172004 3 3" xfId="1655"/>
    <cellStyle name="_Q2PricingMatrixv4.24-06172004 3_WA june stmts" xfId="1656"/>
    <cellStyle name="_Q2PricingMatrixv4.24-06172004 3_WA p&amp;l may" xfId="1657"/>
    <cellStyle name="_Q2PricingMatrixv4.24-06172004 4" xfId="1658"/>
    <cellStyle name="_Q2PricingMatrixv4.24-06172004 4 2" xfId="1659"/>
    <cellStyle name="_Q2PricingMatrixv4.24-06172004 4_WA june stmts" xfId="1660"/>
    <cellStyle name="_Q2PricingMatrixv4.24-06172004 4_WA p&amp;l may" xfId="1661"/>
    <cellStyle name="_Q2PricingMatrixv4.24-06172004 5" xfId="1662"/>
    <cellStyle name="_Q2PricingMatrixv4.24-06172004 6" xfId="1663"/>
    <cellStyle name="_Q2PricingMatrixv4.24-06172004_2010 Budget Supplement Slides_1.15.10" xfId="1664"/>
    <cellStyle name="_Q2PricingMatrixv4.24-06172004_2010 Forecast Update - Sept 15th - Q3_Updated 09 13 10" xfId="1665"/>
    <cellStyle name="_Q2PricingMatrixv4.24-06172004_2010 Forecast Update - Sept 15th - Q3_Updated 09 13 10 2" xfId="1666"/>
    <cellStyle name="_Q2PricingMatrixv4.24-06172004_2010 Forecast Update - Sept 15th - Q3_Updated 09 13 10_WA june stmts" xfId="1667"/>
    <cellStyle name="_Q2PricingMatrixv4.24-06172004_2010 Forecast Update - Sept 15th - Q3_Updated 09 13 10_WA p&amp;l may" xfId="1668"/>
    <cellStyle name="_Q2PricingMatrixv4.24-06172004_2011 Ad to Sales 11 26 10" xfId="1669"/>
    <cellStyle name="_Q2PricingMatrixv4.24-06172004_2011 Ad to Sales 11 26 10 2" xfId="1670"/>
    <cellStyle name="_Q2PricingMatrixv4.24-06172004_2011 Ad to Sales 11 26 10_WA june stmts" xfId="1671"/>
    <cellStyle name="_Q2PricingMatrixv4.24-06172004_2011 Ad to Sales 11 26 10_WA p&amp;l may" xfId="1672"/>
    <cellStyle name="_Q2PricingMatrixv4.24-06172004_2011 Admin Pyrl 9 ovr 9 rollforward 12 08 10 RJ" xfId="1673"/>
    <cellStyle name="_Q2PricingMatrixv4.24-06172004_2011 Budget EBITDA High Level_11.18.2010" xfId="1674"/>
    <cellStyle name="_Q2PricingMatrixv4.24-06172004_2011 Budget EBITDA High Level_11.18.2010 2" xfId="1675"/>
    <cellStyle name="_Q2PricingMatrixv4.24-06172004_2011 Budget EBITDA High Level_11.18.2010_Cap Ex Summary8 12 11update" xfId="1676"/>
    <cellStyle name="_Q2PricingMatrixv4.24-06172004_2011 Budget EBITDA High Level_11.18.2010_WA june stmts" xfId="1677"/>
    <cellStyle name="_Q2PricingMatrixv4.24-06172004_2011 Budget EBITDA High Level_11.18.2010_WA p&amp;l may" xfId="1678"/>
    <cellStyle name="_Q2PricingMatrixv4.24-06172004_2011 Budget Margin Meeting Slides_11.5.2010_FINALupdated Tracker" xfId="1679"/>
    <cellStyle name="_Q2PricingMatrixv4.24-06172004_2011 Budget Presentation_CC_11 17 10TG" xfId="1680"/>
    <cellStyle name="_Q2PricingMatrixv4.24-06172004_2011 Budget Slides" xfId="1681"/>
    <cellStyle name="_Q2PricingMatrixv4.24-06172004_2011 Expense Budget summary" xfId="1682"/>
    <cellStyle name="_Q2PricingMatrixv4.24-06172004_2011 MARCH GERS UPLOAD - ROLL-UP" xfId="1683"/>
    <cellStyle name="_Q2PricingMatrixv4.24-06172004_2011 MARCH GERS UPLOAD - ROLL-UP 2" xfId="1684"/>
    <cellStyle name="_Q2PricingMatrixv4.24-06172004_2011 MARCH GERS UPLOAD - ROLL-UP 2 2" xfId="1685"/>
    <cellStyle name="_Q2PricingMatrixv4.24-06172004_2011 MARCH GERS UPLOAD - ROLL-UP 2_WA june stmts" xfId="1686"/>
    <cellStyle name="_Q2PricingMatrixv4.24-06172004_2011 MARCH GERS UPLOAD - ROLL-UP 2_WA p&amp;l may" xfId="1687"/>
    <cellStyle name="_Q2PricingMatrixv4.24-06172004_2011 MARCH GERS UPLOAD - ROLL-UP 3" xfId="1688"/>
    <cellStyle name="_Q2PricingMatrixv4.24-06172004_2011 MARCH GERS UPLOAD - ROLL-UP 3 2" xfId="1689"/>
    <cellStyle name="_Q2PricingMatrixv4.24-06172004_2011 MARCH GERS UPLOAD - ROLL-UP 3_WA june stmts" xfId="1690"/>
    <cellStyle name="_Q2PricingMatrixv4.24-06172004_2011 MARCH GERS UPLOAD - ROLL-UP 3_WA p&amp;l may" xfId="1691"/>
    <cellStyle name="_Q2PricingMatrixv4.24-06172004_2011 MARCH GERS UPLOAD - ROLL-UP 4" xfId="1692"/>
    <cellStyle name="_Q2PricingMatrixv4.24-06172004_2011 MARCH GERS UPLOAD - ROLL-UP_maycto" xfId="1693"/>
    <cellStyle name="_Q2PricingMatrixv4.24-06172004_2011 MARCH GERS UPLOAD - ROLL-UP_maycto 2" xfId="1694"/>
    <cellStyle name="_Q2PricingMatrixv4.24-06172004_2011 MARCH GERS UPLOAD - ROLL-UP_maycto_WA june stmts" xfId="1695"/>
    <cellStyle name="_Q2PricingMatrixv4.24-06172004_2011 MARCH GERS UPLOAD - ROLL-UP_maycto_WA p&amp;l may" xfId="1696"/>
    <cellStyle name="_Q2PricingMatrixv4.24-06172004_2011 MARCH GERS UPLOAD - ROLL-UP_WA june stmts" xfId="1697"/>
    <cellStyle name="_Q2PricingMatrixv4.24-06172004_2011 MARCH GERS UPLOAD - ROLL-UP_WA p&amp;l may" xfId="1698"/>
    <cellStyle name="_Q2PricingMatrixv4.24-06172004_2011 Proforma_11.17.10" xfId="1699"/>
    <cellStyle name="_Q2PricingMatrixv4.24-06172004_2011CashflowBudget(Execsummary)" xfId="1700"/>
    <cellStyle name="_Q2PricingMatrixv4.24-06172004_2011February Forecast Feb 18 RJ adjusted feb 21" xfId="1701"/>
    <cellStyle name="_Q2PricingMatrixv4.24-06172004_2012 Cap Ex Project Numbers" xfId="1702"/>
    <cellStyle name="_Q2PricingMatrixv4.24-06172004_2012 Cap Ex Template" xfId="1703"/>
    <cellStyle name="_Q2PricingMatrixv4.24-06172004_9112 - Information Center - IS" xfId="1704"/>
    <cellStyle name="_Q2PricingMatrixv4.24-06172004_9124 - Technical Services - TS" xfId="1705"/>
    <cellStyle name="_Q2PricingMatrixv4.24-06172004_August 2011 Cap Ex" xfId="1706"/>
    <cellStyle name="_Q2PricingMatrixv4.24-06172004_Cap Ex Summary8 12 11update" xfId="1707"/>
    <cellStyle name="_Q2PricingMatrixv4.24-06172004_Copy of 2011 April forecast EOM May 2" xfId="1708"/>
    <cellStyle name="_Q2PricingMatrixv4.24-06172004_Copy of 2012 Headcount Summary 10.04.11" xfId="1709"/>
    <cellStyle name="_Q2PricingMatrixv4.24-06172004_Copy of IT adm headcount add assessment nov 26 2010" xfId="1710"/>
    <cellStyle name="_Q2PricingMatrixv4.24-06172004_Copy of IT adm headcount add assessment nov 26 2010 2" xfId="1711"/>
    <cellStyle name="_Q2PricingMatrixv4.24-06172004_Copy of IT adm headcount add assessment nov 26 2010_WA june stmts" xfId="1712"/>
    <cellStyle name="_Q2PricingMatrixv4.24-06172004_Copy of IT adm headcount add assessment nov 26 2010_WA p&amp;l may" xfId="1713"/>
    <cellStyle name="_Q2PricingMatrixv4.24-06172004_CTFY11EnterpriseTechnology Budget" xfId="1714"/>
    <cellStyle name="_Q2PricingMatrixv4.24-06172004_DB info request for FY 2010 vendor summit" xfId="1715"/>
    <cellStyle name="_Q2PricingMatrixv4.24-06172004_DB info request for FY 2010 vendor summit 2" xfId="1716"/>
    <cellStyle name="_Q2PricingMatrixv4.24-06172004_DB info request for FY 2010 vendor summit_WA june stmts" xfId="1717"/>
    <cellStyle name="_Q2PricingMatrixv4.24-06172004_DB info request for FY 2010 vendor summit_WA p&amp;l may" xfId="1718"/>
    <cellStyle name="_Q2PricingMatrixv4.24-06172004_December 2011 Cap Ex 01.27.11" xfId="1719"/>
    <cellStyle name="_Q2PricingMatrixv4.24-06172004_December 2011 Cap Ex 01.27.11_1" xfId="1720"/>
    <cellStyle name="_Q2PricingMatrixv4.24-06172004_February Ecommerce Rebate Expense - 02.22.11" xfId="1721"/>
    <cellStyle name="_Q2PricingMatrixv4.24-06172004_February Ecommerce Rebate Expense - 02.22.11_June Request_05 20 11" xfId="1722"/>
    <cellStyle name="_Q2PricingMatrixv4.24-06172004_Field Payroll 2011 Budget Workbook" xfId="1723"/>
    <cellStyle name="_Q2PricingMatrixv4.24-06172004_Jul" xfId="1724"/>
    <cellStyle name="_Q2PricingMatrixv4.24-06172004_Jul 2" xfId="1725"/>
    <cellStyle name="_Q2PricingMatrixv4.24-06172004_Jul_2011 Budget Presentation_CC_11 17 10TG" xfId="1726"/>
    <cellStyle name="_Q2PricingMatrixv4.24-06172004_Jul_2011 Budget Slides" xfId="1727"/>
    <cellStyle name="_Q2PricingMatrixv4.24-06172004_Jul_2011 Budget Slides Package_02 21 11" xfId="1728"/>
    <cellStyle name="_Q2PricingMatrixv4.24-06172004_Jul_2011 Proforma_11.17.10" xfId="1729"/>
    <cellStyle name="_Q2PricingMatrixv4.24-06172004_Jul_Cap Ex Summary8 12 11update" xfId="1730"/>
    <cellStyle name="_Q2PricingMatrixv4.24-06172004_Jul_June Ecommerce Rebate Expense - 05.24.11" xfId="1731"/>
    <cellStyle name="_Q2PricingMatrixv4.24-06172004_Jul_June Request_05 20 11" xfId="1732"/>
    <cellStyle name="_Q2PricingMatrixv4.24-06172004_Jul_WA june stmts" xfId="1733"/>
    <cellStyle name="_Q2PricingMatrixv4.24-06172004_Jul_WA p&amp;l may" xfId="1734"/>
    <cellStyle name="_Q2PricingMatrixv4.24-06172004_July VPEP FINAL 8.17.2012_AB &amp; SL adjustments_used for July GL close" xfId="1735"/>
    <cellStyle name="_Q2PricingMatrixv4.24-06172004_June VPEP 7.16.12 FINAL used for June GL close revised July 30, 2012" xfId="1736"/>
    <cellStyle name="_Q2PricingMatrixv4.24-06172004_March Rebate Expense - 02.22.11" xfId="1737"/>
    <cellStyle name="_Q2PricingMatrixv4.24-06172004_May Rebate Expense - 05.31.11_Final" xfId="1738"/>
    <cellStyle name="_Q2PricingMatrixv4.24-06172004_maycto" xfId="1739"/>
    <cellStyle name="_Q2PricingMatrixv4.24-06172004_maycto 2" xfId="1740"/>
    <cellStyle name="_Q2PricingMatrixv4.24-06172004_maycto_WA june stmts" xfId="1741"/>
    <cellStyle name="_Q2PricingMatrixv4.24-06172004_maycto_WA p&amp;l may" xfId="1742"/>
    <cellStyle name="_Q2PricingMatrixv4.24-06172004_October 2011 Cap Ex 11.17.11 wMatt Adj" xfId="1743"/>
    <cellStyle name="_Q2PricingMatrixv4.24-06172004_Q3 2010 BOD Slides_11.10.10" xfId="1744"/>
    <cellStyle name="_Q2PricingMatrixv4.24-06172004_Q4 AAFES P&amp;L_10.11.2010" xfId="1745"/>
    <cellStyle name="_Q2PricingMatrixv4.24-06172004_Q4 AAFES P&amp;L_10.11.2010 2" xfId="1746"/>
    <cellStyle name="_Q2PricingMatrixv4.24-06172004_Q4 AAFES P&amp;L_10.11.2010_Cap Ex Summary8 12 11update" xfId="1747"/>
    <cellStyle name="_Q2PricingMatrixv4.24-06172004_Q4 AAFES P&amp;L_10.11.2010_WA june stmts" xfId="1748"/>
    <cellStyle name="_Q2PricingMatrixv4.24-06172004_Q4 AAFES P&amp;L_10.11.2010_WA p&amp;l may" xfId="1749"/>
    <cellStyle name="_Q2PricingMatrixv4.24-06172004_Sep" xfId="1750"/>
    <cellStyle name="_Q2PricingMatrixv4.24-06172004_Sep 2" xfId="1751"/>
    <cellStyle name="_Q2PricingMatrixv4.24-06172004_Sep_2011 Budget Presentation_CC_11 17 10TG" xfId="1752"/>
    <cellStyle name="_Q2PricingMatrixv4.24-06172004_Sep_2011 Budget Slides" xfId="1753"/>
    <cellStyle name="_Q2PricingMatrixv4.24-06172004_Sep_2011 Budget Slides Package_02 21 11" xfId="1754"/>
    <cellStyle name="_Q2PricingMatrixv4.24-06172004_Sep_2011 Proforma_11.17.10" xfId="1755"/>
    <cellStyle name="_Q2PricingMatrixv4.24-06172004_Sep_Cap Ex Summary8 12 11update" xfId="1756"/>
    <cellStyle name="_Q2PricingMatrixv4.24-06172004_Sep_June Ecommerce Rebate Expense - 05.24.11" xfId="1757"/>
    <cellStyle name="_Q2PricingMatrixv4.24-06172004_Sep_June Request_05 20 11" xfId="1758"/>
    <cellStyle name="_Q2PricingMatrixv4.24-06172004_Sep_WA june stmts" xfId="1759"/>
    <cellStyle name="_Q2PricingMatrixv4.24-06172004_Sep_WA p&amp;l may" xfId="1760"/>
    <cellStyle name="_Q2PricingMatrixv4.24-06172004_September 2011 Cap Ex New 10.24.11 wMatts Changes" xfId="1761"/>
    <cellStyle name="_Q2PricingMatrixv4.24-06172004_Sheet3" xfId="1762"/>
    <cellStyle name="_Q2PricingMatrixv4.24-06172004_Staples Expenses Jun - Dec_06.30.11" xfId="1763"/>
    <cellStyle name="_Q2PricingMatrixv4.24-06172004_VPEP 10.19.10" xfId="1764"/>
    <cellStyle name="_Q2PricingMatrixv4.24-06172004_vpep allocation for forecast" xfId="1765"/>
    <cellStyle name="_Q2PricingMatrixv4.24-06172004_vpep allocation for forecast 2" xfId="1766"/>
    <cellStyle name="_Q2PricingMatrixv4.24-06172004_vpep allocation for forecast_WA june stmts" xfId="1767"/>
    <cellStyle name="_Q2PricingMatrixv4.24-06172004_vpep allocation for forecast_WA p&amp;l may" xfId="1768"/>
    <cellStyle name="_Q2PricingMatrixv4.24-06172004_WA june stmts" xfId="1769"/>
    <cellStyle name="_Q2PricingMatrixv4.24-06172004_WA p&amp;l may" xfId="1770"/>
    <cellStyle name="_Q2PricingMatrixv4.24-06182004" xfId="1771"/>
    <cellStyle name="_Q2PricingMatrixv4.24-06182004 2" xfId="1772"/>
    <cellStyle name="_Q2PricingMatrixv4.24-06182004 2 2" xfId="1773"/>
    <cellStyle name="_Q2PricingMatrixv4.24-06182004 2_AT&amp;T" xfId="1774"/>
    <cellStyle name="_Q2PricingMatrixv4.24-06182004 2_August Rebate Expense - 07.24.11" xfId="1775"/>
    <cellStyle name="_Q2PricingMatrixv4.24-06182004 2_Carrier Margin v Prior Update" xfId="1776"/>
    <cellStyle name="_Q2PricingMatrixv4.24-06182004 2_HD 10.3" xfId="1777"/>
    <cellStyle name="_Q2PricingMatrixv4.24-06182004 2_HD 10.3 2" xfId="1778"/>
    <cellStyle name="_Q2PricingMatrixv4.24-06182004 2_HD 10.3_AT&amp;T" xfId="1779"/>
    <cellStyle name="_Q2PricingMatrixv4.24-06182004 2_HD 10.3_August Rebate Expense - 07.24.11" xfId="1780"/>
    <cellStyle name="_Q2PricingMatrixv4.24-06182004 2_HD 10.3_Carrier Margin v Prior Update" xfId="1781"/>
    <cellStyle name="_Q2PricingMatrixv4.24-06182004 2_HD 10.3_HD 6.01" xfId="1782"/>
    <cellStyle name="_Q2PricingMatrixv4.24-06182004 2_HD 10.3_June Rebate Expense - 05.24.11" xfId="1783"/>
    <cellStyle name="_Q2PricingMatrixv4.24-06182004 2_HD 10.3_June Rebate Expense - 06.13.11" xfId="1784"/>
    <cellStyle name="_Q2PricingMatrixv4.24-06182004 2_HD 10.3_June Rebate Expense - 06.20.11_nextlap" xfId="1785"/>
    <cellStyle name="_Q2PricingMatrixv4.24-06182004 2_HD 10.3_June Rebate Expense - 06.30.11_Prelim" xfId="1786"/>
    <cellStyle name="_Q2PricingMatrixv4.24-06182004 2_HD 10.3_June Rebate Expense - 07.06.11_Prelim_Forecast" xfId="1787"/>
    <cellStyle name="_Q2PricingMatrixv4.24-06182004 2_HD 10.3_June Request_05 20 11" xfId="1788"/>
    <cellStyle name="_Q2PricingMatrixv4.24-06182004 2_HD 10.3_March Rebate Expense - 02.25.11" xfId="1789"/>
    <cellStyle name="_Q2PricingMatrixv4.24-06182004 2_HD 10.3_March Rebate Expense - 03.04.11" xfId="1790"/>
    <cellStyle name="_Q2PricingMatrixv4.24-06182004 2_HD 10.3_May Rebate Expense - 04.27.11_wks" xfId="1791"/>
    <cellStyle name="_Q2PricingMatrixv4.24-06182004 2_HD 10.3_May Rebate Expense - 05.09.11" xfId="1792"/>
    <cellStyle name="_Q2PricingMatrixv4.24-06182004 2_HD 10.3_May Rebate Expense - 05.16.11" xfId="1793"/>
    <cellStyle name="_Q2PricingMatrixv4.24-06182004 2_HD 10.3_May Rebate Expense - 05.23.11_nextlap" xfId="1794"/>
    <cellStyle name="_Q2PricingMatrixv4.24-06182004 2_HD 10.3_May Rebate Expense - 05.31.11_Final" xfId="1795"/>
    <cellStyle name="_Q2PricingMatrixv4.24-06182004 2_HD 10.3_November Skus" xfId="1796"/>
    <cellStyle name="_Q2PricingMatrixv4.24-06182004 2_HD 10.3_October Rebate Expense - 10.10.11" xfId="1797"/>
    <cellStyle name="_Q2PricingMatrixv4.24-06182004 2_HD 10.3_Per Unit" xfId="1798"/>
    <cellStyle name="_Q2PricingMatrixv4.24-06182004 2_HD 10.3_September Rebate Expense - 09.12.11" xfId="1799"/>
    <cellStyle name="_Q2PricingMatrixv4.24-06182004 2_HD 10.3_T-Mobile" xfId="1800"/>
    <cellStyle name="_Q2PricingMatrixv4.24-06182004 2_HD 10.3_Verizon" xfId="1801"/>
    <cellStyle name="_Q2PricingMatrixv4.24-06182004 2_HD 6.01" xfId="1802"/>
    <cellStyle name="_Q2PricingMatrixv4.24-06182004 2_June Rebate Expense - 05.24.11" xfId="1803"/>
    <cellStyle name="_Q2PricingMatrixv4.24-06182004 2_June Rebate Expense - 06.13.11" xfId="1804"/>
    <cellStyle name="_Q2PricingMatrixv4.24-06182004 2_June Rebate Expense - 06.20.11_nextlap" xfId="1805"/>
    <cellStyle name="_Q2PricingMatrixv4.24-06182004 2_June Rebate Expense - 06.30.11_Prelim" xfId="1806"/>
    <cellStyle name="_Q2PricingMatrixv4.24-06182004 2_June Rebate Expense - 07.06.11_Prelim_Forecast" xfId="1807"/>
    <cellStyle name="_Q2PricingMatrixv4.24-06182004 2_June Request_05 20 11" xfId="1808"/>
    <cellStyle name="_Q2PricingMatrixv4.24-06182004 2_March Rebate Expense - 02.25.11" xfId="1809"/>
    <cellStyle name="_Q2PricingMatrixv4.24-06182004 2_March Rebate Expense - 03.04.11" xfId="1810"/>
    <cellStyle name="_Q2PricingMatrixv4.24-06182004 2_May Rebate Expense - 04.27.11_wks" xfId="1811"/>
    <cellStyle name="_Q2PricingMatrixv4.24-06182004 2_May Rebate Expense - 05.09.11" xfId="1812"/>
    <cellStyle name="_Q2PricingMatrixv4.24-06182004 2_May Rebate Expense - 05.16.11" xfId="1813"/>
    <cellStyle name="_Q2PricingMatrixv4.24-06182004 2_May Rebate Expense - 05.23.11_nextlap" xfId="1814"/>
    <cellStyle name="_Q2PricingMatrixv4.24-06182004 2_May Rebate Expense - 05.31.11_Final" xfId="1815"/>
    <cellStyle name="_Q2PricingMatrixv4.24-06182004 2_November Skus" xfId="1816"/>
    <cellStyle name="_Q2PricingMatrixv4.24-06182004 2_October Rebate Expense - 10.10.11" xfId="1817"/>
    <cellStyle name="_Q2PricingMatrixv4.24-06182004 2_Per Unit" xfId="1818"/>
    <cellStyle name="_Q2PricingMatrixv4.24-06182004 2_September Rebate Expense - 09.12.11" xfId="1819"/>
    <cellStyle name="_Q2PricingMatrixv4.24-06182004 2_T-Mobile" xfId="1820"/>
    <cellStyle name="_Q2PricingMatrixv4.24-06182004 2_Verizon" xfId="1821"/>
    <cellStyle name="_Q2PricingMatrixv4.24-06182004 2_WA june stmts" xfId="1822"/>
    <cellStyle name="_Q2PricingMatrixv4.24-06182004 2_WA p&amp;l may" xfId="1823"/>
    <cellStyle name="_Q2PricingMatrixv4.24-06182004 3" xfId="1824"/>
    <cellStyle name="_Q2PricingMatrixv4.24-06182004 3 2" xfId="1825"/>
    <cellStyle name="_Q2PricingMatrixv4.24-06182004 3 2 2" xfId="1826"/>
    <cellStyle name="_Q2PricingMatrixv4.24-06182004 3 2_WA june stmts" xfId="1827"/>
    <cellStyle name="_Q2PricingMatrixv4.24-06182004 3 2_WA p&amp;l may" xfId="1828"/>
    <cellStyle name="_Q2PricingMatrixv4.24-06182004 3 3" xfId="1829"/>
    <cellStyle name="_Q2PricingMatrixv4.24-06182004 3_WA june stmts" xfId="1830"/>
    <cellStyle name="_Q2PricingMatrixv4.24-06182004 3_WA p&amp;l may" xfId="1831"/>
    <cellStyle name="_Q2PricingMatrixv4.24-06182004 4" xfId="1832"/>
    <cellStyle name="_Q2PricingMatrixv4.24-06182004 4 2" xfId="1833"/>
    <cellStyle name="_Q2PricingMatrixv4.24-06182004 4_WA june stmts" xfId="1834"/>
    <cellStyle name="_Q2PricingMatrixv4.24-06182004 4_WA p&amp;l may" xfId="1835"/>
    <cellStyle name="_Q2PricingMatrixv4.24-06182004 5" xfId="1836"/>
    <cellStyle name="_Q2PricingMatrixv4.24-06182004 6" xfId="1837"/>
    <cellStyle name="_Q2PricingMatrixv4.24-06182004_2010 Budget Supplement Slides_1.15.10" xfId="1838"/>
    <cellStyle name="_Q2PricingMatrixv4.24-06182004_2010 Forecast Update - Sept 15th - Q3_Updated 09 13 10" xfId="1839"/>
    <cellStyle name="_Q2PricingMatrixv4.24-06182004_2010 Forecast Update - Sept 15th - Q3_Updated 09 13 10 2" xfId="1840"/>
    <cellStyle name="_Q2PricingMatrixv4.24-06182004_2010 Forecast Update - Sept 15th - Q3_Updated 09 13 10_WA june stmts" xfId="1841"/>
    <cellStyle name="_Q2PricingMatrixv4.24-06182004_2010 Forecast Update - Sept 15th - Q3_Updated 09 13 10_WA p&amp;l may" xfId="1842"/>
    <cellStyle name="_Q2PricingMatrixv4.24-06182004_2011 Ad to Sales 11 26 10" xfId="1843"/>
    <cellStyle name="_Q2PricingMatrixv4.24-06182004_2011 Ad to Sales 11 26 10 2" xfId="1844"/>
    <cellStyle name="_Q2PricingMatrixv4.24-06182004_2011 Ad to Sales 11 26 10_WA june stmts" xfId="1845"/>
    <cellStyle name="_Q2PricingMatrixv4.24-06182004_2011 Ad to Sales 11 26 10_WA p&amp;l may" xfId="1846"/>
    <cellStyle name="_Q2PricingMatrixv4.24-06182004_2011 Admin Pyrl 9 ovr 9 rollforward 12 08 10 RJ" xfId="1847"/>
    <cellStyle name="_Q2PricingMatrixv4.24-06182004_2011 Budget EBITDA High Level_11.18.2010" xfId="1848"/>
    <cellStyle name="_Q2PricingMatrixv4.24-06182004_2011 Budget EBITDA High Level_11.18.2010 2" xfId="1849"/>
    <cellStyle name="_Q2PricingMatrixv4.24-06182004_2011 Budget EBITDA High Level_11.18.2010_Cap Ex Summary8 12 11update" xfId="1850"/>
    <cellStyle name="_Q2PricingMatrixv4.24-06182004_2011 Budget EBITDA High Level_11.18.2010_WA june stmts" xfId="1851"/>
    <cellStyle name="_Q2PricingMatrixv4.24-06182004_2011 Budget EBITDA High Level_11.18.2010_WA p&amp;l may" xfId="1852"/>
    <cellStyle name="_Q2PricingMatrixv4.24-06182004_2011 Budget Margin Meeting Slides_11.5.2010_FINALupdated Tracker" xfId="1853"/>
    <cellStyle name="_Q2PricingMatrixv4.24-06182004_2011 Budget Presentation_CC_11 17 10TG" xfId="1854"/>
    <cellStyle name="_Q2PricingMatrixv4.24-06182004_2011 Budget Slides" xfId="1855"/>
    <cellStyle name="_Q2PricingMatrixv4.24-06182004_2011 Expense Budget summary" xfId="1856"/>
    <cellStyle name="_Q2PricingMatrixv4.24-06182004_2011 MARCH GERS UPLOAD - ROLL-UP" xfId="1857"/>
    <cellStyle name="_Q2PricingMatrixv4.24-06182004_2011 MARCH GERS UPLOAD - ROLL-UP 2" xfId="1858"/>
    <cellStyle name="_Q2PricingMatrixv4.24-06182004_2011 MARCH GERS UPLOAD - ROLL-UP 2 2" xfId="1859"/>
    <cellStyle name="_Q2PricingMatrixv4.24-06182004_2011 MARCH GERS UPLOAD - ROLL-UP 2_WA june stmts" xfId="1860"/>
    <cellStyle name="_Q2PricingMatrixv4.24-06182004_2011 MARCH GERS UPLOAD - ROLL-UP 2_WA p&amp;l may" xfId="1861"/>
    <cellStyle name="_Q2PricingMatrixv4.24-06182004_2011 MARCH GERS UPLOAD - ROLL-UP 3" xfId="1862"/>
    <cellStyle name="_Q2PricingMatrixv4.24-06182004_2011 MARCH GERS UPLOAD - ROLL-UP 3 2" xfId="1863"/>
    <cellStyle name="_Q2PricingMatrixv4.24-06182004_2011 MARCH GERS UPLOAD - ROLL-UP 3_WA june stmts" xfId="1864"/>
    <cellStyle name="_Q2PricingMatrixv4.24-06182004_2011 MARCH GERS UPLOAD - ROLL-UP 3_WA p&amp;l may" xfId="1865"/>
    <cellStyle name="_Q2PricingMatrixv4.24-06182004_2011 MARCH GERS UPLOAD - ROLL-UP 4" xfId="1866"/>
    <cellStyle name="_Q2PricingMatrixv4.24-06182004_2011 MARCH GERS UPLOAD - ROLL-UP_maycto" xfId="1867"/>
    <cellStyle name="_Q2PricingMatrixv4.24-06182004_2011 MARCH GERS UPLOAD - ROLL-UP_maycto 2" xfId="1868"/>
    <cellStyle name="_Q2PricingMatrixv4.24-06182004_2011 MARCH GERS UPLOAD - ROLL-UP_maycto_WA june stmts" xfId="1869"/>
    <cellStyle name="_Q2PricingMatrixv4.24-06182004_2011 MARCH GERS UPLOAD - ROLL-UP_maycto_WA p&amp;l may" xfId="1870"/>
    <cellStyle name="_Q2PricingMatrixv4.24-06182004_2011 MARCH GERS UPLOAD - ROLL-UP_WA june stmts" xfId="1871"/>
    <cellStyle name="_Q2PricingMatrixv4.24-06182004_2011 MARCH GERS UPLOAD - ROLL-UP_WA p&amp;l may" xfId="1872"/>
    <cellStyle name="_Q2PricingMatrixv4.24-06182004_2011 Proforma_11.17.10" xfId="1873"/>
    <cellStyle name="_Q2PricingMatrixv4.24-06182004_2011CashflowBudget(Execsummary)" xfId="1874"/>
    <cellStyle name="_Q2PricingMatrixv4.24-06182004_2011February Forecast Feb 18 RJ adjusted feb 21" xfId="1875"/>
    <cellStyle name="_Q2PricingMatrixv4.24-06182004_2012 Cap Ex Project Numbers" xfId="1876"/>
    <cellStyle name="_Q2PricingMatrixv4.24-06182004_2012 Cap Ex Template" xfId="1877"/>
    <cellStyle name="_Q2PricingMatrixv4.24-06182004_9112 - Information Center - IS" xfId="1878"/>
    <cellStyle name="_Q2PricingMatrixv4.24-06182004_9124 - Technical Services - TS" xfId="1879"/>
    <cellStyle name="_Q2PricingMatrixv4.24-06182004_August 2011 Cap Ex" xfId="1880"/>
    <cellStyle name="_Q2PricingMatrixv4.24-06182004_Cap Ex Summary8 12 11update" xfId="1881"/>
    <cellStyle name="_Q2PricingMatrixv4.24-06182004_Copy of 2011 April forecast EOM May 2" xfId="1882"/>
    <cellStyle name="_Q2PricingMatrixv4.24-06182004_Copy of 2012 Headcount Summary 10.04.11" xfId="1883"/>
    <cellStyle name="_Q2PricingMatrixv4.24-06182004_Copy of IT adm headcount add assessment nov 26 2010" xfId="1884"/>
    <cellStyle name="_Q2PricingMatrixv4.24-06182004_Copy of IT adm headcount add assessment nov 26 2010 2" xfId="1885"/>
    <cellStyle name="_Q2PricingMatrixv4.24-06182004_Copy of IT adm headcount add assessment nov 26 2010_WA june stmts" xfId="1886"/>
    <cellStyle name="_Q2PricingMatrixv4.24-06182004_Copy of IT adm headcount add assessment nov 26 2010_WA p&amp;l may" xfId="1887"/>
    <cellStyle name="_Q2PricingMatrixv4.24-06182004_CTFY11EnterpriseTechnology Budget" xfId="1888"/>
    <cellStyle name="_Q2PricingMatrixv4.24-06182004_DB info request for FY 2010 vendor summit" xfId="1889"/>
    <cellStyle name="_Q2PricingMatrixv4.24-06182004_DB info request for FY 2010 vendor summit 2" xfId="1890"/>
    <cellStyle name="_Q2PricingMatrixv4.24-06182004_DB info request for FY 2010 vendor summit_WA june stmts" xfId="1891"/>
    <cellStyle name="_Q2PricingMatrixv4.24-06182004_DB info request for FY 2010 vendor summit_WA p&amp;l may" xfId="1892"/>
    <cellStyle name="_Q2PricingMatrixv4.24-06182004_December 2011 Cap Ex 01.27.11" xfId="1893"/>
    <cellStyle name="_Q2PricingMatrixv4.24-06182004_December 2011 Cap Ex 01.27.11_1" xfId="1894"/>
    <cellStyle name="_Q2PricingMatrixv4.24-06182004_February Ecommerce Rebate Expense - 02.22.11" xfId="1895"/>
    <cellStyle name="_Q2PricingMatrixv4.24-06182004_February Ecommerce Rebate Expense - 02.22.11_June Request_05 20 11" xfId="1896"/>
    <cellStyle name="_Q2PricingMatrixv4.24-06182004_Field Payroll 2011 Budget Workbook" xfId="1897"/>
    <cellStyle name="_Q2PricingMatrixv4.24-06182004_Jul" xfId="1898"/>
    <cellStyle name="_Q2PricingMatrixv4.24-06182004_Jul 2" xfId="1899"/>
    <cellStyle name="_Q2PricingMatrixv4.24-06182004_Jul_2011 Budget Presentation_CC_11 17 10TG" xfId="1900"/>
    <cellStyle name="_Q2PricingMatrixv4.24-06182004_Jul_2011 Budget Slides" xfId="1901"/>
    <cellStyle name="_Q2PricingMatrixv4.24-06182004_Jul_2011 Budget Slides Package_02 21 11" xfId="1902"/>
    <cellStyle name="_Q2PricingMatrixv4.24-06182004_Jul_2011 Proforma_11.17.10" xfId="1903"/>
    <cellStyle name="_Q2PricingMatrixv4.24-06182004_Jul_Cap Ex Summary8 12 11update" xfId="1904"/>
    <cellStyle name="_Q2PricingMatrixv4.24-06182004_Jul_June Ecommerce Rebate Expense - 05.24.11" xfId="1905"/>
    <cellStyle name="_Q2PricingMatrixv4.24-06182004_Jul_June Request_05 20 11" xfId="1906"/>
    <cellStyle name="_Q2PricingMatrixv4.24-06182004_Jul_WA june stmts" xfId="1907"/>
    <cellStyle name="_Q2PricingMatrixv4.24-06182004_Jul_WA p&amp;l may" xfId="1908"/>
    <cellStyle name="_Q2PricingMatrixv4.24-06182004_July VPEP FINAL 8.17.2012_AB &amp; SL adjustments_used for July GL close" xfId="1909"/>
    <cellStyle name="_Q2PricingMatrixv4.24-06182004_June VPEP 7.16.12 FINAL used for June GL close revised July 30, 2012" xfId="1910"/>
    <cellStyle name="_Q2PricingMatrixv4.24-06182004_March Rebate Expense - 02.22.11" xfId="1911"/>
    <cellStyle name="_Q2PricingMatrixv4.24-06182004_May Rebate Expense - 05.31.11_Final" xfId="1912"/>
    <cellStyle name="_Q2PricingMatrixv4.24-06182004_maycto" xfId="1913"/>
    <cellStyle name="_Q2PricingMatrixv4.24-06182004_maycto 2" xfId="1914"/>
    <cellStyle name="_Q2PricingMatrixv4.24-06182004_maycto_WA june stmts" xfId="1915"/>
    <cellStyle name="_Q2PricingMatrixv4.24-06182004_maycto_WA p&amp;l may" xfId="1916"/>
    <cellStyle name="_Q2PricingMatrixv4.24-06182004_October 2011 Cap Ex 11.17.11 wMatt Adj" xfId="1917"/>
    <cellStyle name="_Q2PricingMatrixv4.24-06182004_Q3 2010 BOD Slides_11.10.10" xfId="1918"/>
    <cellStyle name="_Q2PricingMatrixv4.24-06182004_Q4 AAFES P&amp;L_10.11.2010" xfId="1919"/>
    <cellStyle name="_Q2PricingMatrixv4.24-06182004_Q4 AAFES P&amp;L_10.11.2010 2" xfId="1920"/>
    <cellStyle name="_Q2PricingMatrixv4.24-06182004_Q4 AAFES P&amp;L_10.11.2010_Cap Ex Summary8 12 11update" xfId="1921"/>
    <cellStyle name="_Q2PricingMatrixv4.24-06182004_Q4 AAFES P&amp;L_10.11.2010_WA june stmts" xfId="1922"/>
    <cellStyle name="_Q2PricingMatrixv4.24-06182004_Q4 AAFES P&amp;L_10.11.2010_WA p&amp;l may" xfId="1923"/>
    <cellStyle name="_Q2PricingMatrixv4.24-06182004_Sep" xfId="1924"/>
    <cellStyle name="_Q2PricingMatrixv4.24-06182004_Sep 2" xfId="1925"/>
    <cellStyle name="_Q2PricingMatrixv4.24-06182004_Sep_2011 Budget Presentation_CC_11 17 10TG" xfId="1926"/>
    <cellStyle name="_Q2PricingMatrixv4.24-06182004_Sep_2011 Budget Slides" xfId="1927"/>
    <cellStyle name="_Q2PricingMatrixv4.24-06182004_Sep_2011 Budget Slides Package_02 21 11" xfId="1928"/>
    <cellStyle name="_Q2PricingMatrixv4.24-06182004_Sep_2011 Proforma_11.17.10" xfId="1929"/>
    <cellStyle name="_Q2PricingMatrixv4.24-06182004_Sep_Cap Ex Summary8 12 11update" xfId="1930"/>
    <cellStyle name="_Q2PricingMatrixv4.24-06182004_Sep_June Ecommerce Rebate Expense - 05.24.11" xfId="1931"/>
    <cellStyle name="_Q2PricingMatrixv4.24-06182004_Sep_June Request_05 20 11" xfId="1932"/>
    <cellStyle name="_Q2PricingMatrixv4.24-06182004_Sep_WA june stmts" xfId="1933"/>
    <cellStyle name="_Q2PricingMatrixv4.24-06182004_Sep_WA p&amp;l may" xfId="1934"/>
    <cellStyle name="_Q2PricingMatrixv4.24-06182004_September 2011 Cap Ex New 10.24.11 wMatts Changes" xfId="1935"/>
    <cellStyle name="_Q2PricingMatrixv4.24-06182004_Sheet3" xfId="1936"/>
    <cellStyle name="_Q2PricingMatrixv4.24-06182004_Staples Expenses Jun - Dec_06.30.11" xfId="1937"/>
    <cellStyle name="_Q2PricingMatrixv4.24-06182004_VPEP 10.19.10" xfId="1938"/>
    <cellStyle name="_Q2PricingMatrixv4.24-06182004_vpep allocation for forecast" xfId="1939"/>
    <cellStyle name="_Q2PricingMatrixv4.24-06182004_vpep allocation for forecast 2" xfId="1940"/>
    <cellStyle name="_Q2PricingMatrixv4.24-06182004_vpep allocation for forecast_WA june stmts" xfId="1941"/>
    <cellStyle name="_Q2PricingMatrixv4.24-06182004_vpep allocation for forecast_WA p&amp;l may" xfId="1942"/>
    <cellStyle name="_Q2PricingMatrixv4.24-06182004_WA june stmts" xfId="1943"/>
    <cellStyle name="_Q2PricingMatrixv4.24-06182004_WA p&amp;l may" xfId="1944"/>
    <cellStyle name="_Q2PricingMatrixv4.24-06232004" xfId="1945"/>
    <cellStyle name="_Q2PricingMatrixv4.24-06232004 2" xfId="1946"/>
    <cellStyle name="_Q2PricingMatrixv4.24-06232004 2 2" xfId="1947"/>
    <cellStyle name="_Q2PricingMatrixv4.24-06232004 2_AT&amp;T" xfId="1948"/>
    <cellStyle name="_Q2PricingMatrixv4.24-06232004 2_August Rebate Expense - 07.24.11" xfId="1949"/>
    <cellStyle name="_Q2PricingMatrixv4.24-06232004 2_Carrier Margin v Prior Update" xfId="1950"/>
    <cellStyle name="_Q2PricingMatrixv4.24-06232004 2_HD 10.3" xfId="1951"/>
    <cellStyle name="_Q2PricingMatrixv4.24-06232004 2_HD 10.3 2" xfId="1952"/>
    <cellStyle name="_Q2PricingMatrixv4.24-06232004 2_HD 10.3_AT&amp;T" xfId="1953"/>
    <cellStyle name="_Q2PricingMatrixv4.24-06232004 2_HD 10.3_August Rebate Expense - 07.24.11" xfId="1954"/>
    <cellStyle name="_Q2PricingMatrixv4.24-06232004 2_HD 10.3_Carrier Margin v Prior Update" xfId="1955"/>
    <cellStyle name="_Q2PricingMatrixv4.24-06232004 2_HD 10.3_HD 6.01" xfId="1956"/>
    <cellStyle name="_Q2PricingMatrixv4.24-06232004 2_HD 10.3_June Rebate Expense - 05.24.11" xfId="1957"/>
    <cellStyle name="_Q2PricingMatrixv4.24-06232004 2_HD 10.3_June Rebate Expense - 06.13.11" xfId="1958"/>
    <cellStyle name="_Q2PricingMatrixv4.24-06232004 2_HD 10.3_June Rebate Expense - 06.20.11_nextlap" xfId="1959"/>
    <cellStyle name="_Q2PricingMatrixv4.24-06232004 2_HD 10.3_June Rebate Expense - 06.30.11_Prelim" xfId="1960"/>
    <cellStyle name="_Q2PricingMatrixv4.24-06232004 2_HD 10.3_June Rebate Expense - 07.06.11_Prelim_Forecast" xfId="1961"/>
    <cellStyle name="_Q2PricingMatrixv4.24-06232004 2_HD 10.3_June Request_05 20 11" xfId="1962"/>
    <cellStyle name="_Q2PricingMatrixv4.24-06232004 2_HD 10.3_March Rebate Expense - 02.25.11" xfId="1963"/>
    <cellStyle name="_Q2PricingMatrixv4.24-06232004 2_HD 10.3_March Rebate Expense - 03.04.11" xfId="1964"/>
    <cellStyle name="_Q2PricingMatrixv4.24-06232004 2_HD 10.3_May Rebate Expense - 04.27.11_wks" xfId="1965"/>
    <cellStyle name="_Q2PricingMatrixv4.24-06232004 2_HD 10.3_May Rebate Expense - 05.09.11" xfId="1966"/>
    <cellStyle name="_Q2PricingMatrixv4.24-06232004 2_HD 10.3_May Rebate Expense - 05.16.11" xfId="1967"/>
    <cellStyle name="_Q2PricingMatrixv4.24-06232004 2_HD 10.3_May Rebate Expense - 05.23.11_nextlap" xfId="1968"/>
    <cellStyle name="_Q2PricingMatrixv4.24-06232004 2_HD 10.3_May Rebate Expense - 05.31.11_Final" xfId="1969"/>
    <cellStyle name="_Q2PricingMatrixv4.24-06232004 2_HD 10.3_November Skus" xfId="1970"/>
    <cellStyle name="_Q2PricingMatrixv4.24-06232004 2_HD 10.3_October Rebate Expense - 10.10.11" xfId="1971"/>
    <cellStyle name="_Q2PricingMatrixv4.24-06232004 2_HD 10.3_Per Unit" xfId="1972"/>
    <cellStyle name="_Q2PricingMatrixv4.24-06232004 2_HD 10.3_September Rebate Expense - 09.12.11" xfId="1973"/>
    <cellStyle name="_Q2PricingMatrixv4.24-06232004 2_HD 10.3_T-Mobile" xfId="1974"/>
    <cellStyle name="_Q2PricingMatrixv4.24-06232004 2_HD 10.3_Verizon" xfId="1975"/>
    <cellStyle name="_Q2PricingMatrixv4.24-06232004 2_HD 6.01" xfId="1976"/>
    <cellStyle name="_Q2PricingMatrixv4.24-06232004 2_June Rebate Expense - 05.24.11" xfId="1977"/>
    <cellStyle name="_Q2PricingMatrixv4.24-06232004 2_June Rebate Expense - 06.13.11" xfId="1978"/>
    <cellStyle name="_Q2PricingMatrixv4.24-06232004 2_June Rebate Expense - 06.20.11_nextlap" xfId="1979"/>
    <cellStyle name="_Q2PricingMatrixv4.24-06232004 2_June Rebate Expense - 06.30.11_Prelim" xfId="1980"/>
    <cellStyle name="_Q2PricingMatrixv4.24-06232004 2_June Rebate Expense - 07.06.11_Prelim_Forecast" xfId="1981"/>
    <cellStyle name="_Q2PricingMatrixv4.24-06232004 2_June Request_05 20 11" xfId="1982"/>
    <cellStyle name="_Q2PricingMatrixv4.24-06232004 2_March Rebate Expense - 02.25.11" xfId="1983"/>
    <cellStyle name="_Q2PricingMatrixv4.24-06232004 2_March Rebate Expense - 03.04.11" xfId="1984"/>
    <cellStyle name="_Q2PricingMatrixv4.24-06232004 2_May Rebate Expense - 04.27.11_wks" xfId="1985"/>
    <cellStyle name="_Q2PricingMatrixv4.24-06232004 2_May Rebate Expense - 05.09.11" xfId="1986"/>
    <cellStyle name="_Q2PricingMatrixv4.24-06232004 2_May Rebate Expense - 05.16.11" xfId="1987"/>
    <cellStyle name="_Q2PricingMatrixv4.24-06232004 2_May Rebate Expense - 05.23.11_nextlap" xfId="1988"/>
    <cellStyle name="_Q2PricingMatrixv4.24-06232004 2_May Rebate Expense - 05.31.11_Final" xfId="1989"/>
    <cellStyle name="_Q2PricingMatrixv4.24-06232004 2_November Skus" xfId="1990"/>
    <cellStyle name="_Q2PricingMatrixv4.24-06232004 2_October Rebate Expense - 10.10.11" xfId="1991"/>
    <cellStyle name="_Q2PricingMatrixv4.24-06232004 2_Per Unit" xfId="1992"/>
    <cellStyle name="_Q2PricingMatrixv4.24-06232004 2_September Rebate Expense - 09.12.11" xfId="1993"/>
    <cellStyle name="_Q2PricingMatrixv4.24-06232004 2_T-Mobile" xfId="1994"/>
    <cellStyle name="_Q2PricingMatrixv4.24-06232004 2_Verizon" xfId="1995"/>
    <cellStyle name="_Q2PricingMatrixv4.24-06232004 2_WA june stmts" xfId="1996"/>
    <cellStyle name="_Q2PricingMatrixv4.24-06232004 2_WA p&amp;l may" xfId="1997"/>
    <cellStyle name="_Q2PricingMatrixv4.24-06232004 3" xfId="1998"/>
    <cellStyle name="_Q2PricingMatrixv4.24-06232004 3 2" xfId="1999"/>
    <cellStyle name="_Q2PricingMatrixv4.24-06232004 3 2 2" xfId="2000"/>
    <cellStyle name="_Q2PricingMatrixv4.24-06232004 3 2_WA june stmts" xfId="2001"/>
    <cellStyle name="_Q2PricingMatrixv4.24-06232004 3 2_WA p&amp;l may" xfId="2002"/>
    <cellStyle name="_Q2PricingMatrixv4.24-06232004 3 3" xfId="2003"/>
    <cellStyle name="_Q2PricingMatrixv4.24-06232004 3_WA june stmts" xfId="2004"/>
    <cellStyle name="_Q2PricingMatrixv4.24-06232004 3_WA p&amp;l may" xfId="2005"/>
    <cellStyle name="_Q2PricingMatrixv4.24-06232004 4" xfId="2006"/>
    <cellStyle name="_Q2PricingMatrixv4.24-06232004 4 2" xfId="2007"/>
    <cellStyle name="_Q2PricingMatrixv4.24-06232004 4_WA june stmts" xfId="2008"/>
    <cellStyle name="_Q2PricingMatrixv4.24-06232004 4_WA p&amp;l may" xfId="2009"/>
    <cellStyle name="_Q2PricingMatrixv4.24-06232004 5" xfId="2010"/>
    <cellStyle name="_Q2PricingMatrixv4.24-06232004 6" xfId="2011"/>
    <cellStyle name="_Q2PricingMatrixv4.24-06232004_2010 Budget Supplement Slides_1.15.10" xfId="2012"/>
    <cellStyle name="_Q2PricingMatrixv4.24-06232004_2010 Forecast Update - Sept 15th - Q3_Updated 09 13 10" xfId="2013"/>
    <cellStyle name="_Q2PricingMatrixv4.24-06232004_2010 Forecast Update - Sept 15th - Q3_Updated 09 13 10 2" xfId="2014"/>
    <cellStyle name="_Q2PricingMatrixv4.24-06232004_2010 Forecast Update - Sept 15th - Q3_Updated 09 13 10_WA june stmts" xfId="2015"/>
    <cellStyle name="_Q2PricingMatrixv4.24-06232004_2010 Forecast Update - Sept 15th - Q3_Updated 09 13 10_WA p&amp;l may" xfId="2016"/>
    <cellStyle name="_Q2PricingMatrixv4.24-06232004_2011 Ad to Sales 11 26 10" xfId="2017"/>
    <cellStyle name="_Q2PricingMatrixv4.24-06232004_2011 Ad to Sales 11 26 10 2" xfId="2018"/>
    <cellStyle name="_Q2PricingMatrixv4.24-06232004_2011 Ad to Sales 11 26 10_WA june stmts" xfId="2019"/>
    <cellStyle name="_Q2PricingMatrixv4.24-06232004_2011 Ad to Sales 11 26 10_WA p&amp;l may" xfId="2020"/>
    <cellStyle name="_Q2PricingMatrixv4.24-06232004_2011 Admin Pyrl 9 ovr 9 rollforward 12 08 10 RJ" xfId="2021"/>
    <cellStyle name="_Q2PricingMatrixv4.24-06232004_2011 Budget EBITDA High Level_11.18.2010" xfId="2022"/>
    <cellStyle name="_Q2PricingMatrixv4.24-06232004_2011 Budget EBITDA High Level_11.18.2010 2" xfId="2023"/>
    <cellStyle name="_Q2PricingMatrixv4.24-06232004_2011 Budget EBITDA High Level_11.18.2010_Cap Ex Summary8 12 11update" xfId="2024"/>
    <cellStyle name="_Q2PricingMatrixv4.24-06232004_2011 Budget EBITDA High Level_11.18.2010_WA june stmts" xfId="2025"/>
    <cellStyle name="_Q2PricingMatrixv4.24-06232004_2011 Budget EBITDA High Level_11.18.2010_WA p&amp;l may" xfId="2026"/>
    <cellStyle name="_Q2PricingMatrixv4.24-06232004_2011 Budget Margin Meeting Slides_11.5.2010_FINALupdated Tracker" xfId="2027"/>
    <cellStyle name="_Q2PricingMatrixv4.24-06232004_2011 Budget Presentation_CC_11 17 10TG" xfId="2028"/>
    <cellStyle name="_Q2PricingMatrixv4.24-06232004_2011 Budget Slides" xfId="2029"/>
    <cellStyle name="_Q2PricingMatrixv4.24-06232004_2011 Expense Budget summary" xfId="2030"/>
    <cellStyle name="_Q2PricingMatrixv4.24-06232004_2011 MARCH GERS UPLOAD - ROLL-UP" xfId="2031"/>
    <cellStyle name="_Q2PricingMatrixv4.24-06232004_2011 MARCH GERS UPLOAD - ROLL-UP 2" xfId="2032"/>
    <cellStyle name="_Q2PricingMatrixv4.24-06232004_2011 MARCH GERS UPLOAD - ROLL-UP 2 2" xfId="2033"/>
    <cellStyle name="_Q2PricingMatrixv4.24-06232004_2011 MARCH GERS UPLOAD - ROLL-UP 2_WA june stmts" xfId="2034"/>
    <cellStyle name="_Q2PricingMatrixv4.24-06232004_2011 MARCH GERS UPLOAD - ROLL-UP 2_WA p&amp;l may" xfId="2035"/>
    <cellStyle name="_Q2PricingMatrixv4.24-06232004_2011 MARCH GERS UPLOAD - ROLL-UP 3" xfId="2036"/>
    <cellStyle name="_Q2PricingMatrixv4.24-06232004_2011 MARCH GERS UPLOAD - ROLL-UP 3 2" xfId="2037"/>
    <cellStyle name="_Q2PricingMatrixv4.24-06232004_2011 MARCH GERS UPLOAD - ROLL-UP 3_WA june stmts" xfId="2038"/>
    <cellStyle name="_Q2PricingMatrixv4.24-06232004_2011 MARCH GERS UPLOAD - ROLL-UP 3_WA p&amp;l may" xfId="2039"/>
    <cellStyle name="_Q2PricingMatrixv4.24-06232004_2011 MARCH GERS UPLOAD - ROLL-UP 4" xfId="2040"/>
    <cellStyle name="_Q2PricingMatrixv4.24-06232004_2011 MARCH GERS UPLOAD - ROLL-UP_maycto" xfId="2041"/>
    <cellStyle name="_Q2PricingMatrixv4.24-06232004_2011 MARCH GERS UPLOAD - ROLL-UP_maycto 2" xfId="2042"/>
    <cellStyle name="_Q2PricingMatrixv4.24-06232004_2011 MARCH GERS UPLOAD - ROLL-UP_maycto_WA june stmts" xfId="2043"/>
    <cellStyle name="_Q2PricingMatrixv4.24-06232004_2011 MARCH GERS UPLOAD - ROLL-UP_maycto_WA p&amp;l may" xfId="2044"/>
    <cellStyle name="_Q2PricingMatrixv4.24-06232004_2011 MARCH GERS UPLOAD - ROLL-UP_WA june stmts" xfId="2045"/>
    <cellStyle name="_Q2PricingMatrixv4.24-06232004_2011 MARCH GERS UPLOAD - ROLL-UP_WA p&amp;l may" xfId="2046"/>
    <cellStyle name="_Q2PricingMatrixv4.24-06232004_2011 Proforma_11.17.10" xfId="2047"/>
    <cellStyle name="_Q2PricingMatrixv4.24-06232004_2011CashflowBudget(Execsummary)" xfId="2048"/>
    <cellStyle name="_Q2PricingMatrixv4.24-06232004_2011February Forecast Feb 18 RJ adjusted feb 21" xfId="2049"/>
    <cellStyle name="_Q2PricingMatrixv4.24-06232004_2012 Cap Ex Project Numbers" xfId="2050"/>
    <cellStyle name="_Q2PricingMatrixv4.24-06232004_2012 Cap Ex Template" xfId="2051"/>
    <cellStyle name="_Q2PricingMatrixv4.24-06232004_9112 - Information Center - IS" xfId="2052"/>
    <cellStyle name="_Q2PricingMatrixv4.24-06232004_9124 - Technical Services - TS" xfId="2053"/>
    <cellStyle name="_Q2PricingMatrixv4.24-06232004_August 2011 Cap Ex" xfId="2054"/>
    <cellStyle name="_Q2PricingMatrixv4.24-06232004_Cap Ex Summary8 12 11update" xfId="2055"/>
    <cellStyle name="_Q2PricingMatrixv4.24-06232004_Copy of 2011 April forecast EOM May 2" xfId="2056"/>
    <cellStyle name="_Q2PricingMatrixv4.24-06232004_Copy of 2012 Headcount Summary 10.04.11" xfId="2057"/>
    <cellStyle name="_Q2PricingMatrixv4.24-06232004_Copy of IT adm headcount add assessment nov 26 2010" xfId="2058"/>
    <cellStyle name="_Q2PricingMatrixv4.24-06232004_Copy of IT adm headcount add assessment nov 26 2010 2" xfId="2059"/>
    <cellStyle name="_Q2PricingMatrixv4.24-06232004_Copy of IT adm headcount add assessment nov 26 2010_WA june stmts" xfId="2060"/>
    <cellStyle name="_Q2PricingMatrixv4.24-06232004_Copy of IT adm headcount add assessment nov 26 2010_WA p&amp;l may" xfId="2061"/>
    <cellStyle name="_Q2PricingMatrixv4.24-06232004_CTFY11EnterpriseTechnology Budget" xfId="2062"/>
    <cellStyle name="_Q2PricingMatrixv4.24-06232004_DB info request for FY 2010 vendor summit" xfId="2063"/>
    <cellStyle name="_Q2PricingMatrixv4.24-06232004_DB info request for FY 2010 vendor summit 2" xfId="2064"/>
    <cellStyle name="_Q2PricingMatrixv4.24-06232004_DB info request for FY 2010 vendor summit_WA june stmts" xfId="2065"/>
    <cellStyle name="_Q2PricingMatrixv4.24-06232004_DB info request for FY 2010 vendor summit_WA p&amp;l may" xfId="2066"/>
    <cellStyle name="_Q2PricingMatrixv4.24-06232004_December 2011 Cap Ex 01.27.11" xfId="2067"/>
    <cellStyle name="_Q2PricingMatrixv4.24-06232004_December 2011 Cap Ex 01.27.11_1" xfId="2068"/>
    <cellStyle name="_Q2PricingMatrixv4.24-06232004_February Ecommerce Rebate Expense - 02.22.11" xfId="2069"/>
    <cellStyle name="_Q2PricingMatrixv4.24-06232004_February Ecommerce Rebate Expense - 02.22.11_June Request_05 20 11" xfId="2070"/>
    <cellStyle name="_Q2PricingMatrixv4.24-06232004_Field Payroll 2011 Budget Workbook" xfId="2071"/>
    <cellStyle name="_Q2PricingMatrixv4.24-06232004_Jul" xfId="2072"/>
    <cellStyle name="_Q2PricingMatrixv4.24-06232004_Jul 2" xfId="2073"/>
    <cellStyle name="_Q2PricingMatrixv4.24-06232004_Jul_2011 Budget Presentation_CC_11 17 10TG" xfId="2074"/>
    <cellStyle name="_Q2PricingMatrixv4.24-06232004_Jul_2011 Budget Slides" xfId="2075"/>
    <cellStyle name="_Q2PricingMatrixv4.24-06232004_Jul_2011 Budget Slides Package_02 21 11" xfId="2076"/>
    <cellStyle name="_Q2PricingMatrixv4.24-06232004_Jul_2011 Proforma_11.17.10" xfId="2077"/>
    <cellStyle name="_Q2PricingMatrixv4.24-06232004_Jul_Cap Ex Summary8 12 11update" xfId="2078"/>
    <cellStyle name="_Q2PricingMatrixv4.24-06232004_Jul_June Ecommerce Rebate Expense - 05.24.11" xfId="2079"/>
    <cellStyle name="_Q2PricingMatrixv4.24-06232004_Jul_June Request_05 20 11" xfId="2080"/>
    <cellStyle name="_Q2PricingMatrixv4.24-06232004_Jul_WA june stmts" xfId="2081"/>
    <cellStyle name="_Q2PricingMatrixv4.24-06232004_Jul_WA p&amp;l may" xfId="2082"/>
    <cellStyle name="_Q2PricingMatrixv4.24-06232004_July VPEP FINAL 8.17.2012_AB &amp; SL adjustments_used for July GL close" xfId="2083"/>
    <cellStyle name="_Q2PricingMatrixv4.24-06232004_June VPEP 7.16.12 FINAL used for June GL close revised July 30, 2012" xfId="2084"/>
    <cellStyle name="_Q2PricingMatrixv4.24-06232004_March Rebate Expense - 02.22.11" xfId="2085"/>
    <cellStyle name="_Q2PricingMatrixv4.24-06232004_May Rebate Expense - 05.31.11_Final" xfId="2086"/>
    <cellStyle name="_Q2PricingMatrixv4.24-06232004_maycto" xfId="2087"/>
    <cellStyle name="_Q2PricingMatrixv4.24-06232004_maycto 2" xfId="2088"/>
    <cellStyle name="_Q2PricingMatrixv4.24-06232004_maycto_WA june stmts" xfId="2089"/>
    <cellStyle name="_Q2PricingMatrixv4.24-06232004_maycto_WA p&amp;l may" xfId="2090"/>
    <cellStyle name="_Q2PricingMatrixv4.24-06232004_October 2011 Cap Ex 11.17.11 wMatt Adj" xfId="2091"/>
    <cellStyle name="_Q2PricingMatrixv4.24-06232004_Q3 2010 BOD Slides_11.10.10" xfId="2092"/>
    <cellStyle name="_Q2PricingMatrixv4.24-06232004_Q4 AAFES P&amp;L_10.11.2010" xfId="2093"/>
    <cellStyle name="_Q2PricingMatrixv4.24-06232004_Q4 AAFES P&amp;L_10.11.2010 2" xfId="2094"/>
    <cellStyle name="_Q2PricingMatrixv4.24-06232004_Q4 AAFES P&amp;L_10.11.2010_Cap Ex Summary8 12 11update" xfId="2095"/>
    <cellStyle name="_Q2PricingMatrixv4.24-06232004_Q4 AAFES P&amp;L_10.11.2010_WA june stmts" xfId="2096"/>
    <cellStyle name="_Q2PricingMatrixv4.24-06232004_Q4 AAFES P&amp;L_10.11.2010_WA p&amp;l may" xfId="2097"/>
    <cellStyle name="_Q2PricingMatrixv4.24-06232004_Sep" xfId="2098"/>
    <cellStyle name="_Q2PricingMatrixv4.24-06232004_Sep 2" xfId="2099"/>
    <cellStyle name="_Q2PricingMatrixv4.24-06232004_Sep_2011 Budget Presentation_CC_11 17 10TG" xfId="2100"/>
    <cellStyle name="_Q2PricingMatrixv4.24-06232004_Sep_2011 Budget Slides" xfId="2101"/>
    <cellStyle name="_Q2PricingMatrixv4.24-06232004_Sep_2011 Budget Slides Package_02 21 11" xfId="2102"/>
    <cellStyle name="_Q2PricingMatrixv4.24-06232004_Sep_2011 Proforma_11.17.10" xfId="2103"/>
    <cellStyle name="_Q2PricingMatrixv4.24-06232004_Sep_Cap Ex Summary8 12 11update" xfId="2104"/>
    <cellStyle name="_Q2PricingMatrixv4.24-06232004_Sep_June Ecommerce Rebate Expense - 05.24.11" xfId="2105"/>
    <cellStyle name="_Q2PricingMatrixv4.24-06232004_Sep_June Request_05 20 11" xfId="2106"/>
    <cellStyle name="_Q2PricingMatrixv4.24-06232004_Sep_WA june stmts" xfId="2107"/>
    <cellStyle name="_Q2PricingMatrixv4.24-06232004_Sep_WA p&amp;l may" xfId="2108"/>
    <cellStyle name="_Q2PricingMatrixv4.24-06232004_September 2011 Cap Ex New 10.24.11 wMatts Changes" xfId="2109"/>
    <cellStyle name="_Q2PricingMatrixv4.24-06232004_Sheet3" xfId="2110"/>
    <cellStyle name="_Q2PricingMatrixv4.24-06232004_Staples Expenses Jun - Dec_06.30.11" xfId="2111"/>
    <cellStyle name="_Q2PricingMatrixv4.24-06232004_VPEP 10.19.10" xfId="2112"/>
    <cellStyle name="_Q2PricingMatrixv4.24-06232004_vpep allocation for forecast" xfId="2113"/>
    <cellStyle name="_Q2PricingMatrixv4.24-06232004_vpep allocation for forecast 2" xfId="2114"/>
    <cellStyle name="_Q2PricingMatrixv4.24-06232004_vpep allocation for forecast_WA june stmts" xfId="2115"/>
    <cellStyle name="_Q2PricingMatrixv4.24-06232004_vpep allocation for forecast_WA p&amp;l may" xfId="2116"/>
    <cellStyle name="_Q2PricingMatrixv4.24-06232004_WA june stmts" xfId="2117"/>
    <cellStyle name="_Q2PricingMatrixv4.24-06232004_WA p&amp;l may" xfId="2118"/>
    <cellStyle name="_Q2PricingMatrixv4.24-06252004" xfId="2119"/>
    <cellStyle name="_Q2PricingMatrixv4.24-06252004 2" xfId="2120"/>
    <cellStyle name="_Q2PricingMatrixv4.24-06252004 2 2" xfId="2121"/>
    <cellStyle name="_Q2PricingMatrixv4.24-06252004 2_AT&amp;T" xfId="2122"/>
    <cellStyle name="_Q2PricingMatrixv4.24-06252004 2_August Rebate Expense - 07.24.11" xfId="2123"/>
    <cellStyle name="_Q2PricingMatrixv4.24-06252004 2_Carrier Margin v Prior Update" xfId="2124"/>
    <cellStyle name="_Q2PricingMatrixv4.24-06252004 2_HD 10.3" xfId="2125"/>
    <cellStyle name="_Q2PricingMatrixv4.24-06252004 2_HD 10.3 2" xfId="2126"/>
    <cellStyle name="_Q2PricingMatrixv4.24-06252004 2_HD 10.3_AT&amp;T" xfId="2127"/>
    <cellStyle name="_Q2PricingMatrixv4.24-06252004 2_HD 10.3_August Rebate Expense - 07.24.11" xfId="2128"/>
    <cellStyle name="_Q2PricingMatrixv4.24-06252004 2_HD 10.3_Carrier Margin v Prior Update" xfId="2129"/>
    <cellStyle name="_Q2PricingMatrixv4.24-06252004 2_HD 10.3_HD 6.01" xfId="2130"/>
    <cellStyle name="_Q2PricingMatrixv4.24-06252004 2_HD 10.3_June Rebate Expense - 05.24.11" xfId="2131"/>
    <cellStyle name="_Q2PricingMatrixv4.24-06252004 2_HD 10.3_June Rebate Expense - 06.13.11" xfId="2132"/>
    <cellStyle name="_Q2PricingMatrixv4.24-06252004 2_HD 10.3_June Rebate Expense - 06.20.11_nextlap" xfId="2133"/>
    <cellStyle name="_Q2PricingMatrixv4.24-06252004 2_HD 10.3_June Rebate Expense - 06.30.11_Prelim" xfId="2134"/>
    <cellStyle name="_Q2PricingMatrixv4.24-06252004 2_HD 10.3_June Rebate Expense - 07.06.11_Prelim_Forecast" xfId="2135"/>
    <cellStyle name="_Q2PricingMatrixv4.24-06252004 2_HD 10.3_June Request_05 20 11" xfId="2136"/>
    <cellStyle name="_Q2PricingMatrixv4.24-06252004 2_HD 10.3_March Rebate Expense - 02.25.11" xfId="2137"/>
    <cellStyle name="_Q2PricingMatrixv4.24-06252004 2_HD 10.3_March Rebate Expense - 03.04.11" xfId="2138"/>
    <cellStyle name="_Q2PricingMatrixv4.24-06252004 2_HD 10.3_May Rebate Expense - 04.27.11_wks" xfId="2139"/>
    <cellStyle name="_Q2PricingMatrixv4.24-06252004 2_HD 10.3_May Rebate Expense - 05.09.11" xfId="2140"/>
    <cellStyle name="_Q2PricingMatrixv4.24-06252004 2_HD 10.3_May Rebate Expense - 05.16.11" xfId="2141"/>
    <cellStyle name="_Q2PricingMatrixv4.24-06252004 2_HD 10.3_May Rebate Expense - 05.23.11_nextlap" xfId="2142"/>
    <cellStyle name="_Q2PricingMatrixv4.24-06252004 2_HD 10.3_May Rebate Expense - 05.31.11_Final" xfId="2143"/>
    <cellStyle name="_Q2PricingMatrixv4.24-06252004 2_HD 10.3_November Skus" xfId="2144"/>
    <cellStyle name="_Q2PricingMatrixv4.24-06252004 2_HD 10.3_October Rebate Expense - 10.10.11" xfId="2145"/>
    <cellStyle name="_Q2PricingMatrixv4.24-06252004 2_HD 10.3_Per Unit" xfId="2146"/>
    <cellStyle name="_Q2PricingMatrixv4.24-06252004 2_HD 10.3_September Rebate Expense - 09.12.11" xfId="2147"/>
    <cellStyle name="_Q2PricingMatrixv4.24-06252004 2_HD 10.3_T-Mobile" xfId="2148"/>
    <cellStyle name="_Q2PricingMatrixv4.24-06252004 2_HD 10.3_Verizon" xfId="2149"/>
    <cellStyle name="_Q2PricingMatrixv4.24-06252004 2_HD 6.01" xfId="2150"/>
    <cellStyle name="_Q2PricingMatrixv4.24-06252004 2_June Rebate Expense - 05.24.11" xfId="2151"/>
    <cellStyle name="_Q2PricingMatrixv4.24-06252004 2_June Rebate Expense - 06.13.11" xfId="2152"/>
    <cellStyle name="_Q2PricingMatrixv4.24-06252004 2_June Rebate Expense - 06.20.11_nextlap" xfId="2153"/>
    <cellStyle name="_Q2PricingMatrixv4.24-06252004 2_June Rebate Expense - 06.30.11_Prelim" xfId="2154"/>
    <cellStyle name="_Q2PricingMatrixv4.24-06252004 2_June Rebate Expense - 07.06.11_Prelim_Forecast" xfId="2155"/>
    <cellStyle name="_Q2PricingMatrixv4.24-06252004 2_June Request_05 20 11" xfId="2156"/>
    <cellStyle name="_Q2PricingMatrixv4.24-06252004 2_March Rebate Expense - 02.25.11" xfId="2157"/>
    <cellStyle name="_Q2PricingMatrixv4.24-06252004 2_March Rebate Expense - 03.04.11" xfId="2158"/>
    <cellStyle name="_Q2PricingMatrixv4.24-06252004 2_May Rebate Expense - 04.27.11_wks" xfId="2159"/>
    <cellStyle name="_Q2PricingMatrixv4.24-06252004 2_May Rebate Expense - 05.09.11" xfId="2160"/>
    <cellStyle name="_Q2PricingMatrixv4.24-06252004 2_May Rebate Expense - 05.16.11" xfId="2161"/>
    <cellStyle name="_Q2PricingMatrixv4.24-06252004 2_May Rebate Expense - 05.23.11_nextlap" xfId="2162"/>
    <cellStyle name="_Q2PricingMatrixv4.24-06252004 2_May Rebate Expense - 05.31.11_Final" xfId="2163"/>
    <cellStyle name="_Q2PricingMatrixv4.24-06252004 2_November Skus" xfId="2164"/>
    <cellStyle name="_Q2PricingMatrixv4.24-06252004 2_October Rebate Expense - 10.10.11" xfId="2165"/>
    <cellStyle name="_Q2PricingMatrixv4.24-06252004 2_Per Unit" xfId="2166"/>
    <cellStyle name="_Q2PricingMatrixv4.24-06252004 2_September Rebate Expense - 09.12.11" xfId="2167"/>
    <cellStyle name="_Q2PricingMatrixv4.24-06252004 2_T-Mobile" xfId="2168"/>
    <cellStyle name="_Q2PricingMatrixv4.24-06252004 2_Verizon" xfId="2169"/>
    <cellStyle name="_Q2PricingMatrixv4.24-06252004 2_WA june stmts" xfId="2170"/>
    <cellStyle name="_Q2PricingMatrixv4.24-06252004 2_WA p&amp;l may" xfId="2171"/>
    <cellStyle name="_Q2PricingMatrixv4.24-06252004 3" xfId="2172"/>
    <cellStyle name="_Q2PricingMatrixv4.24-06252004 3 2" xfId="2173"/>
    <cellStyle name="_Q2PricingMatrixv4.24-06252004 3 2 2" xfId="2174"/>
    <cellStyle name="_Q2PricingMatrixv4.24-06252004 3 2_WA june stmts" xfId="2175"/>
    <cellStyle name="_Q2PricingMatrixv4.24-06252004 3 2_WA p&amp;l may" xfId="2176"/>
    <cellStyle name="_Q2PricingMatrixv4.24-06252004 3 3" xfId="2177"/>
    <cellStyle name="_Q2PricingMatrixv4.24-06252004 3_WA june stmts" xfId="2178"/>
    <cellStyle name="_Q2PricingMatrixv4.24-06252004 3_WA p&amp;l may" xfId="2179"/>
    <cellStyle name="_Q2PricingMatrixv4.24-06252004 4" xfId="2180"/>
    <cellStyle name="_Q2PricingMatrixv4.24-06252004 4 2" xfId="2181"/>
    <cellStyle name="_Q2PricingMatrixv4.24-06252004 4_WA june stmts" xfId="2182"/>
    <cellStyle name="_Q2PricingMatrixv4.24-06252004 4_WA p&amp;l may" xfId="2183"/>
    <cellStyle name="_Q2PricingMatrixv4.24-06252004 5" xfId="2184"/>
    <cellStyle name="_Q2PricingMatrixv4.24-06252004 6" xfId="2185"/>
    <cellStyle name="_Q2PricingMatrixv4.24-06252004_2010 Budget Supplement Slides_1.15.10" xfId="2186"/>
    <cellStyle name="_Q2PricingMatrixv4.24-06252004_2010 Forecast Update - Sept 15th - Q3_Updated 09 13 10" xfId="2187"/>
    <cellStyle name="_Q2PricingMatrixv4.24-06252004_2010 Forecast Update - Sept 15th - Q3_Updated 09 13 10 2" xfId="2188"/>
    <cellStyle name="_Q2PricingMatrixv4.24-06252004_2010 Forecast Update - Sept 15th - Q3_Updated 09 13 10_WA june stmts" xfId="2189"/>
    <cellStyle name="_Q2PricingMatrixv4.24-06252004_2010 Forecast Update - Sept 15th - Q3_Updated 09 13 10_WA p&amp;l may" xfId="2190"/>
    <cellStyle name="_Q2PricingMatrixv4.24-06252004_2011 Ad to Sales 11 26 10" xfId="2191"/>
    <cellStyle name="_Q2PricingMatrixv4.24-06252004_2011 Ad to Sales 11 26 10 2" xfId="2192"/>
    <cellStyle name="_Q2PricingMatrixv4.24-06252004_2011 Ad to Sales 11 26 10_WA june stmts" xfId="2193"/>
    <cellStyle name="_Q2PricingMatrixv4.24-06252004_2011 Ad to Sales 11 26 10_WA p&amp;l may" xfId="2194"/>
    <cellStyle name="_Q2PricingMatrixv4.24-06252004_2011 Admin Pyrl 9 ovr 9 rollforward 12 08 10 RJ" xfId="2195"/>
    <cellStyle name="_Q2PricingMatrixv4.24-06252004_2011 Budget EBITDA High Level_11.18.2010" xfId="2196"/>
    <cellStyle name="_Q2PricingMatrixv4.24-06252004_2011 Budget EBITDA High Level_11.18.2010 2" xfId="2197"/>
    <cellStyle name="_Q2PricingMatrixv4.24-06252004_2011 Budget EBITDA High Level_11.18.2010_Cap Ex Summary8 12 11update" xfId="2198"/>
    <cellStyle name="_Q2PricingMatrixv4.24-06252004_2011 Budget EBITDA High Level_11.18.2010_WA june stmts" xfId="2199"/>
    <cellStyle name="_Q2PricingMatrixv4.24-06252004_2011 Budget EBITDA High Level_11.18.2010_WA p&amp;l may" xfId="2200"/>
    <cellStyle name="_Q2PricingMatrixv4.24-06252004_2011 Budget Margin Meeting Slides_11.5.2010_FINALupdated Tracker" xfId="2201"/>
    <cellStyle name="_Q2PricingMatrixv4.24-06252004_2011 Budget Presentation_CC_11 17 10TG" xfId="2202"/>
    <cellStyle name="_Q2PricingMatrixv4.24-06252004_2011 Budget Slides" xfId="2203"/>
    <cellStyle name="_Q2PricingMatrixv4.24-06252004_2011 Expense Budget summary" xfId="2204"/>
    <cellStyle name="_Q2PricingMatrixv4.24-06252004_2011 MARCH GERS UPLOAD - ROLL-UP" xfId="2205"/>
    <cellStyle name="_Q2PricingMatrixv4.24-06252004_2011 MARCH GERS UPLOAD - ROLL-UP 2" xfId="2206"/>
    <cellStyle name="_Q2PricingMatrixv4.24-06252004_2011 MARCH GERS UPLOAD - ROLL-UP 2 2" xfId="2207"/>
    <cellStyle name="_Q2PricingMatrixv4.24-06252004_2011 MARCH GERS UPLOAD - ROLL-UP 2_WA june stmts" xfId="2208"/>
    <cellStyle name="_Q2PricingMatrixv4.24-06252004_2011 MARCH GERS UPLOAD - ROLL-UP 2_WA p&amp;l may" xfId="2209"/>
    <cellStyle name="_Q2PricingMatrixv4.24-06252004_2011 MARCH GERS UPLOAD - ROLL-UP 3" xfId="2210"/>
    <cellStyle name="_Q2PricingMatrixv4.24-06252004_2011 MARCH GERS UPLOAD - ROLL-UP 3 2" xfId="2211"/>
    <cellStyle name="_Q2PricingMatrixv4.24-06252004_2011 MARCH GERS UPLOAD - ROLL-UP 3_WA june stmts" xfId="2212"/>
    <cellStyle name="_Q2PricingMatrixv4.24-06252004_2011 MARCH GERS UPLOAD - ROLL-UP 3_WA p&amp;l may" xfId="2213"/>
    <cellStyle name="_Q2PricingMatrixv4.24-06252004_2011 MARCH GERS UPLOAD - ROLL-UP 4" xfId="2214"/>
    <cellStyle name="_Q2PricingMatrixv4.24-06252004_2011 MARCH GERS UPLOAD - ROLL-UP_maycto" xfId="2215"/>
    <cellStyle name="_Q2PricingMatrixv4.24-06252004_2011 MARCH GERS UPLOAD - ROLL-UP_maycto 2" xfId="2216"/>
    <cellStyle name="_Q2PricingMatrixv4.24-06252004_2011 MARCH GERS UPLOAD - ROLL-UP_maycto_WA june stmts" xfId="2217"/>
    <cellStyle name="_Q2PricingMatrixv4.24-06252004_2011 MARCH GERS UPLOAD - ROLL-UP_maycto_WA p&amp;l may" xfId="2218"/>
    <cellStyle name="_Q2PricingMatrixv4.24-06252004_2011 MARCH GERS UPLOAD - ROLL-UP_WA june stmts" xfId="2219"/>
    <cellStyle name="_Q2PricingMatrixv4.24-06252004_2011 MARCH GERS UPLOAD - ROLL-UP_WA p&amp;l may" xfId="2220"/>
    <cellStyle name="_Q2PricingMatrixv4.24-06252004_2011 Proforma_11.17.10" xfId="2221"/>
    <cellStyle name="_Q2PricingMatrixv4.24-06252004_2011CashflowBudget(Execsummary)" xfId="2222"/>
    <cellStyle name="_Q2PricingMatrixv4.24-06252004_2011February Forecast Feb 18 RJ adjusted feb 21" xfId="2223"/>
    <cellStyle name="_Q2PricingMatrixv4.24-06252004_2012 Cap Ex Project Numbers" xfId="2224"/>
    <cellStyle name="_Q2PricingMatrixv4.24-06252004_2012 Cap Ex Template" xfId="2225"/>
    <cellStyle name="_Q2PricingMatrixv4.24-06252004_9112 - Information Center - IS" xfId="2226"/>
    <cellStyle name="_Q2PricingMatrixv4.24-06252004_9124 - Technical Services - TS" xfId="2227"/>
    <cellStyle name="_Q2PricingMatrixv4.24-06252004_August 2011 Cap Ex" xfId="2228"/>
    <cellStyle name="_Q2PricingMatrixv4.24-06252004_Cap Ex Summary8 12 11update" xfId="2229"/>
    <cellStyle name="_Q2PricingMatrixv4.24-06252004_Copy of 2011 April forecast EOM May 2" xfId="2230"/>
    <cellStyle name="_Q2PricingMatrixv4.24-06252004_Copy of 2012 Headcount Summary 10.04.11" xfId="2231"/>
    <cellStyle name="_Q2PricingMatrixv4.24-06252004_Copy of IT adm headcount add assessment nov 26 2010" xfId="2232"/>
    <cellStyle name="_Q2PricingMatrixv4.24-06252004_Copy of IT adm headcount add assessment nov 26 2010 2" xfId="2233"/>
    <cellStyle name="_Q2PricingMatrixv4.24-06252004_Copy of IT adm headcount add assessment nov 26 2010_WA june stmts" xfId="2234"/>
    <cellStyle name="_Q2PricingMatrixv4.24-06252004_Copy of IT adm headcount add assessment nov 26 2010_WA p&amp;l may" xfId="2235"/>
    <cellStyle name="_Q2PricingMatrixv4.24-06252004_CTFY11EnterpriseTechnology Budget" xfId="2236"/>
    <cellStyle name="_Q2PricingMatrixv4.24-06252004_DB info request for FY 2010 vendor summit" xfId="2237"/>
    <cellStyle name="_Q2PricingMatrixv4.24-06252004_DB info request for FY 2010 vendor summit 2" xfId="2238"/>
    <cellStyle name="_Q2PricingMatrixv4.24-06252004_DB info request for FY 2010 vendor summit_WA june stmts" xfId="2239"/>
    <cellStyle name="_Q2PricingMatrixv4.24-06252004_DB info request for FY 2010 vendor summit_WA p&amp;l may" xfId="2240"/>
    <cellStyle name="_Q2PricingMatrixv4.24-06252004_December 2011 Cap Ex 01.27.11" xfId="2241"/>
    <cellStyle name="_Q2PricingMatrixv4.24-06252004_December 2011 Cap Ex 01.27.11_1" xfId="2242"/>
    <cellStyle name="_Q2PricingMatrixv4.24-06252004_February Ecommerce Rebate Expense - 02.22.11" xfId="2243"/>
    <cellStyle name="_Q2PricingMatrixv4.24-06252004_February Ecommerce Rebate Expense - 02.22.11_June Request_05 20 11" xfId="2244"/>
    <cellStyle name="_Q2PricingMatrixv4.24-06252004_Field Payroll 2011 Budget Workbook" xfId="2245"/>
    <cellStyle name="_Q2PricingMatrixv4.24-06252004_Jul" xfId="2246"/>
    <cellStyle name="_Q2PricingMatrixv4.24-06252004_Jul 2" xfId="2247"/>
    <cellStyle name="_Q2PricingMatrixv4.24-06252004_Jul_2011 Budget Presentation_CC_11 17 10TG" xfId="2248"/>
    <cellStyle name="_Q2PricingMatrixv4.24-06252004_Jul_2011 Budget Slides" xfId="2249"/>
    <cellStyle name="_Q2PricingMatrixv4.24-06252004_Jul_2011 Budget Slides Package_02 21 11" xfId="2250"/>
    <cellStyle name="_Q2PricingMatrixv4.24-06252004_Jul_2011 Proforma_11.17.10" xfId="2251"/>
    <cellStyle name="_Q2PricingMatrixv4.24-06252004_Jul_Cap Ex Summary8 12 11update" xfId="2252"/>
    <cellStyle name="_Q2PricingMatrixv4.24-06252004_Jul_June Ecommerce Rebate Expense - 05.24.11" xfId="2253"/>
    <cellStyle name="_Q2PricingMatrixv4.24-06252004_Jul_June Request_05 20 11" xfId="2254"/>
    <cellStyle name="_Q2PricingMatrixv4.24-06252004_Jul_WA june stmts" xfId="2255"/>
    <cellStyle name="_Q2PricingMatrixv4.24-06252004_Jul_WA p&amp;l may" xfId="2256"/>
    <cellStyle name="_Q2PricingMatrixv4.24-06252004_July VPEP FINAL 8.17.2012_AB &amp; SL adjustments_used for July GL close" xfId="2257"/>
    <cellStyle name="_Q2PricingMatrixv4.24-06252004_June VPEP 7.16.12 FINAL used for June GL close revised July 30, 2012" xfId="2258"/>
    <cellStyle name="_Q2PricingMatrixv4.24-06252004_March Rebate Expense - 02.22.11" xfId="2259"/>
    <cellStyle name="_Q2PricingMatrixv4.24-06252004_May Rebate Expense - 05.31.11_Final" xfId="2260"/>
    <cellStyle name="_Q2PricingMatrixv4.24-06252004_maycto" xfId="2261"/>
    <cellStyle name="_Q2PricingMatrixv4.24-06252004_maycto 2" xfId="2262"/>
    <cellStyle name="_Q2PricingMatrixv4.24-06252004_maycto_WA june stmts" xfId="2263"/>
    <cellStyle name="_Q2PricingMatrixv4.24-06252004_maycto_WA p&amp;l may" xfId="2264"/>
    <cellStyle name="_Q2PricingMatrixv4.24-06252004_October 2011 Cap Ex 11.17.11 wMatt Adj" xfId="2265"/>
    <cellStyle name="_Q2PricingMatrixv4.24-06252004_Q3 2010 BOD Slides_11.10.10" xfId="2266"/>
    <cellStyle name="_Q2PricingMatrixv4.24-06252004_Q4 AAFES P&amp;L_10.11.2010" xfId="2267"/>
    <cellStyle name="_Q2PricingMatrixv4.24-06252004_Q4 AAFES P&amp;L_10.11.2010 2" xfId="2268"/>
    <cellStyle name="_Q2PricingMatrixv4.24-06252004_Q4 AAFES P&amp;L_10.11.2010_Cap Ex Summary8 12 11update" xfId="2269"/>
    <cellStyle name="_Q2PricingMatrixv4.24-06252004_Q4 AAFES P&amp;L_10.11.2010_WA june stmts" xfId="2270"/>
    <cellStyle name="_Q2PricingMatrixv4.24-06252004_Q4 AAFES P&amp;L_10.11.2010_WA p&amp;l may" xfId="2271"/>
    <cellStyle name="_Q2PricingMatrixv4.24-06252004_Sep" xfId="2272"/>
    <cellStyle name="_Q2PricingMatrixv4.24-06252004_Sep 2" xfId="2273"/>
    <cellStyle name="_Q2PricingMatrixv4.24-06252004_Sep_2011 Budget Presentation_CC_11 17 10TG" xfId="2274"/>
    <cellStyle name="_Q2PricingMatrixv4.24-06252004_Sep_2011 Budget Slides" xfId="2275"/>
    <cellStyle name="_Q2PricingMatrixv4.24-06252004_Sep_2011 Budget Slides Package_02 21 11" xfId="2276"/>
    <cellStyle name="_Q2PricingMatrixv4.24-06252004_Sep_2011 Proforma_11.17.10" xfId="2277"/>
    <cellStyle name="_Q2PricingMatrixv4.24-06252004_Sep_Cap Ex Summary8 12 11update" xfId="2278"/>
    <cellStyle name="_Q2PricingMatrixv4.24-06252004_Sep_June Ecommerce Rebate Expense - 05.24.11" xfId="2279"/>
    <cellStyle name="_Q2PricingMatrixv4.24-06252004_Sep_June Request_05 20 11" xfId="2280"/>
    <cellStyle name="_Q2PricingMatrixv4.24-06252004_Sep_WA june stmts" xfId="2281"/>
    <cellStyle name="_Q2PricingMatrixv4.24-06252004_Sep_WA p&amp;l may" xfId="2282"/>
    <cellStyle name="_Q2PricingMatrixv4.24-06252004_September 2011 Cap Ex New 10.24.11 wMatts Changes" xfId="2283"/>
    <cellStyle name="_Q2PricingMatrixv4.24-06252004_Sheet3" xfId="2284"/>
    <cellStyle name="_Q2PricingMatrixv4.24-06252004_Staples Expenses Jun - Dec_06.30.11" xfId="2285"/>
    <cellStyle name="_Q2PricingMatrixv4.24-06252004_VPEP 10.19.10" xfId="2286"/>
    <cellStyle name="_Q2PricingMatrixv4.24-06252004_vpep allocation for forecast" xfId="2287"/>
    <cellStyle name="_Q2PricingMatrixv4.24-06252004_vpep allocation for forecast 2" xfId="2288"/>
    <cellStyle name="_Q2PricingMatrixv4.24-06252004_vpep allocation for forecast_WA june stmts" xfId="2289"/>
    <cellStyle name="_Q2PricingMatrixv4.24-06252004_vpep allocation for forecast_WA p&amp;l may" xfId="2290"/>
    <cellStyle name="_Q2PricingMatrixv4.24-06252004_WA june stmts" xfId="2291"/>
    <cellStyle name="_Q2PricingMatrixv4.24-06252004_WA p&amp;l may" xfId="2292"/>
    <cellStyle name="_Q2PricingMatrixv4.24-062520041" xfId="2293"/>
    <cellStyle name="_Q2PricingMatrixv4.24-062520041 2" xfId="2294"/>
    <cellStyle name="_Q2PricingMatrixv4.24-062520041 2 2" xfId="2295"/>
    <cellStyle name="_Q2PricingMatrixv4.24-062520041 2_AT&amp;T" xfId="2296"/>
    <cellStyle name="_Q2PricingMatrixv4.24-062520041 2_August Rebate Expense - 07.24.11" xfId="2297"/>
    <cellStyle name="_Q2PricingMatrixv4.24-062520041 2_Carrier Margin v Prior Update" xfId="2298"/>
    <cellStyle name="_Q2PricingMatrixv4.24-062520041 2_HD 10.3" xfId="2299"/>
    <cellStyle name="_Q2PricingMatrixv4.24-062520041 2_HD 10.3 2" xfId="2300"/>
    <cellStyle name="_Q2PricingMatrixv4.24-062520041 2_HD 10.3_AT&amp;T" xfId="2301"/>
    <cellStyle name="_Q2PricingMatrixv4.24-062520041 2_HD 10.3_August Rebate Expense - 07.24.11" xfId="2302"/>
    <cellStyle name="_Q2PricingMatrixv4.24-062520041 2_HD 10.3_Carrier Margin v Prior Update" xfId="2303"/>
    <cellStyle name="_Q2PricingMatrixv4.24-062520041 2_HD 10.3_HD 6.01" xfId="2304"/>
    <cellStyle name="_Q2PricingMatrixv4.24-062520041 2_HD 10.3_June Rebate Expense - 05.24.11" xfId="2305"/>
    <cellStyle name="_Q2PricingMatrixv4.24-062520041 2_HD 10.3_June Rebate Expense - 06.13.11" xfId="2306"/>
    <cellStyle name="_Q2PricingMatrixv4.24-062520041 2_HD 10.3_June Rebate Expense - 06.20.11_nextlap" xfId="2307"/>
    <cellStyle name="_Q2PricingMatrixv4.24-062520041 2_HD 10.3_June Rebate Expense - 06.30.11_Prelim" xfId="2308"/>
    <cellStyle name="_Q2PricingMatrixv4.24-062520041 2_HD 10.3_June Rebate Expense - 07.06.11_Prelim_Forecast" xfId="2309"/>
    <cellStyle name="_Q2PricingMatrixv4.24-062520041 2_HD 10.3_June Request_05 20 11" xfId="2310"/>
    <cellStyle name="_Q2PricingMatrixv4.24-062520041 2_HD 10.3_March Rebate Expense - 02.25.11" xfId="2311"/>
    <cellStyle name="_Q2PricingMatrixv4.24-062520041 2_HD 10.3_March Rebate Expense - 03.04.11" xfId="2312"/>
    <cellStyle name="_Q2PricingMatrixv4.24-062520041 2_HD 10.3_May Rebate Expense - 04.27.11_wks" xfId="2313"/>
    <cellStyle name="_Q2PricingMatrixv4.24-062520041 2_HD 10.3_May Rebate Expense - 05.09.11" xfId="2314"/>
    <cellStyle name="_Q2PricingMatrixv4.24-062520041 2_HD 10.3_May Rebate Expense - 05.16.11" xfId="2315"/>
    <cellStyle name="_Q2PricingMatrixv4.24-062520041 2_HD 10.3_May Rebate Expense - 05.23.11_nextlap" xfId="2316"/>
    <cellStyle name="_Q2PricingMatrixv4.24-062520041 2_HD 10.3_May Rebate Expense - 05.31.11_Final" xfId="2317"/>
    <cellStyle name="_Q2PricingMatrixv4.24-062520041 2_HD 10.3_November Skus" xfId="2318"/>
    <cellStyle name="_Q2PricingMatrixv4.24-062520041 2_HD 10.3_October Rebate Expense - 10.10.11" xfId="2319"/>
    <cellStyle name="_Q2PricingMatrixv4.24-062520041 2_HD 10.3_Per Unit" xfId="2320"/>
    <cellStyle name="_Q2PricingMatrixv4.24-062520041 2_HD 10.3_September Rebate Expense - 09.12.11" xfId="2321"/>
    <cellStyle name="_Q2PricingMatrixv4.24-062520041 2_HD 10.3_T-Mobile" xfId="2322"/>
    <cellStyle name="_Q2PricingMatrixv4.24-062520041 2_HD 10.3_Verizon" xfId="2323"/>
    <cellStyle name="_Q2PricingMatrixv4.24-062520041 2_HD 6.01" xfId="2324"/>
    <cellStyle name="_Q2PricingMatrixv4.24-062520041 2_June Rebate Expense - 05.24.11" xfId="2325"/>
    <cellStyle name="_Q2PricingMatrixv4.24-062520041 2_June Rebate Expense - 06.13.11" xfId="2326"/>
    <cellStyle name="_Q2PricingMatrixv4.24-062520041 2_June Rebate Expense - 06.20.11_nextlap" xfId="2327"/>
    <cellStyle name="_Q2PricingMatrixv4.24-062520041 2_June Rebate Expense - 06.30.11_Prelim" xfId="2328"/>
    <cellStyle name="_Q2PricingMatrixv4.24-062520041 2_June Rebate Expense - 07.06.11_Prelim_Forecast" xfId="2329"/>
    <cellStyle name="_Q2PricingMatrixv4.24-062520041 2_June Request_05 20 11" xfId="2330"/>
    <cellStyle name="_Q2PricingMatrixv4.24-062520041 2_March Rebate Expense - 02.25.11" xfId="2331"/>
    <cellStyle name="_Q2PricingMatrixv4.24-062520041 2_March Rebate Expense - 03.04.11" xfId="2332"/>
    <cellStyle name="_Q2PricingMatrixv4.24-062520041 2_May Rebate Expense - 04.27.11_wks" xfId="2333"/>
    <cellStyle name="_Q2PricingMatrixv4.24-062520041 2_May Rebate Expense - 05.09.11" xfId="2334"/>
    <cellStyle name="_Q2PricingMatrixv4.24-062520041 2_May Rebate Expense - 05.16.11" xfId="2335"/>
    <cellStyle name="_Q2PricingMatrixv4.24-062520041 2_May Rebate Expense - 05.23.11_nextlap" xfId="2336"/>
    <cellStyle name="_Q2PricingMatrixv4.24-062520041 2_May Rebate Expense - 05.31.11_Final" xfId="2337"/>
    <cellStyle name="_Q2PricingMatrixv4.24-062520041 2_November Skus" xfId="2338"/>
    <cellStyle name="_Q2PricingMatrixv4.24-062520041 2_October Rebate Expense - 10.10.11" xfId="2339"/>
    <cellStyle name="_Q2PricingMatrixv4.24-062520041 2_Per Unit" xfId="2340"/>
    <cellStyle name="_Q2PricingMatrixv4.24-062520041 2_September Rebate Expense - 09.12.11" xfId="2341"/>
    <cellStyle name="_Q2PricingMatrixv4.24-062520041 2_T-Mobile" xfId="2342"/>
    <cellStyle name="_Q2PricingMatrixv4.24-062520041 2_Verizon" xfId="2343"/>
    <cellStyle name="_Q2PricingMatrixv4.24-062520041 2_WA june stmts" xfId="2344"/>
    <cellStyle name="_Q2PricingMatrixv4.24-062520041 2_WA p&amp;l may" xfId="2345"/>
    <cellStyle name="_Q2PricingMatrixv4.24-062520041 3" xfId="2346"/>
    <cellStyle name="_Q2PricingMatrixv4.24-062520041 3 2" xfId="2347"/>
    <cellStyle name="_Q2PricingMatrixv4.24-062520041 3 2 2" xfId="2348"/>
    <cellStyle name="_Q2PricingMatrixv4.24-062520041 3 2_WA june stmts" xfId="2349"/>
    <cellStyle name="_Q2PricingMatrixv4.24-062520041 3 2_WA p&amp;l may" xfId="2350"/>
    <cellStyle name="_Q2PricingMatrixv4.24-062520041 3 3" xfId="2351"/>
    <cellStyle name="_Q2PricingMatrixv4.24-062520041 3_WA june stmts" xfId="2352"/>
    <cellStyle name="_Q2PricingMatrixv4.24-062520041 3_WA p&amp;l may" xfId="2353"/>
    <cellStyle name="_Q2PricingMatrixv4.24-062520041 4" xfId="2354"/>
    <cellStyle name="_Q2PricingMatrixv4.24-062520041 4 2" xfId="2355"/>
    <cellStyle name="_Q2PricingMatrixv4.24-062520041 4_WA june stmts" xfId="2356"/>
    <cellStyle name="_Q2PricingMatrixv4.24-062520041 4_WA p&amp;l may" xfId="2357"/>
    <cellStyle name="_Q2PricingMatrixv4.24-062520041 5" xfId="2358"/>
    <cellStyle name="_Q2PricingMatrixv4.24-062520041 6" xfId="2359"/>
    <cellStyle name="_Q2PricingMatrixv4.24-062520041_2010 Budget Supplement Slides_1.15.10" xfId="2360"/>
    <cellStyle name="_Q2PricingMatrixv4.24-062520041_2010 Forecast Update - Sept 15th - Q3_Updated 09 13 10" xfId="2361"/>
    <cellStyle name="_Q2PricingMatrixv4.24-062520041_2010 Forecast Update - Sept 15th - Q3_Updated 09 13 10 2" xfId="2362"/>
    <cellStyle name="_Q2PricingMatrixv4.24-062520041_2010 Forecast Update - Sept 15th - Q3_Updated 09 13 10_WA june stmts" xfId="2363"/>
    <cellStyle name="_Q2PricingMatrixv4.24-062520041_2010 Forecast Update - Sept 15th - Q3_Updated 09 13 10_WA p&amp;l may" xfId="2364"/>
    <cellStyle name="_Q2PricingMatrixv4.24-062520041_2011 Ad to Sales 11 26 10" xfId="2365"/>
    <cellStyle name="_Q2PricingMatrixv4.24-062520041_2011 Ad to Sales 11 26 10 2" xfId="2366"/>
    <cellStyle name="_Q2PricingMatrixv4.24-062520041_2011 Ad to Sales 11 26 10_WA june stmts" xfId="2367"/>
    <cellStyle name="_Q2PricingMatrixv4.24-062520041_2011 Ad to Sales 11 26 10_WA p&amp;l may" xfId="2368"/>
    <cellStyle name="_Q2PricingMatrixv4.24-062520041_2011 Admin Pyrl 9 ovr 9 rollforward 12 08 10 RJ" xfId="2369"/>
    <cellStyle name="_Q2PricingMatrixv4.24-062520041_2011 Budget EBITDA High Level_11.18.2010" xfId="2370"/>
    <cellStyle name="_Q2PricingMatrixv4.24-062520041_2011 Budget EBITDA High Level_11.18.2010 2" xfId="2371"/>
    <cellStyle name="_Q2PricingMatrixv4.24-062520041_2011 Budget EBITDA High Level_11.18.2010_Cap Ex Summary8 12 11update" xfId="2372"/>
    <cellStyle name="_Q2PricingMatrixv4.24-062520041_2011 Budget EBITDA High Level_11.18.2010_WA june stmts" xfId="2373"/>
    <cellStyle name="_Q2PricingMatrixv4.24-062520041_2011 Budget EBITDA High Level_11.18.2010_WA p&amp;l may" xfId="2374"/>
    <cellStyle name="_Q2PricingMatrixv4.24-062520041_2011 Budget Margin Meeting Slides_11.5.2010_FINALupdated Tracker" xfId="2375"/>
    <cellStyle name="_Q2PricingMatrixv4.24-062520041_2011 Budget Presentation_CC_11 17 10TG" xfId="2376"/>
    <cellStyle name="_Q2PricingMatrixv4.24-062520041_2011 Budget Slides" xfId="2377"/>
    <cellStyle name="_Q2PricingMatrixv4.24-062520041_2011 Expense Budget summary" xfId="2378"/>
    <cellStyle name="_Q2PricingMatrixv4.24-062520041_2011 MARCH GERS UPLOAD - ROLL-UP" xfId="2379"/>
    <cellStyle name="_Q2PricingMatrixv4.24-062520041_2011 MARCH GERS UPLOAD - ROLL-UP 2" xfId="2380"/>
    <cellStyle name="_Q2PricingMatrixv4.24-062520041_2011 MARCH GERS UPLOAD - ROLL-UP 2 2" xfId="2381"/>
    <cellStyle name="_Q2PricingMatrixv4.24-062520041_2011 MARCH GERS UPLOAD - ROLL-UP 2_WA june stmts" xfId="2382"/>
    <cellStyle name="_Q2PricingMatrixv4.24-062520041_2011 MARCH GERS UPLOAD - ROLL-UP 2_WA p&amp;l may" xfId="2383"/>
    <cellStyle name="_Q2PricingMatrixv4.24-062520041_2011 MARCH GERS UPLOAD - ROLL-UP 3" xfId="2384"/>
    <cellStyle name="_Q2PricingMatrixv4.24-062520041_2011 MARCH GERS UPLOAD - ROLL-UP 3 2" xfId="2385"/>
    <cellStyle name="_Q2PricingMatrixv4.24-062520041_2011 MARCH GERS UPLOAD - ROLL-UP 3_WA june stmts" xfId="2386"/>
    <cellStyle name="_Q2PricingMatrixv4.24-062520041_2011 MARCH GERS UPLOAD - ROLL-UP 3_WA p&amp;l may" xfId="2387"/>
    <cellStyle name="_Q2PricingMatrixv4.24-062520041_2011 MARCH GERS UPLOAD - ROLL-UP 4" xfId="2388"/>
    <cellStyle name="_Q2PricingMatrixv4.24-062520041_2011 MARCH GERS UPLOAD - ROLL-UP_maycto" xfId="2389"/>
    <cellStyle name="_Q2PricingMatrixv4.24-062520041_2011 MARCH GERS UPLOAD - ROLL-UP_maycto 2" xfId="2390"/>
    <cellStyle name="_Q2PricingMatrixv4.24-062520041_2011 MARCH GERS UPLOAD - ROLL-UP_maycto_WA june stmts" xfId="2391"/>
    <cellStyle name="_Q2PricingMatrixv4.24-062520041_2011 MARCH GERS UPLOAD - ROLL-UP_maycto_WA p&amp;l may" xfId="2392"/>
    <cellStyle name="_Q2PricingMatrixv4.24-062520041_2011 MARCH GERS UPLOAD - ROLL-UP_WA june stmts" xfId="2393"/>
    <cellStyle name="_Q2PricingMatrixv4.24-062520041_2011 MARCH GERS UPLOAD - ROLL-UP_WA p&amp;l may" xfId="2394"/>
    <cellStyle name="_Q2PricingMatrixv4.24-062520041_2011 Proforma_11.17.10" xfId="2395"/>
    <cellStyle name="_Q2PricingMatrixv4.24-062520041_2011CashflowBudget(Execsummary)" xfId="2396"/>
    <cellStyle name="_Q2PricingMatrixv4.24-062520041_2011February Forecast Feb 18 RJ adjusted feb 21" xfId="2397"/>
    <cellStyle name="_Q2PricingMatrixv4.24-062520041_2012 Cap Ex Project Numbers" xfId="2398"/>
    <cellStyle name="_Q2PricingMatrixv4.24-062520041_2012 Cap Ex Template" xfId="2399"/>
    <cellStyle name="_Q2PricingMatrixv4.24-062520041_9112 - Information Center - IS" xfId="2400"/>
    <cellStyle name="_Q2PricingMatrixv4.24-062520041_9124 - Technical Services - TS" xfId="2401"/>
    <cellStyle name="_Q2PricingMatrixv4.24-062520041_August 2011 Cap Ex" xfId="2402"/>
    <cellStyle name="_Q2PricingMatrixv4.24-062520041_Cap Ex Summary8 12 11update" xfId="2403"/>
    <cellStyle name="_Q2PricingMatrixv4.24-062520041_Copy of 2011 April forecast EOM May 2" xfId="2404"/>
    <cellStyle name="_Q2PricingMatrixv4.24-062520041_Copy of 2012 Headcount Summary 10.04.11" xfId="2405"/>
    <cellStyle name="_Q2PricingMatrixv4.24-062520041_Copy of IT adm headcount add assessment nov 26 2010" xfId="2406"/>
    <cellStyle name="_Q2PricingMatrixv4.24-062520041_Copy of IT adm headcount add assessment nov 26 2010 2" xfId="2407"/>
    <cellStyle name="_Q2PricingMatrixv4.24-062520041_Copy of IT adm headcount add assessment nov 26 2010_WA june stmts" xfId="2408"/>
    <cellStyle name="_Q2PricingMatrixv4.24-062520041_Copy of IT adm headcount add assessment nov 26 2010_WA p&amp;l may" xfId="2409"/>
    <cellStyle name="_Q2PricingMatrixv4.24-062520041_CTFY11EnterpriseTechnology Budget" xfId="2410"/>
    <cellStyle name="_Q2PricingMatrixv4.24-062520041_DB info request for FY 2010 vendor summit" xfId="2411"/>
    <cellStyle name="_Q2PricingMatrixv4.24-062520041_DB info request for FY 2010 vendor summit 2" xfId="2412"/>
    <cellStyle name="_Q2PricingMatrixv4.24-062520041_DB info request for FY 2010 vendor summit_WA june stmts" xfId="2413"/>
    <cellStyle name="_Q2PricingMatrixv4.24-062520041_DB info request for FY 2010 vendor summit_WA p&amp;l may" xfId="2414"/>
    <cellStyle name="_Q2PricingMatrixv4.24-062520041_December 2011 Cap Ex 01.27.11" xfId="2415"/>
    <cellStyle name="_Q2PricingMatrixv4.24-062520041_December 2011 Cap Ex 01.27.11_1" xfId="2416"/>
    <cellStyle name="_Q2PricingMatrixv4.24-062520041_February Ecommerce Rebate Expense - 02.22.11" xfId="2417"/>
    <cellStyle name="_Q2PricingMatrixv4.24-062520041_February Ecommerce Rebate Expense - 02.22.11_June Request_05 20 11" xfId="2418"/>
    <cellStyle name="_Q2PricingMatrixv4.24-062520041_Field Payroll 2011 Budget Workbook" xfId="2419"/>
    <cellStyle name="_Q2PricingMatrixv4.24-062520041_Jul" xfId="2420"/>
    <cellStyle name="_Q2PricingMatrixv4.24-062520041_Jul 2" xfId="2421"/>
    <cellStyle name="_Q2PricingMatrixv4.24-062520041_Jul_2011 Budget Presentation_CC_11 17 10TG" xfId="2422"/>
    <cellStyle name="_Q2PricingMatrixv4.24-062520041_Jul_2011 Budget Slides" xfId="2423"/>
    <cellStyle name="_Q2PricingMatrixv4.24-062520041_Jul_2011 Budget Slides Package_02 21 11" xfId="2424"/>
    <cellStyle name="_Q2PricingMatrixv4.24-062520041_Jul_2011 Proforma_11.17.10" xfId="2425"/>
    <cellStyle name="_Q2PricingMatrixv4.24-062520041_Jul_Cap Ex Summary8 12 11update" xfId="2426"/>
    <cellStyle name="_Q2PricingMatrixv4.24-062520041_Jul_June Ecommerce Rebate Expense - 05.24.11" xfId="2427"/>
    <cellStyle name="_Q2PricingMatrixv4.24-062520041_Jul_June Request_05 20 11" xfId="2428"/>
    <cellStyle name="_Q2PricingMatrixv4.24-062520041_Jul_WA june stmts" xfId="2429"/>
    <cellStyle name="_Q2PricingMatrixv4.24-062520041_Jul_WA p&amp;l may" xfId="2430"/>
    <cellStyle name="_Q2PricingMatrixv4.24-062520041_July VPEP FINAL 8.17.2012_AB &amp; SL adjustments_used for July GL close" xfId="2431"/>
    <cellStyle name="_Q2PricingMatrixv4.24-062520041_June VPEP 7.16.12 FINAL used for June GL close revised July 30, 2012" xfId="2432"/>
    <cellStyle name="_Q2PricingMatrixv4.24-062520041_March Rebate Expense - 02.22.11" xfId="2433"/>
    <cellStyle name="_Q2PricingMatrixv4.24-062520041_May Rebate Expense - 05.31.11_Final" xfId="2434"/>
    <cellStyle name="_Q2PricingMatrixv4.24-062520041_maycto" xfId="2435"/>
    <cellStyle name="_Q2PricingMatrixv4.24-062520041_maycto 2" xfId="2436"/>
    <cellStyle name="_Q2PricingMatrixv4.24-062520041_maycto_WA june stmts" xfId="2437"/>
    <cellStyle name="_Q2PricingMatrixv4.24-062520041_maycto_WA p&amp;l may" xfId="2438"/>
    <cellStyle name="_Q2PricingMatrixv4.24-062520041_October 2011 Cap Ex 11.17.11 wMatt Adj" xfId="2439"/>
    <cellStyle name="_Q2PricingMatrixv4.24-062520041_Q3 2010 BOD Slides_11.10.10" xfId="2440"/>
    <cellStyle name="_Q2PricingMatrixv4.24-062520041_Q4 AAFES P&amp;L_10.11.2010" xfId="2441"/>
    <cellStyle name="_Q2PricingMatrixv4.24-062520041_Q4 AAFES P&amp;L_10.11.2010 2" xfId="2442"/>
    <cellStyle name="_Q2PricingMatrixv4.24-062520041_Q4 AAFES P&amp;L_10.11.2010_Cap Ex Summary8 12 11update" xfId="2443"/>
    <cellStyle name="_Q2PricingMatrixv4.24-062520041_Q4 AAFES P&amp;L_10.11.2010_WA june stmts" xfId="2444"/>
    <cellStyle name="_Q2PricingMatrixv4.24-062520041_Q4 AAFES P&amp;L_10.11.2010_WA p&amp;l may" xfId="2445"/>
    <cellStyle name="_Q2PricingMatrixv4.24-062520041_Sep" xfId="2446"/>
    <cellStyle name="_Q2PricingMatrixv4.24-062520041_Sep 2" xfId="2447"/>
    <cellStyle name="_Q2PricingMatrixv4.24-062520041_Sep_2011 Budget Presentation_CC_11 17 10TG" xfId="2448"/>
    <cellStyle name="_Q2PricingMatrixv4.24-062520041_Sep_2011 Budget Slides" xfId="2449"/>
    <cellStyle name="_Q2PricingMatrixv4.24-062520041_Sep_2011 Budget Slides Package_02 21 11" xfId="2450"/>
    <cellStyle name="_Q2PricingMatrixv4.24-062520041_Sep_2011 Proforma_11.17.10" xfId="2451"/>
    <cellStyle name="_Q2PricingMatrixv4.24-062520041_Sep_Cap Ex Summary8 12 11update" xfId="2452"/>
    <cellStyle name="_Q2PricingMatrixv4.24-062520041_Sep_June Ecommerce Rebate Expense - 05.24.11" xfId="2453"/>
    <cellStyle name="_Q2PricingMatrixv4.24-062520041_Sep_June Request_05 20 11" xfId="2454"/>
    <cellStyle name="_Q2PricingMatrixv4.24-062520041_Sep_WA june stmts" xfId="2455"/>
    <cellStyle name="_Q2PricingMatrixv4.24-062520041_Sep_WA p&amp;l may" xfId="2456"/>
    <cellStyle name="_Q2PricingMatrixv4.24-062520041_September 2011 Cap Ex New 10.24.11 wMatts Changes" xfId="2457"/>
    <cellStyle name="_Q2PricingMatrixv4.24-062520041_Sheet3" xfId="2458"/>
    <cellStyle name="_Q2PricingMatrixv4.24-062520041_Staples Expenses Jun - Dec_06.30.11" xfId="2459"/>
    <cellStyle name="_Q2PricingMatrixv4.24-062520041_VPEP 10.19.10" xfId="2460"/>
    <cellStyle name="_Q2PricingMatrixv4.24-062520041_vpep allocation for forecast" xfId="2461"/>
    <cellStyle name="_Q2PricingMatrixv4.24-062520041_vpep allocation for forecast 2" xfId="2462"/>
    <cellStyle name="_Q2PricingMatrixv4.24-062520041_vpep allocation for forecast_WA june stmts" xfId="2463"/>
    <cellStyle name="_Q2PricingMatrixv4.24-062520041_vpep allocation for forecast_WA p&amp;l may" xfId="2464"/>
    <cellStyle name="_Q2PricingMatrixv4.24-062520041_WA june stmts" xfId="2465"/>
    <cellStyle name="_Q2PricingMatrixv4.24-062520041_WA p&amp;l may" xfId="2466"/>
    <cellStyle name="_Q2PricingMatrixv4.24-FINAL" xfId="2467"/>
    <cellStyle name="_Q2PricingMatrixv4.24-FINAL 2" xfId="2468"/>
    <cellStyle name="_Q2PricingMatrixv4.24-FINAL 2 2" xfId="2469"/>
    <cellStyle name="_Q2PricingMatrixv4.24-FINAL 2_AT&amp;T" xfId="2470"/>
    <cellStyle name="_Q2PricingMatrixv4.24-FINAL 2_August Rebate Expense - 07.24.11" xfId="2471"/>
    <cellStyle name="_Q2PricingMatrixv4.24-FINAL 2_Carrier Margin v Prior Update" xfId="2472"/>
    <cellStyle name="_Q2PricingMatrixv4.24-FINAL 2_HD 10.3" xfId="2473"/>
    <cellStyle name="_Q2PricingMatrixv4.24-FINAL 2_HD 10.3 2" xfId="2474"/>
    <cellStyle name="_Q2PricingMatrixv4.24-FINAL 2_HD 10.3_AT&amp;T" xfId="2475"/>
    <cellStyle name="_Q2PricingMatrixv4.24-FINAL 2_HD 10.3_August Rebate Expense - 07.24.11" xfId="2476"/>
    <cellStyle name="_Q2PricingMatrixv4.24-FINAL 2_HD 10.3_Carrier Margin v Prior Update" xfId="2477"/>
    <cellStyle name="_Q2PricingMatrixv4.24-FINAL 2_HD 10.3_HD 6.01" xfId="2478"/>
    <cellStyle name="_Q2PricingMatrixv4.24-FINAL 2_HD 10.3_June Rebate Expense - 05.24.11" xfId="2479"/>
    <cellStyle name="_Q2PricingMatrixv4.24-FINAL 2_HD 10.3_June Rebate Expense - 06.13.11" xfId="2480"/>
    <cellStyle name="_Q2PricingMatrixv4.24-FINAL 2_HD 10.3_June Rebate Expense - 06.20.11_nextlap" xfId="2481"/>
    <cellStyle name="_Q2PricingMatrixv4.24-FINAL 2_HD 10.3_June Rebate Expense - 06.30.11_Prelim" xfId="2482"/>
    <cellStyle name="_Q2PricingMatrixv4.24-FINAL 2_HD 10.3_June Rebate Expense - 07.06.11_Prelim_Forecast" xfId="2483"/>
    <cellStyle name="_Q2PricingMatrixv4.24-FINAL 2_HD 10.3_June Request_05 20 11" xfId="2484"/>
    <cellStyle name="_Q2PricingMatrixv4.24-FINAL 2_HD 10.3_March Rebate Expense - 02.25.11" xfId="2485"/>
    <cellStyle name="_Q2PricingMatrixv4.24-FINAL 2_HD 10.3_March Rebate Expense - 03.04.11" xfId="2486"/>
    <cellStyle name="_Q2PricingMatrixv4.24-FINAL 2_HD 10.3_May Rebate Expense - 04.27.11_wks" xfId="2487"/>
    <cellStyle name="_Q2PricingMatrixv4.24-FINAL 2_HD 10.3_May Rebate Expense - 05.09.11" xfId="2488"/>
    <cellStyle name="_Q2PricingMatrixv4.24-FINAL 2_HD 10.3_May Rebate Expense - 05.16.11" xfId="2489"/>
    <cellStyle name="_Q2PricingMatrixv4.24-FINAL 2_HD 10.3_May Rebate Expense - 05.23.11_nextlap" xfId="2490"/>
    <cellStyle name="_Q2PricingMatrixv4.24-FINAL 2_HD 10.3_May Rebate Expense - 05.31.11_Final" xfId="2491"/>
    <cellStyle name="_Q2PricingMatrixv4.24-FINAL 2_HD 10.3_November Skus" xfId="2492"/>
    <cellStyle name="_Q2PricingMatrixv4.24-FINAL 2_HD 10.3_October Rebate Expense - 10.10.11" xfId="2493"/>
    <cellStyle name="_Q2PricingMatrixv4.24-FINAL 2_HD 10.3_Per Unit" xfId="2494"/>
    <cellStyle name="_Q2PricingMatrixv4.24-FINAL 2_HD 10.3_September Rebate Expense - 09.12.11" xfId="2495"/>
    <cellStyle name="_Q2PricingMatrixv4.24-FINAL 2_HD 10.3_T-Mobile" xfId="2496"/>
    <cellStyle name="_Q2PricingMatrixv4.24-FINAL 2_HD 10.3_Verizon" xfId="2497"/>
    <cellStyle name="_Q2PricingMatrixv4.24-FINAL 2_HD 6.01" xfId="2498"/>
    <cellStyle name="_Q2PricingMatrixv4.24-FINAL 2_June Rebate Expense - 05.24.11" xfId="2499"/>
    <cellStyle name="_Q2PricingMatrixv4.24-FINAL 2_June Rebate Expense - 06.13.11" xfId="2500"/>
    <cellStyle name="_Q2PricingMatrixv4.24-FINAL 2_June Rebate Expense - 06.20.11_nextlap" xfId="2501"/>
    <cellStyle name="_Q2PricingMatrixv4.24-FINAL 2_June Rebate Expense - 06.30.11_Prelim" xfId="2502"/>
    <cellStyle name="_Q2PricingMatrixv4.24-FINAL 2_June Rebate Expense - 07.06.11_Prelim_Forecast" xfId="2503"/>
    <cellStyle name="_Q2PricingMatrixv4.24-FINAL 2_June Request_05 20 11" xfId="2504"/>
    <cellStyle name="_Q2PricingMatrixv4.24-FINAL 2_March Rebate Expense - 02.25.11" xfId="2505"/>
    <cellStyle name="_Q2PricingMatrixv4.24-FINAL 2_March Rebate Expense - 03.04.11" xfId="2506"/>
    <cellStyle name="_Q2PricingMatrixv4.24-FINAL 2_May Rebate Expense - 04.27.11_wks" xfId="2507"/>
    <cellStyle name="_Q2PricingMatrixv4.24-FINAL 2_May Rebate Expense - 05.09.11" xfId="2508"/>
    <cellStyle name="_Q2PricingMatrixv4.24-FINAL 2_May Rebate Expense - 05.16.11" xfId="2509"/>
    <cellStyle name="_Q2PricingMatrixv4.24-FINAL 2_May Rebate Expense - 05.23.11_nextlap" xfId="2510"/>
    <cellStyle name="_Q2PricingMatrixv4.24-FINAL 2_May Rebate Expense - 05.31.11_Final" xfId="2511"/>
    <cellStyle name="_Q2PricingMatrixv4.24-FINAL 2_November Skus" xfId="2512"/>
    <cellStyle name="_Q2PricingMatrixv4.24-FINAL 2_October Rebate Expense - 10.10.11" xfId="2513"/>
    <cellStyle name="_Q2PricingMatrixv4.24-FINAL 2_Per Unit" xfId="2514"/>
    <cellStyle name="_Q2PricingMatrixv4.24-FINAL 2_September Rebate Expense - 09.12.11" xfId="2515"/>
    <cellStyle name="_Q2PricingMatrixv4.24-FINAL 2_T-Mobile" xfId="2516"/>
    <cellStyle name="_Q2PricingMatrixv4.24-FINAL 2_Verizon" xfId="2517"/>
    <cellStyle name="_Q2PricingMatrixv4.24-FINAL 2_WA june stmts" xfId="2518"/>
    <cellStyle name="_Q2PricingMatrixv4.24-FINAL 2_WA p&amp;l may" xfId="2519"/>
    <cellStyle name="_Q2PricingMatrixv4.24-FINAL 3" xfId="2520"/>
    <cellStyle name="_Q2PricingMatrixv4.24-FINAL 3 2" xfId="2521"/>
    <cellStyle name="_Q2PricingMatrixv4.24-FINAL 3 2 2" xfId="2522"/>
    <cellStyle name="_Q2PricingMatrixv4.24-FINAL 3 2_WA june stmts" xfId="2523"/>
    <cellStyle name="_Q2PricingMatrixv4.24-FINAL 3 2_WA p&amp;l may" xfId="2524"/>
    <cellStyle name="_Q2PricingMatrixv4.24-FINAL 3 3" xfId="2525"/>
    <cellStyle name="_Q2PricingMatrixv4.24-FINAL 3_WA june stmts" xfId="2526"/>
    <cellStyle name="_Q2PricingMatrixv4.24-FINAL 3_WA p&amp;l may" xfId="2527"/>
    <cellStyle name="_Q2PricingMatrixv4.24-FINAL 4" xfId="2528"/>
    <cellStyle name="_Q2PricingMatrixv4.24-FINAL 4 2" xfId="2529"/>
    <cellStyle name="_Q2PricingMatrixv4.24-FINAL 4_WA june stmts" xfId="2530"/>
    <cellStyle name="_Q2PricingMatrixv4.24-FINAL 4_WA p&amp;l may" xfId="2531"/>
    <cellStyle name="_Q2PricingMatrixv4.24-FINAL 5" xfId="2532"/>
    <cellStyle name="_Q2PricingMatrixv4.24-FINAL 6" xfId="2533"/>
    <cellStyle name="_Q2PricingMatrixv4.24-FINAL_2010 Budget Supplement Slides_1.15.10" xfId="2534"/>
    <cellStyle name="_Q2PricingMatrixv4.24-FINAL_2010 Forecast Update - Sept 15th - Q3_Updated 09 13 10" xfId="2535"/>
    <cellStyle name="_Q2PricingMatrixv4.24-FINAL_2010 Forecast Update - Sept 15th - Q3_Updated 09 13 10 2" xfId="2536"/>
    <cellStyle name="_Q2PricingMatrixv4.24-FINAL_2010 Forecast Update - Sept 15th - Q3_Updated 09 13 10_WA june stmts" xfId="2537"/>
    <cellStyle name="_Q2PricingMatrixv4.24-FINAL_2010 Forecast Update - Sept 15th - Q3_Updated 09 13 10_WA p&amp;l may" xfId="2538"/>
    <cellStyle name="_Q2PricingMatrixv4.24-FINAL_2011 Ad to Sales 11 26 10" xfId="2539"/>
    <cellStyle name="_Q2PricingMatrixv4.24-FINAL_2011 Ad to Sales 11 26 10 2" xfId="2540"/>
    <cellStyle name="_Q2PricingMatrixv4.24-FINAL_2011 Ad to Sales 11 26 10_WA june stmts" xfId="2541"/>
    <cellStyle name="_Q2PricingMatrixv4.24-FINAL_2011 Ad to Sales 11 26 10_WA p&amp;l may" xfId="2542"/>
    <cellStyle name="_Q2PricingMatrixv4.24-FINAL_2011 Admin Pyrl 9 ovr 9 rollforward 12 08 10 RJ" xfId="2543"/>
    <cellStyle name="_Q2PricingMatrixv4.24-FINAL_2011 Budget EBITDA High Level_11.18.2010" xfId="2544"/>
    <cellStyle name="_Q2PricingMatrixv4.24-FINAL_2011 Budget EBITDA High Level_11.18.2010 2" xfId="2545"/>
    <cellStyle name="_Q2PricingMatrixv4.24-FINAL_2011 Budget EBITDA High Level_11.18.2010_Cap Ex Summary8 12 11update" xfId="2546"/>
    <cellStyle name="_Q2PricingMatrixv4.24-FINAL_2011 Budget EBITDA High Level_11.18.2010_WA june stmts" xfId="2547"/>
    <cellStyle name="_Q2PricingMatrixv4.24-FINAL_2011 Budget EBITDA High Level_11.18.2010_WA p&amp;l may" xfId="2548"/>
    <cellStyle name="_Q2PricingMatrixv4.24-FINAL_2011 Budget Margin Meeting Slides_11.5.2010_FINALupdated Tracker" xfId="2549"/>
    <cellStyle name="_Q2PricingMatrixv4.24-FINAL_2011 Budget Presentation_CC_11 17 10TG" xfId="2550"/>
    <cellStyle name="_Q2PricingMatrixv4.24-FINAL_2011 Budget Slides" xfId="2551"/>
    <cellStyle name="_Q2PricingMatrixv4.24-FINAL_2011 Expense Budget summary" xfId="2552"/>
    <cellStyle name="_Q2PricingMatrixv4.24-FINAL_2011 MARCH GERS UPLOAD - ROLL-UP" xfId="2553"/>
    <cellStyle name="_Q2PricingMatrixv4.24-FINAL_2011 MARCH GERS UPLOAD - ROLL-UP 2" xfId="2554"/>
    <cellStyle name="_Q2PricingMatrixv4.24-FINAL_2011 MARCH GERS UPLOAD - ROLL-UP 2 2" xfId="2555"/>
    <cellStyle name="_Q2PricingMatrixv4.24-FINAL_2011 MARCH GERS UPLOAD - ROLL-UP 2_WA june stmts" xfId="2556"/>
    <cellStyle name="_Q2PricingMatrixv4.24-FINAL_2011 MARCH GERS UPLOAD - ROLL-UP 2_WA p&amp;l may" xfId="2557"/>
    <cellStyle name="_Q2PricingMatrixv4.24-FINAL_2011 MARCH GERS UPLOAD - ROLL-UP 3" xfId="2558"/>
    <cellStyle name="_Q2PricingMatrixv4.24-FINAL_2011 MARCH GERS UPLOAD - ROLL-UP 3 2" xfId="2559"/>
    <cellStyle name="_Q2PricingMatrixv4.24-FINAL_2011 MARCH GERS UPLOAD - ROLL-UP 3_WA june stmts" xfId="2560"/>
    <cellStyle name="_Q2PricingMatrixv4.24-FINAL_2011 MARCH GERS UPLOAD - ROLL-UP 3_WA p&amp;l may" xfId="2561"/>
    <cellStyle name="_Q2PricingMatrixv4.24-FINAL_2011 MARCH GERS UPLOAD - ROLL-UP 4" xfId="2562"/>
    <cellStyle name="_Q2PricingMatrixv4.24-FINAL_2011 MARCH GERS UPLOAD - ROLL-UP_maycto" xfId="2563"/>
    <cellStyle name="_Q2PricingMatrixv4.24-FINAL_2011 MARCH GERS UPLOAD - ROLL-UP_maycto 2" xfId="2564"/>
    <cellStyle name="_Q2PricingMatrixv4.24-FINAL_2011 MARCH GERS UPLOAD - ROLL-UP_maycto_WA june stmts" xfId="2565"/>
    <cellStyle name="_Q2PricingMatrixv4.24-FINAL_2011 MARCH GERS UPLOAD - ROLL-UP_maycto_WA p&amp;l may" xfId="2566"/>
    <cellStyle name="_Q2PricingMatrixv4.24-FINAL_2011 MARCH GERS UPLOAD - ROLL-UP_WA june stmts" xfId="2567"/>
    <cellStyle name="_Q2PricingMatrixv4.24-FINAL_2011 MARCH GERS UPLOAD - ROLL-UP_WA p&amp;l may" xfId="2568"/>
    <cellStyle name="_Q2PricingMatrixv4.24-FINAL_2011 Proforma_11.17.10" xfId="2569"/>
    <cellStyle name="_Q2PricingMatrixv4.24-FINAL_2011CashflowBudget(Execsummary)" xfId="2570"/>
    <cellStyle name="_Q2PricingMatrixv4.24-FINAL_2011February Forecast Feb 18 RJ adjusted feb 21" xfId="2571"/>
    <cellStyle name="_Q2PricingMatrixv4.24-FINAL_2012 Cap Ex Project Numbers" xfId="2572"/>
    <cellStyle name="_Q2PricingMatrixv4.24-FINAL_2012 Cap Ex Template" xfId="2573"/>
    <cellStyle name="_Q2PricingMatrixv4.24-FINAL_9112 - Information Center - IS" xfId="2574"/>
    <cellStyle name="_Q2PricingMatrixv4.24-FINAL_9124 - Technical Services - TS" xfId="2575"/>
    <cellStyle name="_Q2PricingMatrixv4.24-FINAL_August 2011 Cap Ex" xfId="2576"/>
    <cellStyle name="_Q2PricingMatrixv4.24-FINAL_Cap Ex Summary8 12 11update" xfId="2577"/>
    <cellStyle name="_Q2PricingMatrixv4.24-FINAL_Copy of 2011 April forecast EOM May 2" xfId="2578"/>
    <cellStyle name="_Q2PricingMatrixv4.24-FINAL_Copy of 2012 Headcount Summary 10.04.11" xfId="2579"/>
    <cellStyle name="_Q2PricingMatrixv4.24-FINAL_Copy of IT adm headcount add assessment nov 26 2010" xfId="2580"/>
    <cellStyle name="_Q2PricingMatrixv4.24-FINAL_Copy of IT adm headcount add assessment nov 26 2010 2" xfId="2581"/>
    <cellStyle name="_Q2PricingMatrixv4.24-FINAL_Copy of IT adm headcount add assessment nov 26 2010_WA june stmts" xfId="2582"/>
    <cellStyle name="_Q2PricingMatrixv4.24-FINAL_Copy of IT adm headcount add assessment nov 26 2010_WA p&amp;l may" xfId="2583"/>
    <cellStyle name="_Q2PricingMatrixv4.24-FINAL_CTFY11EnterpriseTechnology Budget" xfId="2584"/>
    <cellStyle name="_Q2PricingMatrixv4.24-FINAL_DB info request for FY 2010 vendor summit" xfId="2585"/>
    <cellStyle name="_Q2PricingMatrixv4.24-FINAL_DB info request for FY 2010 vendor summit 2" xfId="2586"/>
    <cellStyle name="_Q2PricingMatrixv4.24-FINAL_DB info request for FY 2010 vendor summit_WA june stmts" xfId="2587"/>
    <cellStyle name="_Q2PricingMatrixv4.24-FINAL_DB info request for FY 2010 vendor summit_WA p&amp;l may" xfId="2588"/>
    <cellStyle name="_Q2PricingMatrixv4.24-FINAL_December 2011 Cap Ex 01.27.11" xfId="2589"/>
    <cellStyle name="_Q2PricingMatrixv4.24-FINAL_December 2011 Cap Ex 01.27.11_1" xfId="2590"/>
    <cellStyle name="_Q2PricingMatrixv4.24-FINAL_February Ecommerce Rebate Expense - 02.22.11" xfId="2591"/>
    <cellStyle name="_Q2PricingMatrixv4.24-FINAL_February Ecommerce Rebate Expense - 02.22.11_June Request_05 20 11" xfId="2592"/>
    <cellStyle name="_Q2PricingMatrixv4.24-FINAL_Field Payroll 2011 Budget Workbook" xfId="2593"/>
    <cellStyle name="_Q2PricingMatrixv4.24-FINAL_Jul" xfId="2594"/>
    <cellStyle name="_Q2PricingMatrixv4.24-FINAL_Jul 2" xfId="2595"/>
    <cellStyle name="_Q2PricingMatrixv4.24-FINAL_Jul_2011 Budget Presentation_CC_11 17 10TG" xfId="2596"/>
    <cellStyle name="_Q2PricingMatrixv4.24-FINAL_Jul_2011 Budget Slides" xfId="2597"/>
    <cellStyle name="_Q2PricingMatrixv4.24-FINAL_Jul_2011 Budget Slides Package_02 21 11" xfId="2598"/>
    <cellStyle name="_Q2PricingMatrixv4.24-FINAL_Jul_2011 Proforma_11.17.10" xfId="2599"/>
    <cellStyle name="_Q2PricingMatrixv4.24-FINAL_Jul_Cap Ex Summary8 12 11update" xfId="2600"/>
    <cellStyle name="_Q2PricingMatrixv4.24-FINAL_Jul_June Ecommerce Rebate Expense - 05.24.11" xfId="2601"/>
    <cellStyle name="_Q2PricingMatrixv4.24-FINAL_Jul_June Request_05 20 11" xfId="2602"/>
    <cellStyle name="_Q2PricingMatrixv4.24-FINAL_Jul_WA june stmts" xfId="2603"/>
    <cellStyle name="_Q2PricingMatrixv4.24-FINAL_Jul_WA p&amp;l may" xfId="2604"/>
    <cellStyle name="_Q2PricingMatrixv4.24-FINAL_July VPEP FINAL 8.17.2012_AB &amp; SL adjustments_used for July GL close" xfId="2605"/>
    <cellStyle name="_Q2PricingMatrixv4.24-FINAL_June VPEP 7.16.12 FINAL used for June GL close revised July 30, 2012" xfId="2606"/>
    <cellStyle name="_Q2PricingMatrixv4.24-FINAL_March Rebate Expense - 02.22.11" xfId="2607"/>
    <cellStyle name="_Q2PricingMatrixv4.24-FINAL_May Rebate Expense - 05.31.11_Final" xfId="2608"/>
    <cellStyle name="_Q2PricingMatrixv4.24-FINAL_maycto" xfId="2609"/>
    <cellStyle name="_Q2PricingMatrixv4.24-FINAL_maycto 2" xfId="2610"/>
    <cellStyle name="_Q2PricingMatrixv4.24-FINAL_maycto_WA june stmts" xfId="2611"/>
    <cellStyle name="_Q2PricingMatrixv4.24-FINAL_maycto_WA p&amp;l may" xfId="2612"/>
    <cellStyle name="_Q2PricingMatrixv4.24-FINAL_October 2011 Cap Ex 11.17.11 wMatt Adj" xfId="2613"/>
    <cellStyle name="_Q2PricingMatrixv4.24-FINAL_Q3 2010 BOD Slides_11.10.10" xfId="2614"/>
    <cellStyle name="_Q2PricingMatrixv4.24-FINAL_Q4 AAFES P&amp;L_10.11.2010" xfId="2615"/>
    <cellStyle name="_Q2PricingMatrixv4.24-FINAL_Q4 AAFES P&amp;L_10.11.2010 2" xfId="2616"/>
    <cellStyle name="_Q2PricingMatrixv4.24-FINAL_Q4 AAFES P&amp;L_10.11.2010_Cap Ex Summary8 12 11update" xfId="2617"/>
    <cellStyle name="_Q2PricingMatrixv4.24-FINAL_Q4 AAFES P&amp;L_10.11.2010_WA june stmts" xfId="2618"/>
    <cellStyle name="_Q2PricingMatrixv4.24-FINAL_Q4 AAFES P&amp;L_10.11.2010_WA p&amp;l may" xfId="2619"/>
    <cellStyle name="_Q2PricingMatrixv4.24-FINAL_Sep" xfId="2620"/>
    <cellStyle name="_Q2PricingMatrixv4.24-FINAL_Sep 2" xfId="2621"/>
    <cellStyle name="_Q2PricingMatrixv4.24-FINAL_Sep_2011 Budget Presentation_CC_11 17 10TG" xfId="2622"/>
    <cellStyle name="_Q2PricingMatrixv4.24-FINAL_Sep_2011 Budget Slides" xfId="2623"/>
    <cellStyle name="_Q2PricingMatrixv4.24-FINAL_Sep_2011 Budget Slides Package_02 21 11" xfId="2624"/>
    <cellStyle name="_Q2PricingMatrixv4.24-FINAL_Sep_2011 Proforma_11.17.10" xfId="2625"/>
    <cellStyle name="_Q2PricingMatrixv4.24-FINAL_Sep_Cap Ex Summary8 12 11update" xfId="2626"/>
    <cellStyle name="_Q2PricingMatrixv4.24-FINAL_Sep_June Ecommerce Rebate Expense - 05.24.11" xfId="2627"/>
    <cellStyle name="_Q2PricingMatrixv4.24-FINAL_Sep_June Request_05 20 11" xfId="2628"/>
    <cellStyle name="_Q2PricingMatrixv4.24-FINAL_Sep_WA june stmts" xfId="2629"/>
    <cellStyle name="_Q2PricingMatrixv4.24-FINAL_Sep_WA p&amp;l may" xfId="2630"/>
    <cellStyle name="_Q2PricingMatrixv4.24-FINAL_September 2011 Cap Ex New 10.24.11 wMatts Changes" xfId="2631"/>
    <cellStyle name="_Q2PricingMatrixv4.24-FINAL_Sheet3" xfId="2632"/>
    <cellStyle name="_Q2PricingMatrixv4.24-FINAL_Staples Expenses Jun - Dec_06.30.11" xfId="2633"/>
    <cellStyle name="_Q2PricingMatrixv4.24-FINAL_VPEP 10.19.10" xfId="2634"/>
    <cellStyle name="_Q2PricingMatrixv4.24-FINAL_vpep allocation for forecast" xfId="2635"/>
    <cellStyle name="_Q2PricingMatrixv4.24-FINAL_vpep allocation for forecast 2" xfId="2636"/>
    <cellStyle name="_Q2PricingMatrixv4.24-FINAL_vpep allocation for forecast_WA june stmts" xfId="2637"/>
    <cellStyle name="_Q2PricingMatrixv4.24-FINAL_vpep allocation for forecast_WA p&amp;l may" xfId="2638"/>
    <cellStyle name="_Q2PricingMatrixv4.24-FINAL_WA june stmts" xfId="2639"/>
    <cellStyle name="_Q2PricingMatrixv4.24-FINAL_WA p&amp;l may" xfId="2640"/>
    <cellStyle name="_SAP-ADP Map__ BAC 486_w mapping_PIVOT" xfId="2641"/>
    <cellStyle name="_Sept 1 - 29 2007 pricing w- cost v1" xfId="2642"/>
    <cellStyle name="_Sept 1 - 29 2007 pricing w- cost v1 2" xfId="2643"/>
    <cellStyle name="_Sept 1 - 29 2007 pricing w- cost v1 2 2" xfId="2644"/>
    <cellStyle name="_Sept 1 - 29 2007 pricing w- cost v1 2_AT&amp;T" xfId="2645"/>
    <cellStyle name="_Sept 1 - 29 2007 pricing w- cost v1 2_August Rebate Expense - 07.24.11" xfId="2646"/>
    <cellStyle name="_Sept 1 - 29 2007 pricing w- cost v1 2_Carrier Margin v Prior Update" xfId="2647"/>
    <cellStyle name="_Sept 1 - 29 2007 pricing w- cost v1 2_HD 10.3" xfId="2648"/>
    <cellStyle name="_Sept 1 - 29 2007 pricing w- cost v1 2_HD 10.3 2" xfId="2649"/>
    <cellStyle name="_Sept 1 - 29 2007 pricing w- cost v1 2_HD 10.3_AT&amp;T" xfId="2650"/>
    <cellStyle name="_Sept 1 - 29 2007 pricing w- cost v1 2_HD 10.3_August Rebate Expense - 07.24.11" xfId="2651"/>
    <cellStyle name="_Sept 1 - 29 2007 pricing w- cost v1 2_HD 10.3_Carrier Margin v Prior Update" xfId="2652"/>
    <cellStyle name="_Sept 1 - 29 2007 pricing w- cost v1 2_HD 10.3_HD 6.01" xfId="2653"/>
    <cellStyle name="_Sept 1 - 29 2007 pricing w- cost v1 2_HD 10.3_June Rebate Expense - 05.24.11" xfId="2654"/>
    <cellStyle name="_Sept 1 - 29 2007 pricing w- cost v1 2_HD 10.3_June Rebate Expense - 06.13.11" xfId="2655"/>
    <cellStyle name="_Sept 1 - 29 2007 pricing w- cost v1 2_HD 10.3_June Rebate Expense - 06.20.11_nextlap" xfId="2656"/>
    <cellStyle name="_Sept 1 - 29 2007 pricing w- cost v1 2_HD 10.3_June Rebate Expense - 06.30.11_Prelim" xfId="2657"/>
    <cellStyle name="_Sept 1 - 29 2007 pricing w- cost v1 2_HD 10.3_June Rebate Expense - 07.06.11_Prelim_Forecast" xfId="2658"/>
    <cellStyle name="_Sept 1 - 29 2007 pricing w- cost v1 2_HD 10.3_June Request_05 20 11" xfId="2659"/>
    <cellStyle name="_Sept 1 - 29 2007 pricing w- cost v1 2_HD 10.3_March Rebate Expense - 02.25.11" xfId="2660"/>
    <cellStyle name="_Sept 1 - 29 2007 pricing w- cost v1 2_HD 10.3_March Rebate Expense - 03.04.11" xfId="2661"/>
    <cellStyle name="_Sept 1 - 29 2007 pricing w- cost v1 2_HD 10.3_May Rebate Expense - 04.27.11_wks" xfId="2662"/>
    <cellStyle name="_Sept 1 - 29 2007 pricing w- cost v1 2_HD 10.3_May Rebate Expense - 05.09.11" xfId="2663"/>
    <cellStyle name="_Sept 1 - 29 2007 pricing w- cost v1 2_HD 10.3_May Rebate Expense - 05.16.11" xfId="2664"/>
    <cellStyle name="_Sept 1 - 29 2007 pricing w- cost v1 2_HD 10.3_May Rebate Expense - 05.23.11_nextlap" xfId="2665"/>
    <cellStyle name="_Sept 1 - 29 2007 pricing w- cost v1 2_HD 10.3_May Rebate Expense - 05.31.11_Final" xfId="2666"/>
    <cellStyle name="_Sept 1 - 29 2007 pricing w- cost v1 2_HD 10.3_November Skus" xfId="2667"/>
    <cellStyle name="_Sept 1 - 29 2007 pricing w- cost v1 2_HD 10.3_October Rebate Expense - 10.10.11" xfId="2668"/>
    <cellStyle name="_Sept 1 - 29 2007 pricing w- cost v1 2_HD 10.3_Per Unit" xfId="2669"/>
    <cellStyle name="_Sept 1 - 29 2007 pricing w- cost v1 2_HD 10.3_September Rebate Expense - 09.12.11" xfId="2670"/>
    <cellStyle name="_Sept 1 - 29 2007 pricing w- cost v1 2_HD 10.3_T-Mobile" xfId="2671"/>
    <cellStyle name="_Sept 1 - 29 2007 pricing w- cost v1 2_HD 10.3_Verizon" xfId="2672"/>
    <cellStyle name="_Sept 1 - 29 2007 pricing w- cost v1 2_HD 6.01" xfId="2673"/>
    <cellStyle name="_Sept 1 - 29 2007 pricing w- cost v1 2_June Rebate Expense - 05.24.11" xfId="2674"/>
    <cellStyle name="_Sept 1 - 29 2007 pricing w- cost v1 2_June Rebate Expense - 06.13.11" xfId="2675"/>
    <cellStyle name="_Sept 1 - 29 2007 pricing w- cost v1 2_June Rebate Expense - 06.20.11_nextlap" xfId="2676"/>
    <cellStyle name="_Sept 1 - 29 2007 pricing w- cost v1 2_June Rebate Expense - 06.30.11_Prelim" xfId="2677"/>
    <cellStyle name="_Sept 1 - 29 2007 pricing w- cost v1 2_June Rebate Expense - 07.06.11_Prelim_Forecast" xfId="2678"/>
    <cellStyle name="_Sept 1 - 29 2007 pricing w- cost v1 2_June Request_05 20 11" xfId="2679"/>
    <cellStyle name="_Sept 1 - 29 2007 pricing w- cost v1 2_March Rebate Expense - 02.25.11" xfId="2680"/>
    <cellStyle name="_Sept 1 - 29 2007 pricing w- cost v1 2_March Rebate Expense - 03.04.11" xfId="2681"/>
    <cellStyle name="_Sept 1 - 29 2007 pricing w- cost v1 2_May Rebate Expense - 04.27.11_wks" xfId="2682"/>
    <cellStyle name="_Sept 1 - 29 2007 pricing w- cost v1 2_May Rebate Expense - 05.09.11" xfId="2683"/>
    <cellStyle name="_Sept 1 - 29 2007 pricing w- cost v1 2_May Rebate Expense - 05.16.11" xfId="2684"/>
    <cellStyle name="_Sept 1 - 29 2007 pricing w- cost v1 2_May Rebate Expense - 05.23.11_nextlap" xfId="2685"/>
    <cellStyle name="_Sept 1 - 29 2007 pricing w- cost v1 2_May Rebate Expense - 05.31.11_Final" xfId="2686"/>
    <cellStyle name="_Sept 1 - 29 2007 pricing w- cost v1 2_November Skus" xfId="2687"/>
    <cellStyle name="_Sept 1 - 29 2007 pricing w- cost v1 2_October Rebate Expense - 10.10.11" xfId="2688"/>
    <cellStyle name="_Sept 1 - 29 2007 pricing w- cost v1 2_Per Unit" xfId="2689"/>
    <cellStyle name="_Sept 1 - 29 2007 pricing w- cost v1 2_September Rebate Expense - 09.12.11" xfId="2690"/>
    <cellStyle name="_Sept 1 - 29 2007 pricing w- cost v1 2_T-Mobile" xfId="2691"/>
    <cellStyle name="_Sept 1 - 29 2007 pricing w- cost v1 2_Verizon" xfId="2692"/>
    <cellStyle name="_Sept 1 - 29 2007 pricing w- cost v1 2_WA june stmts" xfId="2693"/>
    <cellStyle name="_Sept 1 - 29 2007 pricing w- cost v1 2_WA p&amp;l may" xfId="2694"/>
    <cellStyle name="_Sept 1 - 29 2007 pricing w- cost v1 3" xfId="2695"/>
    <cellStyle name="_Sept 1 - 29 2007 pricing w- cost v1 3 2" xfId="2696"/>
    <cellStyle name="_Sept 1 - 29 2007 pricing w- cost v1 3 2 2" xfId="2697"/>
    <cellStyle name="_Sept 1 - 29 2007 pricing w- cost v1 3 2_WA june stmts" xfId="2698"/>
    <cellStyle name="_Sept 1 - 29 2007 pricing w- cost v1 3 2_WA p&amp;l may" xfId="2699"/>
    <cellStyle name="_Sept 1 - 29 2007 pricing w- cost v1 3 3" xfId="2700"/>
    <cellStyle name="_Sept 1 - 29 2007 pricing w- cost v1 3_WA june stmts" xfId="2701"/>
    <cellStyle name="_Sept 1 - 29 2007 pricing w- cost v1 3_WA p&amp;l may" xfId="2702"/>
    <cellStyle name="_Sept 1 - 29 2007 pricing w- cost v1 4" xfId="2703"/>
    <cellStyle name="_Sept 1 - 29 2007 pricing w- cost v1 4 2" xfId="2704"/>
    <cellStyle name="_Sept 1 - 29 2007 pricing w- cost v1 4_WA june stmts" xfId="2705"/>
    <cellStyle name="_Sept 1 - 29 2007 pricing w- cost v1 4_WA p&amp;l may" xfId="2706"/>
    <cellStyle name="_Sept 1 - 29 2007 pricing w- cost v1 5" xfId="2707"/>
    <cellStyle name="_Sept 1 - 29 2007 pricing w- cost v1 6" xfId="2708"/>
    <cellStyle name="_Sept 1 - 29 2007 pricing w- cost v1_2010 Budget Supplement Slides_1.15.10" xfId="2709"/>
    <cellStyle name="_Sept 1 - 29 2007 pricing w- cost v1_2010 Forecast Update - Sept 15th - Q3_Updated 09 13 10" xfId="2710"/>
    <cellStyle name="_Sept 1 - 29 2007 pricing w- cost v1_2010 Forecast Update - Sept 15th - Q3_Updated 09 13 10 2" xfId="2711"/>
    <cellStyle name="_Sept 1 - 29 2007 pricing w- cost v1_2010 Forecast Update - Sept 15th - Q3_Updated 09 13 10_WA june stmts" xfId="2712"/>
    <cellStyle name="_Sept 1 - 29 2007 pricing w- cost v1_2010 Forecast Update - Sept 15th - Q3_Updated 09 13 10_WA p&amp;l may" xfId="2713"/>
    <cellStyle name="_Sept 1 - 29 2007 pricing w- cost v1_2011 Ad to Sales 11 26 10" xfId="2714"/>
    <cellStyle name="_Sept 1 - 29 2007 pricing w- cost v1_2011 Ad to Sales 11 26 10 2" xfId="2715"/>
    <cellStyle name="_Sept 1 - 29 2007 pricing w- cost v1_2011 Ad to Sales 11 26 10_WA june stmts" xfId="2716"/>
    <cellStyle name="_Sept 1 - 29 2007 pricing w- cost v1_2011 Ad to Sales 11 26 10_WA p&amp;l may" xfId="2717"/>
    <cellStyle name="_Sept 1 - 29 2007 pricing w- cost v1_2011 Admin Pyrl 9 ovr 9 rollforward 12 08 10 RJ" xfId="2718"/>
    <cellStyle name="_Sept 1 - 29 2007 pricing w- cost v1_2011 Budget EBITDA High Level_11.18.2010" xfId="2719"/>
    <cellStyle name="_Sept 1 - 29 2007 pricing w- cost v1_2011 Budget EBITDA High Level_11.18.2010 2" xfId="2720"/>
    <cellStyle name="_Sept 1 - 29 2007 pricing w- cost v1_2011 Budget EBITDA High Level_11.18.2010_Cap Ex Summary8 12 11update" xfId="2721"/>
    <cellStyle name="_Sept 1 - 29 2007 pricing w- cost v1_2011 Budget EBITDA High Level_11.18.2010_WA june stmts" xfId="2722"/>
    <cellStyle name="_Sept 1 - 29 2007 pricing w- cost v1_2011 Budget EBITDA High Level_11.18.2010_WA p&amp;l may" xfId="2723"/>
    <cellStyle name="_Sept 1 - 29 2007 pricing w- cost v1_2011 Budget Margin Meeting Slides_11.5.2010_FINALupdated Tracker" xfId="2724"/>
    <cellStyle name="_Sept 1 - 29 2007 pricing w- cost v1_2011 Budget Presentation_CC_11 17 10TG" xfId="2725"/>
    <cellStyle name="_Sept 1 - 29 2007 pricing w- cost v1_2011 Budget Slides" xfId="2726"/>
    <cellStyle name="_Sept 1 - 29 2007 pricing w- cost v1_2011 Expense Budget summary" xfId="2727"/>
    <cellStyle name="_Sept 1 - 29 2007 pricing w- cost v1_2011 MARCH GERS UPLOAD - ROLL-UP" xfId="2728"/>
    <cellStyle name="_Sept 1 - 29 2007 pricing w- cost v1_2011 MARCH GERS UPLOAD - ROLL-UP 2" xfId="2729"/>
    <cellStyle name="_Sept 1 - 29 2007 pricing w- cost v1_2011 MARCH GERS UPLOAD - ROLL-UP 2 2" xfId="2730"/>
    <cellStyle name="_Sept 1 - 29 2007 pricing w- cost v1_2011 MARCH GERS UPLOAD - ROLL-UP 2_WA june stmts" xfId="2731"/>
    <cellStyle name="_Sept 1 - 29 2007 pricing w- cost v1_2011 MARCH GERS UPLOAD - ROLL-UP 2_WA p&amp;l may" xfId="2732"/>
    <cellStyle name="_Sept 1 - 29 2007 pricing w- cost v1_2011 MARCH GERS UPLOAD - ROLL-UP 3" xfId="2733"/>
    <cellStyle name="_Sept 1 - 29 2007 pricing w- cost v1_2011 MARCH GERS UPLOAD - ROLL-UP 3 2" xfId="2734"/>
    <cellStyle name="_Sept 1 - 29 2007 pricing w- cost v1_2011 MARCH GERS UPLOAD - ROLL-UP 3_WA june stmts" xfId="2735"/>
    <cellStyle name="_Sept 1 - 29 2007 pricing w- cost v1_2011 MARCH GERS UPLOAD - ROLL-UP 3_WA p&amp;l may" xfId="2736"/>
    <cellStyle name="_Sept 1 - 29 2007 pricing w- cost v1_2011 MARCH GERS UPLOAD - ROLL-UP 4" xfId="2737"/>
    <cellStyle name="_Sept 1 - 29 2007 pricing w- cost v1_2011 MARCH GERS UPLOAD - ROLL-UP_maycto" xfId="2738"/>
    <cellStyle name="_Sept 1 - 29 2007 pricing w- cost v1_2011 MARCH GERS UPLOAD - ROLL-UP_maycto 2" xfId="2739"/>
    <cellStyle name="_Sept 1 - 29 2007 pricing w- cost v1_2011 MARCH GERS UPLOAD - ROLL-UP_maycto_WA june stmts" xfId="2740"/>
    <cellStyle name="_Sept 1 - 29 2007 pricing w- cost v1_2011 MARCH GERS UPLOAD - ROLL-UP_maycto_WA p&amp;l may" xfId="2741"/>
    <cellStyle name="_Sept 1 - 29 2007 pricing w- cost v1_2011 MARCH GERS UPLOAD - ROLL-UP_WA june stmts" xfId="2742"/>
    <cellStyle name="_Sept 1 - 29 2007 pricing w- cost v1_2011 MARCH GERS UPLOAD - ROLL-UP_WA p&amp;l may" xfId="2743"/>
    <cellStyle name="_Sept 1 - 29 2007 pricing w- cost v1_2011 Proforma_11.17.10" xfId="2744"/>
    <cellStyle name="_Sept 1 - 29 2007 pricing w- cost v1_2011CashflowBudget(Execsummary)" xfId="2745"/>
    <cellStyle name="_Sept 1 - 29 2007 pricing w- cost v1_2011February Forecast Feb 18 RJ adjusted feb 21" xfId="2746"/>
    <cellStyle name="_Sept 1 - 29 2007 pricing w- cost v1_2012 Cap Ex Project Numbers" xfId="2747"/>
    <cellStyle name="_Sept 1 - 29 2007 pricing w- cost v1_2012 Cap Ex Template" xfId="2748"/>
    <cellStyle name="_Sept 1 - 29 2007 pricing w- cost v1_9112 - Information Center - IS" xfId="2749"/>
    <cellStyle name="_Sept 1 - 29 2007 pricing w- cost v1_9124 - Technical Services - TS" xfId="2750"/>
    <cellStyle name="_Sept 1 - 29 2007 pricing w- cost v1_August 2011 Cap Ex" xfId="2751"/>
    <cellStyle name="_Sept 1 - 29 2007 pricing w- cost v1_Cap Ex Summary8 12 11update" xfId="2752"/>
    <cellStyle name="_Sept 1 - 29 2007 pricing w- cost v1_Copy of 2011 April forecast EOM May 2" xfId="2753"/>
    <cellStyle name="_Sept 1 - 29 2007 pricing w- cost v1_Copy of 2012 Headcount Summary 10.04.11" xfId="2754"/>
    <cellStyle name="_Sept 1 - 29 2007 pricing w- cost v1_Copy of IT adm headcount add assessment nov 26 2010" xfId="2755"/>
    <cellStyle name="_Sept 1 - 29 2007 pricing w- cost v1_Copy of IT adm headcount add assessment nov 26 2010 2" xfId="2756"/>
    <cellStyle name="_Sept 1 - 29 2007 pricing w- cost v1_Copy of IT adm headcount add assessment nov 26 2010_WA june stmts" xfId="2757"/>
    <cellStyle name="_Sept 1 - 29 2007 pricing w- cost v1_Copy of IT adm headcount add assessment nov 26 2010_WA p&amp;l may" xfId="2758"/>
    <cellStyle name="_Sept 1 - 29 2007 pricing w- cost v1_CTFY11EnterpriseTechnology Budget" xfId="2759"/>
    <cellStyle name="_Sept 1 - 29 2007 pricing w- cost v1_DB info request for FY 2010 vendor summit" xfId="2760"/>
    <cellStyle name="_Sept 1 - 29 2007 pricing w- cost v1_DB info request for FY 2010 vendor summit 2" xfId="2761"/>
    <cellStyle name="_Sept 1 - 29 2007 pricing w- cost v1_DB info request for FY 2010 vendor summit_WA june stmts" xfId="2762"/>
    <cellStyle name="_Sept 1 - 29 2007 pricing w- cost v1_DB info request for FY 2010 vendor summit_WA p&amp;l may" xfId="2763"/>
    <cellStyle name="_Sept 1 - 29 2007 pricing w- cost v1_December 2011 Cap Ex 01.27.11" xfId="2764"/>
    <cellStyle name="_Sept 1 - 29 2007 pricing w- cost v1_December 2011 Cap Ex 01.27.11_1" xfId="2765"/>
    <cellStyle name="_Sept 1 - 29 2007 pricing w- cost v1_February Ecommerce Rebate Expense - 02.22.11" xfId="2766"/>
    <cellStyle name="_Sept 1 - 29 2007 pricing w- cost v1_February Ecommerce Rebate Expense - 02.22.11_June Request_05 20 11" xfId="2767"/>
    <cellStyle name="_Sept 1 - 29 2007 pricing w- cost v1_Field Payroll 2011 Budget Workbook" xfId="2768"/>
    <cellStyle name="_Sept 1 - 29 2007 pricing w- cost v1_Jul" xfId="2769"/>
    <cellStyle name="_Sept 1 - 29 2007 pricing w- cost v1_Jul 2" xfId="2770"/>
    <cellStyle name="_Sept 1 - 29 2007 pricing w- cost v1_Jul_2011 Budget Presentation_CC_11 17 10TG" xfId="2771"/>
    <cellStyle name="_Sept 1 - 29 2007 pricing w- cost v1_Jul_2011 Budget Slides" xfId="2772"/>
    <cellStyle name="_Sept 1 - 29 2007 pricing w- cost v1_Jul_2011 Budget Slides Package_02 21 11" xfId="2773"/>
    <cellStyle name="_Sept 1 - 29 2007 pricing w- cost v1_Jul_2011 Proforma_11.17.10" xfId="2774"/>
    <cellStyle name="_Sept 1 - 29 2007 pricing w- cost v1_Jul_Cap Ex Summary8 12 11update" xfId="2775"/>
    <cellStyle name="_Sept 1 - 29 2007 pricing w- cost v1_Jul_June Ecommerce Rebate Expense - 05.24.11" xfId="2776"/>
    <cellStyle name="_Sept 1 - 29 2007 pricing w- cost v1_Jul_June Request_05 20 11" xfId="2777"/>
    <cellStyle name="_Sept 1 - 29 2007 pricing w- cost v1_Jul_WA june stmts" xfId="2778"/>
    <cellStyle name="_Sept 1 - 29 2007 pricing w- cost v1_Jul_WA p&amp;l may" xfId="2779"/>
    <cellStyle name="_Sept 1 - 29 2007 pricing w- cost v1_July VPEP FINAL 8.17.2012_AB &amp; SL adjustments_used for July GL close" xfId="2780"/>
    <cellStyle name="_Sept 1 - 29 2007 pricing w- cost v1_June VPEP 7.16.12 FINAL used for June GL close revised July 30, 2012" xfId="2781"/>
    <cellStyle name="_Sept 1 - 29 2007 pricing w- cost v1_March Rebate Expense - 02.22.11" xfId="2782"/>
    <cellStyle name="_Sept 1 - 29 2007 pricing w- cost v1_May Rebate Expense - 05.31.11_Final" xfId="2783"/>
    <cellStyle name="_Sept 1 - 29 2007 pricing w- cost v1_maycto" xfId="2784"/>
    <cellStyle name="_Sept 1 - 29 2007 pricing w- cost v1_maycto 2" xfId="2785"/>
    <cellStyle name="_Sept 1 - 29 2007 pricing w- cost v1_maycto_WA june stmts" xfId="2786"/>
    <cellStyle name="_Sept 1 - 29 2007 pricing w- cost v1_maycto_WA p&amp;l may" xfId="2787"/>
    <cellStyle name="_Sept 1 - 29 2007 pricing w- cost v1_October 2011 Cap Ex 11.17.11 wMatt Adj" xfId="2788"/>
    <cellStyle name="_Sept 1 - 29 2007 pricing w- cost v1_Q3 2010 BOD Slides_11.10.10" xfId="2789"/>
    <cellStyle name="_Sept 1 - 29 2007 pricing w- cost v1_Q4 AAFES P&amp;L_10.11.2010" xfId="2790"/>
    <cellStyle name="_Sept 1 - 29 2007 pricing w- cost v1_Q4 AAFES P&amp;L_10.11.2010 2" xfId="2791"/>
    <cellStyle name="_Sept 1 - 29 2007 pricing w- cost v1_Q4 AAFES P&amp;L_10.11.2010_Cap Ex Summary8 12 11update" xfId="2792"/>
    <cellStyle name="_Sept 1 - 29 2007 pricing w- cost v1_Q4 AAFES P&amp;L_10.11.2010_WA june stmts" xfId="2793"/>
    <cellStyle name="_Sept 1 - 29 2007 pricing w- cost v1_Q4 AAFES P&amp;L_10.11.2010_WA p&amp;l may" xfId="2794"/>
    <cellStyle name="_Sept 1 - 29 2007 pricing w- cost v1_Sep" xfId="2795"/>
    <cellStyle name="_Sept 1 - 29 2007 pricing w- cost v1_Sep 2" xfId="2796"/>
    <cellStyle name="_Sept 1 - 29 2007 pricing w- cost v1_Sep_2011 Budget Presentation_CC_11 17 10TG" xfId="2797"/>
    <cellStyle name="_Sept 1 - 29 2007 pricing w- cost v1_Sep_2011 Budget Slides" xfId="2798"/>
    <cellStyle name="_Sept 1 - 29 2007 pricing w- cost v1_Sep_2011 Budget Slides Package_02 21 11" xfId="2799"/>
    <cellStyle name="_Sept 1 - 29 2007 pricing w- cost v1_Sep_2011 Proforma_11.17.10" xfId="2800"/>
    <cellStyle name="_Sept 1 - 29 2007 pricing w- cost v1_Sep_Cap Ex Summary8 12 11update" xfId="2801"/>
    <cellStyle name="_Sept 1 - 29 2007 pricing w- cost v1_Sep_June Ecommerce Rebate Expense - 05.24.11" xfId="2802"/>
    <cellStyle name="_Sept 1 - 29 2007 pricing w- cost v1_Sep_June Request_05 20 11" xfId="2803"/>
    <cellStyle name="_Sept 1 - 29 2007 pricing w- cost v1_Sep_WA june stmts" xfId="2804"/>
    <cellStyle name="_Sept 1 - 29 2007 pricing w- cost v1_Sep_WA p&amp;l may" xfId="2805"/>
    <cellStyle name="_Sept 1 - 29 2007 pricing w- cost v1_September 2011 Cap Ex New 10.24.11 wMatts Changes" xfId="2806"/>
    <cellStyle name="_Sept 1 - 29 2007 pricing w- cost v1_Sheet3" xfId="2807"/>
    <cellStyle name="_Sept 1 - 29 2007 pricing w- cost v1_Staples Expenses Jun - Dec_06.30.11" xfId="2808"/>
    <cellStyle name="_Sept 1 - 29 2007 pricing w- cost v1_VPEP 10.19.10" xfId="2809"/>
    <cellStyle name="_Sept 1 - 29 2007 pricing w- cost v1_vpep allocation for forecast" xfId="2810"/>
    <cellStyle name="_Sept 1 - 29 2007 pricing w- cost v1_vpep allocation for forecast 2" xfId="2811"/>
    <cellStyle name="_Sept 1 - 29 2007 pricing w- cost v1_vpep allocation for forecast_WA june stmts" xfId="2812"/>
    <cellStyle name="_Sept 1 - 29 2007 pricing w- cost v1_vpep allocation for forecast_WA p&amp;l may" xfId="2813"/>
    <cellStyle name="_Sept 1 - 29 2007 pricing w- cost v1_WA june stmts" xfId="2814"/>
    <cellStyle name="_Sept 1 - 29 2007 pricing w- cost v1_WA p&amp;l may" xfId="2815"/>
    <cellStyle name="_SKU Setup Worksheet" xfId="2816"/>
    <cellStyle name="_SubHeading" xfId="2817"/>
    <cellStyle name="_SubHeading_prestemp" xfId="2818"/>
    <cellStyle name="_SubHeading_prestemp_Pep Boys - Financial Summary" xfId="2819"/>
    <cellStyle name="_Sync Report 04.19.04" xfId="2820"/>
    <cellStyle name="_Table" xfId="2821"/>
    <cellStyle name="_Table_AVP" xfId="2822"/>
    <cellStyle name="_Table_Contribution Analysis" xfId="2823"/>
    <cellStyle name="_Table_Merger Plan 01" xfId="2824"/>
    <cellStyle name="_Table_Merger Plan 01 2" xfId="2825"/>
    <cellStyle name="_Table_Merger Plan 01 2 2" xfId="2826"/>
    <cellStyle name="_Table_Merger Plan 01 2 2 2" xfId="2827"/>
    <cellStyle name="_Table_Merger Plan 01 2 2 3" xfId="2828"/>
    <cellStyle name="_Table_Merger Plan 01 2 3" xfId="2829"/>
    <cellStyle name="_Table_Merger Plan 01 2 4" xfId="2830"/>
    <cellStyle name="_Table_Merger Plan 01 3" xfId="2831"/>
    <cellStyle name="_Table_Merger Plan 01 4" xfId="2832"/>
    <cellStyle name="_Table_Merger Plan 01 5" xfId="2833"/>
    <cellStyle name="_Table_Merger Plan SP_CA" xfId="2834"/>
    <cellStyle name="_Table_Ownership structure - UCI" xfId="2835"/>
    <cellStyle name="_Table_Ownership structure - UCI 2" xfId="2836"/>
    <cellStyle name="_Table_Ownership structure - UCI 2 2" xfId="2837"/>
    <cellStyle name="_Table_Ownership structure - UCI 2 2 2" xfId="2838"/>
    <cellStyle name="_Table_Ownership structure - UCI 2 2 3" xfId="2839"/>
    <cellStyle name="_Table_Ownership structure - UCI 2 3" xfId="2840"/>
    <cellStyle name="_Table_Ownership structure - UCI 2 4" xfId="2841"/>
    <cellStyle name="_Table_Ownership structure - UCI 3" xfId="2842"/>
    <cellStyle name="_Table_Ownership structure - UCI 4" xfId="2843"/>
    <cellStyle name="_Table_Ownership structure - UCI 5" xfId="2844"/>
    <cellStyle name="_TableHead" xfId="2845"/>
    <cellStyle name="_TableRowHead" xfId="2846"/>
    <cellStyle name="_TableSuperHead" xfId="2847"/>
    <cellStyle name="_TableSuperHead_AVP" xfId="2848"/>
    <cellStyle name="_TableSuperHead_Contribution Analysis" xfId="2849"/>
    <cellStyle name="_TableSuperHead_Merger Plan 01" xfId="2850"/>
    <cellStyle name="_TableSuperHead_Merger Plan SP_CA" xfId="2851"/>
    <cellStyle name="_TableSuperHead_Ownership structure - UCI" xfId="2852"/>
    <cellStyle name="_US SBU Comps Q1 Budget" xfId="2853"/>
    <cellStyle name="_US SBU Comps Q1 Budget 2" xfId="2854"/>
    <cellStyle name="_US SBU Comps Q1 Budget_2012 Cap Ex Project Numbers" xfId="2855"/>
    <cellStyle name="_US SBU Comps Q1 Budget_August 2011 Cap Ex" xfId="2856"/>
    <cellStyle name="_US SBU Comps Q1 Budget_August 2011 Cap Ex_Cap exp forecast as of Oct 31 11.18.11" xfId="2857"/>
    <cellStyle name="_US SBU Comps Q1 Budget_August 2011 Cap Ex_Cap exp forecast as of Sep 30" xfId="2858"/>
    <cellStyle name="£ BP" xfId="2859"/>
    <cellStyle name="£Currency [0]" xfId="2860"/>
    <cellStyle name="£Currency [1]" xfId="2861"/>
    <cellStyle name="£Currency [2]" xfId="2862"/>
    <cellStyle name="£Currency [p]" xfId="2863"/>
    <cellStyle name="£Currency [p2]" xfId="2864"/>
    <cellStyle name="£Pounds" xfId="2865"/>
    <cellStyle name="¥ JY" xfId="2866"/>
    <cellStyle name="_x0007_⚈" xfId="2867"/>
    <cellStyle name="0" xfId="2868"/>
    <cellStyle name="0,000" xfId="2869"/>
    <cellStyle name="0.0 x; (0.0 x)" xfId="2870"/>
    <cellStyle name="0.0 x; (0.0 x) 2" xfId="2871"/>
    <cellStyle name="0.0 x; (0.0 x) 2 2" xfId="2872"/>
    <cellStyle name="0.0 x; (0.0 x) 2 2 2" xfId="2873"/>
    <cellStyle name="0.0 x; (0.0 x) 2 2 3" xfId="2874"/>
    <cellStyle name="0.0 x; (0.0 x) 2 3" xfId="2875"/>
    <cellStyle name="0.0 x; (0.0 x) 2 4" xfId="2876"/>
    <cellStyle name="0.0 x; (0.0 x) 3" xfId="2877"/>
    <cellStyle name="0_Dashboard - Inventory Metrics Aug 2012" xfId="2878"/>
    <cellStyle name="000" xfId="2879"/>
    <cellStyle name="1,comma" xfId="2880"/>
    <cellStyle name="20% - Accent1" xfId="42826" builtinId="30" customBuiltin="1"/>
    <cellStyle name="20% - Accent1 10" xfId="2881"/>
    <cellStyle name="20% - Accent1 10 2" xfId="2882"/>
    <cellStyle name="20% - Accent1 10 3" xfId="2883"/>
    <cellStyle name="20% - Accent1 11" xfId="2884"/>
    <cellStyle name="20% - Accent1 11 2" xfId="2885"/>
    <cellStyle name="20% - Accent1 11 3" xfId="2886"/>
    <cellStyle name="20% - Accent1 12" xfId="2887"/>
    <cellStyle name="20% - Accent1 2" xfId="2888"/>
    <cellStyle name="20% - Accent1 2 10" xfId="43124"/>
    <cellStyle name="20% - Accent1 2 2" xfId="2889"/>
    <cellStyle name="20% - Accent1 2 2 2" xfId="2890"/>
    <cellStyle name="20% - Accent1 2 2_FCC Filings With Webster 2012" xfId="2891"/>
    <cellStyle name="20% - Accent1 2 3" xfId="2892"/>
    <cellStyle name="20% - Accent1 2 4" xfId="2893"/>
    <cellStyle name="20% - Accent1 2 4 2" xfId="2894"/>
    <cellStyle name="20% - Accent1 2 5" xfId="2895"/>
    <cellStyle name="20% - Accent1 2 6" xfId="2896"/>
    <cellStyle name="20% - Accent1 2 6 2" xfId="2897"/>
    <cellStyle name="20% - Accent1 2 6 3" xfId="2898"/>
    <cellStyle name="20% - Accent1 2 7" xfId="42978"/>
    <cellStyle name="20% - Accent1 2 8" xfId="43134"/>
    <cellStyle name="20% - Accent1 2 9" xfId="43175"/>
    <cellStyle name="20% - Accent1 2_Dashboard - Inventory Metrics Aug 2012" xfId="2899"/>
    <cellStyle name="20% - Accent1 3" xfId="2900"/>
    <cellStyle name="20% - Accent1 3 2" xfId="2901"/>
    <cellStyle name="20% - Accent1 3 3" xfId="42905"/>
    <cellStyle name="20% - Accent1 3 4" xfId="42977"/>
    <cellStyle name="20% - Accent1 4" xfId="2902"/>
    <cellStyle name="20% - Accent1 4 10" xfId="2903"/>
    <cellStyle name="20% - Accent1 4 11" xfId="2904"/>
    <cellStyle name="20% - Accent1 4 12" xfId="42923"/>
    <cellStyle name="20% - Accent1 4 2" xfId="2905"/>
    <cellStyle name="20% - Accent1 4 2 2" xfId="2906"/>
    <cellStyle name="20% - Accent1 4 2 2 2" xfId="2907"/>
    <cellStyle name="20% - Accent1 4 2 2 2 2" xfId="2908"/>
    <cellStyle name="20% - Accent1 4 2 2 2 2 2" xfId="2909"/>
    <cellStyle name="20% - Accent1 4 2 2 2 2 3" xfId="2910"/>
    <cellStyle name="20% - Accent1 4 2 2 2 3" xfId="2911"/>
    <cellStyle name="20% - Accent1 4 2 2 2 3 2" xfId="2912"/>
    <cellStyle name="20% - Accent1 4 2 2 2 3 3" xfId="2913"/>
    <cellStyle name="20% - Accent1 4 2 2 2 4" xfId="2914"/>
    <cellStyle name="20% - Accent1 4 2 2 2 5" xfId="2915"/>
    <cellStyle name="20% - Accent1 4 2 2 3" xfId="2916"/>
    <cellStyle name="20% - Accent1 4 2 2 3 2" xfId="2917"/>
    <cellStyle name="20% - Accent1 4 2 2 3 2 2" xfId="2918"/>
    <cellStyle name="20% - Accent1 4 2 2 3 2 3" xfId="2919"/>
    <cellStyle name="20% - Accent1 4 2 2 3 3" xfId="2920"/>
    <cellStyle name="20% - Accent1 4 2 2 3 3 2" xfId="2921"/>
    <cellStyle name="20% - Accent1 4 2 2 3 3 3" xfId="2922"/>
    <cellStyle name="20% - Accent1 4 2 2 3 4" xfId="2923"/>
    <cellStyle name="20% - Accent1 4 2 2 3 5" xfId="2924"/>
    <cellStyle name="20% - Accent1 4 2 2 4" xfId="2925"/>
    <cellStyle name="20% - Accent1 4 2 2 4 2" xfId="2926"/>
    <cellStyle name="20% - Accent1 4 2 2 4 3" xfId="2927"/>
    <cellStyle name="20% - Accent1 4 2 2 5" xfId="2928"/>
    <cellStyle name="20% - Accent1 4 2 2 5 2" xfId="2929"/>
    <cellStyle name="20% - Accent1 4 2 2 5 3" xfId="2930"/>
    <cellStyle name="20% - Accent1 4 2 2 6" xfId="2931"/>
    <cellStyle name="20% - Accent1 4 2 2 7" xfId="2932"/>
    <cellStyle name="20% - Accent1 4 2 3" xfId="2933"/>
    <cellStyle name="20% - Accent1 4 2 3 2" xfId="2934"/>
    <cellStyle name="20% - Accent1 4 2 3 2 2" xfId="2935"/>
    <cellStyle name="20% - Accent1 4 2 3 2 2 2" xfId="2936"/>
    <cellStyle name="20% - Accent1 4 2 3 2 2 3" xfId="2937"/>
    <cellStyle name="20% - Accent1 4 2 3 2 3" xfId="2938"/>
    <cellStyle name="20% - Accent1 4 2 3 2 3 2" xfId="2939"/>
    <cellStyle name="20% - Accent1 4 2 3 2 3 3" xfId="2940"/>
    <cellStyle name="20% - Accent1 4 2 3 2 4" xfId="2941"/>
    <cellStyle name="20% - Accent1 4 2 3 2 5" xfId="2942"/>
    <cellStyle name="20% - Accent1 4 2 3 3" xfId="2943"/>
    <cellStyle name="20% - Accent1 4 2 3 3 2" xfId="2944"/>
    <cellStyle name="20% - Accent1 4 2 3 3 2 2" xfId="2945"/>
    <cellStyle name="20% - Accent1 4 2 3 3 2 3" xfId="2946"/>
    <cellStyle name="20% - Accent1 4 2 3 3 3" xfId="2947"/>
    <cellStyle name="20% - Accent1 4 2 3 3 3 2" xfId="2948"/>
    <cellStyle name="20% - Accent1 4 2 3 3 3 3" xfId="2949"/>
    <cellStyle name="20% - Accent1 4 2 3 3 4" xfId="2950"/>
    <cellStyle name="20% - Accent1 4 2 3 3 5" xfId="2951"/>
    <cellStyle name="20% - Accent1 4 2 3 4" xfId="2952"/>
    <cellStyle name="20% - Accent1 4 2 3 4 2" xfId="2953"/>
    <cellStyle name="20% - Accent1 4 2 3 4 3" xfId="2954"/>
    <cellStyle name="20% - Accent1 4 2 3 5" xfId="2955"/>
    <cellStyle name="20% - Accent1 4 2 3 5 2" xfId="2956"/>
    <cellStyle name="20% - Accent1 4 2 3 5 3" xfId="2957"/>
    <cellStyle name="20% - Accent1 4 2 3 6" xfId="2958"/>
    <cellStyle name="20% - Accent1 4 2 3 7" xfId="2959"/>
    <cellStyle name="20% - Accent1 4 2 4" xfId="2960"/>
    <cellStyle name="20% - Accent1 4 2 4 2" xfId="2961"/>
    <cellStyle name="20% - Accent1 4 2 4 2 2" xfId="2962"/>
    <cellStyle name="20% - Accent1 4 2 4 2 3" xfId="2963"/>
    <cellStyle name="20% - Accent1 4 2 4 3" xfId="2964"/>
    <cellStyle name="20% - Accent1 4 2 4 3 2" xfId="2965"/>
    <cellStyle name="20% - Accent1 4 2 4 3 3" xfId="2966"/>
    <cellStyle name="20% - Accent1 4 2 4 4" xfId="2967"/>
    <cellStyle name="20% - Accent1 4 2 4 5" xfId="2968"/>
    <cellStyle name="20% - Accent1 4 2 5" xfId="2969"/>
    <cellStyle name="20% - Accent1 4 2 5 2" xfId="2970"/>
    <cellStyle name="20% - Accent1 4 2 5 2 2" xfId="2971"/>
    <cellStyle name="20% - Accent1 4 2 5 2 3" xfId="2972"/>
    <cellStyle name="20% - Accent1 4 2 5 3" xfId="2973"/>
    <cellStyle name="20% - Accent1 4 2 5 3 2" xfId="2974"/>
    <cellStyle name="20% - Accent1 4 2 5 3 3" xfId="2975"/>
    <cellStyle name="20% - Accent1 4 2 5 4" xfId="2976"/>
    <cellStyle name="20% - Accent1 4 2 5 5" xfId="2977"/>
    <cellStyle name="20% - Accent1 4 2 6" xfId="2978"/>
    <cellStyle name="20% - Accent1 4 2 6 2" xfId="2979"/>
    <cellStyle name="20% - Accent1 4 2 6 3" xfId="2980"/>
    <cellStyle name="20% - Accent1 4 2 7" xfId="2981"/>
    <cellStyle name="20% - Accent1 4 2 7 2" xfId="2982"/>
    <cellStyle name="20% - Accent1 4 2 7 3" xfId="2983"/>
    <cellStyle name="20% - Accent1 4 2 8" xfId="2984"/>
    <cellStyle name="20% - Accent1 4 2 9" xfId="2985"/>
    <cellStyle name="20% - Accent1 4 3" xfId="2986"/>
    <cellStyle name="20% - Accent1 4 3 2" xfId="2987"/>
    <cellStyle name="20% - Accent1 4 3 2 2" xfId="2988"/>
    <cellStyle name="20% - Accent1 4 3 2 2 2" xfId="2989"/>
    <cellStyle name="20% - Accent1 4 3 2 2 2 2" xfId="2990"/>
    <cellStyle name="20% - Accent1 4 3 2 2 2 3" xfId="2991"/>
    <cellStyle name="20% - Accent1 4 3 2 2 3" xfId="2992"/>
    <cellStyle name="20% - Accent1 4 3 2 2 3 2" xfId="2993"/>
    <cellStyle name="20% - Accent1 4 3 2 2 3 3" xfId="2994"/>
    <cellStyle name="20% - Accent1 4 3 2 2 4" xfId="2995"/>
    <cellStyle name="20% - Accent1 4 3 2 2 5" xfId="2996"/>
    <cellStyle name="20% - Accent1 4 3 2 3" xfId="2997"/>
    <cellStyle name="20% - Accent1 4 3 2 3 2" xfId="2998"/>
    <cellStyle name="20% - Accent1 4 3 2 3 2 2" xfId="2999"/>
    <cellStyle name="20% - Accent1 4 3 2 3 2 3" xfId="3000"/>
    <cellStyle name="20% - Accent1 4 3 2 3 3" xfId="3001"/>
    <cellStyle name="20% - Accent1 4 3 2 3 3 2" xfId="3002"/>
    <cellStyle name="20% - Accent1 4 3 2 3 3 3" xfId="3003"/>
    <cellStyle name="20% - Accent1 4 3 2 3 4" xfId="3004"/>
    <cellStyle name="20% - Accent1 4 3 2 3 5" xfId="3005"/>
    <cellStyle name="20% - Accent1 4 3 2 4" xfId="3006"/>
    <cellStyle name="20% - Accent1 4 3 2 4 2" xfId="3007"/>
    <cellStyle name="20% - Accent1 4 3 2 4 3" xfId="3008"/>
    <cellStyle name="20% - Accent1 4 3 2 5" xfId="3009"/>
    <cellStyle name="20% - Accent1 4 3 2 5 2" xfId="3010"/>
    <cellStyle name="20% - Accent1 4 3 2 5 3" xfId="3011"/>
    <cellStyle name="20% - Accent1 4 3 2 6" xfId="3012"/>
    <cellStyle name="20% - Accent1 4 3 2 7" xfId="3013"/>
    <cellStyle name="20% - Accent1 4 3 3" xfId="3014"/>
    <cellStyle name="20% - Accent1 4 3 3 2" xfId="3015"/>
    <cellStyle name="20% - Accent1 4 3 3 2 2" xfId="3016"/>
    <cellStyle name="20% - Accent1 4 3 3 2 2 2" xfId="3017"/>
    <cellStyle name="20% - Accent1 4 3 3 2 2 3" xfId="3018"/>
    <cellStyle name="20% - Accent1 4 3 3 2 3" xfId="3019"/>
    <cellStyle name="20% - Accent1 4 3 3 2 3 2" xfId="3020"/>
    <cellStyle name="20% - Accent1 4 3 3 2 3 3" xfId="3021"/>
    <cellStyle name="20% - Accent1 4 3 3 2 4" xfId="3022"/>
    <cellStyle name="20% - Accent1 4 3 3 2 5" xfId="3023"/>
    <cellStyle name="20% - Accent1 4 3 3 3" xfId="3024"/>
    <cellStyle name="20% - Accent1 4 3 3 3 2" xfId="3025"/>
    <cellStyle name="20% - Accent1 4 3 3 3 2 2" xfId="3026"/>
    <cellStyle name="20% - Accent1 4 3 3 3 2 3" xfId="3027"/>
    <cellStyle name="20% - Accent1 4 3 3 3 3" xfId="3028"/>
    <cellStyle name="20% - Accent1 4 3 3 3 3 2" xfId="3029"/>
    <cellStyle name="20% - Accent1 4 3 3 3 3 3" xfId="3030"/>
    <cellStyle name="20% - Accent1 4 3 3 3 4" xfId="3031"/>
    <cellStyle name="20% - Accent1 4 3 3 3 5" xfId="3032"/>
    <cellStyle name="20% - Accent1 4 3 3 4" xfId="3033"/>
    <cellStyle name="20% - Accent1 4 3 3 4 2" xfId="3034"/>
    <cellStyle name="20% - Accent1 4 3 3 4 3" xfId="3035"/>
    <cellStyle name="20% - Accent1 4 3 3 5" xfId="3036"/>
    <cellStyle name="20% - Accent1 4 3 3 5 2" xfId="3037"/>
    <cellStyle name="20% - Accent1 4 3 3 5 3" xfId="3038"/>
    <cellStyle name="20% - Accent1 4 3 3 6" xfId="3039"/>
    <cellStyle name="20% - Accent1 4 3 3 7" xfId="3040"/>
    <cellStyle name="20% - Accent1 4 3 4" xfId="3041"/>
    <cellStyle name="20% - Accent1 4 3 4 2" xfId="3042"/>
    <cellStyle name="20% - Accent1 4 3 4 2 2" xfId="3043"/>
    <cellStyle name="20% - Accent1 4 3 4 2 3" xfId="3044"/>
    <cellStyle name="20% - Accent1 4 3 4 3" xfId="3045"/>
    <cellStyle name="20% - Accent1 4 3 4 3 2" xfId="3046"/>
    <cellStyle name="20% - Accent1 4 3 4 3 3" xfId="3047"/>
    <cellStyle name="20% - Accent1 4 3 4 4" xfId="3048"/>
    <cellStyle name="20% - Accent1 4 3 4 5" xfId="3049"/>
    <cellStyle name="20% - Accent1 4 3 5" xfId="3050"/>
    <cellStyle name="20% - Accent1 4 3 5 2" xfId="3051"/>
    <cellStyle name="20% - Accent1 4 3 5 2 2" xfId="3052"/>
    <cellStyle name="20% - Accent1 4 3 5 2 3" xfId="3053"/>
    <cellStyle name="20% - Accent1 4 3 5 3" xfId="3054"/>
    <cellStyle name="20% - Accent1 4 3 5 3 2" xfId="3055"/>
    <cellStyle name="20% - Accent1 4 3 5 3 3" xfId="3056"/>
    <cellStyle name="20% - Accent1 4 3 5 4" xfId="3057"/>
    <cellStyle name="20% - Accent1 4 3 5 5" xfId="3058"/>
    <cellStyle name="20% - Accent1 4 3 6" xfId="3059"/>
    <cellStyle name="20% - Accent1 4 3 6 2" xfId="3060"/>
    <cellStyle name="20% - Accent1 4 3 6 3" xfId="3061"/>
    <cellStyle name="20% - Accent1 4 3 7" xfId="3062"/>
    <cellStyle name="20% - Accent1 4 3 7 2" xfId="3063"/>
    <cellStyle name="20% - Accent1 4 3 7 3" xfId="3064"/>
    <cellStyle name="20% - Accent1 4 3 8" xfId="3065"/>
    <cellStyle name="20% - Accent1 4 3 9" xfId="3066"/>
    <cellStyle name="20% - Accent1 4 4" xfId="3067"/>
    <cellStyle name="20% - Accent1 4 4 2" xfId="3068"/>
    <cellStyle name="20% - Accent1 4 4 2 2" xfId="3069"/>
    <cellStyle name="20% - Accent1 4 4 2 2 2" xfId="3070"/>
    <cellStyle name="20% - Accent1 4 4 2 2 3" xfId="3071"/>
    <cellStyle name="20% - Accent1 4 4 2 3" xfId="3072"/>
    <cellStyle name="20% - Accent1 4 4 2 3 2" xfId="3073"/>
    <cellStyle name="20% - Accent1 4 4 2 3 3" xfId="3074"/>
    <cellStyle name="20% - Accent1 4 4 2 4" xfId="3075"/>
    <cellStyle name="20% - Accent1 4 4 2 5" xfId="3076"/>
    <cellStyle name="20% - Accent1 4 4 3" xfId="3077"/>
    <cellStyle name="20% - Accent1 4 4 3 2" xfId="3078"/>
    <cellStyle name="20% - Accent1 4 4 3 2 2" xfId="3079"/>
    <cellStyle name="20% - Accent1 4 4 3 2 3" xfId="3080"/>
    <cellStyle name="20% - Accent1 4 4 3 3" xfId="3081"/>
    <cellStyle name="20% - Accent1 4 4 3 3 2" xfId="3082"/>
    <cellStyle name="20% - Accent1 4 4 3 3 3" xfId="3083"/>
    <cellStyle name="20% - Accent1 4 4 3 4" xfId="3084"/>
    <cellStyle name="20% - Accent1 4 4 3 5" xfId="3085"/>
    <cellStyle name="20% - Accent1 4 4 4" xfId="3086"/>
    <cellStyle name="20% - Accent1 4 4 4 2" xfId="3087"/>
    <cellStyle name="20% - Accent1 4 4 4 3" xfId="3088"/>
    <cellStyle name="20% - Accent1 4 4 5" xfId="3089"/>
    <cellStyle name="20% - Accent1 4 4 5 2" xfId="3090"/>
    <cellStyle name="20% - Accent1 4 4 5 3" xfId="3091"/>
    <cellStyle name="20% - Accent1 4 4 6" xfId="3092"/>
    <cellStyle name="20% - Accent1 4 4 7" xfId="3093"/>
    <cellStyle name="20% - Accent1 4 5" xfId="3094"/>
    <cellStyle name="20% - Accent1 4 5 2" xfId="3095"/>
    <cellStyle name="20% - Accent1 4 5 2 2" xfId="3096"/>
    <cellStyle name="20% - Accent1 4 5 2 2 2" xfId="3097"/>
    <cellStyle name="20% - Accent1 4 5 2 2 3" xfId="3098"/>
    <cellStyle name="20% - Accent1 4 5 2 3" xfId="3099"/>
    <cellStyle name="20% - Accent1 4 5 2 3 2" xfId="3100"/>
    <cellStyle name="20% - Accent1 4 5 2 3 3" xfId="3101"/>
    <cellStyle name="20% - Accent1 4 5 2 4" xfId="3102"/>
    <cellStyle name="20% - Accent1 4 5 2 5" xfId="3103"/>
    <cellStyle name="20% - Accent1 4 5 3" xfId="3104"/>
    <cellStyle name="20% - Accent1 4 5 3 2" xfId="3105"/>
    <cellStyle name="20% - Accent1 4 5 3 2 2" xfId="3106"/>
    <cellStyle name="20% - Accent1 4 5 3 2 3" xfId="3107"/>
    <cellStyle name="20% - Accent1 4 5 3 3" xfId="3108"/>
    <cellStyle name="20% - Accent1 4 5 3 3 2" xfId="3109"/>
    <cellStyle name="20% - Accent1 4 5 3 3 3" xfId="3110"/>
    <cellStyle name="20% - Accent1 4 5 3 4" xfId="3111"/>
    <cellStyle name="20% - Accent1 4 5 3 5" xfId="3112"/>
    <cellStyle name="20% - Accent1 4 5 4" xfId="3113"/>
    <cellStyle name="20% - Accent1 4 5 4 2" xfId="3114"/>
    <cellStyle name="20% - Accent1 4 5 4 3" xfId="3115"/>
    <cellStyle name="20% - Accent1 4 5 5" xfId="3116"/>
    <cellStyle name="20% - Accent1 4 5 5 2" xfId="3117"/>
    <cellStyle name="20% - Accent1 4 5 5 3" xfId="3118"/>
    <cellStyle name="20% - Accent1 4 5 6" xfId="3119"/>
    <cellStyle name="20% - Accent1 4 5 7" xfId="3120"/>
    <cellStyle name="20% - Accent1 4 6" xfId="3121"/>
    <cellStyle name="20% - Accent1 4 6 2" xfId="3122"/>
    <cellStyle name="20% - Accent1 4 6 2 2" xfId="3123"/>
    <cellStyle name="20% - Accent1 4 6 2 3" xfId="3124"/>
    <cellStyle name="20% - Accent1 4 6 3" xfId="3125"/>
    <cellStyle name="20% - Accent1 4 6 3 2" xfId="3126"/>
    <cellStyle name="20% - Accent1 4 6 3 3" xfId="3127"/>
    <cellStyle name="20% - Accent1 4 6 4" xfId="3128"/>
    <cellStyle name="20% - Accent1 4 6 5" xfId="3129"/>
    <cellStyle name="20% - Accent1 4 7" xfId="3130"/>
    <cellStyle name="20% - Accent1 4 7 2" xfId="3131"/>
    <cellStyle name="20% - Accent1 4 7 2 2" xfId="3132"/>
    <cellStyle name="20% - Accent1 4 7 2 3" xfId="3133"/>
    <cellStyle name="20% - Accent1 4 7 3" xfId="3134"/>
    <cellStyle name="20% - Accent1 4 7 3 2" xfId="3135"/>
    <cellStyle name="20% - Accent1 4 7 3 3" xfId="3136"/>
    <cellStyle name="20% - Accent1 4 7 4" xfId="3137"/>
    <cellStyle name="20% - Accent1 4 7 5" xfId="3138"/>
    <cellStyle name="20% - Accent1 4 8" xfId="3139"/>
    <cellStyle name="20% - Accent1 4 8 2" xfId="3140"/>
    <cellStyle name="20% - Accent1 4 8 3" xfId="3141"/>
    <cellStyle name="20% - Accent1 4 9" xfId="3142"/>
    <cellStyle name="20% - Accent1 4 9 2" xfId="3143"/>
    <cellStyle name="20% - Accent1 4 9 3" xfId="3144"/>
    <cellStyle name="20% - Accent1 4_Sheet8" xfId="3145"/>
    <cellStyle name="20% - Accent1 5" xfId="3146"/>
    <cellStyle name="20% - Accent1 5 2" xfId="3147"/>
    <cellStyle name="20% - Accent1 5 2 2" xfId="3148"/>
    <cellStyle name="20% - Accent1 5 2 3" xfId="3149"/>
    <cellStyle name="20% - Accent1 5 3" xfId="3150"/>
    <cellStyle name="20% - Accent1 5 4" xfId="3151"/>
    <cellStyle name="20% - Accent1 5 5" xfId="42939"/>
    <cellStyle name="20% - Accent1 6" xfId="3152"/>
    <cellStyle name="20% - Accent1 6 2" xfId="3153"/>
    <cellStyle name="20% - Accent1 6 3" xfId="3154"/>
    <cellStyle name="20% - Accent1 7" xfId="3155"/>
    <cellStyle name="20% - Accent1 7 2" xfId="3156"/>
    <cellStyle name="20% - Accent1 7 3" xfId="3157"/>
    <cellStyle name="20% - Accent1 8" xfId="3158"/>
    <cellStyle name="20% - Accent1 8 2" xfId="3159"/>
    <cellStyle name="20% - Accent1 8 3" xfId="3160"/>
    <cellStyle name="20% - Accent1 9" xfId="3161"/>
    <cellStyle name="20% - Accent1 9 2" xfId="3162"/>
    <cellStyle name="20% - Accent1 9 3" xfId="3163"/>
    <cellStyle name="20% - Accent2" xfId="42830" builtinId="34" customBuiltin="1"/>
    <cellStyle name="20% - Accent2 10" xfId="3164"/>
    <cellStyle name="20% - Accent2 10 2" xfId="3165"/>
    <cellStyle name="20% - Accent2 10 3" xfId="3166"/>
    <cellStyle name="20% - Accent2 11" xfId="3167"/>
    <cellStyle name="20% - Accent2 11 2" xfId="3168"/>
    <cellStyle name="20% - Accent2 11 3" xfId="3169"/>
    <cellStyle name="20% - Accent2 12" xfId="3170"/>
    <cellStyle name="20% - Accent2 2" xfId="3171"/>
    <cellStyle name="20% - Accent2 2 10" xfId="43111"/>
    <cellStyle name="20% - Accent2 2 2" xfId="3172"/>
    <cellStyle name="20% - Accent2 2 2 2" xfId="3173"/>
    <cellStyle name="20% - Accent2 2 2_FCC Filings With Webster 2012" xfId="3174"/>
    <cellStyle name="20% - Accent2 2 3" xfId="3175"/>
    <cellStyle name="20% - Accent2 2 4" xfId="3176"/>
    <cellStyle name="20% - Accent2 2 4 2" xfId="3177"/>
    <cellStyle name="20% - Accent2 2 5" xfId="3178"/>
    <cellStyle name="20% - Accent2 2 6" xfId="3179"/>
    <cellStyle name="20% - Accent2 2 6 2" xfId="3180"/>
    <cellStyle name="20% - Accent2 2 6 3" xfId="3181"/>
    <cellStyle name="20% - Accent2 2 7" xfId="42980"/>
    <cellStyle name="20% - Accent2 2 8" xfId="43132"/>
    <cellStyle name="20% - Accent2 2 9" xfId="43173"/>
    <cellStyle name="20% - Accent2 2_Dashboard - Inventory Metrics Aug 2012" xfId="3182"/>
    <cellStyle name="20% - Accent2 3" xfId="3183"/>
    <cellStyle name="20% - Accent2 3 2" xfId="3184"/>
    <cellStyle name="20% - Accent2 3 3" xfId="42907"/>
    <cellStyle name="20% - Accent2 3 4" xfId="42979"/>
    <cellStyle name="20% - Accent2 4" xfId="3185"/>
    <cellStyle name="20% - Accent2 4 10" xfId="3186"/>
    <cellStyle name="20% - Accent2 4 11" xfId="3187"/>
    <cellStyle name="20% - Accent2 4 12" xfId="42925"/>
    <cellStyle name="20% - Accent2 4 2" xfId="3188"/>
    <cellStyle name="20% - Accent2 4 2 2" xfId="3189"/>
    <cellStyle name="20% - Accent2 4 2 2 2" xfId="3190"/>
    <cellStyle name="20% - Accent2 4 2 2 2 2" xfId="3191"/>
    <cellStyle name="20% - Accent2 4 2 2 2 2 2" xfId="3192"/>
    <cellStyle name="20% - Accent2 4 2 2 2 2 3" xfId="3193"/>
    <cellStyle name="20% - Accent2 4 2 2 2 3" xfId="3194"/>
    <cellStyle name="20% - Accent2 4 2 2 2 3 2" xfId="3195"/>
    <cellStyle name="20% - Accent2 4 2 2 2 3 3" xfId="3196"/>
    <cellStyle name="20% - Accent2 4 2 2 2 4" xfId="3197"/>
    <cellStyle name="20% - Accent2 4 2 2 2 5" xfId="3198"/>
    <cellStyle name="20% - Accent2 4 2 2 3" xfId="3199"/>
    <cellStyle name="20% - Accent2 4 2 2 3 2" xfId="3200"/>
    <cellStyle name="20% - Accent2 4 2 2 3 2 2" xfId="3201"/>
    <cellStyle name="20% - Accent2 4 2 2 3 2 3" xfId="3202"/>
    <cellStyle name="20% - Accent2 4 2 2 3 3" xfId="3203"/>
    <cellStyle name="20% - Accent2 4 2 2 3 3 2" xfId="3204"/>
    <cellStyle name="20% - Accent2 4 2 2 3 3 3" xfId="3205"/>
    <cellStyle name="20% - Accent2 4 2 2 3 4" xfId="3206"/>
    <cellStyle name="20% - Accent2 4 2 2 3 5" xfId="3207"/>
    <cellStyle name="20% - Accent2 4 2 2 4" xfId="3208"/>
    <cellStyle name="20% - Accent2 4 2 2 4 2" xfId="3209"/>
    <cellStyle name="20% - Accent2 4 2 2 4 3" xfId="3210"/>
    <cellStyle name="20% - Accent2 4 2 2 5" xfId="3211"/>
    <cellStyle name="20% - Accent2 4 2 2 5 2" xfId="3212"/>
    <cellStyle name="20% - Accent2 4 2 2 5 3" xfId="3213"/>
    <cellStyle name="20% - Accent2 4 2 2 6" xfId="3214"/>
    <cellStyle name="20% - Accent2 4 2 2 7" xfId="3215"/>
    <cellStyle name="20% - Accent2 4 2 3" xfId="3216"/>
    <cellStyle name="20% - Accent2 4 2 3 2" xfId="3217"/>
    <cellStyle name="20% - Accent2 4 2 3 2 2" xfId="3218"/>
    <cellStyle name="20% - Accent2 4 2 3 2 2 2" xfId="3219"/>
    <cellStyle name="20% - Accent2 4 2 3 2 2 3" xfId="3220"/>
    <cellStyle name="20% - Accent2 4 2 3 2 3" xfId="3221"/>
    <cellStyle name="20% - Accent2 4 2 3 2 3 2" xfId="3222"/>
    <cellStyle name="20% - Accent2 4 2 3 2 3 3" xfId="3223"/>
    <cellStyle name="20% - Accent2 4 2 3 2 4" xfId="3224"/>
    <cellStyle name="20% - Accent2 4 2 3 2 5" xfId="3225"/>
    <cellStyle name="20% - Accent2 4 2 3 3" xfId="3226"/>
    <cellStyle name="20% - Accent2 4 2 3 3 2" xfId="3227"/>
    <cellStyle name="20% - Accent2 4 2 3 3 2 2" xfId="3228"/>
    <cellStyle name="20% - Accent2 4 2 3 3 2 3" xfId="3229"/>
    <cellStyle name="20% - Accent2 4 2 3 3 3" xfId="3230"/>
    <cellStyle name="20% - Accent2 4 2 3 3 3 2" xfId="3231"/>
    <cellStyle name="20% - Accent2 4 2 3 3 3 3" xfId="3232"/>
    <cellStyle name="20% - Accent2 4 2 3 3 4" xfId="3233"/>
    <cellStyle name="20% - Accent2 4 2 3 3 5" xfId="3234"/>
    <cellStyle name="20% - Accent2 4 2 3 4" xfId="3235"/>
    <cellStyle name="20% - Accent2 4 2 3 4 2" xfId="3236"/>
    <cellStyle name="20% - Accent2 4 2 3 4 3" xfId="3237"/>
    <cellStyle name="20% - Accent2 4 2 3 5" xfId="3238"/>
    <cellStyle name="20% - Accent2 4 2 3 5 2" xfId="3239"/>
    <cellStyle name="20% - Accent2 4 2 3 5 3" xfId="3240"/>
    <cellStyle name="20% - Accent2 4 2 3 6" xfId="3241"/>
    <cellStyle name="20% - Accent2 4 2 3 7" xfId="3242"/>
    <cellStyle name="20% - Accent2 4 2 4" xfId="3243"/>
    <cellStyle name="20% - Accent2 4 2 4 2" xfId="3244"/>
    <cellStyle name="20% - Accent2 4 2 4 2 2" xfId="3245"/>
    <cellStyle name="20% - Accent2 4 2 4 2 3" xfId="3246"/>
    <cellStyle name="20% - Accent2 4 2 4 3" xfId="3247"/>
    <cellStyle name="20% - Accent2 4 2 4 3 2" xfId="3248"/>
    <cellStyle name="20% - Accent2 4 2 4 3 3" xfId="3249"/>
    <cellStyle name="20% - Accent2 4 2 4 4" xfId="3250"/>
    <cellStyle name="20% - Accent2 4 2 4 5" xfId="3251"/>
    <cellStyle name="20% - Accent2 4 2 5" xfId="3252"/>
    <cellStyle name="20% - Accent2 4 2 5 2" xfId="3253"/>
    <cellStyle name="20% - Accent2 4 2 5 2 2" xfId="3254"/>
    <cellStyle name="20% - Accent2 4 2 5 2 3" xfId="3255"/>
    <cellStyle name="20% - Accent2 4 2 5 3" xfId="3256"/>
    <cellStyle name="20% - Accent2 4 2 5 3 2" xfId="3257"/>
    <cellStyle name="20% - Accent2 4 2 5 3 3" xfId="3258"/>
    <cellStyle name="20% - Accent2 4 2 5 4" xfId="3259"/>
    <cellStyle name="20% - Accent2 4 2 5 5" xfId="3260"/>
    <cellStyle name="20% - Accent2 4 2 6" xfId="3261"/>
    <cellStyle name="20% - Accent2 4 2 6 2" xfId="3262"/>
    <cellStyle name="20% - Accent2 4 2 6 3" xfId="3263"/>
    <cellStyle name="20% - Accent2 4 2 7" xfId="3264"/>
    <cellStyle name="20% - Accent2 4 2 7 2" xfId="3265"/>
    <cellStyle name="20% - Accent2 4 2 7 3" xfId="3266"/>
    <cellStyle name="20% - Accent2 4 2 8" xfId="3267"/>
    <cellStyle name="20% - Accent2 4 2 9" xfId="3268"/>
    <cellStyle name="20% - Accent2 4 3" xfId="3269"/>
    <cellStyle name="20% - Accent2 4 3 2" xfId="3270"/>
    <cellStyle name="20% - Accent2 4 3 2 2" xfId="3271"/>
    <cellStyle name="20% - Accent2 4 3 2 2 2" xfId="3272"/>
    <cellStyle name="20% - Accent2 4 3 2 2 2 2" xfId="3273"/>
    <cellStyle name="20% - Accent2 4 3 2 2 2 3" xfId="3274"/>
    <cellStyle name="20% - Accent2 4 3 2 2 3" xfId="3275"/>
    <cellStyle name="20% - Accent2 4 3 2 2 3 2" xfId="3276"/>
    <cellStyle name="20% - Accent2 4 3 2 2 3 3" xfId="3277"/>
    <cellStyle name="20% - Accent2 4 3 2 2 4" xfId="3278"/>
    <cellStyle name="20% - Accent2 4 3 2 2 5" xfId="3279"/>
    <cellStyle name="20% - Accent2 4 3 2 3" xfId="3280"/>
    <cellStyle name="20% - Accent2 4 3 2 3 2" xfId="3281"/>
    <cellStyle name="20% - Accent2 4 3 2 3 2 2" xfId="3282"/>
    <cellStyle name="20% - Accent2 4 3 2 3 2 3" xfId="3283"/>
    <cellStyle name="20% - Accent2 4 3 2 3 3" xfId="3284"/>
    <cellStyle name="20% - Accent2 4 3 2 3 3 2" xfId="3285"/>
    <cellStyle name="20% - Accent2 4 3 2 3 3 3" xfId="3286"/>
    <cellStyle name="20% - Accent2 4 3 2 3 4" xfId="3287"/>
    <cellStyle name="20% - Accent2 4 3 2 3 5" xfId="3288"/>
    <cellStyle name="20% - Accent2 4 3 2 4" xfId="3289"/>
    <cellStyle name="20% - Accent2 4 3 2 4 2" xfId="3290"/>
    <cellStyle name="20% - Accent2 4 3 2 4 3" xfId="3291"/>
    <cellStyle name="20% - Accent2 4 3 2 5" xfId="3292"/>
    <cellStyle name="20% - Accent2 4 3 2 5 2" xfId="3293"/>
    <cellStyle name="20% - Accent2 4 3 2 5 3" xfId="3294"/>
    <cellStyle name="20% - Accent2 4 3 2 6" xfId="3295"/>
    <cellStyle name="20% - Accent2 4 3 2 7" xfId="3296"/>
    <cellStyle name="20% - Accent2 4 3 3" xfId="3297"/>
    <cellStyle name="20% - Accent2 4 3 3 2" xfId="3298"/>
    <cellStyle name="20% - Accent2 4 3 3 2 2" xfId="3299"/>
    <cellStyle name="20% - Accent2 4 3 3 2 2 2" xfId="3300"/>
    <cellStyle name="20% - Accent2 4 3 3 2 2 3" xfId="3301"/>
    <cellStyle name="20% - Accent2 4 3 3 2 3" xfId="3302"/>
    <cellStyle name="20% - Accent2 4 3 3 2 3 2" xfId="3303"/>
    <cellStyle name="20% - Accent2 4 3 3 2 3 3" xfId="3304"/>
    <cellStyle name="20% - Accent2 4 3 3 2 4" xfId="3305"/>
    <cellStyle name="20% - Accent2 4 3 3 2 5" xfId="3306"/>
    <cellStyle name="20% - Accent2 4 3 3 3" xfId="3307"/>
    <cellStyle name="20% - Accent2 4 3 3 3 2" xfId="3308"/>
    <cellStyle name="20% - Accent2 4 3 3 3 2 2" xfId="3309"/>
    <cellStyle name="20% - Accent2 4 3 3 3 2 3" xfId="3310"/>
    <cellStyle name="20% - Accent2 4 3 3 3 3" xfId="3311"/>
    <cellStyle name="20% - Accent2 4 3 3 3 3 2" xfId="3312"/>
    <cellStyle name="20% - Accent2 4 3 3 3 3 3" xfId="3313"/>
    <cellStyle name="20% - Accent2 4 3 3 3 4" xfId="3314"/>
    <cellStyle name="20% - Accent2 4 3 3 3 5" xfId="3315"/>
    <cellStyle name="20% - Accent2 4 3 3 4" xfId="3316"/>
    <cellStyle name="20% - Accent2 4 3 3 4 2" xfId="3317"/>
    <cellStyle name="20% - Accent2 4 3 3 4 3" xfId="3318"/>
    <cellStyle name="20% - Accent2 4 3 3 5" xfId="3319"/>
    <cellStyle name="20% - Accent2 4 3 3 5 2" xfId="3320"/>
    <cellStyle name="20% - Accent2 4 3 3 5 3" xfId="3321"/>
    <cellStyle name="20% - Accent2 4 3 3 6" xfId="3322"/>
    <cellStyle name="20% - Accent2 4 3 3 7" xfId="3323"/>
    <cellStyle name="20% - Accent2 4 3 4" xfId="3324"/>
    <cellStyle name="20% - Accent2 4 3 4 2" xfId="3325"/>
    <cellStyle name="20% - Accent2 4 3 4 2 2" xfId="3326"/>
    <cellStyle name="20% - Accent2 4 3 4 2 3" xfId="3327"/>
    <cellStyle name="20% - Accent2 4 3 4 3" xfId="3328"/>
    <cellStyle name="20% - Accent2 4 3 4 3 2" xfId="3329"/>
    <cellStyle name="20% - Accent2 4 3 4 3 3" xfId="3330"/>
    <cellStyle name="20% - Accent2 4 3 4 4" xfId="3331"/>
    <cellStyle name="20% - Accent2 4 3 4 5" xfId="3332"/>
    <cellStyle name="20% - Accent2 4 3 5" xfId="3333"/>
    <cellStyle name="20% - Accent2 4 3 5 2" xfId="3334"/>
    <cellStyle name="20% - Accent2 4 3 5 2 2" xfId="3335"/>
    <cellStyle name="20% - Accent2 4 3 5 2 3" xfId="3336"/>
    <cellStyle name="20% - Accent2 4 3 5 3" xfId="3337"/>
    <cellStyle name="20% - Accent2 4 3 5 3 2" xfId="3338"/>
    <cellStyle name="20% - Accent2 4 3 5 3 3" xfId="3339"/>
    <cellStyle name="20% - Accent2 4 3 5 4" xfId="3340"/>
    <cellStyle name="20% - Accent2 4 3 5 5" xfId="3341"/>
    <cellStyle name="20% - Accent2 4 3 6" xfId="3342"/>
    <cellStyle name="20% - Accent2 4 3 6 2" xfId="3343"/>
    <cellStyle name="20% - Accent2 4 3 6 3" xfId="3344"/>
    <cellStyle name="20% - Accent2 4 3 7" xfId="3345"/>
    <cellStyle name="20% - Accent2 4 3 7 2" xfId="3346"/>
    <cellStyle name="20% - Accent2 4 3 7 3" xfId="3347"/>
    <cellStyle name="20% - Accent2 4 3 8" xfId="3348"/>
    <cellStyle name="20% - Accent2 4 3 9" xfId="3349"/>
    <cellStyle name="20% - Accent2 4 4" xfId="3350"/>
    <cellStyle name="20% - Accent2 4 4 2" xfId="3351"/>
    <cellStyle name="20% - Accent2 4 4 2 2" xfId="3352"/>
    <cellStyle name="20% - Accent2 4 4 2 2 2" xfId="3353"/>
    <cellStyle name="20% - Accent2 4 4 2 2 3" xfId="3354"/>
    <cellStyle name="20% - Accent2 4 4 2 3" xfId="3355"/>
    <cellStyle name="20% - Accent2 4 4 2 3 2" xfId="3356"/>
    <cellStyle name="20% - Accent2 4 4 2 3 3" xfId="3357"/>
    <cellStyle name="20% - Accent2 4 4 2 4" xfId="3358"/>
    <cellStyle name="20% - Accent2 4 4 2 5" xfId="3359"/>
    <cellStyle name="20% - Accent2 4 4 3" xfId="3360"/>
    <cellStyle name="20% - Accent2 4 4 3 2" xfId="3361"/>
    <cellStyle name="20% - Accent2 4 4 3 2 2" xfId="3362"/>
    <cellStyle name="20% - Accent2 4 4 3 2 3" xfId="3363"/>
    <cellStyle name="20% - Accent2 4 4 3 3" xfId="3364"/>
    <cellStyle name="20% - Accent2 4 4 3 3 2" xfId="3365"/>
    <cellStyle name="20% - Accent2 4 4 3 3 3" xfId="3366"/>
    <cellStyle name="20% - Accent2 4 4 3 4" xfId="3367"/>
    <cellStyle name="20% - Accent2 4 4 3 5" xfId="3368"/>
    <cellStyle name="20% - Accent2 4 4 4" xfId="3369"/>
    <cellStyle name="20% - Accent2 4 4 4 2" xfId="3370"/>
    <cellStyle name="20% - Accent2 4 4 4 3" xfId="3371"/>
    <cellStyle name="20% - Accent2 4 4 5" xfId="3372"/>
    <cellStyle name="20% - Accent2 4 4 5 2" xfId="3373"/>
    <cellStyle name="20% - Accent2 4 4 5 3" xfId="3374"/>
    <cellStyle name="20% - Accent2 4 4 6" xfId="3375"/>
    <cellStyle name="20% - Accent2 4 4 7" xfId="3376"/>
    <cellStyle name="20% - Accent2 4 5" xfId="3377"/>
    <cellStyle name="20% - Accent2 4 5 2" xfId="3378"/>
    <cellStyle name="20% - Accent2 4 5 2 2" xfId="3379"/>
    <cellStyle name="20% - Accent2 4 5 2 2 2" xfId="3380"/>
    <cellStyle name="20% - Accent2 4 5 2 2 3" xfId="3381"/>
    <cellStyle name="20% - Accent2 4 5 2 3" xfId="3382"/>
    <cellStyle name="20% - Accent2 4 5 2 3 2" xfId="3383"/>
    <cellStyle name="20% - Accent2 4 5 2 3 3" xfId="3384"/>
    <cellStyle name="20% - Accent2 4 5 2 4" xfId="3385"/>
    <cellStyle name="20% - Accent2 4 5 2 5" xfId="3386"/>
    <cellStyle name="20% - Accent2 4 5 3" xfId="3387"/>
    <cellStyle name="20% - Accent2 4 5 3 2" xfId="3388"/>
    <cellStyle name="20% - Accent2 4 5 3 2 2" xfId="3389"/>
    <cellStyle name="20% - Accent2 4 5 3 2 3" xfId="3390"/>
    <cellStyle name="20% - Accent2 4 5 3 3" xfId="3391"/>
    <cellStyle name="20% - Accent2 4 5 3 3 2" xfId="3392"/>
    <cellStyle name="20% - Accent2 4 5 3 3 3" xfId="3393"/>
    <cellStyle name="20% - Accent2 4 5 3 4" xfId="3394"/>
    <cellStyle name="20% - Accent2 4 5 3 5" xfId="3395"/>
    <cellStyle name="20% - Accent2 4 5 4" xfId="3396"/>
    <cellStyle name="20% - Accent2 4 5 4 2" xfId="3397"/>
    <cellStyle name="20% - Accent2 4 5 4 3" xfId="3398"/>
    <cellStyle name="20% - Accent2 4 5 5" xfId="3399"/>
    <cellStyle name="20% - Accent2 4 5 5 2" xfId="3400"/>
    <cellStyle name="20% - Accent2 4 5 5 3" xfId="3401"/>
    <cellStyle name="20% - Accent2 4 5 6" xfId="3402"/>
    <cellStyle name="20% - Accent2 4 5 7" xfId="3403"/>
    <cellStyle name="20% - Accent2 4 6" xfId="3404"/>
    <cellStyle name="20% - Accent2 4 6 2" xfId="3405"/>
    <cellStyle name="20% - Accent2 4 6 2 2" xfId="3406"/>
    <cellStyle name="20% - Accent2 4 6 2 3" xfId="3407"/>
    <cellStyle name="20% - Accent2 4 6 3" xfId="3408"/>
    <cellStyle name="20% - Accent2 4 6 3 2" xfId="3409"/>
    <cellStyle name="20% - Accent2 4 6 3 3" xfId="3410"/>
    <cellStyle name="20% - Accent2 4 6 4" xfId="3411"/>
    <cellStyle name="20% - Accent2 4 6 5" xfId="3412"/>
    <cellStyle name="20% - Accent2 4 7" xfId="3413"/>
    <cellStyle name="20% - Accent2 4 7 2" xfId="3414"/>
    <cellStyle name="20% - Accent2 4 7 2 2" xfId="3415"/>
    <cellStyle name="20% - Accent2 4 7 2 3" xfId="3416"/>
    <cellStyle name="20% - Accent2 4 7 3" xfId="3417"/>
    <cellStyle name="20% - Accent2 4 7 3 2" xfId="3418"/>
    <cellStyle name="20% - Accent2 4 7 3 3" xfId="3419"/>
    <cellStyle name="20% - Accent2 4 7 4" xfId="3420"/>
    <cellStyle name="20% - Accent2 4 7 5" xfId="3421"/>
    <cellStyle name="20% - Accent2 4 8" xfId="3422"/>
    <cellStyle name="20% - Accent2 4 8 2" xfId="3423"/>
    <cellStyle name="20% - Accent2 4 8 3" xfId="3424"/>
    <cellStyle name="20% - Accent2 4 9" xfId="3425"/>
    <cellStyle name="20% - Accent2 4 9 2" xfId="3426"/>
    <cellStyle name="20% - Accent2 4 9 3" xfId="3427"/>
    <cellStyle name="20% - Accent2 4_Sheet8" xfId="3428"/>
    <cellStyle name="20% - Accent2 5" xfId="3429"/>
    <cellStyle name="20% - Accent2 5 2" xfId="3430"/>
    <cellStyle name="20% - Accent2 5 2 2" xfId="3431"/>
    <cellStyle name="20% - Accent2 5 2 3" xfId="3432"/>
    <cellStyle name="20% - Accent2 5 3" xfId="3433"/>
    <cellStyle name="20% - Accent2 5 4" xfId="3434"/>
    <cellStyle name="20% - Accent2 5 5" xfId="42941"/>
    <cellStyle name="20% - Accent2 6" xfId="3435"/>
    <cellStyle name="20% - Accent2 6 2" xfId="3436"/>
    <cellStyle name="20% - Accent2 6 3" xfId="3437"/>
    <cellStyle name="20% - Accent2 7" xfId="3438"/>
    <cellStyle name="20% - Accent2 7 2" xfId="3439"/>
    <cellStyle name="20% - Accent2 7 3" xfId="3440"/>
    <cellStyle name="20% - Accent2 8" xfId="3441"/>
    <cellStyle name="20% - Accent2 8 2" xfId="3442"/>
    <cellStyle name="20% - Accent2 8 3" xfId="3443"/>
    <cellStyle name="20% - Accent2 9" xfId="3444"/>
    <cellStyle name="20% - Accent2 9 2" xfId="3445"/>
    <cellStyle name="20% - Accent2 9 3" xfId="3446"/>
    <cellStyle name="20% - Accent3" xfId="42834" builtinId="38" customBuiltin="1"/>
    <cellStyle name="20% - Accent3 10" xfId="3447"/>
    <cellStyle name="20% - Accent3 10 2" xfId="3448"/>
    <cellStyle name="20% - Accent3 10 3" xfId="3449"/>
    <cellStyle name="20% - Accent3 11" xfId="3450"/>
    <cellStyle name="20% - Accent3 11 2" xfId="3451"/>
    <cellStyle name="20% - Accent3 11 3" xfId="3452"/>
    <cellStyle name="20% - Accent3 12" xfId="3453"/>
    <cellStyle name="20% - Accent3 2" xfId="3454"/>
    <cellStyle name="20% - Accent3 2 10" xfId="43110"/>
    <cellStyle name="20% - Accent3 2 2" xfId="3455"/>
    <cellStyle name="20% - Accent3 2 2 2" xfId="3456"/>
    <cellStyle name="20% - Accent3 2 2_FCC Filings With Webster 2012" xfId="3457"/>
    <cellStyle name="20% - Accent3 2 3" xfId="3458"/>
    <cellStyle name="20% - Accent3 2 4" xfId="3459"/>
    <cellStyle name="20% - Accent3 2 4 2" xfId="3460"/>
    <cellStyle name="20% - Accent3 2 5" xfId="3461"/>
    <cellStyle name="20% - Accent3 2 6" xfId="3462"/>
    <cellStyle name="20% - Accent3 2 6 2" xfId="3463"/>
    <cellStyle name="20% - Accent3 2 6 3" xfId="3464"/>
    <cellStyle name="20% - Accent3 2 7" xfId="42982"/>
    <cellStyle name="20% - Accent3 2 8" xfId="43131"/>
    <cellStyle name="20% - Accent3 2 9" xfId="43171"/>
    <cellStyle name="20% - Accent3 2_Dashboard - Inventory Metrics Aug 2012" xfId="3465"/>
    <cellStyle name="20% - Accent3 3" xfId="3466"/>
    <cellStyle name="20% - Accent3 3 2" xfId="3467"/>
    <cellStyle name="20% - Accent3 3 3" xfId="42909"/>
    <cellStyle name="20% - Accent3 3 4" xfId="42981"/>
    <cellStyle name="20% - Accent3 4" xfId="3468"/>
    <cellStyle name="20% - Accent3 4 10" xfId="3469"/>
    <cellStyle name="20% - Accent3 4 11" xfId="3470"/>
    <cellStyle name="20% - Accent3 4 12" xfId="42927"/>
    <cellStyle name="20% - Accent3 4 2" xfId="3471"/>
    <cellStyle name="20% - Accent3 4 2 2" xfId="3472"/>
    <cellStyle name="20% - Accent3 4 2 2 2" xfId="3473"/>
    <cellStyle name="20% - Accent3 4 2 2 2 2" xfId="3474"/>
    <cellStyle name="20% - Accent3 4 2 2 2 2 2" xfId="3475"/>
    <cellStyle name="20% - Accent3 4 2 2 2 2 3" xfId="3476"/>
    <cellStyle name="20% - Accent3 4 2 2 2 3" xfId="3477"/>
    <cellStyle name="20% - Accent3 4 2 2 2 3 2" xfId="3478"/>
    <cellStyle name="20% - Accent3 4 2 2 2 3 3" xfId="3479"/>
    <cellStyle name="20% - Accent3 4 2 2 2 4" xfId="3480"/>
    <cellStyle name="20% - Accent3 4 2 2 2 5" xfId="3481"/>
    <cellStyle name="20% - Accent3 4 2 2 3" xfId="3482"/>
    <cellStyle name="20% - Accent3 4 2 2 3 2" xfId="3483"/>
    <cellStyle name="20% - Accent3 4 2 2 3 2 2" xfId="3484"/>
    <cellStyle name="20% - Accent3 4 2 2 3 2 3" xfId="3485"/>
    <cellStyle name="20% - Accent3 4 2 2 3 3" xfId="3486"/>
    <cellStyle name="20% - Accent3 4 2 2 3 3 2" xfId="3487"/>
    <cellStyle name="20% - Accent3 4 2 2 3 3 3" xfId="3488"/>
    <cellStyle name="20% - Accent3 4 2 2 3 4" xfId="3489"/>
    <cellStyle name="20% - Accent3 4 2 2 3 5" xfId="3490"/>
    <cellStyle name="20% - Accent3 4 2 2 4" xfId="3491"/>
    <cellStyle name="20% - Accent3 4 2 2 4 2" xfId="3492"/>
    <cellStyle name="20% - Accent3 4 2 2 4 3" xfId="3493"/>
    <cellStyle name="20% - Accent3 4 2 2 5" xfId="3494"/>
    <cellStyle name="20% - Accent3 4 2 2 5 2" xfId="3495"/>
    <cellStyle name="20% - Accent3 4 2 2 5 3" xfId="3496"/>
    <cellStyle name="20% - Accent3 4 2 2 6" xfId="3497"/>
    <cellStyle name="20% - Accent3 4 2 2 7" xfId="3498"/>
    <cellStyle name="20% - Accent3 4 2 3" xfId="3499"/>
    <cellStyle name="20% - Accent3 4 2 3 2" xfId="3500"/>
    <cellStyle name="20% - Accent3 4 2 3 2 2" xfId="3501"/>
    <cellStyle name="20% - Accent3 4 2 3 2 2 2" xfId="3502"/>
    <cellStyle name="20% - Accent3 4 2 3 2 2 3" xfId="3503"/>
    <cellStyle name="20% - Accent3 4 2 3 2 3" xfId="3504"/>
    <cellStyle name="20% - Accent3 4 2 3 2 3 2" xfId="3505"/>
    <cellStyle name="20% - Accent3 4 2 3 2 3 3" xfId="3506"/>
    <cellStyle name="20% - Accent3 4 2 3 2 4" xfId="3507"/>
    <cellStyle name="20% - Accent3 4 2 3 2 5" xfId="3508"/>
    <cellStyle name="20% - Accent3 4 2 3 3" xfId="3509"/>
    <cellStyle name="20% - Accent3 4 2 3 3 2" xfId="3510"/>
    <cellStyle name="20% - Accent3 4 2 3 3 2 2" xfId="3511"/>
    <cellStyle name="20% - Accent3 4 2 3 3 2 3" xfId="3512"/>
    <cellStyle name="20% - Accent3 4 2 3 3 3" xfId="3513"/>
    <cellStyle name="20% - Accent3 4 2 3 3 3 2" xfId="3514"/>
    <cellStyle name="20% - Accent3 4 2 3 3 3 3" xfId="3515"/>
    <cellStyle name="20% - Accent3 4 2 3 3 4" xfId="3516"/>
    <cellStyle name="20% - Accent3 4 2 3 3 5" xfId="3517"/>
    <cellStyle name="20% - Accent3 4 2 3 4" xfId="3518"/>
    <cellStyle name="20% - Accent3 4 2 3 4 2" xfId="3519"/>
    <cellStyle name="20% - Accent3 4 2 3 4 3" xfId="3520"/>
    <cellStyle name="20% - Accent3 4 2 3 5" xfId="3521"/>
    <cellStyle name="20% - Accent3 4 2 3 5 2" xfId="3522"/>
    <cellStyle name="20% - Accent3 4 2 3 5 3" xfId="3523"/>
    <cellStyle name="20% - Accent3 4 2 3 6" xfId="3524"/>
    <cellStyle name="20% - Accent3 4 2 3 7" xfId="3525"/>
    <cellStyle name="20% - Accent3 4 2 4" xfId="3526"/>
    <cellStyle name="20% - Accent3 4 2 4 2" xfId="3527"/>
    <cellStyle name="20% - Accent3 4 2 4 2 2" xfId="3528"/>
    <cellStyle name="20% - Accent3 4 2 4 2 3" xfId="3529"/>
    <cellStyle name="20% - Accent3 4 2 4 3" xfId="3530"/>
    <cellStyle name="20% - Accent3 4 2 4 3 2" xfId="3531"/>
    <cellStyle name="20% - Accent3 4 2 4 3 3" xfId="3532"/>
    <cellStyle name="20% - Accent3 4 2 4 4" xfId="3533"/>
    <cellStyle name="20% - Accent3 4 2 4 5" xfId="3534"/>
    <cellStyle name="20% - Accent3 4 2 5" xfId="3535"/>
    <cellStyle name="20% - Accent3 4 2 5 2" xfId="3536"/>
    <cellStyle name="20% - Accent3 4 2 5 2 2" xfId="3537"/>
    <cellStyle name="20% - Accent3 4 2 5 2 3" xfId="3538"/>
    <cellStyle name="20% - Accent3 4 2 5 3" xfId="3539"/>
    <cellStyle name="20% - Accent3 4 2 5 3 2" xfId="3540"/>
    <cellStyle name="20% - Accent3 4 2 5 3 3" xfId="3541"/>
    <cellStyle name="20% - Accent3 4 2 5 4" xfId="3542"/>
    <cellStyle name="20% - Accent3 4 2 5 5" xfId="3543"/>
    <cellStyle name="20% - Accent3 4 2 6" xfId="3544"/>
    <cellStyle name="20% - Accent3 4 2 6 2" xfId="3545"/>
    <cellStyle name="20% - Accent3 4 2 6 3" xfId="3546"/>
    <cellStyle name="20% - Accent3 4 2 7" xfId="3547"/>
    <cellStyle name="20% - Accent3 4 2 7 2" xfId="3548"/>
    <cellStyle name="20% - Accent3 4 2 7 3" xfId="3549"/>
    <cellStyle name="20% - Accent3 4 2 8" xfId="3550"/>
    <cellStyle name="20% - Accent3 4 2 9" xfId="3551"/>
    <cellStyle name="20% - Accent3 4 3" xfId="3552"/>
    <cellStyle name="20% - Accent3 4 3 2" xfId="3553"/>
    <cellStyle name="20% - Accent3 4 3 2 2" xfId="3554"/>
    <cellStyle name="20% - Accent3 4 3 2 2 2" xfId="3555"/>
    <cellStyle name="20% - Accent3 4 3 2 2 2 2" xfId="3556"/>
    <cellStyle name="20% - Accent3 4 3 2 2 2 3" xfId="3557"/>
    <cellStyle name="20% - Accent3 4 3 2 2 3" xfId="3558"/>
    <cellStyle name="20% - Accent3 4 3 2 2 3 2" xfId="3559"/>
    <cellStyle name="20% - Accent3 4 3 2 2 3 3" xfId="3560"/>
    <cellStyle name="20% - Accent3 4 3 2 2 4" xfId="3561"/>
    <cellStyle name="20% - Accent3 4 3 2 2 5" xfId="3562"/>
    <cellStyle name="20% - Accent3 4 3 2 3" xfId="3563"/>
    <cellStyle name="20% - Accent3 4 3 2 3 2" xfId="3564"/>
    <cellStyle name="20% - Accent3 4 3 2 3 2 2" xfId="3565"/>
    <cellStyle name="20% - Accent3 4 3 2 3 2 3" xfId="3566"/>
    <cellStyle name="20% - Accent3 4 3 2 3 3" xfId="3567"/>
    <cellStyle name="20% - Accent3 4 3 2 3 3 2" xfId="3568"/>
    <cellStyle name="20% - Accent3 4 3 2 3 3 3" xfId="3569"/>
    <cellStyle name="20% - Accent3 4 3 2 3 4" xfId="3570"/>
    <cellStyle name="20% - Accent3 4 3 2 3 5" xfId="3571"/>
    <cellStyle name="20% - Accent3 4 3 2 4" xfId="3572"/>
    <cellStyle name="20% - Accent3 4 3 2 4 2" xfId="3573"/>
    <cellStyle name="20% - Accent3 4 3 2 4 3" xfId="3574"/>
    <cellStyle name="20% - Accent3 4 3 2 5" xfId="3575"/>
    <cellStyle name="20% - Accent3 4 3 2 5 2" xfId="3576"/>
    <cellStyle name="20% - Accent3 4 3 2 5 3" xfId="3577"/>
    <cellStyle name="20% - Accent3 4 3 2 6" xfId="3578"/>
    <cellStyle name="20% - Accent3 4 3 2 7" xfId="3579"/>
    <cellStyle name="20% - Accent3 4 3 3" xfId="3580"/>
    <cellStyle name="20% - Accent3 4 3 3 2" xfId="3581"/>
    <cellStyle name="20% - Accent3 4 3 3 2 2" xfId="3582"/>
    <cellStyle name="20% - Accent3 4 3 3 2 2 2" xfId="3583"/>
    <cellStyle name="20% - Accent3 4 3 3 2 2 3" xfId="3584"/>
    <cellStyle name="20% - Accent3 4 3 3 2 3" xfId="3585"/>
    <cellStyle name="20% - Accent3 4 3 3 2 3 2" xfId="3586"/>
    <cellStyle name="20% - Accent3 4 3 3 2 3 3" xfId="3587"/>
    <cellStyle name="20% - Accent3 4 3 3 2 4" xfId="3588"/>
    <cellStyle name="20% - Accent3 4 3 3 2 5" xfId="3589"/>
    <cellStyle name="20% - Accent3 4 3 3 3" xfId="3590"/>
    <cellStyle name="20% - Accent3 4 3 3 3 2" xfId="3591"/>
    <cellStyle name="20% - Accent3 4 3 3 3 2 2" xfId="3592"/>
    <cellStyle name="20% - Accent3 4 3 3 3 2 3" xfId="3593"/>
    <cellStyle name="20% - Accent3 4 3 3 3 3" xfId="3594"/>
    <cellStyle name="20% - Accent3 4 3 3 3 3 2" xfId="3595"/>
    <cellStyle name="20% - Accent3 4 3 3 3 3 3" xfId="3596"/>
    <cellStyle name="20% - Accent3 4 3 3 3 4" xfId="3597"/>
    <cellStyle name="20% - Accent3 4 3 3 3 5" xfId="3598"/>
    <cellStyle name="20% - Accent3 4 3 3 4" xfId="3599"/>
    <cellStyle name="20% - Accent3 4 3 3 4 2" xfId="3600"/>
    <cellStyle name="20% - Accent3 4 3 3 4 3" xfId="3601"/>
    <cellStyle name="20% - Accent3 4 3 3 5" xfId="3602"/>
    <cellStyle name="20% - Accent3 4 3 3 5 2" xfId="3603"/>
    <cellStyle name="20% - Accent3 4 3 3 5 3" xfId="3604"/>
    <cellStyle name="20% - Accent3 4 3 3 6" xfId="3605"/>
    <cellStyle name="20% - Accent3 4 3 3 7" xfId="3606"/>
    <cellStyle name="20% - Accent3 4 3 4" xfId="3607"/>
    <cellStyle name="20% - Accent3 4 3 4 2" xfId="3608"/>
    <cellStyle name="20% - Accent3 4 3 4 2 2" xfId="3609"/>
    <cellStyle name="20% - Accent3 4 3 4 2 3" xfId="3610"/>
    <cellStyle name="20% - Accent3 4 3 4 3" xfId="3611"/>
    <cellStyle name="20% - Accent3 4 3 4 3 2" xfId="3612"/>
    <cellStyle name="20% - Accent3 4 3 4 3 3" xfId="3613"/>
    <cellStyle name="20% - Accent3 4 3 4 4" xfId="3614"/>
    <cellStyle name="20% - Accent3 4 3 4 5" xfId="3615"/>
    <cellStyle name="20% - Accent3 4 3 5" xfId="3616"/>
    <cellStyle name="20% - Accent3 4 3 5 2" xfId="3617"/>
    <cellStyle name="20% - Accent3 4 3 5 2 2" xfId="3618"/>
    <cellStyle name="20% - Accent3 4 3 5 2 3" xfId="3619"/>
    <cellStyle name="20% - Accent3 4 3 5 3" xfId="3620"/>
    <cellStyle name="20% - Accent3 4 3 5 3 2" xfId="3621"/>
    <cellStyle name="20% - Accent3 4 3 5 3 3" xfId="3622"/>
    <cellStyle name="20% - Accent3 4 3 5 4" xfId="3623"/>
    <cellStyle name="20% - Accent3 4 3 5 5" xfId="3624"/>
    <cellStyle name="20% - Accent3 4 3 6" xfId="3625"/>
    <cellStyle name="20% - Accent3 4 3 6 2" xfId="3626"/>
    <cellStyle name="20% - Accent3 4 3 6 3" xfId="3627"/>
    <cellStyle name="20% - Accent3 4 3 7" xfId="3628"/>
    <cellStyle name="20% - Accent3 4 3 7 2" xfId="3629"/>
    <cellStyle name="20% - Accent3 4 3 7 3" xfId="3630"/>
    <cellStyle name="20% - Accent3 4 3 8" xfId="3631"/>
    <cellStyle name="20% - Accent3 4 3 9" xfId="3632"/>
    <cellStyle name="20% - Accent3 4 4" xfId="3633"/>
    <cellStyle name="20% - Accent3 4 4 2" xfId="3634"/>
    <cellStyle name="20% - Accent3 4 4 2 2" xfId="3635"/>
    <cellStyle name="20% - Accent3 4 4 2 2 2" xfId="3636"/>
    <cellStyle name="20% - Accent3 4 4 2 2 3" xfId="3637"/>
    <cellStyle name="20% - Accent3 4 4 2 3" xfId="3638"/>
    <cellStyle name="20% - Accent3 4 4 2 3 2" xfId="3639"/>
    <cellStyle name="20% - Accent3 4 4 2 3 3" xfId="3640"/>
    <cellStyle name="20% - Accent3 4 4 2 4" xfId="3641"/>
    <cellStyle name="20% - Accent3 4 4 2 5" xfId="3642"/>
    <cellStyle name="20% - Accent3 4 4 3" xfId="3643"/>
    <cellStyle name="20% - Accent3 4 4 3 2" xfId="3644"/>
    <cellStyle name="20% - Accent3 4 4 3 2 2" xfId="3645"/>
    <cellStyle name="20% - Accent3 4 4 3 2 3" xfId="3646"/>
    <cellStyle name="20% - Accent3 4 4 3 3" xfId="3647"/>
    <cellStyle name="20% - Accent3 4 4 3 3 2" xfId="3648"/>
    <cellStyle name="20% - Accent3 4 4 3 3 3" xfId="3649"/>
    <cellStyle name="20% - Accent3 4 4 3 4" xfId="3650"/>
    <cellStyle name="20% - Accent3 4 4 3 5" xfId="3651"/>
    <cellStyle name="20% - Accent3 4 4 4" xfId="3652"/>
    <cellStyle name="20% - Accent3 4 4 4 2" xfId="3653"/>
    <cellStyle name="20% - Accent3 4 4 4 3" xfId="3654"/>
    <cellStyle name="20% - Accent3 4 4 5" xfId="3655"/>
    <cellStyle name="20% - Accent3 4 4 5 2" xfId="3656"/>
    <cellStyle name="20% - Accent3 4 4 5 3" xfId="3657"/>
    <cellStyle name="20% - Accent3 4 4 6" xfId="3658"/>
    <cellStyle name="20% - Accent3 4 4 7" xfId="3659"/>
    <cellStyle name="20% - Accent3 4 5" xfId="3660"/>
    <cellStyle name="20% - Accent3 4 5 2" xfId="3661"/>
    <cellStyle name="20% - Accent3 4 5 2 2" xfId="3662"/>
    <cellStyle name="20% - Accent3 4 5 2 2 2" xfId="3663"/>
    <cellStyle name="20% - Accent3 4 5 2 2 3" xfId="3664"/>
    <cellStyle name="20% - Accent3 4 5 2 3" xfId="3665"/>
    <cellStyle name="20% - Accent3 4 5 2 3 2" xfId="3666"/>
    <cellStyle name="20% - Accent3 4 5 2 3 3" xfId="3667"/>
    <cellStyle name="20% - Accent3 4 5 2 4" xfId="3668"/>
    <cellStyle name="20% - Accent3 4 5 2 5" xfId="3669"/>
    <cellStyle name="20% - Accent3 4 5 3" xfId="3670"/>
    <cellStyle name="20% - Accent3 4 5 3 2" xfId="3671"/>
    <cellStyle name="20% - Accent3 4 5 3 2 2" xfId="3672"/>
    <cellStyle name="20% - Accent3 4 5 3 2 3" xfId="3673"/>
    <cellStyle name="20% - Accent3 4 5 3 3" xfId="3674"/>
    <cellStyle name="20% - Accent3 4 5 3 3 2" xfId="3675"/>
    <cellStyle name="20% - Accent3 4 5 3 3 3" xfId="3676"/>
    <cellStyle name="20% - Accent3 4 5 3 4" xfId="3677"/>
    <cellStyle name="20% - Accent3 4 5 3 5" xfId="3678"/>
    <cellStyle name="20% - Accent3 4 5 4" xfId="3679"/>
    <cellStyle name="20% - Accent3 4 5 4 2" xfId="3680"/>
    <cellStyle name="20% - Accent3 4 5 4 3" xfId="3681"/>
    <cellStyle name="20% - Accent3 4 5 5" xfId="3682"/>
    <cellStyle name="20% - Accent3 4 5 5 2" xfId="3683"/>
    <cellStyle name="20% - Accent3 4 5 5 3" xfId="3684"/>
    <cellStyle name="20% - Accent3 4 5 6" xfId="3685"/>
    <cellStyle name="20% - Accent3 4 5 7" xfId="3686"/>
    <cellStyle name="20% - Accent3 4 6" xfId="3687"/>
    <cellStyle name="20% - Accent3 4 6 2" xfId="3688"/>
    <cellStyle name="20% - Accent3 4 6 2 2" xfId="3689"/>
    <cellStyle name="20% - Accent3 4 6 2 3" xfId="3690"/>
    <cellStyle name="20% - Accent3 4 6 3" xfId="3691"/>
    <cellStyle name="20% - Accent3 4 6 3 2" xfId="3692"/>
    <cellStyle name="20% - Accent3 4 6 3 3" xfId="3693"/>
    <cellStyle name="20% - Accent3 4 6 4" xfId="3694"/>
    <cellStyle name="20% - Accent3 4 6 5" xfId="3695"/>
    <cellStyle name="20% - Accent3 4 7" xfId="3696"/>
    <cellStyle name="20% - Accent3 4 7 2" xfId="3697"/>
    <cellStyle name="20% - Accent3 4 7 2 2" xfId="3698"/>
    <cellStyle name="20% - Accent3 4 7 2 3" xfId="3699"/>
    <cellStyle name="20% - Accent3 4 7 3" xfId="3700"/>
    <cellStyle name="20% - Accent3 4 7 3 2" xfId="3701"/>
    <cellStyle name="20% - Accent3 4 7 3 3" xfId="3702"/>
    <cellStyle name="20% - Accent3 4 7 4" xfId="3703"/>
    <cellStyle name="20% - Accent3 4 7 5" xfId="3704"/>
    <cellStyle name="20% - Accent3 4 8" xfId="3705"/>
    <cellStyle name="20% - Accent3 4 8 2" xfId="3706"/>
    <cellStyle name="20% - Accent3 4 8 3" xfId="3707"/>
    <cellStyle name="20% - Accent3 4 9" xfId="3708"/>
    <cellStyle name="20% - Accent3 4 9 2" xfId="3709"/>
    <cellStyle name="20% - Accent3 4 9 3" xfId="3710"/>
    <cellStyle name="20% - Accent3 4_Sheet8" xfId="3711"/>
    <cellStyle name="20% - Accent3 5" xfId="3712"/>
    <cellStyle name="20% - Accent3 5 2" xfId="3713"/>
    <cellStyle name="20% - Accent3 5 2 2" xfId="3714"/>
    <cellStyle name="20% - Accent3 5 2 3" xfId="3715"/>
    <cellStyle name="20% - Accent3 5 3" xfId="3716"/>
    <cellStyle name="20% - Accent3 5 4" xfId="3717"/>
    <cellStyle name="20% - Accent3 5 5" xfId="42943"/>
    <cellStyle name="20% - Accent3 6" xfId="3718"/>
    <cellStyle name="20% - Accent3 6 2" xfId="3719"/>
    <cellStyle name="20% - Accent3 6 3" xfId="3720"/>
    <cellStyle name="20% - Accent3 7" xfId="3721"/>
    <cellStyle name="20% - Accent3 7 2" xfId="3722"/>
    <cellStyle name="20% - Accent3 7 3" xfId="3723"/>
    <cellStyle name="20% - Accent3 8" xfId="3724"/>
    <cellStyle name="20% - Accent3 8 2" xfId="3725"/>
    <cellStyle name="20% - Accent3 8 3" xfId="3726"/>
    <cellStyle name="20% - Accent3 9" xfId="3727"/>
    <cellStyle name="20% - Accent3 9 2" xfId="3728"/>
    <cellStyle name="20% - Accent3 9 3" xfId="3729"/>
    <cellStyle name="20% - Accent4" xfId="42838" builtinId="42" customBuiltin="1"/>
    <cellStyle name="20% - Accent4 10" xfId="3730"/>
    <cellStyle name="20% - Accent4 10 2" xfId="3731"/>
    <cellStyle name="20% - Accent4 10 3" xfId="3732"/>
    <cellStyle name="20% - Accent4 11" xfId="3733"/>
    <cellStyle name="20% - Accent4 11 2" xfId="3734"/>
    <cellStyle name="20% - Accent4 11 3" xfId="3735"/>
    <cellStyle name="20% - Accent4 12" xfId="3736"/>
    <cellStyle name="20% - Accent4 2" xfId="3737"/>
    <cellStyle name="20% - Accent4 2 10" xfId="43105"/>
    <cellStyle name="20% - Accent4 2 2" xfId="3738"/>
    <cellStyle name="20% - Accent4 2 2 2" xfId="3739"/>
    <cellStyle name="20% - Accent4 2 2_FCC Filings With Webster 2012" xfId="3740"/>
    <cellStyle name="20% - Accent4 2 3" xfId="3741"/>
    <cellStyle name="20% - Accent4 2 4" xfId="3742"/>
    <cellStyle name="20% - Accent4 2 4 2" xfId="3743"/>
    <cellStyle name="20% - Accent4 2 5" xfId="3744"/>
    <cellStyle name="20% - Accent4 2 6" xfId="3745"/>
    <cellStyle name="20% - Accent4 2 6 2" xfId="3746"/>
    <cellStyle name="20% - Accent4 2 6 3" xfId="3747"/>
    <cellStyle name="20% - Accent4 2 7" xfId="42984"/>
    <cellStyle name="20% - Accent4 2 8" xfId="43130"/>
    <cellStyle name="20% - Accent4 2 9" xfId="43170"/>
    <cellStyle name="20% - Accent4 2_Dashboard - Inventory Metrics Aug 2012" xfId="3748"/>
    <cellStyle name="20% - Accent4 3" xfId="3749"/>
    <cellStyle name="20% - Accent4 3 2" xfId="3750"/>
    <cellStyle name="20% - Accent4 3 3" xfId="42911"/>
    <cellStyle name="20% - Accent4 3 4" xfId="42983"/>
    <cellStyle name="20% - Accent4 4" xfId="3751"/>
    <cellStyle name="20% - Accent4 4 10" xfId="3752"/>
    <cellStyle name="20% - Accent4 4 11" xfId="3753"/>
    <cellStyle name="20% - Accent4 4 12" xfId="42929"/>
    <cellStyle name="20% - Accent4 4 2" xfId="3754"/>
    <cellStyle name="20% - Accent4 4 2 2" xfId="3755"/>
    <cellStyle name="20% - Accent4 4 2 2 2" xfId="3756"/>
    <cellStyle name="20% - Accent4 4 2 2 2 2" xfId="3757"/>
    <cellStyle name="20% - Accent4 4 2 2 2 2 2" xfId="3758"/>
    <cellStyle name="20% - Accent4 4 2 2 2 2 3" xfId="3759"/>
    <cellStyle name="20% - Accent4 4 2 2 2 3" xfId="3760"/>
    <cellStyle name="20% - Accent4 4 2 2 2 3 2" xfId="3761"/>
    <cellStyle name="20% - Accent4 4 2 2 2 3 3" xfId="3762"/>
    <cellStyle name="20% - Accent4 4 2 2 2 4" xfId="3763"/>
    <cellStyle name="20% - Accent4 4 2 2 2 5" xfId="3764"/>
    <cellStyle name="20% - Accent4 4 2 2 3" xfId="3765"/>
    <cellStyle name="20% - Accent4 4 2 2 3 2" xfId="3766"/>
    <cellStyle name="20% - Accent4 4 2 2 3 2 2" xfId="3767"/>
    <cellStyle name="20% - Accent4 4 2 2 3 2 3" xfId="3768"/>
    <cellStyle name="20% - Accent4 4 2 2 3 3" xfId="3769"/>
    <cellStyle name="20% - Accent4 4 2 2 3 3 2" xfId="3770"/>
    <cellStyle name="20% - Accent4 4 2 2 3 3 3" xfId="3771"/>
    <cellStyle name="20% - Accent4 4 2 2 3 4" xfId="3772"/>
    <cellStyle name="20% - Accent4 4 2 2 3 5" xfId="3773"/>
    <cellStyle name="20% - Accent4 4 2 2 4" xfId="3774"/>
    <cellStyle name="20% - Accent4 4 2 2 4 2" xfId="3775"/>
    <cellStyle name="20% - Accent4 4 2 2 4 3" xfId="3776"/>
    <cellStyle name="20% - Accent4 4 2 2 5" xfId="3777"/>
    <cellStyle name="20% - Accent4 4 2 2 5 2" xfId="3778"/>
    <cellStyle name="20% - Accent4 4 2 2 5 3" xfId="3779"/>
    <cellStyle name="20% - Accent4 4 2 2 6" xfId="3780"/>
    <cellStyle name="20% - Accent4 4 2 2 7" xfId="3781"/>
    <cellStyle name="20% - Accent4 4 2 3" xfId="3782"/>
    <cellStyle name="20% - Accent4 4 2 3 2" xfId="3783"/>
    <cellStyle name="20% - Accent4 4 2 3 2 2" xfId="3784"/>
    <cellStyle name="20% - Accent4 4 2 3 2 2 2" xfId="3785"/>
    <cellStyle name="20% - Accent4 4 2 3 2 2 3" xfId="3786"/>
    <cellStyle name="20% - Accent4 4 2 3 2 3" xfId="3787"/>
    <cellStyle name="20% - Accent4 4 2 3 2 3 2" xfId="3788"/>
    <cellStyle name="20% - Accent4 4 2 3 2 3 3" xfId="3789"/>
    <cellStyle name="20% - Accent4 4 2 3 2 4" xfId="3790"/>
    <cellStyle name="20% - Accent4 4 2 3 2 5" xfId="3791"/>
    <cellStyle name="20% - Accent4 4 2 3 3" xfId="3792"/>
    <cellStyle name="20% - Accent4 4 2 3 3 2" xfId="3793"/>
    <cellStyle name="20% - Accent4 4 2 3 3 2 2" xfId="3794"/>
    <cellStyle name="20% - Accent4 4 2 3 3 2 3" xfId="3795"/>
    <cellStyle name="20% - Accent4 4 2 3 3 3" xfId="3796"/>
    <cellStyle name="20% - Accent4 4 2 3 3 3 2" xfId="3797"/>
    <cellStyle name="20% - Accent4 4 2 3 3 3 3" xfId="3798"/>
    <cellStyle name="20% - Accent4 4 2 3 3 4" xfId="3799"/>
    <cellStyle name="20% - Accent4 4 2 3 3 5" xfId="3800"/>
    <cellStyle name="20% - Accent4 4 2 3 4" xfId="3801"/>
    <cellStyle name="20% - Accent4 4 2 3 4 2" xfId="3802"/>
    <cellStyle name="20% - Accent4 4 2 3 4 3" xfId="3803"/>
    <cellStyle name="20% - Accent4 4 2 3 5" xfId="3804"/>
    <cellStyle name="20% - Accent4 4 2 3 5 2" xfId="3805"/>
    <cellStyle name="20% - Accent4 4 2 3 5 3" xfId="3806"/>
    <cellStyle name="20% - Accent4 4 2 3 6" xfId="3807"/>
    <cellStyle name="20% - Accent4 4 2 3 7" xfId="3808"/>
    <cellStyle name="20% - Accent4 4 2 4" xfId="3809"/>
    <cellStyle name="20% - Accent4 4 2 4 2" xfId="3810"/>
    <cellStyle name="20% - Accent4 4 2 4 2 2" xfId="3811"/>
    <cellStyle name="20% - Accent4 4 2 4 2 3" xfId="3812"/>
    <cellStyle name="20% - Accent4 4 2 4 3" xfId="3813"/>
    <cellStyle name="20% - Accent4 4 2 4 3 2" xfId="3814"/>
    <cellStyle name="20% - Accent4 4 2 4 3 3" xfId="3815"/>
    <cellStyle name="20% - Accent4 4 2 4 4" xfId="3816"/>
    <cellStyle name="20% - Accent4 4 2 4 5" xfId="3817"/>
    <cellStyle name="20% - Accent4 4 2 5" xfId="3818"/>
    <cellStyle name="20% - Accent4 4 2 5 2" xfId="3819"/>
    <cellStyle name="20% - Accent4 4 2 5 2 2" xfId="3820"/>
    <cellStyle name="20% - Accent4 4 2 5 2 3" xfId="3821"/>
    <cellStyle name="20% - Accent4 4 2 5 3" xfId="3822"/>
    <cellStyle name="20% - Accent4 4 2 5 3 2" xfId="3823"/>
    <cellStyle name="20% - Accent4 4 2 5 3 3" xfId="3824"/>
    <cellStyle name="20% - Accent4 4 2 5 4" xfId="3825"/>
    <cellStyle name="20% - Accent4 4 2 5 5" xfId="3826"/>
    <cellStyle name="20% - Accent4 4 2 6" xfId="3827"/>
    <cellStyle name="20% - Accent4 4 2 6 2" xfId="3828"/>
    <cellStyle name="20% - Accent4 4 2 6 3" xfId="3829"/>
    <cellStyle name="20% - Accent4 4 2 7" xfId="3830"/>
    <cellStyle name="20% - Accent4 4 2 7 2" xfId="3831"/>
    <cellStyle name="20% - Accent4 4 2 7 3" xfId="3832"/>
    <cellStyle name="20% - Accent4 4 2 8" xfId="3833"/>
    <cellStyle name="20% - Accent4 4 2 9" xfId="3834"/>
    <cellStyle name="20% - Accent4 4 3" xfId="3835"/>
    <cellStyle name="20% - Accent4 4 3 2" xfId="3836"/>
    <cellStyle name="20% - Accent4 4 3 2 2" xfId="3837"/>
    <cellStyle name="20% - Accent4 4 3 2 2 2" xfId="3838"/>
    <cellStyle name="20% - Accent4 4 3 2 2 2 2" xfId="3839"/>
    <cellStyle name="20% - Accent4 4 3 2 2 2 3" xfId="3840"/>
    <cellStyle name="20% - Accent4 4 3 2 2 3" xfId="3841"/>
    <cellStyle name="20% - Accent4 4 3 2 2 3 2" xfId="3842"/>
    <cellStyle name="20% - Accent4 4 3 2 2 3 3" xfId="3843"/>
    <cellStyle name="20% - Accent4 4 3 2 2 4" xfId="3844"/>
    <cellStyle name="20% - Accent4 4 3 2 2 5" xfId="3845"/>
    <cellStyle name="20% - Accent4 4 3 2 3" xfId="3846"/>
    <cellStyle name="20% - Accent4 4 3 2 3 2" xfId="3847"/>
    <cellStyle name="20% - Accent4 4 3 2 3 2 2" xfId="3848"/>
    <cellStyle name="20% - Accent4 4 3 2 3 2 3" xfId="3849"/>
    <cellStyle name="20% - Accent4 4 3 2 3 3" xfId="3850"/>
    <cellStyle name="20% - Accent4 4 3 2 3 3 2" xfId="3851"/>
    <cellStyle name="20% - Accent4 4 3 2 3 3 3" xfId="3852"/>
    <cellStyle name="20% - Accent4 4 3 2 3 4" xfId="3853"/>
    <cellStyle name="20% - Accent4 4 3 2 3 5" xfId="3854"/>
    <cellStyle name="20% - Accent4 4 3 2 4" xfId="3855"/>
    <cellStyle name="20% - Accent4 4 3 2 4 2" xfId="3856"/>
    <cellStyle name="20% - Accent4 4 3 2 4 3" xfId="3857"/>
    <cellStyle name="20% - Accent4 4 3 2 5" xfId="3858"/>
    <cellStyle name="20% - Accent4 4 3 2 5 2" xfId="3859"/>
    <cellStyle name="20% - Accent4 4 3 2 5 3" xfId="3860"/>
    <cellStyle name="20% - Accent4 4 3 2 6" xfId="3861"/>
    <cellStyle name="20% - Accent4 4 3 2 7" xfId="3862"/>
    <cellStyle name="20% - Accent4 4 3 3" xfId="3863"/>
    <cellStyle name="20% - Accent4 4 3 3 2" xfId="3864"/>
    <cellStyle name="20% - Accent4 4 3 3 2 2" xfId="3865"/>
    <cellStyle name="20% - Accent4 4 3 3 2 2 2" xfId="3866"/>
    <cellStyle name="20% - Accent4 4 3 3 2 2 3" xfId="3867"/>
    <cellStyle name="20% - Accent4 4 3 3 2 3" xfId="3868"/>
    <cellStyle name="20% - Accent4 4 3 3 2 3 2" xfId="3869"/>
    <cellStyle name="20% - Accent4 4 3 3 2 3 3" xfId="3870"/>
    <cellStyle name="20% - Accent4 4 3 3 2 4" xfId="3871"/>
    <cellStyle name="20% - Accent4 4 3 3 2 5" xfId="3872"/>
    <cellStyle name="20% - Accent4 4 3 3 3" xfId="3873"/>
    <cellStyle name="20% - Accent4 4 3 3 3 2" xfId="3874"/>
    <cellStyle name="20% - Accent4 4 3 3 3 2 2" xfId="3875"/>
    <cellStyle name="20% - Accent4 4 3 3 3 2 3" xfId="3876"/>
    <cellStyle name="20% - Accent4 4 3 3 3 3" xfId="3877"/>
    <cellStyle name="20% - Accent4 4 3 3 3 3 2" xfId="3878"/>
    <cellStyle name="20% - Accent4 4 3 3 3 3 3" xfId="3879"/>
    <cellStyle name="20% - Accent4 4 3 3 3 4" xfId="3880"/>
    <cellStyle name="20% - Accent4 4 3 3 3 5" xfId="3881"/>
    <cellStyle name="20% - Accent4 4 3 3 4" xfId="3882"/>
    <cellStyle name="20% - Accent4 4 3 3 4 2" xfId="3883"/>
    <cellStyle name="20% - Accent4 4 3 3 4 3" xfId="3884"/>
    <cellStyle name="20% - Accent4 4 3 3 5" xfId="3885"/>
    <cellStyle name="20% - Accent4 4 3 3 5 2" xfId="3886"/>
    <cellStyle name="20% - Accent4 4 3 3 5 3" xfId="3887"/>
    <cellStyle name="20% - Accent4 4 3 3 6" xfId="3888"/>
    <cellStyle name="20% - Accent4 4 3 3 7" xfId="3889"/>
    <cellStyle name="20% - Accent4 4 3 4" xfId="3890"/>
    <cellStyle name="20% - Accent4 4 3 4 2" xfId="3891"/>
    <cellStyle name="20% - Accent4 4 3 4 2 2" xfId="3892"/>
    <cellStyle name="20% - Accent4 4 3 4 2 3" xfId="3893"/>
    <cellStyle name="20% - Accent4 4 3 4 3" xfId="3894"/>
    <cellStyle name="20% - Accent4 4 3 4 3 2" xfId="3895"/>
    <cellStyle name="20% - Accent4 4 3 4 3 3" xfId="3896"/>
    <cellStyle name="20% - Accent4 4 3 4 4" xfId="3897"/>
    <cellStyle name="20% - Accent4 4 3 4 5" xfId="3898"/>
    <cellStyle name="20% - Accent4 4 3 5" xfId="3899"/>
    <cellStyle name="20% - Accent4 4 3 5 2" xfId="3900"/>
    <cellStyle name="20% - Accent4 4 3 5 2 2" xfId="3901"/>
    <cellStyle name="20% - Accent4 4 3 5 2 3" xfId="3902"/>
    <cellStyle name="20% - Accent4 4 3 5 3" xfId="3903"/>
    <cellStyle name="20% - Accent4 4 3 5 3 2" xfId="3904"/>
    <cellStyle name="20% - Accent4 4 3 5 3 3" xfId="3905"/>
    <cellStyle name="20% - Accent4 4 3 5 4" xfId="3906"/>
    <cellStyle name="20% - Accent4 4 3 5 5" xfId="3907"/>
    <cellStyle name="20% - Accent4 4 3 6" xfId="3908"/>
    <cellStyle name="20% - Accent4 4 3 6 2" xfId="3909"/>
    <cellStyle name="20% - Accent4 4 3 6 3" xfId="3910"/>
    <cellStyle name="20% - Accent4 4 3 7" xfId="3911"/>
    <cellStyle name="20% - Accent4 4 3 7 2" xfId="3912"/>
    <cellStyle name="20% - Accent4 4 3 7 3" xfId="3913"/>
    <cellStyle name="20% - Accent4 4 3 8" xfId="3914"/>
    <cellStyle name="20% - Accent4 4 3 9" xfId="3915"/>
    <cellStyle name="20% - Accent4 4 4" xfId="3916"/>
    <cellStyle name="20% - Accent4 4 4 2" xfId="3917"/>
    <cellStyle name="20% - Accent4 4 4 2 2" xfId="3918"/>
    <cellStyle name="20% - Accent4 4 4 2 2 2" xfId="3919"/>
    <cellStyle name="20% - Accent4 4 4 2 2 3" xfId="3920"/>
    <cellStyle name="20% - Accent4 4 4 2 3" xfId="3921"/>
    <cellStyle name="20% - Accent4 4 4 2 3 2" xfId="3922"/>
    <cellStyle name="20% - Accent4 4 4 2 3 3" xfId="3923"/>
    <cellStyle name="20% - Accent4 4 4 2 4" xfId="3924"/>
    <cellStyle name="20% - Accent4 4 4 2 5" xfId="3925"/>
    <cellStyle name="20% - Accent4 4 4 3" xfId="3926"/>
    <cellStyle name="20% - Accent4 4 4 3 2" xfId="3927"/>
    <cellStyle name="20% - Accent4 4 4 3 2 2" xfId="3928"/>
    <cellStyle name="20% - Accent4 4 4 3 2 3" xfId="3929"/>
    <cellStyle name="20% - Accent4 4 4 3 3" xfId="3930"/>
    <cellStyle name="20% - Accent4 4 4 3 3 2" xfId="3931"/>
    <cellStyle name="20% - Accent4 4 4 3 3 3" xfId="3932"/>
    <cellStyle name="20% - Accent4 4 4 3 4" xfId="3933"/>
    <cellStyle name="20% - Accent4 4 4 3 5" xfId="3934"/>
    <cellStyle name="20% - Accent4 4 4 4" xfId="3935"/>
    <cellStyle name="20% - Accent4 4 4 4 2" xfId="3936"/>
    <cellStyle name="20% - Accent4 4 4 4 3" xfId="3937"/>
    <cellStyle name="20% - Accent4 4 4 5" xfId="3938"/>
    <cellStyle name="20% - Accent4 4 4 5 2" xfId="3939"/>
    <cellStyle name="20% - Accent4 4 4 5 3" xfId="3940"/>
    <cellStyle name="20% - Accent4 4 4 6" xfId="3941"/>
    <cellStyle name="20% - Accent4 4 4 7" xfId="3942"/>
    <cellStyle name="20% - Accent4 4 5" xfId="3943"/>
    <cellStyle name="20% - Accent4 4 5 2" xfId="3944"/>
    <cellStyle name="20% - Accent4 4 5 2 2" xfId="3945"/>
    <cellStyle name="20% - Accent4 4 5 2 2 2" xfId="3946"/>
    <cellStyle name="20% - Accent4 4 5 2 2 3" xfId="3947"/>
    <cellStyle name="20% - Accent4 4 5 2 3" xfId="3948"/>
    <cellStyle name="20% - Accent4 4 5 2 3 2" xfId="3949"/>
    <cellStyle name="20% - Accent4 4 5 2 3 3" xfId="3950"/>
    <cellStyle name="20% - Accent4 4 5 2 4" xfId="3951"/>
    <cellStyle name="20% - Accent4 4 5 2 5" xfId="3952"/>
    <cellStyle name="20% - Accent4 4 5 3" xfId="3953"/>
    <cellStyle name="20% - Accent4 4 5 3 2" xfId="3954"/>
    <cellStyle name="20% - Accent4 4 5 3 2 2" xfId="3955"/>
    <cellStyle name="20% - Accent4 4 5 3 2 3" xfId="3956"/>
    <cellStyle name="20% - Accent4 4 5 3 3" xfId="3957"/>
    <cellStyle name="20% - Accent4 4 5 3 3 2" xfId="3958"/>
    <cellStyle name="20% - Accent4 4 5 3 3 3" xfId="3959"/>
    <cellStyle name="20% - Accent4 4 5 3 4" xfId="3960"/>
    <cellStyle name="20% - Accent4 4 5 3 5" xfId="3961"/>
    <cellStyle name="20% - Accent4 4 5 4" xfId="3962"/>
    <cellStyle name="20% - Accent4 4 5 4 2" xfId="3963"/>
    <cellStyle name="20% - Accent4 4 5 4 3" xfId="3964"/>
    <cellStyle name="20% - Accent4 4 5 5" xfId="3965"/>
    <cellStyle name="20% - Accent4 4 5 5 2" xfId="3966"/>
    <cellStyle name="20% - Accent4 4 5 5 3" xfId="3967"/>
    <cellStyle name="20% - Accent4 4 5 6" xfId="3968"/>
    <cellStyle name="20% - Accent4 4 5 7" xfId="3969"/>
    <cellStyle name="20% - Accent4 4 6" xfId="3970"/>
    <cellStyle name="20% - Accent4 4 6 2" xfId="3971"/>
    <cellStyle name="20% - Accent4 4 6 2 2" xfId="3972"/>
    <cellStyle name="20% - Accent4 4 6 2 3" xfId="3973"/>
    <cellStyle name="20% - Accent4 4 6 3" xfId="3974"/>
    <cellStyle name="20% - Accent4 4 6 3 2" xfId="3975"/>
    <cellStyle name="20% - Accent4 4 6 3 3" xfId="3976"/>
    <cellStyle name="20% - Accent4 4 6 4" xfId="3977"/>
    <cellStyle name="20% - Accent4 4 6 5" xfId="3978"/>
    <cellStyle name="20% - Accent4 4 7" xfId="3979"/>
    <cellStyle name="20% - Accent4 4 7 2" xfId="3980"/>
    <cellStyle name="20% - Accent4 4 7 2 2" xfId="3981"/>
    <cellStyle name="20% - Accent4 4 7 2 3" xfId="3982"/>
    <cellStyle name="20% - Accent4 4 7 3" xfId="3983"/>
    <cellStyle name="20% - Accent4 4 7 3 2" xfId="3984"/>
    <cellStyle name="20% - Accent4 4 7 3 3" xfId="3985"/>
    <cellStyle name="20% - Accent4 4 7 4" xfId="3986"/>
    <cellStyle name="20% - Accent4 4 7 5" xfId="3987"/>
    <cellStyle name="20% - Accent4 4 8" xfId="3988"/>
    <cellStyle name="20% - Accent4 4 8 2" xfId="3989"/>
    <cellStyle name="20% - Accent4 4 8 3" xfId="3990"/>
    <cellStyle name="20% - Accent4 4 9" xfId="3991"/>
    <cellStyle name="20% - Accent4 4 9 2" xfId="3992"/>
    <cellStyle name="20% - Accent4 4 9 3" xfId="3993"/>
    <cellStyle name="20% - Accent4 4_Sheet8" xfId="3994"/>
    <cellStyle name="20% - Accent4 5" xfId="3995"/>
    <cellStyle name="20% - Accent4 5 2" xfId="3996"/>
    <cellStyle name="20% - Accent4 5 2 2" xfId="3997"/>
    <cellStyle name="20% - Accent4 5 2 3" xfId="3998"/>
    <cellStyle name="20% - Accent4 5 3" xfId="3999"/>
    <cellStyle name="20% - Accent4 5 4" xfId="4000"/>
    <cellStyle name="20% - Accent4 5 5" xfId="42945"/>
    <cellStyle name="20% - Accent4 6" xfId="4001"/>
    <cellStyle name="20% - Accent4 6 2" xfId="4002"/>
    <cellStyle name="20% - Accent4 6 3" xfId="4003"/>
    <cellStyle name="20% - Accent4 7" xfId="4004"/>
    <cellStyle name="20% - Accent4 7 2" xfId="4005"/>
    <cellStyle name="20% - Accent4 7 3" xfId="4006"/>
    <cellStyle name="20% - Accent4 8" xfId="4007"/>
    <cellStyle name="20% - Accent4 8 2" xfId="4008"/>
    <cellStyle name="20% - Accent4 8 3" xfId="4009"/>
    <cellStyle name="20% - Accent4 9" xfId="4010"/>
    <cellStyle name="20% - Accent4 9 2" xfId="4011"/>
    <cellStyle name="20% - Accent4 9 3" xfId="4012"/>
    <cellStyle name="20% - Accent5" xfId="42842" builtinId="46" customBuiltin="1"/>
    <cellStyle name="20% - Accent5 10" xfId="4013"/>
    <cellStyle name="20% - Accent5 10 2" xfId="4014"/>
    <cellStyle name="20% - Accent5 10 3" xfId="4015"/>
    <cellStyle name="20% - Accent5 11" xfId="4016"/>
    <cellStyle name="20% - Accent5 2" xfId="4017"/>
    <cellStyle name="20% - Accent5 2 2" xfId="4018"/>
    <cellStyle name="20% - Accent5 2 3" xfId="4019"/>
    <cellStyle name="20% - Accent5 2 3 2" xfId="4020"/>
    <cellStyle name="20% - Accent5 2 4" xfId="4021"/>
    <cellStyle name="20% - Accent5 2 5" xfId="4022"/>
    <cellStyle name="20% - Accent5 2 5 2" xfId="4023"/>
    <cellStyle name="20% - Accent5 2 5 3" xfId="4024"/>
    <cellStyle name="20% - Accent5 2_Dashboard - Inventory Metrics Aug 2012" xfId="4025"/>
    <cellStyle name="20% - Accent5 3" xfId="4026"/>
    <cellStyle name="20% - Accent5 3 2" xfId="4027"/>
    <cellStyle name="20% - Accent5 3 3" xfId="42913"/>
    <cellStyle name="20% - Accent5 4" xfId="4028"/>
    <cellStyle name="20% - Accent5 4 10" xfId="4029"/>
    <cellStyle name="20% - Accent5 4 11" xfId="4030"/>
    <cellStyle name="20% - Accent5 4 12" xfId="42931"/>
    <cellStyle name="20% - Accent5 4 2" xfId="4031"/>
    <cellStyle name="20% - Accent5 4 2 2" xfId="4032"/>
    <cellStyle name="20% - Accent5 4 2 2 2" xfId="4033"/>
    <cellStyle name="20% - Accent5 4 2 2 2 2" xfId="4034"/>
    <cellStyle name="20% - Accent5 4 2 2 2 2 2" xfId="4035"/>
    <cellStyle name="20% - Accent5 4 2 2 2 2 3" xfId="4036"/>
    <cellStyle name="20% - Accent5 4 2 2 2 3" xfId="4037"/>
    <cellStyle name="20% - Accent5 4 2 2 2 3 2" xfId="4038"/>
    <cellStyle name="20% - Accent5 4 2 2 2 3 3" xfId="4039"/>
    <cellStyle name="20% - Accent5 4 2 2 2 4" xfId="4040"/>
    <cellStyle name="20% - Accent5 4 2 2 2 5" xfId="4041"/>
    <cellStyle name="20% - Accent5 4 2 2 3" xfId="4042"/>
    <cellStyle name="20% - Accent5 4 2 2 3 2" xfId="4043"/>
    <cellStyle name="20% - Accent5 4 2 2 3 2 2" xfId="4044"/>
    <cellStyle name="20% - Accent5 4 2 2 3 2 3" xfId="4045"/>
    <cellStyle name="20% - Accent5 4 2 2 3 3" xfId="4046"/>
    <cellStyle name="20% - Accent5 4 2 2 3 3 2" xfId="4047"/>
    <cellStyle name="20% - Accent5 4 2 2 3 3 3" xfId="4048"/>
    <cellStyle name="20% - Accent5 4 2 2 3 4" xfId="4049"/>
    <cellStyle name="20% - Accent5 4 2 2 3 5" xfId="4050"/>
    <cellStyle name="20% - Accent5 4 2 2 4" xfId="4051"/>
    <cellStyle name="20% - Accent5 4 2 2 4 2" xfId="4052"/>
    <cellStyle name="20% - Accent5 4 2 2 4 3" xfId="4053"/>
    <cellStyle name="20% - Accent5 4 2 2 5" xfId="4054"/>
    <cellStyle name="20% - Accent5 4 2 2 5 2" xfId="4055"/>
    <cellStyle name="20% - Accent5 4 2 2 5 3" xfId="4056"/>
    <cellStyle name="20% - Accent5 4 2 2 6" xfId="4057"/>
    <cellStyle name="20% - Accent5 4 2 2 7" xfId="4058"/>
    <cellStyle name="20% - Accent5 4 2 3" xfId="4059"/>
    <cellStyle name="20% - Accent5 4 2 3 2" xfId="4060"/>
    <cellStyle name="20% - Accent5 4 2 3 2 2" xfId="4061"/>
    <cellStyle name="20% - Accent5 4 2 3 2 2 2" xfId="4062"/>
    <cellStyle name="20% - Accent5 4 2 3 2 2 3" xfId="4063"/>
    <cellStyle name="20% - Accent5 4 2 3 2 3" xfId="4064"/>
    <cellStyle name="20% - Accent5 4 2 3 2 3 2" xfId="4065"/>
    <cellStyle name="20% - Accent5 4 2 3 2 3 3" xfId="4066"/>
    <cellStyle name="20% - Accent5 4 2 3 2 4" xfId="4067"/>
    <cellStyle name="20% - Accent5 4 2 3 2 5" xfId="4068"/>
    <cellStyle name="20% - Accent5 4 2 3 3" xfId="4069"/>
    <cellStyle name="20% - Accent5 4 2 3 3 2" xfId="4070"/>
    <cellStyle name="20% - Accent5 4 2 3 3 2 2" xfId="4071"/>
    <cellStyle name="20% - Accent5 4 2 3 3 2 3" xfId="4072"/>
    <cellStyle name="20% - Accent5 4 2 3 3 3" xfId="4073"/>
    <cellStyle name="20% - Accent5 4 2 3 3 3 2" xfId="4074"/>
    <cellStyle name="20% - Accent5 4 2 3 3 3 3" xfId="4075"/>
    <cellStyle name="20% - Accent5 4 2 3 3 4" xfId="4076"/>
    <cellStyle name="20% - Accent5 4 2 3 3 5" xfId="4077"/>
    <cellStyle name="20% - Accent5 4 2 3 4" xfId="4078"/>
    <cellStyle name="20% - Accent5 4 2 3 4 2" xfId="4079"/>
    <cellStyle name="20% - Accent5 4 2 3 4 3" xfId="4080"/>
    <cellStyle name="20% - Accent5 4 2 3 5" xfId="4081"/>
    <cellStyle name="20% - Accent5 4 2 3 5 2" xfId="4082"/>
    <cellStyle name="20% - Accent5 4 2 3 5 3" xfId="4083"/>
    <cellStyle name="20% - Accent5 4 2 3 6" xfId="4084"/>
    <cellStyle name="20% - Accent5 4 2 3 7" xfId="4085"/>
    <cellStyle name="20% - Accent5 4 2 4" xfId="4086"/>
    <cellStyle name="20% - Accent5 4 2 4 2" xfId="4087"/>
    <cellStyle name="20% - Accent5 4 2 4 2 2" xfId="4088"/>
    <cellStyle name="20% - Accent5 4 2 4 2 3" xfId="4089"/>
    <cellStyle name="20% - Accent5 4 2 4 3" xfId="4090"/>
    <cellStyle name="20% - Accent5 4 2 4 3 2" xfId="4091"/>
    <cellStyle name="20% - Accent5 4 2 4 3 3" xfId="4092"/>
    <cellStyle name="20% - Accent5 4 2 4 4" xfId="4093"/>
    <cellStyle name="20% - Accent5 4 2 4 5" xfId="4094"/>
    <cellStyle name="20% - Accent5 4 2 5" xfId="4095"/>
    <cellStyle name="20% - Accent5 4 2 5 2" xfId="4096"/>
    <cellStyle name="20% - Accent5 4 2 5 2 2" xfId="4097"/>
    <cellStyle name="20% - Accent5 4 2 5 2 3" xfId="4098"/>
    <cellStyle name="20% - Accent5 4 2 5 3" xfId="4099"/>
    <cellStyle name="20% - Accent5 4 2 5 3 2" xfId="4100"/>
    <cellStyle name="20% - Accent5 4 2 5 3 3" xfId="4101"/>
    <cellStyle name="20% - Accent5 4 2 5 4" xfId="4102"/>
    <cellStyle name="20% - Accent5 4 2 5 5" xfId="4103"/>
    <cellStyle name="20% - Accent5 4 2 6" xfId="4104"/>
    <cellStyle name="20% - Accent5 4 2 6 2" xfId="4105"/>
    <cellStyle name="20% - Accent5 4 2 6 3" xfId="4106"/>
    <cellStyle name="20% - Accent5 4 2 7" xfId="4107"/>
    <cellStyle name="20% - Accent5 4 2 7 2" xfId="4108"/>
    <cellStyle name="20% - Accent5 4 2 7 3" xfId="4109"/>
    <cellStyle name="20% - Accent5 4 2 8" xfId="4110"/>
    <cellStyle name="20% - Accent5 4 2 9" xfId="4111"/>
    <cellStyle name="20% - Accent5 4 3" xfId="4112"/>
    <cellStyle name="20% - Accent5 4 3 2" xfId="4113"/>
    <cellStyle name="20% - Accent5 4 3 2 2" xfId="4114"/>
    <cellStyle name="20% - Accent5 4 3 2 2 2" xfId="4115"/>
    <cellStyle name="20% - Accent5 4 3 2 2 2 2" xfId="4116"/>
    <cellStyle name="20% - Accent5 4 3 2 2 2 3" xfId="4117"/>
    <cellStyle name="20% - Accent5 4 3 2 2 3" xfId="4118"/>
    <cellStyle name="20% - Accent5 4 3 2 2 3 2" xfId="4119"/>
    <cellStyle name="20% - Accent5 4 3 2 2 3 3" xfId="4120"/>
    <cellStyle name="20% - Accent5 4 3 2 2 4" xfId="4121"/>
    <cellStyle name="20% - Accent5 4 3 2 2 5" xfId="4122"/>
    <cellStyle name="20% - Accent5 4 3 2 3" xfId="4123"/>
    <cellStyle name="20% - Accent5 4 3 2 3 2" xfId="4124"/>
    <cellStyle name="20% - Accent5 4 3 2 3 2 2" xfId="4125"/>
    <cellStyle name="20% - Accent5 4 3 2 3 2 3" xfId="4126"/>
    <cellStyle name="20% - Accent5 4 3 2 3 3" xfId="4127"/>
    <cellStyle name="20% - Accent5 4 3 2 3 3 2" xfId="4128"/>
    <cellStyle name="20% - Accent5 4 3 2 3 3 3" xfId="4129"/>
    <cellStyle name="20% - Accent5 4 3 2 3 4" xfId="4130"/>
    <cellStyle name="20% - Accent5 4 3 2 3 5" xfId="4131"/>
    <cellStyle name="20% - Accent5 4 3 2 4" xfId="4132"/>
    <cellStyle name="20% - Accent5 4 3 2 4 2" xfId="4133"/>
    <cellStyle name="20% - Accent5 4 3 2 4 3" xfId="4134"/>
    <cellStyle name="20% - Accent5 4 3 2 5" xfId="4135"/>
    <cellStyle name="20% - Accent5 4 3 2 5 2" xfId="4136"/>
    <cellStyle name="20% - Accent5 4 3 2 5 3" xfId="4137"/>
    <cellStyle name="20% - Accent5 4 3 2 6" xfId="4138"/>
    <cellStyle name="20% - Accent5 4 3 2 7" xfId="4139"/>
    <cellStyle name="20% - Accent5 4 3 3" xfId="4140"/>
    <cellStyle name="20% - Accent5 4 3 3 2" xfId="4141"/>
    <cellStyle name="20% - Accent5 4 3 3 2 2" xfId="4142"/>
    <cellStyle name="20% - Accent5 4 3 3 2 2 2" xfId="4143"/>
    <cellStyle name="20% - Accent5 4 3 3 2 2 3" xfId="4144"/>
    <cellStyle name="20% - Accent5 4 3 3 2 3" xfId="4145"/>
    <cellStyle name="20% - Accent5 4 3 3 2 3 2" xfId="4146"/>
    <cellStyle name="20% - Accent5 4 3 3 2 3 3" xfId="4147"/>
    <cellStyle name="20% - Accent5 4 3 3 2 4" xfId="4148"/>
    <cellStyle name="20% - Accent5 4 3 3 2 5" xfId="4149"/>
    <cellStyle name="20% - Accent5 4 3 3 3" xfId="4150"/>
    <cellStyle name="20% - Accent5 4 3 3 3 2" xfId="4151"/>
    <cellStyle name="20% - Accent5 4 3 3 3 2 2" xfId="4152"/>
    <cellStyle name="20% - Accent5 4 3 3 3 2 3" xfId="4153"/>
    <cellStyle name="20% - Accent5 4 3 3 3 3" xfId="4154"/>
    <cellStyle name="20% - Accent5 4 3 3 3 3 2" xfId="4155"/>
    <cellStyle name="20% - Accent5 4 3 3 3 3 3" xfId="4156"/>
    <cellStyle name="20% - Accent5 4 3 3 3 4" xfId="4157"/>
    <cellStyle name="20% - Accent5 4 3 3 3 5" xfId="4158"/>
    <cellStyle name="20% - Accent5 4 3 3 4" xfId="4159"/>
    <cellStyle name="20% - Accent5 4 3 3 4 2" xfId="4160"/>
    <cellStyle name="20% - Accent5 4 3 3 4 3" xfId="4161"/>
    <cellStyle name="20% - Accent5 4 3 3 5" xfId="4162"/>
    <cellStyle name="20% - Accent5 4 3 3 5 2" xfId="4163"/>
    <cellStyle name="20% - Accent5 4 3 3 5 3" xfId="4164"/>
    <cellStyle name="20% - Accent5 4 3 3 6" xfId="4165"/>
    <cellStyle name="20% - Accent5 4 3 3 7" xfId="4166"/>
    <cellStyle name="20% - Accent5 4 3 4" xfId="4167"/>
    <cellStyle name="20% - Accent5 4 3 4 2" xfId="4168"/>
    <cellStyle name="20% - Accent5 4 3 4 2 2" xfId="4169"/>
    <cellStyle name="20% - Accent5 4 3 4 2 3" xfId="4170"/>
    <cellStyle name="20% - Accent5 4 3 4 3" xfId="4171"/>
    <cellStyle name="20% - Accent5 4 3 4 3 2" xfId="4172"/>
    <cellStyle name="20% - Accent5 4 3 4 3 3" xfId="4173"/>
    <cellStyle name="20% - Accent5 4 3 4 4" xfId="4174"/>
    <cellStyle name="20% - Accent5 4 3 4 5" xfId="4175"/>
    <cellStyle name="20% - Accent5 4 3 5" xfId="4176"/>
    <cellStyle name="20% - Accent5 4 3 5 2" xfId="4177"/>
    <cellStyle name="20% - Accent5 4 3 5 2 2" xfId="4178"/>
    <cellStyle name="20% - Accent5 4 3 5 2 3" xfId="4179"/>
    <cellStyle name="20% - Accent5 4 3 5 3" xfId="4180"/>
    <cellStyle name="20% - Accent5 4 3 5 3 2" xfId="4181"/>
    <cellStyle name="20% - Accent5 4 3 5 3 3" xfId="4182"/>
    <cellStyle name="20% - Accent5 4 3 5 4" xfId="4183"/>
    <cellStyle name="20% - Accent5 4 3 5 5" xfId="4184"/>
    <cellStyle name="20% - Accent5 4 3 6" xfId="4185"/>
    <cellStyle name="20% - Accent5 4 3 6 2" xfId="4186"/>
    <cellStyle name="20% - Accent5 4 3 6 3" xfId="4187"/>
    <cellStyle name="20% - Accent5 4 3 7" xfId="4188"/>
    <cellStyle name="20% - Accent5 4 3 7 2" xfId="4189"/>
    <cellStyle name="20% - Accent5 4 3 7 3" xfId="4190"/>
    <cellStyle name="20% - Accent5 4 3 8" xfId="4191"/>
    <cellStyle name="20% - Accent5 4 3 9" xfId="4192"/>
    <cellStyle name="20% - Accent5 4 4" xfId="4193"/>
    <cellStyle name="20% - Accent5 4 4 2" xfId="4194"/>
    <cellStyle name="20% - Accent5 4 4 2 2" xfId="4195"/>
    <cellStyle name="20% - Accent5 4 4 2 2 2" xfId="4196"/>
    <cellStyle name="20% - Accent5 4 4 2 2 3" xfId="4197"/>
    <cellStyle name="20% - Accent5 4 4 2 3" xfId="4198"/>
    <cellStyle name="20% - Accent5 4 4 2 3 2" xfId="4199"/>
    <cellStyle name="20% - Accent5 4 4 2 3 3" xfId="4200"/>
    <cellStyle name="20% - Accent5 4 4 2 4" xfId="4201"/>
    <cellStyle name="20% - Accent5 4 4 2 5" xfId="4202"/>
    <cellStyle name="20% - Accent5 4 4 3" xfId="4203"/>
    <cellStyle name="20% - Accent5 4 4 3 2" xfId="4204"/>
    <cellStyle name="20% - Accent5 4 4 3 2 2" xfId="4205"/>
    <cellStyle name="20% - Accent5 4 4 3 2 3" xfId="4206"/>
    <cellStyle name="20% - Accent5 4 4 3 3" xfId="4207"/>
    <cellStyle name="20% - Accent5 4 4 3 3 2" xfId="4208"/>
    <cellStyle name="20% - Accent5 4 4 3 3 3" xfId="4209"/>
    <cellStyle name="20% - Accent5 4 4 3 4" xfId="4210"/>
    <cellStyle name="20% - Accent5 4 4 3 5" xfId="4211"/>
    <cellStyle name="20% - Accent5 4 4 4" xfId="4212"/>
    <cellStyle name="20% - Accent5 4 4 4 2" xfId="4213"/>
    <cellStyle name="20% - Accent5 4 4 4 3" xfId="4214"/>
    <cellStyle name="20% - Accent5 4 4 5" xfId="4215"/>
    <cellStyle name="20% - Accent5 4 4 5 2" xfId="4216"/>
    <cellStyle name="20% - Accent5 4 4 5 3" xfId="4217"/>
    <cellStyle name="20% - Accent5 4 4 6" xfId="4218"/>
    <cellStyle name="20% - Accent5 4 4 7" xfId="4219"/>
    <cellStyle name="20% - Accent5 4 5" xfId="4220"/>
    <cellStyle name="20% - Accent5 4 5 2" xfId="4221"/>
    <cellStyle name="20% - Accent5 4 5 2 2" xfId="4222"/>
    <cellStyle name="20% - Accent5 4 5 2 2 2" xfId="4223"/>
    <cellStyle name="20% - Accent5 4 5 2 2 3" xfId="4224"/>
    <cellStyle name="20% - Accent5 4 5 2 3" xfId="4225"/>
    <cellStyle name="20% - Accent5 4 5 2 3 2" xfId="4226"/>
    <cellStyle name="20% - Accent5 4 5 2 3 3" xfId="4227"/>
    <cellStyle name="20% - Accent5 4 5 2 4" xfId="4228"/>
    <cellStyle name="20% - Accent5 4 5 2 5" xfId="4229"/>
    <cellStyle name="20% - Accent5 4 5 3" xfId="4230"/>
    <cellStyle name="20% - Accent5 4 5 3 2" xfId="4231"/>
    <cellStyle name="20% - Accent5 4 5 3 2 2" xfId="4232"/>
    <cellStyle name="20% - Accent5 4 5 3 2 3" xfId="4233"/>
    <cellStyle name="20% - Accent5 4 5 3 3" xfId="4234"/>
    <cellStyle name="20% - Accent5 4 5 3 3 2" xfId="4235"/>
    <cellStyle name="20% - Accent5 4 5 3 3 3" xfId="4236"/>
    <cellStyle name="20% - Accent5 4 5 3 4" xfId="4237"/>
    <cellStyle name="20% - Accent5 4 5 3 5" xfId="4238"/>
    <cellStyle name="20% - Accent5 4 5 4" xfId="4239"/>
    <cellStyle name="20% - Accent5 4 5 4 2" xfId="4240"/>
    <cellStyle name="20% - Accent5 4 5 4 3" xfId="4241"/>
    <cellStyle name="20% - Accent5 4 5 5" xfId="4242"/>
    <cellStyle name="20% - Accent5 4 5 5 2" xfId="4243"/>
    <cellStyle name="20% - Accent5 4 5 5 3" xfId="4244"/>
    <cellStyle name="20% - Accent5 4 5 6" xfId="4245"/>
    <cellStyle name="20% - Accent5 4 5 7" xfId="4246"/>
    <cellStyle name="20% - Accent5 4 6" xfId="4247"/>
    <cellStyle name="20% - Accent5 4 6 2" xfId="4248"/>
    <cellStyle name="20% - Accent5 4 6 2 2" xfId="4249"/>
    <cellStyle name="20% - Accent5 4 6 2 3" xfId="4250"/>
    <cellStyle name="20% - Accent5 4 6 3" xfId="4251"/>
    <cellStyle name="20% - Accent5 4 6 3 2" xfId="4252"/>
    <cellStyle name="20% - Accent5 4 6 3 3" xfId="4253"/>
    <cellStyle name="20% - Accent5 4 6 4" xfId="4254"/>
    <cellStyle name="20% - Accent5 4 6 5" xfId="4255"/>
    <cellStyle name="20% - Accent5 4 7" xfId="4256"/>
    <cellStyle name="20% - Accent5 4 7 2" xfId="4257"/>
    <cellStyle name="20% - Accent5 4 7 2 2" xfId="4258"/>
    <cellStyle name="20% - Accent5 4 7 2 3" xfId="4259"/>
    <cellStyle name="20% - Accent5 4 7 3" xfId="4260"/>
    <cellStyle name="20% - Accent5 4 7 3 2" xfId="4261"/>
    <cellStyle name="20% - Accent5 4 7 3 3" xfId="4262"/>
    <cellStyle name="20% - Accent5 4 7 4" xfId="4263"/>
    <cellStyle name="20% - Accent5 4 7 5" xfId="4264"/>
    <cellStyle name="20% - Accent5 4 8" xfId="4265"/>
    <cellStyle name="20% - Accent5 4 8 2" xfId="4266"/>
    <cellStyle name="20% - Accent5 4 8 3" xfId="4267"/>
    <cellStyle name="20% - Accent5 4 9" xfId="4268"/>
    <cellStyle name="20% - Accent5 4 9 2" xfId="4269"/>
    <cellStyle name="20% - Accent5 4 9 3" xfId="4270"/>
    <cellStyle name="20% - Accent5 5" xfId="4271"/>
    <cellStyle name="20% - Accent5 5 10" xfId="42947"/>
    <cellStyle name="20% - Accent5 5 2" xfId="4272"/>
    <cellStyle name="20% - Accent5 5 2 2" xfId="4273"/>
    <cellStyle name="20% - Accent5 5 2 2 2" xfId="4274"/>
    <cellStyle name="20% - Accent5 5 2 2 2 2" xfId="4275"/>
    <cellStyle name="20% - Accent5 5 2 2 2 3" xfId="4276"/>
    <cellStyle name="20% - Accent5 5 2 2 3" xfId="4277"/>
    <cellStyle name="20% - Accent5 5 2 2 3 2" xfId="4278"/>
    <cellStyle name="20% - Accent5 5 2 2 3 3" xfId="4279"/>
    <cellStyle name="20% - Accent5 5 2 2 4" xfId="4280"/>
    <cellStyle name="20% - Accent5 5 2 2 5" xfId="4281"/>
    <cellStyle name="20% - Accent5 5 2 3" xfId="4282"/>
    <cellStyle name="20% - Accent5 5 2 3 2" xfId="4283"/>
    <cellStyle name="20% - Accent5 5 2 3 2 2" xfId="4284"/>
    <cellStyle name="20% - Accent5 5 2 3 2 3" xfId="4285"/>
    <cellStyle name="20% - Accent5 5 2 3 3" xfId="4286"/>
    <cellStyle name="20% - Accent5 5 2 3 3 2" xfId="4287"/>
    <cellStyle name="20% - Accent5 5 2 3 3 3" xfId="4288"/>
    <cellStyle name="20% - Accent5 5 2 3 4" xfId="4289"/>
    <cellStyle name="20% - Accent5 5 2 3 5" xfId="4290"/>
    <cellStyle name="20% - Accent5 5 2 4" xfId="4291"/>
    <cellStyle name="20% - Accent5 5 2 4 2" xfId="4292"/>
    <cellStyle name="20% - Accent5 5 2 4 3" xfId="4293"/>
    <cellStyle name="20% - Accent5 5 2 5" xfId="4294"/>
    <cellStyle name="20% - Accent5 5 2 5 2" xfId="4295"/>
    <cellStyle name="20% - Accent5 5 2 5 3" xfId="4296"/>
    <cellStyle name="20% - Accent5 5 2 6" xfId="4297"/>
    <cellStyle name="20% - Accent5 5 2 7" xfId="4298"/>
    <cellStyle name="20% - Accent5 5 3" xfId="4299"/>
    <cellStyle name="20% - Accent5 5 3 2" xfId="4300"/>
    <cellStyle name="20% - Accent5 5 3 2 2" xfId="4301"/>
    <cellStyle name="20% - Accent5 5 3 2 2 2" xfId="4302"/>
    <cellStyle name="20% - Accent5 5 3 2 2 3" xfId="4303"/>
    <cellStyle name="20% - Accent5 5 3 2 3" xfId="4304"/>
    <cellStyle name="20% - Accent5 5 3 2 3 2" xfId="4305"/>
    <cellStyle name="20% - Accent5 5 3 2 3 3" xfId="4306"/>
    <cellStyle name="20% - Accent5 5 3 2 4" xfId="4307"/>
    <cellStyle name="20% - Accent5 5 3 2 5" xfId="4308"/>
    <cellStyle name="20% - Accent5 5 3 3" xfId="4309"/>
    <cellStyle name="20% - Accent5 5 3 3 2" xfId="4310"/>
    <cellStyle name="20% - Accent5 5 3 3 2 2" xfId="4311"/>
    <cellStyle name="20% - Accent5 5 3 3 2 3" xfId="4312"/>
    <cellStyle name="20% - Accent5 5 3 3 3" xfId="4313"/>
    <cellStyle name="20% - Accent5 5 3 3 3 2" xfId="4314"/>
    <cellStyle name="20% - Accent5 5 3 3 3 3" xfId="4315"/>
    <cellStyle name="20% - Accent5 5 3 3 4" xfId="4316"/>
    <cellStyle name="20% - Accent5 5 3 3 5" xfId="4317"/>
    <cellStyle name="20% - Accent5 5 3 4" xfId="4318"/>
    <cellStyle name="20% - Accent5 5 3 4 2" xfId="4319"/>
    <cellStyle name="20% - Accent5 5 3 4 3" xfId="4320"/>
    <cellStyle name="20% - Accent5 5 3 5" xfId="4321"/>
    <cellStyle name="20% - Accent5 5 3 5 2" xfId="4322"/>
    <cellStyle name="20% - Accent5 5 3 5 3" xfId="4323"/>
    <cellStyle name="20% - Accent5 5 3 6" xfId="4324"/>
    <cellStyle name="20% - Accent5 5 3 7" xfId="4325"/>
    <cellStyle name="20% - Accent5 5 4" xfId="4326"/>
    <cellStyle name="20% - Accent5 5 4 2" xfId="4327"/>
    <cellStyle name="20% - Accent5 5 4 2 2" xfId="4328"/>
    <cellStyle name="20% - Accent5 5 4 2 3" xfId="4329"/>
    <cellStyle name="20% - Accent5 5 4 3" xfId="4330"/>
    <cellStyle name="20% - Accent5 5 4 3 2" xfId="4331"/>
    <cellStyle name="20% - Accent5 5 4 3 3" xfId="4332"/>
    <cellStyle name="20% - Accent5 5 4 4" xfId="4333"/>
    <cellStyle name="20% - Accent5 5 4 5" xfId="4334"/>
    <cellStyle name="20% - Accent5 5 5" xfId="4335"/>
    <cellStyle name="20% - Accent5 5 5 2" xfId="4336"/>
    <cellStyle name="20% - Accent5 5 5 2 2" xfId="4337"/>
    <cellStyle name="20% - Accent5 5 5 2 3" xfId="4338"/>
    <cellStyle name="20% - Accent5 5 5 3" xfId="4339"/>
    <cellStyle name="20% - Accent5 5 5 3 2" xfId="4340"/>
    <cellStyle name="20% - Accent5 5 5 3 3" xfId="4341"/>
    <cellStyle name="20% - Accent5 5 5 4" xfId="4342"/>
    <cellStyle name="20% - Accent5 5 5 5" xfId="4343"/>
    <cellStyle name="20% - Accent5 5 6" xfId="4344"/>
    <cellStyle name="20% - Accent5 5 6 2" xfId="4345"/>
    <cellStyle name="20% - Accent5 5 6 3" xfId="4346"/>
    <cellStyle name="20% - Accent5 5 7" xfId="4347"/>
    <cellStyle name="20% - Accent5 5 7 2" xfId="4348"/>
    <cellStyle name="20% - Accent5 5 7 3" xfId="4349"/>
    <cellStyle name="20% - Accent5 5 8" xfId="4350"/>
    <cellStyle name="20% - Accent5 5 9" xfId="4351"/>
    <cellStyle name="20% - Accent5 6" xfId="4352"/>
    <cellStyle name="20% - Accent5 6 2" xfId="4353"/>
    <cellStyle name="20% - Accent5 6 3" xfId="4354"/>
    <cellStyle name="20% - Accent5 7" xfId="4355"/>
    <cellStyle name="20% - Accent5 7 2" xfId="4356"/>
    <cellStyle name="20% - Accent5 7 3" xfId="4357"/>
    <cellStyle name="20% - Accent5 8" xfId="4358"/>
    <cellStyle name="20% - Accent5 8 2" xfId="4359"/>
    <cellStyle name="20% - Accent5 8 3" xfId="4360"/>
    <cellStyle name="20% - Accent5 9" xfId="4361"/>
    <cellStyle name="20% - Accent5 9 2" xfId="4362"/>
    <cellStyle name="20% - Accent5 9 3" xfId="4363"/>
    <cellStyle name="20% - Accent6" xfId="42846" builtinId="50" customBuiltin="1"/>
    <cellStyle name="20% - Accent6 10" xfId="4364"/>
    <cellStyle name="20% - Accent6 10 2" xfId="4365"/>
    <cellStyle name="20% - Accent6 10 3" xfId="4366"/>
    <cellStyle name="20% - Accent6 11" xfId="4367"/>
    <cellStyle name="20% - Accent6 11 2" xfId="4368"/>
    <cellStyle name="20% - Accent6 11 3" xfId="4369"/>
    <cellStyle name="20% - Accent6 12" xfId="4370"/>
    <cellStyle name="20% - Accent6 2" xfId="4371"/>
    <cellStyle name="20% - Accent6 2 10" xfId="43135"/>
    <cellStyle name="20% - Accent6 2 2" xfId="4372"/>
    <cellStyle name="20% - Accent6 2 2 2" xfId="4373"/>
    <cellStyle name="20% - Accent6 2 2_FCC Filings With Webster 2012" xfId="4374"/>
    <cellStyle name="20% - Accent6 2 3" xfId="4375"/>
    <cellStyle name="20% - Accent6 2 3 2" xfId="4376"/>
    <cellStyle name="20% - Accent6 2 4" xfId="4377"/>
    <cellStyle name="20% - Accent6 2 5" xfId="4378"/>
    <cellStyle name="20% - Accent6 2 5 2" xfId="4379"/>
    <cellStyle name="20% - Accent6 2 5 3" xfId="4380"/>
    <cellStyle name="20% - Accent6 2 6" xfId="42986"/>
    <cellStyle name="20% - Accent6 2 7" xfId="43123"/>
    <cellStyle name="20% - Accent6 2 8" xfId="43169"/>
    <cellStyle name="20% - Accent6 2 9" xfId="42972"/>
    <cellStyle name="20% - Accent6 2_Dashboard - Inventory Metrics Aug 2012" xfId="4381"/>
    <cellStyle name="20% - Accent6 3" xfId="4382"/>
    <cellStyle name="20% - Accent6 3 2" xfId="4383"/>
    <cellStyle name="20% - Accent6 3 3" xfId="42915"/>
    <cellStyle name="20% - Accent6 3 4" xfId="42985"/>
    <cellStyle name="20% - Accent6 4" xfId="4384"/>
    <cellStyle name="20% - Accent6 4 10" xfId="4385"/>
    <cellStyle name="20% - Accent6 4 11" xfId="4386"/>
    <cellStyle name="20% - Accent6 4 12" xfId="42933"/>
    <cellStyle name="20% - Accent6 4 2" xfId="4387"/>
    <cellStyle name="20% - Accent6 4 2 2" xfId="4388"/>
    <cellStyle name="20% - Accent6 4 2 2 2" xfId="4389"/>
    <cellStyle name="20% - Accent6 4 2 2 2 2" xfId="4390"/>
    <cellStyle name="20% - Accent6 4 2 2 2 2 2" xfId="4391"/>
    <cellStyle name="20% - Accent6 4 2 2 2 2 3" xfId="4392"/>
    <cellStyle name="20% - Accent6 4 2 2 2 3" xfId="4393"/>
    <cellStyle name="20% - Accent6 4 2 2 2 3 2" xfId="4394"/>
    <cellStyle name="20% - Accent6 4 2 2 2 3 3" xfId="4395"/>
    <cellStyle name="20% - Accent6 4 2 2 2 4" xfId="4396"/>
    <cellStyle name="20% - Accent6 4 2 2 2 5" xfId="4397"/>
    <cellStyle name="20% - Accent6 4 2 2 3" xfId="4398"/>
    <cellStyle name="20% - Accent6 4 2 2 3 2" xfId="4399"/>
    <cellStyle name="20% - Accent6 4 2 2 3 2 2" xfId="4400"/>
    <cellStyle name="20% - Accent6 4 2 2 3 2 3" xfId="4401"/>
    <cellStyle name="20% - Accent6 4 2 2 3 3" xfId="4402"/>
    <cellStyle name="20% - Accent6 4 2 2 3 3 2" xfId="4403"/>
    <cellStyle name="20% - Accent6 4 2 2 3 3 3" xfId="4404"/>
    <cellStyle name="20% - Accent6 4 2 2 3 4" xfId="4405"/>
    <cellStyle name="20% - Accent6 4 2 2 3 5" xfId="4406"/>
    <cellStyle name="20% - Accent6 4 2 2 4" xfId="4407"/>
    <cellStyle name="20% - Accent6 4 2 2 4 2" xfId="4408"/>
    <cellStyle name="20% - Accent6 4 2 2 4 3" xfId="4409"/>
    <cellStyle name="20% - Accent6 4 2 2 5" xfId="4410"/>
    <cellStyle name="20% - Accent6 4 2 2 5 2" xfId="4411"/>
    <cellStyle name="20% - Accent6 4 2 2 5 3" xfId="4412"/>
    <cellStyle name="20% - Accent6 4 2 2 6" xfId="4413"/>
    <cellStyle name="20% - Accent6 4 2 2 7" xfId="4414"/>
    <cellStyle name="20% - Accent6 4 2 3" xfId="4415"/>
    <cellStyle name="20% - Accent6 4 2 3 2" xfId="4416"/>
    <cellStyle name="20% - Accent6 4 2 3 2 2" xfId="4417"/>
    <cellStyle name="20% - Accent6 4 2 3 2 2 2" xfId="4418"/>
    <cellStyle name="20% - Accent6 4 2 3 2 2 3" xfId="4419"/>
    <cellStyle name="20% - Accent6 4 2 3 2 3" xfId="4420"/>
    <cellStyle name="20% - Accent6 4 2 3 2 3 2" xfId="4421"/>
    <cellStyle name="20% - Accent6 4 2 3 2 3 3" xfId="4422"/>
    <cellStyle name="20% - Accent6 4 2 3 2 4" xfId="4423"/>
    <cellStyle name="20% - Accent6 4 2 3 2 5" xfId="4424"/>
    <cellStyle name="20% - Accent6 4 2 3 3" xfId="4425"/>
    <cellStyle name="20% - Accent6 4 2 3 3 2" xfId="4426"/>
    <cellStyle name="20% - Accent6 4 2 3 3 2 2" xfId="4427"/>
    <cellStyle name="20% - Accent6 4 2 3 3 2 3" xfId="4428"/>
    <cellStyle name="20% - Accent6 4 2 3 3 3" xfId="4429"/>
    <cellStyle name="20% - Accent6 4 2 3 3 3 2" xfId="4430"/>
    <cellStyle name="20% - Accent6 4 2 3 3 3 3" xfId="4431"/>
    <cellStyle name="20% - Accent6 4 2 3 3 4" xfId="4432"/>
    <cellStyle name="20% - Accent6 4 2 3 3 5" xfId="4433"/>
    <cellStyle name="20% - Accent6 4 2 3 4" xfId="4434"/>
    <cellStyle name="20% - Accent6 4 2 3 4 2" xfId="4435"/>
    <cellStyle name="20% - Accent6 4 2 3 4 3" xfId="4436"/>
    <cellStyle name="20% - Accent6 4 2 3 5" xfId="4437"/>
    <cellStyle name="20% - Accent6 4 2 3 5 2" xfId="4438"/>
    <cellStyle name="20% - Accent6 4 2 3 5 3" xfId="4439"/>
    <cellStyle name="20% - Accent6 4 2 3 6" xfId="4440"/>
    <cellStyle name="20% - Accent6 4 2 3 7" xfId="4441"/>
    <cellStyle name="20% - Accent6 4 2 4" xfId="4442"/>
    <cellStyle name="20% - Accent6 4 2 4 2" xfId="4443"/>
    <cellStyle name="20% - Accent6 4 2 4 2 2" xfId="4444"/>
    <cellStyle name="20% - Accent6 4 2 4 2 3" xfId="4445"/>
    <cellStyle name="20% - Accent6 4 2 4 3" xfId="4446"/>
    <cellStyle name="20% - Accent6 4 2 4 3 2" xfId="4447"/>
    <cellStyle name="20% - Accent6 4 2 4 3 3" xfId="4448"/>
    <cellStyle name="20% - Accent6 4 2 4 4" xfId="4449"/>
    <cellStyle name="20% - Accent6 4 2 4 5" xfId="4450"/>
    <cellStyle name="20% - Accent6 4 2 5" xfId="4451"/>
    <cellStyle name="20% - Accent6 4 2 5 2" xfId="4452"/>
    <cellStyle name="20% - Accent6 4 2 5 2 2" xfId="4453"/>
    <cellStyle name="20% - Accent6 4 2 5 2 3" xfId="4454"/>
    <cellStyle name="20% - Accent6 4 2 5 3" xfId="4455"/>
    <cellStyle name="20% - Accent6 4 2 5 3 2" xfId="4456"/>
    <cellStyle name="20% - Accent6 4 2 5 3 3" xfId="4457"/>
    <cellStyle name="20% - Accent6 4 2 5 4" xfId="4458"/>
    <cellStyle name="20% - Accent6 4 2 5 5" xfId="4459"/>
    <cellStyle name="20% - Accent6 4 2 6" xfId="4460"/>
    <cellStyle name="20% - Accent6 4 2 6 2" xfId="4461"/>
    <cellStyle name="20% - Accent6 4 2 6 3" xfId="4462"/>
    <cellStyle name="20% - Accent6 4 2 7" xfId="4463"/>
    <cellStyle name="20% - Accent6 4 2 7 2" xfId="4464"/>
    <cellStyle name="20% - Accent6 4 2 7 3" xfId="4465"/>
    <cellStyle name="20% - Accent6 4 2 8" xfId="4466"/>
    <cellStyle name="20% - Accent6 4 2 9" xfId="4467"/>
    <cellStyle name="20% - Accent6 4 3" xfId="4468"/>
    <cellStyle name="20% - Accent6 4 3 2" xfId="4469"/>
    <cellStyle name="20% - Accent6 4 3 2 2" xfId="4470"/>
    <cellStyle name="20% - Accent6 4 3 2 2 2" xfId="4471"/>
    <cellStyle name="20% - Accent6 4 3 2 2 2 2" xfId="4472"/>
    <cellStyle name="20% - Accent6 4 3 2 2 2 3" xfId="4473"/>
    <cellStyle name="20% - Accent6 4 3 2 2 3" xfId="4474"/>
    <cellStyle name="20% - Accent6 4 3 2 2 3 2" xfId="4475"/>
    <cellStyle name="20% - Accent6 4 3 2 2 3 3" xfId="4476"/>
    <cellStyle name="20% - Accent6 4 3 2 2 4" xfId="4477"/>
    <cellStyle name="20% - Accent6 4 3 2 2 5" xfId="4478"/>
    <cellStyle name="20% - Accent6 4 3 2 3" xfId="4479"/>
    <cellStyle name="20% - Accent6 4 3 2 3 2" xfId="4480"/>
    <cellStyle name="20% - Accent6 4 3 2 3 2 2" xfId="4481"/>
    <cellStyle name="20% - Accent6 4 3 2 3 2 3" xfId="4482"/>
    <cellStyle name="20% - Accent6 4 3 2 3 3" xfId="4483"/>
    <cellStyle name="20% - Accent6 4 3 2 3 3 2" xfId="4484"/>
    <cellStyle name="20% - Accent6 4 3 2 3 3 3" xfId="4485"/>
    <cellStyle name="20% - Accent6 4 3 2 3 4" xfId="4486"/>
    <cellStyle name="20% - Accent6 4 3 2 3 5" xfId="4487"/>
    <cellStyle name="20% - Accent6 4 3 2 4" xfId="4488"/>
    <cellStyle name="20% - Accent6 4 3 2 4 2" xfId="4489"/>
    <cellStyle name="20% - Accent6 4 3 2 4 3" xfId="4490"/>
    <cellStyle name="20% - Accent6 4 3 2 5" xfId="4491"/>
    <cellStyle name="20% - Accent6 4 3 2 5 2" xfId="4492"/>
    <cellStyle name="20% - Accent6 4 3 2 5 3" xfId="4493"/>
    <cellStyle name="20% - Accent6 4 3 2 6" xfId="4494"/>
    <cellStyle name="20% - Accent6 4 3 2 7" xfId="4495"/>
    <cellStyle name="20% - Accent6 4 3 3" xfId="4496"/>
    <cellStyle name="20% - Accent6 4 3 3 2" xfId="4497"/>
    <cellStyle name="20% - Accent6 4 3 3 2 2" xfId="4498"/>
    <cellStyle name="20% - Accent6 4 3 3 2 2 2" xfId="4499"/>
    <cellStyle name="20% - Accent6 4 3 3 2 2 3" xfId="4500"/>
    <cellStyle name="20% - Accent6 4 3 3 2 3" xfId="4501"/>
    <cellStyle name="20% - Accent6 4 3 3 2 3 2" xfId="4502"/>
    <cellStyle name="20% - Accent6 4 3 3 2 3 3" xfId="4503"/>
    <cellStyle name="20% - Accent6 4 3 3 2 4" xfId="4504"/>
    <cellStyle name="20% - Accent6 4 3 3 2 5" xfId="4505"/>
    <cellStyle name="20% - Accent6 4 3 3 3" xfId="4506"/>
    <cellStyle name="20% - Accent6 4 3 3 3 2" xfId="4507"/>
    <cellStyle name="20% - Accent6 4 3 3 3 2 2" xfId="4508"/>
    <cellStyle name="20% - Accent6 4 3 3 3 2 3" xfId="4509"/>
    <cellStyle name="20% - Accent6 4 3 3 3 3" xfId="4510"/>
    <cellStyle name="20% - Accent6 4 3 3 3 3 2" xfId="4511"/>
    <cellStyle name="20% - Accent6 4 3 3 3 3 3" xfId="4512"/>
    <cellStyle name="20% - Accent6 4 3 3 3 4" xfId="4513"/>
    <cellStyle name="20% - Accent6 4 3 3 3 5" xfId="4514"/>
    <cellStyle name="20% - Accent6 4 3 3 4" xfId="4515"/>
    <cellStyle name="20% - Accent6 4 3 3 4 2" xfId="4516"/>
    <cellStyle name="20% - Accent6 4 3 3 4 3" xfId="4517"/>
    <cellStyle name="20% - Accent6 4 3 3 5" xfId="4518"/>
    <cellStyle name="20% - Accent6 4 3 3 5 2" xfId="4519"/>
    <cellStyle name="20% - Accent6 4 3 3 5 3" xfId="4520"/>
    <cellStyle name="20% - Accent6 4 3 3 6" xfId="4521"/>
    <cellStyle name="20% - Accent6 4 3 3 7" xfId="4522"/>
    <cellStyle name="20% - Accent6 4 3 4" xfId="4523"/>
    <cellStyle name="20% - Accent6 4 3 4 2" xfId="4524"/>
    <cellStyle name="20% - Accent6 4 3 4 2 2" xfId="4525"/>
    <cellStyle name="20% - Accent6 4 3 4 2 3" xfId="4526"/>
    <cellStyle name="20% - Accent6 4 3 4 3" xfId="4527"/>
    <cellStyle name="20% - Accent6 4 3 4 3 2" xfId="4528"/>
    <cellStyle name="20% - Accent6 4 3 4 3 3" xfId="4529"/>
    <cellStyle name="20% - Accent6 4 3 4 4" xfId="4530"/>
    <cellStyle name="20% - Accent6 4 3 4 5" xfId="4531"/>
    <cellStyle name="20% - Accent6 4 3 5" xfId="4532"/>
    <cellStyle name="20% - Accent6 4 3 5 2" xfId="4533"/>
    <cellStyle name="20% - Accent6 4 3 5 2 2" xfId="4534"/>
    <cellStyle name="20% - Accent6 4 3 5 2 3" xfId="4535"/>
    <cellStyle name="20% - Accent6 4 3 5 3" xfId="4536"/>
    <cellStyle name="20% - Accent6 4 3 5 3 2" xfId="4537"/>
    <cellStyle name="20% - Accent6 4 3 5 3 3" xfId="4538"/>
    <cellStyle name="20% - Accent6 4 3 5 4" xfId="4539"/>
    <cellStyle name="20% - Accent6 4 3 5 5" xfId="4540"/>
    <cellStyle name="20% - Accent6 4 3 6" xfId="4541"/>
    <cellStyle name="20% - Accent6 4 3 6 2" xfId="4542"/>
    <cellStyle name="20% - Accent6 4 3 6 3" xfId="4543"/>
    <cellStyle name="20% - Accent6 4 3 7" xfId="4544"/>
    <cellStyle name="20% - Accent6 4 3 7 2" xfId="4545"/>
    <cellStyle name="20% - Accent6 4 3 7 3" xfId="4546"/>
    <cellStyle name="20% - Accent6 4 3 8" xfId="4547"/>
    <cellStyle name="20% - Accent6 4 3 9" xfId="4548"/>
    <cellStyle name="20% - Accent6 4 4" xfId="4549"/>
    <cellStyle name="20% - Accent6 4 4 2" xfId="4550"/>
    <cellStyle name="20% - Accent6 4 4 2 2" xfId="4551"/>
    <cellStyle name="20% - Accent6 4 4 2 2 2" xfId="4552"/>
    <cellStyle name="20% - Accent6 4 4 2 2 3" xfId="4553"/>
    <cellStyle name="20% - Accent6 4 4 2 3" xfId="4554"/>
    <cellStyle name="20% - Accent6 4 4 2 3 2" xfId="4555"/>
    <cellStyle name="20% - Accent6 4 4 2 3 3" xfId="4556"/>
    <cellStyle name="20% - Accent6 4 4 2 4" xfId="4557"/>
    <cellStyle name="20% - Accent6 4 4 2 5" xfId="4558"/>
    <cellStyle name="20% - Accent6 4 4 3" xfId="4559"/>
    <cellStyle name="20% - Accent6 4 4 3 2" xfId="4560"/>
    <cellStyle name="20% - Accent6 4 4 3 2 2" xfId="4561"/>
    <cellStyle name="20% - Accent6 4 4 3 2 3" xfId="4562"/>
    <cellStyle name="20% - Accent6 4 4 3 3" xfId="4563"/>
    <cellStyle name="20% - Accent6 4 4 3 3 2" xfId="4564"/>
    <cellStyle name="20% - Accent6 4 4 3 3 3" xfId="4565"/>
    <cellStyle name="20% - Accent6 4 4 3 4" xfId="4566"/>
    <cellStyle name="20% - Accent6 4 4 3 5" xfId="4567"/>
    <cellStyle name="20% - Accent6 4 4 4" xfId="4568"/>
    <cellStyle name="20% - Accent6 4 4 4 2" xfId="4569"/>
    <cellStyle name="20% - Accent6 4 4 4 3" xfId="4570"/>
    <cellStyle name="20% - Accent6 4 4 5" xfId="4571"/>
    <cellStyle name="20% - Accent6 4 4 5 2" xfId="4572"/>
    <cellStyle name="20% - Accent6 4 4 5 3" xfId="4573"/>
    <cellStyle name="20% - Accent6 4 4 6" xfId="4574"/>
    <cellStyle name="20% - Accent6 4 4 7" xfId="4575"/>
    <cellStyle name="20% - Accent6 4 5" xfId="4576"/>
    <cellStyle name="20% - Accent6 4 5 2" xfId="4577"/>
    <cellStyle name="20% - Accent6 4 5 2 2" xfId="4578"/>
    <cellStyle name="20% - Accent6 4 5 2 2 2" xfId="4579"/>
    <cellStyle name="20% - Accent6 4 5 2 2 3" xfId="4580"/>
    <cellStyle name="20% - Accent6 4 5 2 3" xfId="4581"/>
    <cellStyle name="20% - Accent6 4 5 2 3 2" xfId="4582"/>
    <cellStyle name="20% - Accent6 4 5 2 3 3" xfId="4583"/>
    <cellStyle name="20% - Accent6 4 5 2 4" xfId="4584"/>
    <cellStyle name="20% - Accent6 4 5 2 5" xfId="4585"/>
    <cellStyle name="20% - Accent6 4 5 3" xfId="4586"/>
    <cellStyle name="20% - Accent6 4 5 3 2" xfId="4587"/>
    <cellStyle name="20% - Accent6 4 5 3 2 2" xfId="4588"/>
    <cellStyle name="20% - Accent6 4 5 3 2 3" xfId="4589"/>
    <cellStyle name="20% - Accent6 4 5 3 3" xfId="4590"/>
    <cellStyle name="20% - Accent6 4 5 3 3 2" xfId="4591"/>
    <cellStyle name="20% - Accent6 4 5 3 3 3" xfId="4592"/>
    <cellStyle name="20% - Accent6 4 5 3 4" xfId="4593"/>
    <cellStyle name="20% - Accent6 4 5 3 5" xfId="4594"/>
    <cellStyle name="20% - Accent6 4 5 4" xfId="4595"/>
    <cellStyle name="20% - Accent6 4 5 4 2" xfId="4596"/>
    <cellStyle name="20% - Accent6 4 5 4 3" xfId="4597"/>
    <cellStyle name="20% - Accent6 4 5 5" xfId="4598"/>
    <cellStyle name="20% - Accent6 4 5 5 2" xfId="4599"/>
    <cellStyle name="20% - Accent6 4 5 5 3" xfId="4600"/>
    <cellStyle name="20% - Accent6 4 5 6" xfId="4601"/>
    <cellStyle name="20% - Accent6 4 5 7" xfId="4602"/>
    <cellStyle name="20% - Accent6 4 6" xfId="4603"/>
    <cellStyle name="20% - Accent6 4 6 2" xfId="4604"/>
    <cellStyle name="20% - Accent6 4 6 2 2" xfId="4605"/>
    <cellStyle name="20% - Accent6 4 6 2 3" xfId="4606"/>
    <cellStyle name="20% - Accent6 4 6 3" xfId="4607"/>
    <cellStyle name="20% - Accent6 4 6 3 2" xfId="4608"/>
    <cellStyle name="20% - Accent6 4 6 3 3" xfId="4609"/>
    <cellStyle name="20% - Accent6 4 6 4" xfId="4610"/>
    <cellStyle name="20% - Accent6 4 6 5" xfId="4611"/>
    <cellStyle name="20% - Accent6 4 7" xfId="4612"/>
    <cellStyle name="20% - Accent6 4 7 2" xfId="4613"/>
    <cellStyle name="20% - Accent6 4 7 2 2" xfId="4614"/>
    <cellStyle name="20% - Accent6 4 7 2 3" xfId="4615"/>
    <cellStyle name="20% - Accent6 4 7 3" xfId="4616"/>
    <cellStyle name="20% - Accent6 4 7 3 2" xfId="4617"/>
    <cellStyle name="20% - Accent6 4 7 3 3" xfId="4618"/>
    <cellStyle name="20% - Accent6 4 7 4" xfId="4619"/>
    <cellStyle name="20% - Accent6 4 7 5" xfId="4620"/>
    <cellStyle name="20% - Accent6 4 8" xfId="4621"/>
    <cellStyle name="20% - Accent6 4 8 2" xfId="4622"/>
    <cellStyle name="20% - Accent6 4 8 3" xfId="4623"/>
    <cellStyle name="20% - Accent6 4 9" xfId="4624"/>
    <cellStyle name="20% - Accent6 4 9 2" xfId="4625"/>
    <cellStyle name="20% - Accent6 4 9 3" xfId="4626"/>
    <cellStyle name="20% - Accent6 4_Sheet8" xfId="4627"/>
    <cellStyle name="20% - Accent6 5" xfId="4628"/>
    <cellStyle name="20% - Accent6 5 2" xfId="4629"/>
    <cellStyle name="20% - Accent6 5 2 2" xfId="4630"/>
    <cellStyle name="20% - Accent6 5 2 3" xfId="4631"/>
    <cellStyle name="20% - Accent6 5 3" xfId="4632"/>
    <cellStyle name="20% - Accent6 5 4" xfId="4633"/>
    <cellStyle name="20% - Accent6 5 5" xfId="42949"/>
    <cellStyle name="20% - Accent6 6" xfId="4634"/>
    <cellStyle name="20% - Accent6 6 2" xfId="4635"/>
    <cellStyle name="20% - Accent6 6 3" xfId="4636"/>
    <cellStyle name="20% - Accent6 7" xfId="4637"/>
    <cellStyle name="20% - Accent6 7 2" xfId="4638"/>
    <cellStyle name="20% - Accent6 7 3" xfId="4639"/>
    <cellStyle name="20% - Accent6 8" xfId="4640"/>
    <cellStyle name="20% - Accent6 8 2" xfId="4641"/>
    <cellStyle name="20% - Accent6 8 3" xfId="4642"/>
    <cellStyle name="20% - Accent6 9" xfId="4643"/>
    <cellStyle name="20% - Accent6 9 2" xfId="4644"/>
    <cellStyle name="20% - Accent6 9 3" xfId="4645"/>
    <cellStyle name="40% - Accent1" xfId="42827" builtinId="31" customBuiltin="1"/>
    <cellStyle name="40% - Accent1 10" xfId="4646"/>
    <cellStyle name="40% - Accent1 10 2" xfId="4647"/>
    <cellStyle name="40% - Accent1 10 3" xfId="4648"/>
    <cellStyle name="40% - Accent1 11" xfId="4649"/>
    <cellStyle name="40% - Accent1 11 2" xfId="4650"/>
    <cellStyle name="40% - Accent1 11 3" xfId="4651"/>
    <cellStyle name="40% - Accent1 12" xfId="4652"/>
    <cellStyle name="40% - Accent1 2" xfId="4653"/>
    <cellStyle name="40% - Accent1 2 10" xfId="43152"/>
    <cellStyle name="40% - Accent1 2 2" xfId="4654"/>
    <cellStyle name="40% - Accent1 2 2 2" xfId="4655"/>
    <cellStyle name="40% - Accent1 2 2_FCC Filings With Webster 2012" xfId="4656"/>
    <cellStyle name="40% - Accent1 2 3" xfId="4657"/>
    <cellStyle name="40% - Accent1 2 3 2" xfId="4658"/>
    <cellStyle name="40% - Accent1 2 4" xfId="4659"/>
    <cellStyle name="40% - Accent1 2 5" xfId="4660"/>
    <cellStyle name="40% - Accent1 2 5 2" xfId="4661"/>
    <cellStyle name="40% - Accent1 2 5 3" xfId="4662"/>
    <cellStyle name="40% - Accent1 2 6" xfId="42988"/>
    <cellStyle name="40% - Accent1 2 7" xfId="43119"/>
    <cellStyle name="40% - Accent1 2 8" xfId="43168"/>
    <cellStyle name="40% - Accent1 2 9" xfId="43098"/>
    <cellStyle name="40% - Accent1 2_Dashboard - Inventory Metrics Aug 2012" xfId="4663"/>
    <cellStyle name="40% - Accent1 3" xfId="4664"/>
    <cellStyle name="40% - Accent1 3 2" xfId="4665"/>
    <cellStyle name="40% - Accent1 3 3" xfId="42906"/>
    <cellStyle name="40% - Accent1 3 4" xfId="42987"/>
    <cellStyle name="40% - Accent1 4" xfId="4666"/>
    <cellStyle name="40% - Accent1 4 10" xfId="4667"/>
    <cellStyle name="40% - Accent1 4 11" xfId="4668"/>
    <cellStyle name="40% - Accent1 4 12" xfId="42924"/>
    <cellStyle name="40% - Accent1 4 2" xfId="4669"/>
    <cellStyle name="40% - Accent1 4 2 2" xfId="4670"/>
    <cellStyle name="40% - Accent1 4 2 2 2" xfId="4671"/>
    <cellStyle name="40% - Accent1 4 2 2 2 2" xfId="4672"/>
    <cellStyle name="40% - Accent1 4 2 2 2 2 2" xfId="4673"/>
    <cellStyle name="40% - Accent1 4 2 2 2 2 3" xfId="4674"/>
    <cellStyle name="40% - Accent1 4 2 2 2 3" xfId="4675"/>
    <cellStyle name="40% - Accent1 4 2 2 2 3 2" xfId="4676"/>
    <cellStyle name="40% - Accent1 4 2 2 2 3 3" xfId="4677"/>
    <cellStyle name="40% - Accent1 4 2 2 2 4" xfId="4678"/>
    <cellStyle name="40% - Accent1 4 2 2 2 5" xfId="4679"/>
    <cellStyle name="40% - Accent1 4 2 2 3" xfId="4680"/>
    <cellStyle name="40% - Accent1 4 2 2 3 2" xfId="4681"/>
    <cellStyle name="40% - Accent1 4 2 2 3 2 2" xfId="4682"/>
    <cellStyle name="40% - Accent1 4 2 2 3 2 3" xfId="4683"/>
    <cellStyle name="40% - Accent1 4 2 2 3 3" xfId="4684"/>
    <cellStyle name="40% - Accent1 4 2 2 3 3 2" xfId="4685"/>
    <cellStyle name="40% - Accent1 4 2 2 3 3 3" xfId="4686"/>
    <cellStyle name="40% - Accent1 4 2 2 3 4" xfId="4687"/>
    <cellStyle name="40% - Accent1 4 2 2 3 5" xfId="4688"/>
    <cellStyle name="40% - Accent1 4 2 2 4" xfId="4689"/>
    <cellStyle name="40% - Accent1 4 2 2 4 2" xfId="4690"/>
    <cellStyle name="40% - Accent1 4 2 2 4 3" xfId="4691"/>
    <cellStyle name="40% - Accent1 4 2 2 5" xfId="4692"/>
    <cellStyle name="40% - Accent1 4 2 2 5 2" xfId="4693"/>
    <cellStyle name="40% - Accent1 4 2 2 5 3" xfId="4694"/>
    <cellStyle name="40% - Accent1 4 2 2 6" xfId="4695"/>
    <cellStyle name="40% - Accent1 4 2 2 7" xfId="4696"/>
    <cellStyle name="40% - Accent1 4 2 3" xfId="4697"/>
    <cellStyle name="40% - Accent1 4 2 3 2" xfId="4698"/>
    <cellStyle name="40% - Accent1 4 2 3 2 2" xfId="4699"/>
    <cellStyle name="40% - Accent1 4 2 3 2 2 2" xfId="4700"/>
    <cellStyle name="40% - Accent1 4 2 3 2 2 3" xfId="4701"/>
    <cellStyle name="40% - Accent1 4 2 3 2 3" xfId="4702"/>
    <cellStyle name="40% - Accent1 4 2 3 2 3 2" xfId="4703"/>
    <cellStyle name="40% - Accent1 4 2 3 2 3 3" xfId="4704"/>
    <cellStyle name="40% - Accent1 4 2 3 2 4" xfId="4705"/>
    <cellStyle name="40% - Accent1 4 2 3 2 5" xfId="4706"/>
    <cellStyle name="40% - Accent1 4 2 3 3" xfId="4707"/>
    <cellStyle name="40% - Accent1 4 2 3 3 2" xfId="4708"/>
    <cellStyle name="40% - Accent1 4 2 3 3 2 2" xfId="4709"/>
    <cellStyle name="40% - Accent1 4 2 3 3 2 3" xfId="4710"/>
    <cellStyle name="40% - Accent1 4 2 3 3 3" xfId="4711"/>
    <cellStyle name="40% - Accent1 4 2 3 3 3 2" xfId="4712"/>
    <cellStyle name="40% - Accent1 4 2 3 3 3 3" xfId="4713"/>
    <cellStyle name="40% - Accent1 4 2 3 3 4" xfId="4714"/>
    <cellStyle name="40% - Accent1 4 2 3 3 5" xfId="4715"/>
    <cellStyle name="40% - Accent1 4 2 3 4" xfId="4716"/>
    <cellStyle name="40% - Accent1 4 2 3 4 2" xfId="4717"/>
    <cellStyle name="40% - Accent1 4 2 3 4 3" xfId="4718"/>
    <cellStyle name="40% - Accent1 4 2 3 5" xfId="4719"/>
    <cellStyle name="40% - Accent1 4 2 3 5 2" xfId="4720"/>
    <cellStyle name="40% - Accent1 4 2 3 5 3" xfId="4721"/>
    <cellStyle name="40% - Accent1 4 2 3 6" xfId="4722"/>
    <cellStyle name="40% - Accent1 4 2 3 7" xfId="4723"/>
    <cellStyle name="40% - Accent1 4 2 4" xfId="4724"/>
    <cellStyle name="40% - Accent1 4 2 4 2" xfId="4725"/>
    <cellStyle name="40% - Accent1 4 2 4 2 2" xfId="4726"/>
    <cellStyle name="40% - Accent1 4 2 4 2 3" xfId="4727"/>
    <cellStyle name="40% - Accent1 4 2 4 3" xfId="4728"/>
    <cellStyle name="40% - Accent1 4 2 4 3 2" xfId="4729"/>
    <cellStyle name="40% - Accent1 4 2 4 3 3" xfId="4730"/>
    <cellStyle name="40% - Accent1 4 2 4 4" xfId="4731"/>
    <cellStyle name="40% - Accent1 4 2 4 5" xfId="4732"/>
    <cellStyle name="40% - Accent1 4 2 5" xfId="4733"/>
    <cellStyle name="40% - Accent1 4 2 5 2" xfId="4734"/>
    <cellStyle name="40% - Accent1 4 2 5 2 2" xfId="4735"/>
    <cellStyle name="40% - Accent1 4 2 5 2 3" xfId="4736"/>
    <cellStyle name="40% - Accent1 4 2 5 3" xfId="4737"/>
    <cellStyle name="40% - Accent1 4 2 5 3 2" xfId="4738"/>
    <cellStyle name="40% - Accent1 4 2 5 3 3" xfId="4739"/>
    <cellStyle name="40% - Accent1 4 2 5 4" xfId="4740"/>
    <cellStyle name="40% - Accent1 4 2 5 5" xfId="4741"/>
    <cellStyle name="40% - Accent1 4 2 6" xfId="4742"/>
    <cellStyle name="40% - Accent1 4 2 6 2" xfId="4743"/>
    <cellStyle name="40% - Accent1 4 2 6 3" xfId="4744"/>
    <cellStyle name="40% - Accent1 4 2 7" xfId="4745"/>
    <cellStyle name="40% - Accent1 4 2 7 2" xfId="4746"/>
    <cellStyle name="40% - Accent1 4 2 7 3" xfId="4747"/>
    <cellStyle name="40% - Accent1 4 2 8" xfId="4748"/>
    <cellStyle name="40% - Accent1 4 2 9" xfId="4749"/>
    <cellStyle name="40% - Accent1 4 3" xfId="4750"/>
    <cellStyle name="40% - Accent1 4 3 2" xfId="4751"/>
    <cellStyle name="40% - Accent1 4 3 2 2" xfId="4752"/>
    <cellStyle name="40% - Accent1 4 3 2 2 2" xfId="4753"/>
    <cellStyle name="40% - Accent1 4 3 2 2 2 2" xfId="4754"/>
    <cellStyle name="40% - Accent1 4 3 2 2 2 3" xfId="4755"/>
    <cellStyle name="40% - Accent1 4 3 2 2 3" xfId="4756"/>
    <cellStyle name="40% - Accent1 4 3 2 2 3 2" xfId="4757"/>
    <cellStyle name="40% - Accent1 4 3 2 2 3 3" xfId="4758"/>
    <cellStyle name="40% - Accent1 4 3 2 2 4" xfId="4759"/>
    <cellStyle name="40% - Accent1 4 3 2 2 5" xfId="4760"/>
    <cellStyle name="40% - Accent1 4 3 2 3" xfId="4761"/>
    <cellStyle name="40% - Accent1 4 3 2 3 2" xfId="4762"/>
    <cellStyle name="40% - Accent1 4 3 2 3 2 2" xfId="4763"/>
    <cellStyle name="40% - Accent1 4 3 2 3 2 3" xfId="4764"/>
    <cellStyle name="40% - Accent1 4 3 2 3 3" xfId="4765"/>
    <cellStyle name="40% - Accent1 4 3 2 3 3 2" xfId="4766"/>
    <cellStyle name="40% - Accent1 4 3 2 3 3 3" xfId="4767"/>
    <cellStyle name="40% - Accent1 4 3 2 3 4" xfId="4768"/>
    <cellStyle name="40% - Accent1 4 3 2 3 5" xfId="4769"/>
    <cellStyle name="40% - Accent1 4 3 2 4" xfId="4770"/>
    <cellStyle name="40% - Accent1 4 3 2 4 2" xfId="4771"/>
    <cellStyle name="40% - Accent1 4 3 2 4 3" xfId="4772"/>
    <cellStyle name="40% - Accent1 4 3 2 5" xfId="4773"/>
    <cellStyle name="40% - Accent1 4 3 2 5 2" xfId="4774"/>
    <cellStyle name="40% - Accent1 4 3 2 5 3" xfId="4775"/>
    <cellStyle name="40% - Accent1 4 3 2 6" xfId="4776"/>
    <cellStyle name="40% - Accent1 4 3 2 7" xfId="4777"/>
    <cellStyle name="40% - Accent1 4 3 3" xfId="4778"/>
    <cellStyle name="40% - Accent1 4 3 3 2" xfId="4779"/>
    <cellStyle name="40% - Accent1 4 3 3 2 2" xfId="4780"/>
    <cellStyle name="40% - Accent1 4 3 3 2 2 2" xfId="4781"/>
    <cellStyle name="40% - Accent1 4 3 3 2 2 3" xfId="4782"/>
    <cellStyle name="40% - Accent1 4 3 3 2 3" xfId="4783"/>
    <cellStyle name="40% - Accent1 4 3 3 2 3 2" xfId="4784"/>
    <cellStyle name="40% - Accent1 4 3 3 2 3 3" xfId="4785"/>
    <cellStyle name="40% - Accent1 4 3 3 2 4" xfId="4786"/>
    <cellStyle name="40% - Accent1 4 3 3 2 5" xfId="4787"/>
    <cellStyle name="40% - Accent1 4 3 3 3" xfId="4788"/>
    <cellStyle name="40% - Accent1 4 3 3 3 2" xfId="4789"/>
    <cellStyle name="40% - Accent1 4 3 3 3 2 2" xfId="4790"/>
    <cellStyle name="40% - Accent1 4 3 3 3 2 3" xfId="4791"/>
    <cellStyle name="40% - Accent1 4 3 3 3 3" xfId="4792"/>
    <cellStyle name="40% - Accent1 4 3 3 3 3 2" xfId="4793"/>
    <cellStyle name="40% - Accent1 4 3 3 3 3 3" xfId="4794"/>
    <cellStyle name="40% - Accent1 4 3 3 3 4" xfId="4795"/>
    <cellStyle name="40% - Accent1 4 3 3 3 5" xfId="4796"/>
    <cellStyle name="40% - Accent1 4 3 3 4" xfId="4797"/>
    <cellStyle name="40% - Accent1 4 3 3 4 2" xfId="4798"/>
    <cellStyle name="40% - Accent1 4 3 3 4 3" xfId="4799"/>
    <cellStyle name="40% - Accent1 4 3 3 5" xfId="4800"/>
    <cellStyle name="40% - Accent1 4 3 3 5 2" xfId="4801"/>
    <cellStyle name="40% - Accent1 4 3 3 5 3" xfId="4802"/>
    <cellStyle name="40% - Accent1 4 3 3 6" xfId="4803"/>
    <cellStyle name="40% - Accent1 4 3 3 7" xfId="4804"/>
    <cellStyle name="40% - Accent1 4 3 4" xfId="4805"/>
    <cellStyle name="40% - Accent1 4 3 4 2" xfId="4806"/>
    <cellStyle name="40% - Accent1 4 3 4 2 2" xfId="4807"/>
    <cellStyle name="40% - Accent1 4 3 4 2 3" xfId="4808"/>
    <cellStyle name="40% - Accent1 4 3 4 3" xfId="4809"/>
    <cellStyle name="40% - Accent1 4 3 4 3 2" xfId="4810"/>
    <cellStyle name="40% - Accent1 4 3 4 3 3" xfId="4811"/>
    <cellStyle name="40% - Accent1 4 3 4 4" xfId="4812"/>
    <cellStyle name="40% - Accent1 4 3 4 5" xfId="4813"/>
    <cellStyle name="40% - Accent1 4 3 5" xfId="4814"/>
    <cellStyle name="40% - Accent1 4 3 5 2" xfId="4815"/>
    <cellStyle name="40% - Accent1 4 3 5 2 2" xfId="4816"/>
    <cellStyle name="40% - Accent1 4 3 5 2 3" xfId="4817"/>
    <cellStyle name="40% - Accent1 4 3 5 3" xfId="4818"/>
    <cellStyle name="40% - Accent1 4 3 5 3 2" xfId="4819"/>
    <cellStyle name="40% - Accent1 4 3 5 3 3" xfId="4820"/>
    <cellStyle name="40% - Accent1 4 3 5 4" xfId="4821"/>
    <cellStyle name="40% - Accent1 4 3 5 5" xfId="4822"/>
    <cellStyle name="40% - Accent1 4 3 6" xfId="4823"/>
    <cellStyle name="40% - Accent1 4 3 6 2" xfId="4824"/>
    <cellStyle name="40% - Accent1 4 3 6 3" xfId="4825"/>
    <cellStyle name="40% - Accent1 4 3 7" xfId="4826"/>
    <cellStyle name="40% - Accent1 4 3 7 2" xfId="4827"/>
    <cellStyle name="40% - Accent1 4 3 7 3" xfId="4828"/>
    <cellStyle name="40% - Accent1 4 3 8" xfId="4829"/>
    <cellStyle name="40% - Accent1 4 3 9" xfId="4830"/>
    <cellStyle name="40% - Accent1 4 4" xfId="4831"/>
    <cellStyle name="40% - Accent1 4 4 2" xfId="4832"/>
    <cellStyle name="40% - Accent1 4 4 2 2" xfId="4833"/>
    <cellStyle name="40% - Accent1 4 4 2 2 2" xfId="4834"/>
    <cellStyle name="40% - Accent1 4 4 2 2 3" xfId="4835"/>
    <cellStyle name="40% - Accent1 4 4 2 3" xfId="4836"/>
    <cellStyle name="40% - Accent1 4 4 2 3 2" xfId="4837"/>
    <cellStyle name="40% - Accent1 4 4 2 3 3" xfId="4838"/>
    <cellStyle name="40% - Accent1 4 4 2 4" xfId="4839"/>
    <cellStyle name="40% - Accent1 4 4 2 5" xfId="4840"/>
    <cellStyle name="40% - Accent1 4 4 3" xfId="4841"/>
    <cellStyle name="40% - Accent1 4 4 3 2" xfId="4842"/>
    <cellStyle name="40% - Accent1 4 4 3 2 2" xfId="4843"/>
    <cellStyle name="40% - Accent1 4 4 3 2 3" xfId="4844"/>
    <cellStyle name="40% - Accent1 4 4 3 3" xfId="4845"/>
    <cellStyle name="40% - Accent1 4 4 3 3 2" xfId="4846"/>
    <cellStyle name="40% - Accent1 4 4 3 3 3" xfId="4847"/>
    <cellStyle name="40% - Accent1 4 4 3 4" xfId="4848"/>
    <cellStyle name="40% - Accent1 4 4 3 5" xfId="4849"/>
    <cellStyle name="40% - Accent1 4 4 4" xfId="4850"/>
    <cellStyle name="40% - Accent1 4 4 4 2" xfId="4851"/>
    <cellStyle name="40% - Accent1 4 4 4 3" xfId="4852"/>
    <cellStyle name="40% - Accent1 4 4 5" xfId="4853"/>
    <cellStyle name="40% - Accent1 4 4 5 2" xfId="4854"/>
    <cellStyle name="40% - Accent1 4 4 5 3" xfId="4855"/>
    <cellStyle name="40% - Accent1 4 4 6" xfId="4856"/>
    <cellStyle name="40% - Accent1 4 4 7" xfId="4857"/>
    <cellStyle name="40% - Accent1 4 5" xfId="4858"/>
    <cellStyle name="40% - Accent1 4 5 2" xfId="4859"/>
    <cellStyle name="40% - Accent1 4 5 2 2" xfId="4860"/>
    <cellStyle name="40% - Accent1 4 5 2 2 2" xfId="4861"/>
    <cellStyle name="40% - Accent1 4 5 2 2 3" xfId="4862"/>
    <cellStyle name="40% - Accent1 4 5 2 3" xfId="4863"/>
    <cellStyle name="40% - Accent1 4 5 2 3 2" xfId="4864"/>
    <cellStyle name="40% - Accent1 4 5 2 3 3" xfId="4865"/>
    <cellStyle name="40% - Accent1 4 5 2 4" xfId="4866"/>
    <cellStyle name="40% - Accent1 4 5 2 5" xfId="4867"/>
    <cellStyle name="40% - Accent1 4 5 3" xfId="4868"/>
    <cellStyle name="40% - Accent1 4 5 3 2" xfId="4869"/>
    <cellStyle name="40% - Accent1 4 5 3 2 2" xfId="4870"/>
    <cellStyle name="40% - Accent1 4 5 3 2 3" xfId="4871"/>
    <cellStyle name="40% - Accent1 4 5 3 3" xfId="4872"/>
    <cellStyle name="40% - Accent1 4 5 3 3 2" xfId="4873"/>
    <cellStyle name="40% - Accent1 4 5 3 3 3" xfId="4874"/>
    <cellStyle name="40% - Accent1 4 5 3 4" xfId="4875"/>
    <cellStyle name="40% - Accent1 4 5 3 5" xfId="4876"/>
    <cellStyle name="40% - Accent1 4 5 4" xfId="4877"/>
    <cellStyle name="40% - Accent1 4 5 4 2" xfId="4878"/>
    <cellStyle name="40% - Accent1 4 5 4 3" xfId="4879"/>
    <cellStyle name="40% - Accent1 4 5 5" xfId="4880"/>
    <cellStyle name="40% - Accent1 4 5 5 2" xfId="4881"/>
    <cellStyle name="40% - Accent1 4 5 5 3" xfId="4882"/>
    <cellStyle name="40% - Accent1 4 5 6" xfId="4883"/>
    <cellStyle name="40% - Accent1 4 5 7" xfId="4884"/>
    <cellStyle name="40% - Accent1 4 6" xfId="4885"/>
    <cellStyle name="40% - Accent1 4 6 2" xfId="4886"/>
    <cellStyle name="40% - Accent1 4 6 2 2" xfId="4887"/>
    <cellStyle name="40% - Accent1 4 6 2 3" xfId="4888"/>
    <cellStyle name="40% - Accent1 4 6 3" xfId="4889"/>
    <cellStyle name="40% - Accent1 4 6 3 2" xfId="4890"/>
    <cellStyle name="40% - Accent1 4 6 3 3" xfId="4891"/>
    <cellStyle name="40% - Accent1 4 6 4" xfId="4892"/>
    <cellStyle name="40% - Accent1 4 6 5" xfId="4893"/>
    <cellStyle name="40% - Accent1 4 7" xfId="4894"/>
    <cellStyle name="40% - Accent1 4 7 2" xfId="4895"/>
    <cellStyle name="40% - Accent1 4 7 2 2" xfId="4896"/>
    <cellStyle name="40% - Accent1 4 7 2 3" xfId="4897"/>
    <cellStyle name="40% - Accent1 4 7 3" xfId="4898"/>
    <cellStyle name="40% - Accent1 4 7 3 2" xfId="4899"/>
    <cellStyle name="40% - Accent1 4 7 3 3" xfId="4900"/>
    <cellStyle name="40% - Accent1 4 7 4" xfId="4901"/>
    <cellStyle name="40% - Accent1 4 7 5" xfId="4902"/>
    <cellStyle name="40% - Accent1 4 8" xfId="4903"/>
    <cellStyle name="40% - Accent1 4 8 2" xfId="4904"/>
    <cellStyle name="40% - Accent1 4 8 3" xfId="4905"/>
    <cellStyle name="40% - Accent1 4 9" xfId="4906"/>
    <cellStyle name="40% - Accent1 4 9 2" xfId="4907"/>
    <cellStyle name="40% - Accent1 4 9 3" xfId="4908"/>
    <cellStyle name="40% - Accent1 4_Sheet8" xfId="4909"/>
    <cellStyle name="40% - Accent1 5" xfId="4910"/>
    <cellStyle name="40% - Accent1 5 2" xfId="4911"/>
    <cellStyle name="40% - Accent1 5 2 2" xfId="4912"/>
    <cellStyle name="40% - Accent1 5 2 3" xfId="4913"/>
    <cellStyle name="40% - Accent1 5 3" xfId="4914"/>
    <cellStyle name="40% - Accent1 5 4" xfId="4915"/>
    <cellStyle name="40% - Accent1 5 5" xfId="42940"/>
    <cellStyle name="40% - Accent1 6" xfId="4916"/>
    <cellStyle name="40% - Accent1 6 2" xfId="4917"/>
    <cellStyle name="40% - Accent1 6 3" xfId="4918"/>
    <cellStyle name="40% - Accent1 7" xfId="4919"/>
    <cellStyle name="40% - Accent1 7 2" xfId="4920"/>
    <cellStyle name="40% - Accent1 7 3" xfId="4921"/>
    <cellStyle name="40% - Accent1 8" xfId="4922"/>
    <cellStyle name="40% - Accent1 8 2" xfId="4923"/>
    <cellStyle name="40% - Accent1 8 3" xfId="4924"/>
    <cellStyle name="40% - Accent1 9" xfId="4925"/>
    <cellStyle name="40% - Accent1 9 2" xfId="4926"/>
    <cellStyle name="40% - Accent1 9 3" xfId="4927"/>
    <cellStyle name="40% - Accent2" xfId="42831" builtinId="35" customBuiltin="1"/>
    <cellStyle name="40% - Accent2 10" xfId="4928"/>
    <cellStyle name="40% - Accent2 10 2" xfId="4929"/>
    <cellStyle name="40% - Accent2 10 3" xfId="4930"/>
    <cellStyle name="40% - Accent2 11" xfId="4931"/>
    <cellStyle name="40% - Accent2 2" xfId="4932"/>
    <cellStyle name="40% - Accent2 2 2" xfId="4933"/>
    <cellStyle name="40% - Accent2 2 3" xfId="4934"/>
    <cellStyle name="40% - Accent2 2 3 2" xfId="4935"/>
    <cellStyle name="40% - Accent2 2 4" xfId="4936"/>
    <cellStyle name="40% - Accent2 2 5" xfId="4937"/>
    <cellStyle name="40% - Accent2 2 5 2" xfId="4938"/>
    <cellStyle name="40% - Accent2 2 5 3" xfId="4939"/>
    <cellStyle name="40% - Accent2 2_Dashboard - Inventory Metrics Aug 2012" xfId="4940"/>
    <cellStyle name="40% - Accent2 3" xfId="4941"/>
    <cellStyle name="40% - Accent2 3 2" xfId="4942"/>
    <cellStyle name="40% - Accent2 3 3" xfId="42908"/>
    <cellStyle name="40% - Accent2 4" xfId="4943"/>
    <cellStyle name="40% - Accent2 4 10" xfId="4944"/>
    <cellStyle name="40% - Accent2 4 11" xfId="4945"/>
    <cellStyle name="40% - Accent2 4 12" xfId="42926"/>
    <cellStyle name="40% - Accent2 4 2" xfId="4946"/>
    <cellStyle name="40% - Accent2 4 2 2" xfId="4947"/>
    <cellStyle name="40% - Accent2 4 2 2 2" xfId="4948"/>
    <cellStyle name="40% - Accent2 4 2 2 2 2" xfId="4949"/>
    <cellStyle name="40% - Accent2 4 2 2 2 2 2" xfId="4950"/>
    <cellStyle name="40% - Accent2 4 2 2 2 2 3" xfId="4951"/>
    <cellStyle name="40% - Accent2 4 2 2 2 3" xfId="4952"/>
    <cellStyle name="40% - Accent2 4 2 2 2 3 2" xfId="4953"/>
    <cellStyle name="40% - Accent2 4 2 2 2 3 3" xfId="4954"/>
    <cellStyle name="40% - Accent2 4 2 2 2 4" xfId="4955"/>
    <cellStyle name="40% - Accent2 4 2 2 2 5" xfId="4956"/>
    <cellStyle name="40% - Accent2 4 2 2 3" xfId="4957"/>
    <cellStyle name="40% - Accent2 4 2 2 3 2" xfId="4958"/>
    <cellStyle name="40% - Accent2 4 2 2 3 2 2" xfId="4959"/>
    <cellStyle name="40% - Accent2 4 2 2 3 2 3" xfId="4960"/>
    <cellStyle name="40% - Accent2 4 2 2 3 3" xfId="4961"/>
    <cellStyle name="40% - Accent2 4 2 2 3 3 2" xfId="4962"/>
    <cellStyle name="40% - Accent2 4 2 2 3 3 3" xfId="4963"/>
    <cellStyle name="40% - Accent2 4 2 2 3 4" xfId="4964"/>
    <cellStyle name="40% - Accent2 4 2 2 3 5" xfId="4965"/>
    <cellStyle name="40% - Accent2 4 2 2 4" xfId="4966"/>
    <cellStyle name="40% - Accent2 4 2 2 4 2" xfId="4967"/>
    <cellStyle name="40% - Accent2 4 2 2 4 3" xfId="4968"/>
    <cellStyle name="40% - Accent2 4 2 2 5" xfId="4969"/>
    <cellStyle name="40% - Accent2 4 2 2 5 2" xfId="4970"/>
    <cellStyle name="40% - Accent2 4 2 2 5 3" xfId="4971"/>
    <cellStyle name="40% - Accent2 4 2 2 6" xfId="4972"/>
    <cellStyle name="40% - Accent2 4 2 2 7" xfId="4973"/>
    <cellStyle name="40% - Accent2 4 2 3" xfId="4974"/>
    <cellStyle name="40% - Accent2 4 2 3 2" xfId="4975"/>
    <cellStyle name="40% - Accent2 4 2 3 2 2" xfId="4976"/>
    <cellStyle name="40% - Accent2 4 2 3 2 2 2" xfId="4977"/>
    <cellStyle name="40% - Accent2 4 2 3 2 2 3" xfId="4978"/>
    <cellStyle name="40% - Accent2 4 2 3 2 3" xfId="4979"/>
    <cellStyle name="40% - Accent2 4 2 3 2 3 2" xfId="4980"/>
    <cellStyle name="40% - Accent2 4 2 3 2 3 3" xfId="4981"/>
    <cellStyle name="40% - Accent2 4 2 3 2 4" xfId="4982"/>
    <cellStyle name="40% - Accent2 4 2 3 2 5" xfId="4983"/>
    <cellStyle name="40% - Accent2 4 2 3 3" xfId="4984"/>
    <cellStyle name="40% - Accent2 4 2 3 3 2" xfId="4985"/>
    <cellStyle name="40% - Accent2 4 2 3 3 2 2" xfId="4986"/>
    <cellStyle name="40% - Accent2 4 2 3 3 2 3" xfId="4987"/>
    <cellStyle name="40% - Accent2 4 2 3 3 3" xfId="4988"/>
    <cellStyle name="40% - Accent2 4 2 3 3 3 2" xfId="4989"/>
    <cellStyle name="40% - Accent2 4 2 3 3 3 3" xfId="4990"/>
    <cellStyle name="40% - Accent2 4 2 3 3 4" xfId="4991"/>
    <cellStyle name="40% - Accent2 4 2 3 3 5" xfId="4992"/>
    <cellStyle name="40% - Accent2 4 2 3 4" xfId="4993"/>
    <cellStyle name="40% - Accent2 4 2 3 4 2" xfId="4994"/>
    <cellStyle name="40% - Accent2 4 2 3 4 3" xfId="4995"/>
    <cellStyle name="40% - Accent2 4 2 3 5" xfId="4996"/>
    <cellStyle name="40% - Accent2 4 2 3 5 2" xfId="4997"/>
    <cellStyle name="40% - Accent2 4 2 3 5 3" xfId="4998"/>
    <cellStyle name="40% - Accent2 4 2 3 6" xfId="4999"/>
    <cellStyle name="40% - Accent2 4 2 3 7" xfId="5000"/>
    <cellStyle name="40% - Accent2 4 2 4" xfId="5001"/>
    <cellStyle name="40% - Accent2 4 2 4 2" xfId="5002"/>
    <cellStyle name="40% - Accent2 4 2 4 2 2" xfId="5003"/>
    <cellStyle name="40% - Accent2 4 2 4 2 3" xfId="5004"/>
    <cellStyle name="40% - Accent2 4 2 4 3" xfId="5005"/>
    <cellStyle name="40% - Accent2 4 2 4 3 2" xfId="5006"/>
    <cellStyle name="40% - Accent2 4 2 4 3 3" xfId="5007"/>
    <cellStyle name="40% - Accent2 4 2 4 4" xfId="5008"/>
    <cellStyle name="40% - Accent2 4 2 4 5" xfId="5009"/>
    <cellStyle name="40% - Accent2 4 2 5" xfId="5010"/>
    <cellStyle name="40% - Accent2 4 2 5 2" xfId="5011"/>
    <cellStyle name="40% - Accent2 4 2 5 2 2" xfId="5012"/>
    <cellStyle name="40% - Accent2 4 2 5 2 3" xfId="5013"/>
    <cellStyle name="40% - Accent2 4 2 5 3" xfId="5014"/>
    <cellStyle name="40% - Accent2 4 2 5 3 2" xfId="5015"/>
    <cellStyle name="40% - Accent2 4 2 5 3 3" xfId="5016"/>
    <cellStyle name="40% - Accent2 4 2 5 4" xfId="5017"/>
    <cellStyle name="40% - Accent2 4 2 5 5" xfId="5018"/>
    <cellStyle name="40% - Accent2 4 2 6" xfId="5019"/>
    <cellStyle name="40% - Accent2 4 2 6 2" xfId="5020"/>
    <cellStyle name="40% - Accent2 4 2 6 3" xfId="5021"/>
    <cellStyle name="40% - Accent2 4 2 7" xfId="5022"/>
    <cellStyle name="40% - Accent2 4 2 7 2" xfId="5023"/>
    <cellStyle name="40% - Accent2 4 2 7 3" xfId="5024"/>
    <cellStyle name="40% - Accent2 4 2 8" xfId="5025"/>
    <cellStyle name="40% - Accent2 4 2 9" xfId="5026"/>
    <cellStyle name="40% - Accent2 4 3" xfId="5027"/>
    <cellStyle name="40% - Accent2 4 3 2" xfId="5028"/>
    <cellStyle name="40% - Accent2 4 3 2 2" xfId="5029"/>
    <cellStyle name="40% - Accent2 4 3 2 2 2" xfId="5030"/>
    <cellStyle name="40% - Accent2 4 3 2 2 2 2" xfId="5031"/>
    <cellStyle name="40% - Accent2 4 3 2 2 2 3" xfId="5032"/>
    <cellStyle name="40% - Accent2 4 3 2 2 3" xfId="5033"/>
    <cellStyle name="40% - Accent2 4 3 2 2 3 2" xfId="5034"/>
    <cellStyle name="40% - Accent2 4 3 2 2 3 3" xfId="5035"/>
    <cellStyle name="40% - Accent2 4 3 2 2 4" xfId="5036"/>
    <cellStyle name="40% - Accent2 4 3 2 2 5" xfId="5037"/>
    <cellStyle name="40% - Accent2 4 3 2 3" xfId="5038"/>
    <cellStyle name="40% - Accent2 4 3 2 3 2" xfId="5039"/>
    <cellStyle name="40% - Accent2 4 3 2 3 2 2" xfId="5040"/>
    <cellStyle name="40% - Accent2 4 3 2 3 2 3" xfId="5041"/>
    <cellStyle name="40% - Accent2 4 3 2 3 3" xfId="5042"/>
    <cellStyle name="40% - Accent2 4 3 2 3 3 2" xfId="5043"/>
    <cellStyle name="40% - Accent2 4 3 2 3 3 3" xfId="5044"/>
    <cellStyle name="40% - Accent2 4 3 2 3 4" xfId="5045"/>
    <cellStyle name="40% - Accent2 4 3 2 3 5" xfId="5046"/>
    <cellStyle name="40% - Accent2 4 3 2 4" xfId="5047"/>
    <cellStyle name="40% - Accent2 4 3 2 4 2" xfId="5048"/>
    <cellStyle name="40% - Accent2 4 3 2 4 3" xfId="5049"/>
    <cellStyle name="40% - Accent2 4 3 2 5" xfId="5050"/>
    <cellStyle name="40% - Accent2 4 3 2 5 2" xfId="5051"/>
    <cellStyle name="40% - Accent2 4 3 2 5 3" xfId="5052"/>
    <cellStyle name="40% - Accent2 4 3 2 6" xfId="5053"/>
    <cellStyle name="40% - Accent2 4 3 2 7" xfId="5054"/>
    <cellStyle name="40% - Accent2 4 3 3" xfId="5055"/>
    <cellStyle name="40% - Accent2 4 3 3 2" xfId="5056"/>
    <cellStyle name="40% - Accent2 4 3 3 2 2" xfId="5057"/>
    <cellStyle name="40% - Accent2 4 3 3 2 2 2" xfId="5058"/>
    <cellStyle name="40% - Accent2 4 3 3 2 2 3" xfId="5059"/>
    <cellStyle name="40% - Accent2 4 3 3 2 3" xfId="5060"/>
    <cellStyle name="40% - Accent2 4 3 3 2 3 2" xfId="5061"/>
    <cellStyle name="40% - Accent2 4 3 3 2 3 3" xfId="5062"/>
    <cellStyle name="40% - Accent2 4 3 3 2 4" xfId="5063"/>
    <cellStyle name="40% - Accent2 4 3 3 2 5" xfId="5064"/>
    <cellStyle name="40% - Accent2 4 3 3 3" xfId="5065"/>
    <cellStyle name="40% - Accent2 4 3 3 3 2" xfId="5066"/>
    <cellStyle name="40% - Accent2 4 3 3 3 2 2" xfId="5067"/>
    <cellStyle name="40% - Accent2 4 3 3 3 2 3" xfId="5068"/>
    <cellStyle name="40% - Accent2 4 3 3 3 3" xfId="5069"/>
    <cellStyle name="40% - Accent2 4 3 3 3 3 2" xfId="5070"/>
    <cellStyle name="40% - Accent2 4 3 3 3 3 3" xfId="5071"/>
    <cellStyle name="40% - Accent2 4 3 3 3 4" xfId="5072"/>
    <cellStyle name="40% - Accent2 4 3 3 3 5" xfId="5073"/>
    <cellStyle name="40% - Accent2 4 3 3 4" xfId="5074"/>
    <cellStyle name="40% - Accent2 4 3 3 4 2" xfId="5075"/>
    <cellStyle name="40% - Accent2 4 3 3 4 3" xfId="5076"/>
    <cellStyle name="40% - Accent2 4 3 3 5" xfId="5077"/>
    <cellStyle name="40% - Accent2 4 3 3 5 2" xfId="5078"/>
    <cellStyle name="40% - Accent2 4 3 3 5 3" xfId="5079"/>
    <cellStyle name="40% - Accent2 4 3 3 6" xfId="5080"/>
    <cellStyle name="40% - Accent2 4 3 3 7" xfId="5081"/>
    <cellStyle name="40% - Accent2 4 3 4" xfId="5082"/>
    <cellStyle name="40% - Accent2 4 3 4 2" xfId="5083"/>
    <cellStyle name="40% - Accent2 4 3 4 2 2" xfId="5084"/>
    <cellStyle name="40% - Accent2 4 3 4 2 3" xfId="5085"/>
    <cellStyle name="40% - Accent2 4 3 4 3" xfId="5086"/>
    <cellStyle name="40% - Accent2 4 3 4 3 2" xfId="5087"/>
    <cellStyle name="40% - Accent2 4 3 4 3 3" xfId="5088"/>
    <cellStyle name="40% - Accent2 4 3 4 4" xfId="5089"/>
    <cellStyle name="40% - Accent2 4 3 4 5" xfId="5090"/>
    <cellStyle name="40% - Accent2 4 3 5" xfId="5091"/>
    <cellStyle name="40% - Accent2 4 3 5 2" xfId="5092"/>
    <cellStyle name="40% - Accent2 4 3 5 2 2" xfId="5093"/>
    <cellStyle name="40% - Accent2 4 3 5 2 3" xfId="5094"/>
    <cellStyle name="40% - Accent2 4 3 5 3" xfId="5095"/>
    <cellStyle name="40% - Accent2 4 3 5 3 2" xfId="5096"/>
    <cellStyle name="40% - Accent2 4 3 5 3 3" xfId="5097"/>
    <cellStyle name="40% - Accent2 4 3 5 4" xfId="5098"/>
    <cellStyle name="40% - Accent2 4 3 5 5" xfId="5099"/>
    <cellStyle name="40% - Accent2 4 3 6" xfId="5100"/>
    <cellStyle name="40% - Accent2 4 3 6 2" xfId="5101"/>
    <cellStyle name="40% - Accent2 4 3 6 3" xfId="5102"/>
    <cellStyle name="40% - Accent2 4 3 7" xfId="5103"/>
    <cellStyle name="40% - Accent2 4 3 7 2" xfId="5104"/>
    <cellStyle name="40% - Accent2 4 3 7 3" xfId="5105"/>
    <cellStyle name="40% - Accent2 4 3 8" xfId="5106"/>
    <cellStyle name="40% - Accent2 4 3 9" xfId="5107"/>
    <cellStyle name="40% - Accent2 4 4" xfId="5108"/>
    <cellStyle name="40% - Accent2 4 4 2" xfId="5109"/>
    <cellStyle name="40% - Accent2 4 4 2 2" xfId="5110"/>
    <cellStyle name="40% - Accent2 4 4 2 2 2" xfId="5111"/>
    <cellStyle name="40% - Accent2 4 4 2 2 3" xfId="5112"/>
    <cellStyle name="40% - Accent2 4 4 2 3" xfId="5113"/>
    <cellStyle name="40% - Accent2 4 4 2 3 2" xfId="5114"/>
    <cellStyle name="40% - Accent2 4 4 2 3 3" xfId="5115"/>
    <cellStyle name="40% - Accent2 4 4 2 4" xfId="5116"/>
    <cellStyle name="40% - Accent2 4 4 2 5" xfId="5117"/>
    <cellStyle name="40% - Accent2 4 4 3" xfId="5118"/>
    <cellStyle name="40% - Accent2 4 4 3 2" xfId="5119"/>
    <cellStyle name="40% - Accent2 4 4 3 2 2" xfId="5120"/>
    <cellStyle name="40% - Accent2 4 4 3 2 3" xfId="5121"/>
    <cellStyle name="40% - Accent2 4 4 3 3" xfId="5122"/>
    <cellStyle name="40% - Accent2 4 4 3 3 2" xfId="5123"/>
    <cellStyle name="40% - Accent2 4 4 3 3 3" xfId="5124"/>
    <cellStyle name="40% - Accent2 4 4 3 4" xfId="5125"/>
    <cellStyle name="40% - Accent2 4 4 3 5" xfId="5126"/>
    <cellStyle name="40% - Accent2 4 4 4" xfId="5127"/>
    <cellStyle name="40% - Accent2 4 4 4 2" xfId="5128"/>
    <cellStyle name="40% - Accent2 4 4 4 3" xfId="5129"/>
    <cellStyle name="40% - Accent2 4 4 5" xfId="5130"/>
    <cellStyle name="40% - Accent2 4 4 5 2" xfId="5131"/>
    <cellStyle name="40% - Accent2 4 4 5 3" xfId="5132"/>
    <cellStyle name="40% - Accent2 4 4 6" xfId="5133"/>
    <cellStyle name="40% - Accent2 4 4 7" xfId="5134"/>
    <cellStyle name="40% - Accent2 4 5" xfId="5135"/>
    <cellStyle name="40% - Accent2 4 5 2" xfId="5136"/>
    <cellStyle name="40% - Accent2 4 5 2 2" xfId="5137"/>
    <cellStyle name="40% - Accent2 4 5 2 2 2" xfId="5138"/>
    <cellStyle name="40% - Accent2 4 5 2 2 3" xfId="5139"/>
    <cellStyle name="40% - Accent2 4 5 2 3" xfId="5140"/>
    <cellStyle name="40% - Accent2 4 5 2 3 2" xfId="5141"/>
    <cellStyle name="40% - Accent2 4 5 2 3 3" xfId="5142"/>
    <cellStyle name="40% - Accent2 4 5 2 4" xfId="5143"/>
    <cellStyle name="40% - Accent2 4 5 2 5" xfId="5144"/>
    <cellStyle name="40% - Accent2 4 5 3" xfId="5145"/>
    <cellStyle name="40% - Accent2 4 5 3 2" xfId="5146"/>
    <cellStyle name="40% - Accent2 4 5 3 2 2" xfId="5147"/>
    <cellStyle name="40% - Accent2 4 5 3 2 3" xfId="5148"/>
    <cellStyle name="40% - Accent2 4 5 3 3" xfId="5149"/>
    <cellStyle name="40% - Accent2 4 5 3 3 2" xfId="5150"/>
    <cellStyle name="40% - Accent2 4 5 3 3 3" xfId="5151"/>
    <cellStyle name="40% - Accent2 4 5 3 4" xfId="5152"/>
    <cellStyle name="40% - Accent2 4 5 3 5" xfId="5153"/>
    <cellStyle name="40% - Accent2 4 5 4" xfId="5154"/>
    <cellStyle name="40% - Accent2 4 5 4 2" xfId="5155"/>
    <cellStyle name="40% - Accent2 4 5 4 3" xfId="5156"/>
    <cellStyle name="40% - Accent2 4 5 5" xfId="5157"/>
    <cellStyle name="40% - Accent2 4 5 5 2" xfId="5158"/>
    <cellStyle name="40% - Accent2 4 5 5 3" xfId="5159"/>
    <cellStyle name="40% - Accent2 4 5 6" xfId="5160"/>
    <cellStyle name="40% - Accent2 4 5 7" xfId="5161"/>
    <cellStyle name="40% - Accent2 4 6" xfId="5162"/>
    <cellStyle name="40% - Accent2 4 6 2" xfId="5163"/>
    <cellStyle name="40% - Accent2 4 6 2 2" xfId="5164"/>
    <cellStyle name="40% - Accent2 4 6 2 3" xfId="5165"/>
    <cellStyle name="40% - Accent2 4 6 3" xfId="5166"/>
    <cellStyle name="40% - Accent2 4 6 3 2" xfId="5167"/>
    <cellStyle name="40% - Accent2 4 6 3 3" xfId="5168"/>
    <cellStyle name="40% - Accent2 4 6 4" xfId="5169"/>
    <cellStyle name="40% - Accent2 4 6 5" xfId="5170"/>
    <cellStyle name="40% - Accent2 4 7" xfId="5171"/>
    <cellStyle name="40% - Accent2 4 7 2" xfId="5172"/>
    <cellStyle name="40% - Accent2 4 7 2 2" xfId="5173"/>
    <cellStyle name="40% - Accent2 4 7 2 3" xfId="5174"/>
    <cellStyle name="40% - Accent2 4 7 3" xfId="5175"/>
    <cellStyle name="40% - Accent2 4 7 3 2" xfId="5176"/>
    <cellStyle name="40% - Accent2 4 7 3 3" xfId="5177"/>
    <cellStyle name="40% - Accent2 4 7 4" xfId="5178"/>
    <cellStyle name="40% - Accent2 4 7 5" xfId="5179"/>
    <cellStyle name="40% - Accent2 4 8" xfId="5180"/>
    <cellStyle name="40% - Accent2 4 8 2" xfId="5181"/>
    <cellStyle name="40% - Accent2 4 8 3" xfId="5182"/>
    <cellStyle name="40% - Accent2 4 9" xfId="5183"/>
    <cellStyle name="40% - Accent2 4 9 2" xfId="5184"/>
    <cellStyle name="40% - Accent2 4 9 3" xfId="5185"/>
    <cellStyle name="40% - Accent2 5" xfId="5186"/>
    <cellStyle name="40% - Accent2 5 10" xfId="42942"/>
    <cellStyle name="40% - Accent2 5 2" xfId="5187"/>
    <cellStyle name="40% - Accent2 5 2 2" xfId="5188"/>
    <cellStyle name="40% - Accent2 5 2 2 2" xfId="5189"/>
    <cellStyle name="40% - Accent2 5 2 2 2 2" xfId="5190"/>
    <cellStyle name="40% - Accent2 5 2 2 2 3" xfId="5191"/>
    <cellStyle name="40% - Accent2 5 2 2 3" xfId="5192"/>
    <cellStyle name="40% - Accent2 5 2 2 3 2" xfId="5193"/>
    <cellStyle name="40% - Accent2 5 2 2 3 3" xfId="5194"/>
    <cellStyle name="40% - Accent2 5 2 2 4" xfId="5195"/>
    <cellStyle name="40% - Accent2 5 2 2 5" xfId="5196"/>
    <cellStyle name="40% - Accent2 5 2 3" xfId="5197"/>
    <cellStyle name="40% - Accent2 5 2 3 2" xfId="5198"/>
    <cellStyle name="40% - Accent2 5 2 3 2 2" xfId="5199"/>
    <cellStyle name="40% - Accent2 5 2 3 2 3" xfId="5200"/>
    <cellStyle name="40% - Accent2 5 2 3 3" xfId="5201"/>
    <cellStyle name="40% - Accent2 5 2 3 3 2" xfId="5202"/>
    <cellStyle name="40% - Accent2 5 2 3 3 3" xfId="5203"/>
    <cellStyle name="40% - Accent2 5 2 3 4" xfId="5204"/>
    <cellStyle name="40% - Accent2 5 2 3 5" xfId="5205"/>
    <cellStyle name="40% - Accent2 5 2 4" xfId="5206"/>
    <cellStyle name="40% - Accent2 5 2 4 2" xfId="5207"/>
    <cellStyle name="40% - Accent2 5 2 4 3" xfId="5208"/>
    <cellStyle name="40% - Accent2 5 2 5" xfId="5209"/>
    <cellStyle name="40% - Accent2 5 2 5 2" xfId="5210"/>
    <cellStyle name="40% - Accent2 5 2 5 3" xfId="5211"/>
    <cellStyle name="40% - Accent2 5 2 6" xfId="5212"/>
    <cellStyle name="40% - Accent2 5 2 7" xfId="5213"/>
    <cellStyle name="40% - Accent2 5 3" xfId="5214"/>
    <cellStyle name="40% - Accent2 5 3 2" xfId="5215"/>
    <cellStyle name="40% - Accent2 5 3 2 2" xfId="5216"/>
    <cellStyle name="40% - Accent2 5 3 2 2 2" xfId="5217"/>
    <cellStyle name="40% - Accent2 5 3 2 2 3" xfId="5218"/>
    <cellStyle name="40% - Accent2 5 3 2 3" xfId="5219"/>
    <cellStyle name="40% - Accent2 5 3 2 3 2" xfId="5220"/>
    <cellStyle name="40% - Accent2 5 3 2 3 3" xfId="5221"/>
    <cellStyle name="40% - Accent2 5 3 2 4" xfId="5222"/>
    <cellStyle name="40% - Accent2 5 3 2 5" xfId="5223"/>
    <cellStyle name="40% - Accent2 5 3 3" xfId="5224"/>
    <cellStyle name="40% - Accent2 5 3 3 2" xfId="5225"/>
    <cellStyle name="40% - Accent2 5 3 3 2 2" xfId="5226"/>
    <cellStyle name="40% - Accent2 5 3 3 2 3" xfId="5227"/>
    <cellStyle name="40% - Accent2 5 3 3 3" xfId="5228"/>
    <cellStyle name="40% - Accent2 5 3 3 3 2" xfId="5229"/>
    <cellStyle name="40% - Accent2 5 3 3 3 3" xfId="5230"/>
    <cellStyle name="40% - Accent2 5 3 3 4" xfId="5231"/>
    <cellStyle name="40% - Accent2 5 3 3 5" xfId="5232"/>
    <cellStyle name="40% - Accent2 5 3 4" xfId="5233"/>
    <cellStyle name="40% - Accent2 5 3 4 2" xfId="5234"/>
    <cellStyle name="40% - Accent2 5 3 4 3" xfId="5235"/>
    <cellStyle name="40% - Accent2 5 3 5" xfId="5236"/>
    <cellStyle name="40% - Accent2 5 3 5 2" xfId="5237"/>
    <cellStyle name="40% - Accent2 5 3 5 3" xfId="5238"/>
    <cellStyle name="40% - Accent2 5 3 6" xfId="5239"/>
    <cellStyle name="40% - Accent2 5 3 7" xfId="5240"/>
    <cellStyle name="40% - Accent2 5 4" xfId="5241"/>
    <cellStyle name="40% - Accent2 5 4 2" xfId="5242"/>
    <cellStyle name="40% - Accent2 5 4 2 2" xfId="5243"/>
    <cellStyle name="40% - Accent2 5 4 2 3" xfId="5244"/>
    <cellStyle name="40% - Accent2 5 4 3" xfId="5245"/>
    <cellStyle name="40% - Accent2 5 4 3 2" xfId="5246"/>
    <cellStyle name="40% - Accent2 5 4 3 3" xfId="5247"/>
    <cellStyle name="40% - Accent2 5 4 4" xfId="5248"/>
    <cellStyle name="40% - Accent2 5 4 5" xfId="5249"/>
    <cellStyle name="40% - Accent2 5 5" xfId="5250"/>
    <cellStyle name="40% - Accent2 5 5 2" xfId="5251"/>
    <cellStyle name="40% - Accent2 5 5 2 2" xfId="5252"/>
    <cellStyle name="40% - Accent2 5 5 2 3" xfId="5253"/>
    <cellStyle name="40% - Accent2 5 5 3" xfId="5254"/>
    <cellStyle name="40% - Accent2 5 5 3 2" xfId="5255"/>
    <cellStyle name="40% - Accent2 5 5 3 3" xfId="5256"/>
    <cellStyle name="40% - Accent2 5 5 4" xfId="5257"/>
    <cellStyle name="40% - Accent2 5 5 5" xfId="5258"/>
    <cellStyle name="40% - Accent2 5 6" xfId="5259"/>
    <cellStyle name="40% - Accent2 5 6 2" xfId="5260"/>
    <cellStyle name="40% - Accent2 5 6 3" xfId="5261"/>
    <cellStyle name="40% - Accent2 5 7" xfId="5262"/>
    <cellStyle name="40% - Accent2 5 7 2" xfId="5263"/>
    <cellStyle name="40% - Accent2 5 7 3" xfId="5264"/>
    <cellStyle name="40% - Accent2 5 8" xfId="5265"/>
    <cellStyle name="40% - Accent2 5 9" xfId="5266"/>
    <cellStyle name="40% - Accent2 6" xfId="5267"/>
    <cellStyle name="40% - Accent2 6 2" xfId="5268"/>
    <cellStyle name="40% - Accent2 6 3" xfId="5269"/>
    <cellStyle name="40% - Accent2 7" xfId="5270"/>
    <cellStyle name="40% - Accent2 7 2" xfId="5271"/>
    <cellStyle name="40% - Accent2 7 3" xfId="5272"/>
    <cellStyle name="40% - Accent2 8" xfId="5273"/>
    <cellStyle name="40% - Accent2 8 2" xfId="5274"/>
    <cellStyle name="40% - Accent2 8 3" xfId="5275"/>
    <cellStyle name="40% - Accent2 9" xfId="5276"/>
    <cellStyle name="40% - Accent2 9 2" xfId="5277"/>
    <cellStyle name="40% - Accent2 9 3" xfId="5278"/>
    <cellStyle name="40% - Accent3" xfId="42835" builtinId="39" customBuiltin="1"/>
    <cellStyle name="40% - Accent3 10" xfId="5279"/>
    <cellStyle name="40% - Accent3 10 2" xfId="5280"/>
    <cellStyle name="40% - Accent3 10 3" xfId="5281"/>
    <cellStyle name="40% - Accent3 11" xfId="5282"/>
    <cellStyle name="40% - Accent3 11 2" xfId="5283"/>
    <cellStyle name="40% - Accent3 11 3" xfId="5284"/>
    <cellStyle name="40% - Accent3 12" xfId="5285"/>
    <cellStyle name="40% - Accent3 2" xfId="5286"/>
    <cellStyle name="40% - Accent3 2 10" xfId="43086"/>
    <cellStyle name="40% - Accent3 2 2" xfId="5287"/>
    <cellStyle name="40% - Accent3 2 2 2" xfId="5288"/>
    <cellStyle name="40% - Accent3 2 2_FCC Filings With Webster 2012" xfId="5289"/>
    <cellStyle name="40% - Accent3 2 3" xfId="5290"/>
    <cellStyle name="40% - Accent3 2 4" xfId="5291"/>
    <cellStyle name="40% - Accent3 2 4 2" xfId="5292"/>
    <cellStyle name="40% - Accent3 2 5" xfId="5293"/>
    <cellStyle name="40% - Accent3 2 6" xfId="5294"/>
    <cellStyle name="40% - Accent3 2 6 2" xfId="5295"/>
    <cellStyle name="40% - Accent3 2 6 3" xfId="5296"/>
    <cellStyle name="40% - Accent3 2 7" xfId="42990"/>
    <cellStyle name="40% - Accent3 2 8" xfId="43107"/>
    <cellStyle name="40% - Accent3 2 9" xfId="43167"/>
    <cellStyle name="40% - Accent3 2_Dashboard - Inventory Metrics Aug 2012" xfId="5297"/>
    <cellStyle name="40% - Accent3 3" xfId="5298"/>
    <cellStyle name="40% - Accent3 3 2" xfId="5299"/>
    <cellStyle name="40% - Accent3 3 3" xfId="42910"/>
    <cellStyle name="40% - Accent3 3 4" xfId="42989"/>
    <cellStyle name="40% - Accent3 4" xfId="5300"/>
    <cellStyle name="40% - Accent3 4 10" xfId="5301"/>
    <cellStyle name="40% - Accent3 4 11" xfId="5302"/>
    <cellStyle name="40% - Accent3 4 12" xfId="42928"/>
    <cellStyle name="40% - Accent3 4 2" xfId="5303"/>
    <cellStyle name="40% - Accent3 4 2 2" xfId="5304"/>
    <cellStyle name="40% - Accent3 4 2 2 2" xfId="5305"/>
    <cellStyle name="40% - Accent3 4 2 2 2 2" xfId="5306"/>
    <cellStyle name="40% - Accent3 4 2 2 2 2 2" xfId="5307"/>
    <cellStyle name="40% - Accent3 4 2 2 2 2 3" xfId="5308"/>
    <cellStyle name="40% - Accent3 4 2 2 2 3" xfId="5309"/>
    <cellStyle name="40% - Accent3 4 2 2 2 3 2" xfId="5310"/>
    <cellStyle name="40% - Accent3 4 2 2 2 3 3" xfId="5311"/>
    <cellStyle name="40% - Accent3 4 2 2 2 4" xfId="5312"/>
    <cellStyle name="40% - Accent3 4 2 2 2 5" xfId="5313"/>
    <cellStyle name="40% - Accent3 4 2 2 3" xfId="5314"/>
    <cellStyle name="40% - Accent3 4 2 2 3 2" xfId="5315"/>
    <cellStyle name="40% - Accent3 4 2 2 3 2 2" xfId="5316"/>
    <cellStyle name="40% - Accent3 4 2 2 3 2 3" xfId="5317"/>
    <cellStyle name="40% - Accent3 4 2 2 3 3" xfId="5318"/>
    <cellStyle name="40% - Accent3 4 2 2 3 3 2" xfId="5319"/>
    <cellStyle name="40% - Accent3 4 2 2 3 3 3" xfId="5320"/>
    <cellStyle name="40% - Accent3 4 2 2 3 4" xfId="5321"/>
    <cellStyle name="40% - Accent3 4 2 2 3 5" xfId="5322"/>
    <cellStyle name="40% - Accent3 4 2 2 4" xfId="5323"/>
    <cellStyle name="40% - Accent3 4 2 2 4 2" xfId="5324"/>
    <cellStyle name="40% - Accent3 4 2 2 4 3" xfId="5325"/>
    <cellStyle name="40% - Accent3 4 2 2 5" xfId="5326"/>
    <cellStyle name="40% - Accent3 4 2 2 5 2" xfId="5327"/>
    <cellStyle name="40% - Accent3 4 2 2 5 3" xfId="5328"/>
    <cellStyle name="40% - Accent3 4 2 2 6" xfId="5329"/>
    <cellStyle name="40% - Accent3 4 2 2 7" xfId="5330"/>
    <cellStyle name="40% - Accent3 4 2 3" xfId="5331"/>
    <cellStyle name="40% - Accent3 4 2 3 2" xfId="5332"/>
    <cellStyle name="40% - Accent3 4 2 3 2 2" xfId="5333"/>
    <cellStyle name="40% - Accent3 4 2 3 2 2 2" xfId="5334"/>
    <cellStyle name="40% - Accent3 4 2 3 2 2 3" xfId="5335"/>
    <cellStyle name="40% - Accent3 4 2 3 2 3" xfId="5336"/>
    <cellStyle name="40% - Accent3 4 2 3 2 3 2" xfId="5337"/>
    <cellStyle name="40% - Accent3 4 2 3 2 3 3" xfId="5338"/>
    <cellStyle name="40% - Accent3 4 2 3 2 4" xfId="5339"/>
    <cellStyle name="40% - Accent3 4 2 3 2 5" xfId="5340"/>
    <cellStyle name="40% - Accent3 4 2 3 3" xfId="5341"/>
    <cellStyle name="40% - Accent3 4 2 3 3 2" xfId="5342"/>
    <cellStyle name="40% - Accent3 4 2 3 3 2 2" xfId="5343"/>
    <cellStyle name="40% - Accent3 4 2 3 3 2 3" xfId="5344"/>
    <cellStyle name="40% - Accent3 4 2 3 3 3" xfId="5345"/>
    <cellStyle name="40% - Accent3 4 2 3 3 3 2" xfId="5346"/>
    <cellStyle name="40% - Accent3 4 2 3 3 3 3" xfId="5347"/>
    <cellStyle name="40% - Accent3 4 2 3 3 4" xfId="5348"/>
    <cellStyle name="40% - Accent3 4 2 3 3 5" xfId="5349"/>
    <cellStyle name="40% - Accent3 4 2 3 4" xfId="5350"/>
    <cellStyle name="40% - Accent3 4 2 3 4 2" xfId="5351"/>
    <cellStyle name="40% - Accent3 4 2 3 4 3" xfId="5352"/>
    <cellStyle name="40% - Accent3 4 2 3 5" xfId="5353"/>
    <cellStyle name="40% - Accent3 4 2 3 5 2" xfId="5354"/>
    <cellStyle name="40% - Accent3 4 2 3 5 3" xfId="5355"/>
    <cellStyle name="40% - Accent3 4 2 3 6" xfId="5356"/>
    <cellStyle name="40% - Accent3 4 2 3 7" xfId="5357"/>
    <cellStyle name="40% - Accent3 4 2 4" xfId="5358"/>
    <cellStyle name="40% - Accent3 4 2 4 2" xfId="5359"/>
    <cellStyle name="40% - Accent3 4 2 4 2 2" xfId="5360"/>
    <cellStyle name="40% - Accent3 4 2 4 2 3" xfId="5361"/>
    <cellStyle name="40% - Accent3 4 2 4 3" xfId="5362"/>
    <cellStyle name="40% - Accent3 4 2 4 3 2" xfId="5363"/>
    <cellStyle name="40% - Accent3 4 2 4 3 3" xfId="5364"/>
    <cellStyle name="40% - Accent3 4 2 4 4" xfId="5365"/>
    <cellStyle name="40% - Accent3 4 2 4 5" xfId="5366"/>
    <cellStyle name="40% - Accent3 4 2 5" xfId="5367"/>
    <cellStyle name="40% - Accent3 4 2 5 2" xfId="5368"/>
    <cellStyle name="40% - Accent3 4 2 5 2 2" xfId="5369"/>
    <cellStyle name="40% - Accent3 4 2 5 2 3" xfId="5370"/>
    <cellStyle name="40% - Accent3 4 2 5 3" xfId="5371"/>
    <cellStyle name="40% - Accent3 4 2 5 3 2" xfId="5372"/>
    <cellStyle name="40% - Accent3 4 2 5 3 3" xfId="5373"/>
    <cellStyle name="40% - Accent3 4 2 5 4" xfId="5374"/>
    <cellStyle name="40% - Accent3 4 2 5 5" xfId="5375"/>
    <cellStyle name="40% - Accent3 4 2 6" xfId="5376"/>
    <cellStyle name="40% - Accent3 4 2 6 2" xfId="5377"/>
    <cellStyle name="40% - Accent3 4 2 6 3" xfId="5378"/>
    <cellStyle name="40% - Accent3 4 2 7" xfId="5379"/>
    <cellStyle name="40% - Accent3 4 2 7 2" xfId="5380"/>
    <cellStyle name="40% - Accent3 4 2 7 3" xfId="5381"/>
    <cellStyle name="40% - Accent3 4 2 8" xfId="5382"/>
    <cellStyle name="40% - Accent3 4 2 9" xfId="5383"/>
    <cellStyle name="40% - Accent3 4 3" xfId="5384"/>
    <cellStyle name="40% - Accent3 4 3 2" xfId="5385"/>
    <cellStyle name="40% - Accent3 4 3 2 2" xfId="5386"/>
    <cellStyle name="40% - Accent3 4 3 2 2 2" xfId="5387"/>
    <cellStyle name="40% - Accent3 4 3 2 2 2 2" xfId="5388"/>
    <cellStyle name="40% - Accent3 4 3 2 2 2 3" xfId="5389"/>
    <cellStyle name="40% - Accent3 4 3 2 2 3" xfId="5390"/>
    <cellStyle name="40% - Accent3 4 3 2 2 3 2" xfId="5391"/>
    <cellStyle name="40% - Accent3 4 3 2 2 3 3" xfId="5392"/>
    <cellStyle name="40% - Accent3 4 3 2 2 4" xfId="5393"/>
    <cellStyle name="40% - Accent3 4 3 2 2 5" xfId="5394"/>
    <cellStyle name="40% - Accent3 4 3 2 3" xfId="5395"/>
    <cellStyle name="40% - Accent3 4 3 2 3 2" xfId="5396"/>
    <cellStyle name="40% - Accent3 4 3 2 3 2 2" xfId="5397"/>
    <cellStyle name="40% - Accent3 4 3 2 3 2 3" xfId="5398"/>
    <cellStyle name="40% - Accent3 4 3 2 3 3" xfId="5399"/>
    <cellStyle name="40% - Accent3 4 3 2 3 3 2" xfId="5400"/>
    <cellStyle name="40% - Accent3 4 3 2 3 3 3" xfId="5401"/>
    <cellStyle name="40% - Accent3 4 3 2 3 4" xfId="5402"/>
    <cellStyle name="40% - Accent3 4 3 2 3 5" xfId="5403"/>
    <cellStyle name="40% - Accent3 4 3 2 4" xfId="5404"/>
    <cellStyle name="40% - Accent3 4 3 2 4 2" xfId="5405"/>
    <cellStyle name="40% - Accent3 4 3 2 4 3" xfId="5406"/>
    <cellStyle name="40% - Accent3 4 3 2 5" xfId="5407"/>
    <cellStyle name="40% - Accent3 4 3 2 5 2" xfId="5408"/>
    <cellStyle name="40% - Accent3 4 3 2 5 3" xfId="5409"/>
    <cellStyle name="40% - Accent3 4 3 2 6" xfId="5410"/>
    <cellStyle name="40% - Accent3 4 3 2 7" xfId="5411"/>
    <cellStyle name="40% - Accent3 4 3 3" xfId="5412"/>
    <cellStyle name="40% - Accent3 4 3 3 2" xfId="5413"/>
    <cellStyle name="40% - Accent3 4 3 3 2 2" xfId="5414"/>
    <cellStyle name="40% - Accent3 4 3 3 2 2 2" xfId="5415"/>
    <cellStyle name="40% - Accent3 4 3 3 2 2 3" xfId="5416"/>
    <cellStyle name="40% - Accent3 4 3 3 2 3" xfId="5417"/>
    <cellStyle name="40% - Accent3 4 3 3 2 3 2" xfId="5418"/>
    <cellStyle name="40% - Accent3 4 3 3 2 3 3" xfId="5419"/>
    <cellStyle name="40% - Accent3 4 3 3 2 4" xfId="5420"/>
    <cellStyle name="40% - Accent3 4 3 3 2 5" xfId="5421"/>
    <cellStyle name="40% - Accent3 4 3 3 3" xfId="5422"/>
    <cellStyle name="40% - Accent3 4 3 3 3 2" xfId="5423"/>
    <cellStyle name="40% - Accent3 4 3 3 3 2 2" xfId="5424"/>
    <cellStyle name="40% - Accent3 4 3 3 3 2 3" xfId="5425"/>
    <cellStyle name="40% - Accent3 4 3 3 3 3" xfId="5426"/>
    <cellStyle name="40% - Accent3 4 3 3 3 3 2" xfId="5427"/>
    <cellStyle name="40% - Accent3 4 3 3 3 3 3" xfId="5428"/>
    <cellStyle name="40% - Accent3 4 3 3 3 4" xfId="5429"/>
    <cellStyle name="40% - Accent3 4 3 3 3 5" xfId="5430"/>
    <cellStyle name="40% - Accent3 4 3 3 4" xfId="5431"/>
    <cellStyle name="40% - Accent3 4 3 3 4 2" xfId="5432"/>
    <cellStyle name="40% - Accent3 4 3 3 4 3" xfId="5433"/>
    <cellStyle name="40% - Accent3 4 3 3 5" xfId="5434"/>
    <cellStyle name="40% - Accent3 4 3 3 5 2" xfId="5435"/>
    <cellStyle name="40% - Accent3 4 3 3 5 3" xfId="5436"/>
    <cellStyle name="40% - Accent3 4 3 3 6" xfId="5437"/>
    <cellStyle name="40% - Accent3 4 3 3 7" xfId="5438"/>
    <cellStyle name="40% - Accent3 4 3 4" xfId="5439"/>
    <cellStyle name="40% - Accent3 4 3 4 2" xfId="5440"/>
    <cellStyle name="40% - Accent3 4 3 4 2 2" xfId="5441"/>
    <cellStyle name="40% - Accent3 4 3 4 2 3" xfId="5442"/>
    <cellStyle name="40% - Accent3 4 3 4 3" xfId="5443"/>
    <cellStyle name="40% - Accent3 4 3 4 3 2" xfId="5444"/>
    <cellStyle name="40% - Accent3 4 3 4 3 3" xfId="5445"/>
    <cellStyle name="40% - Accent3 4 3 4 4" xfId="5446"/>
    <cellStyle name="40% - Accent3 4 3 4 5" xfId="5447"/>
    <cellStyle name="40% - Accent3 4 3 5" xfId="5448"/>
    <cellStyle name="40% - Accent3 4 3 5 2" xfId="5449"/>
    <cellStyle name="40% - Accent3 4 3 5 2 2" xfId="5450"/>
    <cellStyle name="40% - Accent3 4 3 5 2 3" xfId="5451"/>
    <cellStyle name="40% - Accent3 4 3 5 3" xfId="5452"/>
    <cellStyle name="40% - Accent3 4 3 5 3 2" xfId="5453"/>
    <cellStyle name="40% - Accent3 4 3 5 3 3" xfId="5454"/>
    <cellStyle name="40% - Accent3 4 3 5 4" xfId="5455"/>
    <cellStyle name="40% - Accent3 4 3 5 5" xfId="5456"/>
    <cellStyle name="40% - Accent3 4 3 6" xfId="5457"/>
    <cellStyle name="40% - Accent3 4 3 6 2" xfId="5458"/>
    <cellStyle name="40% - Accent3 4 3 6 3" xfId="5459"/>
    <cellStyle name="40% - Accent3 4 3 7" xfId="5460"/>
    <cellStyle name="40% - Accent3 4 3 7 2" xfId="5461"/>
    <cellStyle name="40% - Accent3 4 3 7 3" xfId="5462"/>
    <cellStyle name="40% - Accent3 4 3 8" xfId="5463"/>
    <cellStyle name="40% - Accent3 4 3 9" xfId="5464"/>
    <cellStyle name="40% - Accent3 4 4" xfId="5465"/>
    <cellStyle name="40% - Accent3 4 4 2" xfId="5466"/>
    <cellStyle name="40% - Accent3 4 4 2 2" xfId="5467"/>
    <cellStyle name="40% - Accent3 4 4 2 2 2" xfId="5468"/>
    <cellStyle name="40% - Accent3 4 4 2 2 3" xfId="5469"/>
    <cellStyle name="40% - Accent3 4 4 2 3" xfId="5470"/>
    <cellStyle name="40% - Accent3 4 4 2 3 2" xfId="5471"/>
    <cellStyle name="40% - Accent3 4 4 2 3 3" xfId="5472"/>
    <cellStyle name="40% - Accent3 4 4 2 4" xfId="5473"/>
    <cellStyle name="40% - Accent3 4 4 2 5" xfId="5474"/>
    <cellStyle name="40% - Accent3 4 4 3" xfId="5475"/>
    <cellStyle name="40% - Accent3 4 4 3 2" xfId="5476"/>
    <cellStyle name="40% - Accent3 4 4 3 2 2" xfId="5477"/>
    <cellStyle name="40% - Accent3 4 4 3 2 3" xfId="5478"/>
    <cellStyle name="40% - Accent3 4 4 3 3" xfId="5479"/>
    <cellStyle name="40% - Accent3 4 4 3 3 2" xfId="5480"/>
    <cellStyle name="40% - Accent3 4 4 3 3 3" xfId="5481"/>
    <cellStyle name="40% - Accent3 4 4 3 4" xfId="5482"/>
    <cellStyle name="40% - Accent3 4 4 3 5" xfId="5483"/>
    <cellStyle name="40% - Accent3 4 4 4" xfId="5484"/>
    <cellStyle name="40% - Accent3 4 4 4 2" xfId="5485"/>
    <cellStyle name="40% - Accent3 4 4 4 3" xfId="5486"/>
    <cellStyle name="40% - Accent3 4 4 5" xfId="5487"/>
    <cellStyle name="40% - Accent3 4 4 5 2" xfId="5488"/>
    <cellStyle name="40% - Accent3 4 4 5 3" xfId="5489"/>
    <cellStyle name="40% - Accent3 4 4 6" xfId="5490"/>
    <cellStyle name="40% - Accent3 4 4 7" xfId="5491"/>
    <cellStyle name="40% - Accent3 4 5" xfId="5492"/>
    <cellStyle name="40% - Accent3 4 5 2" xfId="5493"/>
    <cellStyle name="40% - Accent3 4 5 2 2" xfId="5494"/>
    <cellStyle name="40% - Accent3 4 5 2 2 2" xfId="5495"/>
    <cellStyle name="40% - Accent3 4 5 2 2 3" xfId="5496"/>
    <cellStyle name="40% - Accent3 4 5 2 3" xfId="5497"/>
    <cellStyle name="40% - Accent3 4 5 2 3 2" xfId="5498"/>
    <cellStyle name="40% - Accent3 4 5 2 3 3" xfId="5499"/>
    <cellStyle name="40% - Accent3 4 5 2 4" xfId="5500"/>
    <cellStyle name="40% - Accent3 4 5 2 5" xfId="5501"/>
    <cellStyle name="40% - Accent3 4 5 3" xfId="5502"/>
    <cellStyle name="40% - Accent3 4 5 3 2" xfId="5503"/>
    <cellStyle name="40% - Accent3 4 5 3 2 2" xfId="5504"/>
    <cellStyle name="40% - Accent3 4 5 3 2 3" xfId="5505"/>
    <cellStyle name="40% - Accent3 4 5 3 3" xfId="5506"/>
    <cellStyle name="40% - Accent3 4 5 3 3 2" xfId="5507"/>
    <cellStyle name="40% - Accent3 4 5 3 3 3" xfId="5508"/>
    <cellStyle name="40% - Accent3 4 5 3 4" xfId="5509"/>
    <cellStyle name="40% - Accent3 4 5 3 5" xfId="5510"/>
    <cellStyle name="40% - Accent3 4 5 4" xfId="5511"/>
    <cellStyle name="40% - Accent3 4 5 4 2" xfId="5512"/>
    <cellStyle name="40% - Accent3 4 5 4 3" xfId="5513"/>
    <cellStyle name="40% - Accent3 4 5 5" xfId="5514"/>
    <cellStyle name="40% - Accent3 4 5 5 2" xfId="5515"/>
    <cellStyle name="40% - Accent3 4 5 5 3" xfId="5516"/>
    <cellStyle name="40% - Accent3 4 5 6" xfId="5517"/>
    <cellStyle name="40% - Accent3 4 5 7" xfId="5518"/>
    <cellStyle name="40% - Accent3 4 6" xfId="5519"/>
    <cellStyle name="40% - Accent3 4 6 2" xfId="5520"/>
    <cellStyle name="40% - Accent3 4 6 2 2" xfId="5521"/>
    <cellStyle name="40% - Accent3 4 6 2 3" xfId="5522"/>
    <cellStyle name="40% - Accent3 4 6 3" xfId="5523"/>
    <cellStyle name="40% - Accent3 4 6 3 2" xfId="5524"/>
    <cellStyle name="40% - Accent3 4 6 3 3" xfId="5525"/>
    <cellStyle name="40% - Accent3 4 6 4" xfId="5526"/>
    <cellStyle name="40% - Accent3 4 6 5" xfId="5527"/>
    <cellStyle name="40% - Accent3 4 7" xfId="5528"/>
    <cellStyle name="40% - Accent3 4 7 2" xfId="5529"/>
    <cellStyle name="40% - Accent3 4 7 2 2" xfId="5530"/>
    <cellStyle name="40% - Accent3 4 7 2 3" xfId="5531"/>
    <cellStyle name="40% - Accent3 4 7 3" xfId="5532"/>
    <cellStyle name="40% - Accent3 4 7 3 2" xfId="5533"/>
    <cellStyle name="40% - Accent3 4 7 3 3" xfId="5534"/>
    <cellStyle name="40% - Accent3 4 7 4" xfId="5535"/>
    <cellStyle name="40% - Accent3 4 7 5" xfId="5536"/>
    <cellStyle name="40% - Accent3 4 8" xfId="5537"/>
    <cellStyle name="40% - Accent3 4 8 2" xfId="5538"/>
    <cellStyle name="40% - Accent3 4 8 3" xfId="5539"/>
    <cellStyle name="40% - Accent3 4 9" xfId="5540"/>
    <cellStyle name="40% - Accent3 4 9 2" xfId="5541"/>
    <cellStyle name="40% - Accent3 4 9 3" xfId="5542"/>
    <cellStyle name="40% - Accent3 4_Sheet8" xfId="5543"/>
    <cellStyle name="40% - Accent3 5" xfId="5544"/>
    <cellStyle name="40% - Accent3 5 2" xfId="5545"/>
    <cellStyle name="40% - Accent3 5 2 2" xfId="5546"/>
    <cellStyle name="40% - Accent3 5 2 3" xfId="5547"/>
    <cellStyle name="40% - Accent3 5 3" xfId="5548"/>
    <cellStyle name="40% - Accent3 5 4" xfId="5549"/>
    <cellStyle name="40% - Accent3 5 5" xfId="42944"/>
    <cellStyle name="40% - Accent3 6" xfId="5550"/>
    <cellStyle name="40% - Accent3 6 2" xfId="5551"/>
    <cellStyle name="40% - Accent3 6 3" xfId="5552"/>
    <cellStyle name="40% - Accent3 7" xfId="5553"/>
    <cellStyle name="40% - Accent3 7 2" xfId="5554"/>
    <cellStyle name="40% - Accent3 7 3" xfId="5555"/>
    <cellStyle name="40% - Accent3 8" xfId="5556"/>
    <cellStyle name="40% - Accent3 8 2" xfId="5557"/>
    <cellStyle name="40% - Accent3 8 3" xfId="5558"/>
    <cellStyle name="40% - Accent3 9" xfId="5559"/>
    <cellStyle name="40% - Accent3 9 2" xfId="5560"/>
    <cellStyle name="40% - Accent3 9 3" xfId="5561"/>
    <cellStyle name="40% - Accent4" xfId="42839" builtinId="43" customBuiltin="1"/>
    <cellStyle name="40% - Accent4 10" xfId="5562"/>
    <cellStyle name="40% - Accent4 10 2" xfId="5563"/>
    <cellStyle name="40% - Accent4 10 3" xfId="5564"/>
    <cellStyle name="40% - Accent4 11" xfId="5565"/>
    <cellStyle name="40% - Accent4 11 2" xfId="5566"/>
    <cellStyle name="40% - Accent4 11 3" xfId="5567"/>
    <cellStyle name="40% - Accent4 12" xfId="5568"/>
    <cellStyle name="40% - Accent4 2" xfId="5569"/>
    <cellStyle name="40% - Accent4 2 10" xfId="43151"/>
    <cellStyle name="40% - Accent4 2 2" xfId="5570"/>
    <cellStyle name="40% - Accent4 2 2 2" xfId="5571"/>
    <cellStyle name="40% - Accent4 2 2_FCC Filings With Webster 2012" xfId="5572"/>
    <cellStyle name="40% - Accent4 2 3" xfId="5573"/>
    <cellStyle name="40% - Accent4 2 3 2" xfId="5574"/>
    <cellStyle name="40% - Accent4 2 4" xfId="5575"/>
    <cellStyle name="40% - Accent4 2 5" xfId="5576"/>
    <cellStyle name="40% - Accent4 2 5 2" xfId="5577"/>
    <cellStyle name="40% - Accent4 2 5 3" xfId="5578"/>
    <cellStyle name="40% - Accent4 2 6" xfId="42992"/>
    <cellStyle name="40% - Accent4 2 7" xfId="43106"/>
    <cellStyle name="40% - Accent4 2 8" xfId="43166"/>
    <cellStyle name="40% - Accent4 2 9" xfId="43144"/>
    <cellStyle name="40% - Accent4 2_Dashboard - Inventory Metrics Aug 2012" xfId="5579"/>
    <cellStyle name="40% - Accent4 3" xfId="5580"/>
    <cellStyle name="40% - Accent4 3 2" xfId="5581"/>
    <cellStyle name="40% - Accent4 3 3" xfId="42912"/>
    <cellStyle name="40% - Accent4 3 4" xfId="42991"/>
    <cellStyle name="40% - Accent4 4" xfId="5582"/>
    <cellStyle name="40% - Accent4 4 10" xfId="5583"/>
    <cellStyle name="40% - Accent4 4 11" xfId="5584"/>
    <cellStyle name="40% - Accent4 4 12" xfId="42930"/>
    <cellStyle name="40% - Accent4 4 2" xfId="5585"/>
    <cellStyle name="40% - Accent4 4 2 2" xfId="5586"/>
    <cellStyle name="40% - Accent4 4 2 2 2" xfId="5587"/>
    <cellStyle name="40% - Accent4 4 2 2 2 2" xfId="5588"/>
    <cellStyle name="40% - Accent4 4 2 2 2 2 2" xfId="5589"/>
    <cellStyle name="40% - Accent4 4 2 2 2 2 3" xfId="5590"/>
    <cellStyle name="40% - Accent4 4 2 2 2 3" xfId="5591"/>
    <cellStyle name="40% - Accent4 4 2 2 2 3 2" xfId="5592"/>
    <cellStyle name="40% - Accent4 4 2 2 2 3 3" xfId="5593"/>
    <cellStyle name="40% - Accent4 4 2 2 2 4" xfId="5594"/>
    <cellStyle name="40% - Accent4 4 2 2 2 5" xfId="5595"/>
    <cellStyle name="40% - Accent4 4 2 2 3" xfId="5596"/>
    <cellStyle name="40% - Accent4 4 2 2 3 2" xfId="5597"/>
    <cellStyle name="40% - Accent4 4 2 2 3 2 2" xfId="5598"/>
    <cellStyle name="40% - Accent4 4 2 2 3 2 3" xfId="5599"/>
    <cellStyle name="40% - Accent4 4 2 2 3 3" xfId="5600"/>
    <cellStyle name="40% - Accent4 4 2 2 3 3 2" xfId="5601"/>
    <cellStyle name="40% - Accent4 4 2 2 3 3 3" xfId="5602"/>
    <cellStyle name="40% - Accent4 4 2 2 3 4" xfId="5603"/>
    <cellStyle name="40% - Accent4 4 2 2 3 5" xfId="5604"/>
    <cellStyle name="40% - Accent4 4 2 2 4" xfId="5605"/>
    <cellStyle name="40% - Accent4 4 2 2 4 2" xfId="5606"/>
    <cellStyle name="40% - Accent4 4 2 2 4 3" xfId="5607"/>
    <cellStyle name="40% - Accent4 4 2 2 5" xfId="5608"/>
    <cellStyle name="40% - Accent4 4 2 2 5 2" xfId="5609"/>
    <cellStyle name="40% - Accent4 4 2 2 5 3" xfId="5610"/>
    <cellStyle name="40% - Accent4 4 2 2 6" xfId="5611"/>
    <cellStyle name="40% - Accent4 4 2 2 7" xfId="5612"/>
    <cellStyle name="40% - Accent4 4 2 3" xfId="5613"/>
    <cellStyle name="40% - Accent4 4 2 3 2" xfId="5614"/>
    <cellStyle name="40% - Accent4 4 2 3 2 2" xfId="5615"/>
    <cellStyle name="40% - Accent4 4 2 3 2 2 2" xfId="5616"/>
    <cellStyle name="40% - Accent4 4 2 3 2 2 3" xfId="5617"/>
    <cellStyle name="40% - Accent4 4 2 3 2 3" xfId="5618"/>
    <cellStyle name="40% - Accent4 4 2 3 2 3 2" xfId="5619"/>
    <cellStyle name="40% - Accent4 4 2 3 2 3 3" xfId="5620"/>
    <cellStyle name="40% - Accent4 4 2 3 2 4" xfId="5621"/>
    <cellStyle name="40% - Accent4 4 2 3 2 5" xfId="5622"/>
    <cellStyle name="40% - Accent4 4 2 3 3" xfId="5623"/>
    <cellStyle name="40% - Accent4 4 2 3 3 2" xfId="5624"/>
    <cellStyle name="40% - Accent4 4 2 3 3 2 2" xfId="5625"/>
    <cellStyle name="40% - Accent4 4 2 3 3 2 3" xfId="5626"/>
    <cellStyle name="40% - Accent4 4 2 3 3 3" xfId="5627"/>
    <cellStyle name="40% - Accent4 4 2 3 3 3 2" xfId="5628"/>
    <cellStyle name="40% - Accent4 4 2 3 3 3 3" xfId="5629"/>
    <cellStyle name="40% - Accent4 4 2 3 3 4" xfId="5630"/>
    <cellStyle name="40% - Accent4 4 2 3 3 5" xfId="5631"/>
    <cellStyle name="40% - Accent4 4 2 3 4" xfId="5632"/>
    <cellStyle name="40% - Accent4 4 2 3 4 2" xfId="5633"/>
    <cellStyle name="40% - Accent4 4 2 3 4 3" xfId="5634"/>
    <cellStyle name="40% - Accent4 4 2 3 5" xfId="5635"/>
    <cellStyle name="40% - Accent4 4 2 3 5 2" xfId="5636"/>
    <cellStyle name="40% - Accent4 4 2 3 5 3" xfId="5637"/>
    <cellStyle name="40% - Accent4 4 2 3 6" xfId="5638"/>
    <cellStyle name="40% - Accent4 4 2 3 7" xfId="5639"/>
    <cellStyle name="40% - Accent4 4 2 4" xfId="5640"/>
    <cellStyle name="40% - Accent4 4 2 4 2" xfId="5641"/>
    <cellStyle name="40% - Accent4 4 2 4 2 2" xfId="5642"/>
    <cellStyle name="40% - Accent4 4 2 4 2 3" xfId="5643"/>
    <cellStyle name="40% - Accent4 4 2 4 3" xfId="5644"/>
    <cellStyle name="40% - Accent4 4 2 4 3 2" xfId="5645"/>
    <cellStyle name="40% - Accent4 4 2 4 3 3" xfId="5646"/>
    <cellStyle name="40% - Accent4 4 2 4 4" xfId="5647"/>
    <cellStyle name="40% - Accent4 4 2 4 5" xfId="5648"/>
    <cellStyle name="40% - Accent4 4 2 5" xfId="5649"/>
    <cellStyle name="40% - Accent4 4 2 5 2" xfId="5650"/>
    <cellStyle name="40% - Accent4 4 2 5 2 2" xfId="5651"/>
    <cellStyle name="40% - Accent4 4 2 5 2 3" xfId="5652"/>
    <cellStyle name="40% - Accent4 4 2 5 3" xfId="5653"/>
    <cellStyle name="40% - Accent4 4 2 5 3 2" xfId="5654"/>
    <cellStyle name="40% - Accent4 4 2 5 3 3" xfId="5655"/>
    <cellStyle name="40% - Accent4 4 2 5 4" xfId="5656"/>
    <cellStyle name="40% - Accent4 4 2 5 5" xfId="5657"/>
    <cellStyle name="40% - Accent4 4 2 6" xfId="5658"/>
    <cellStyle name="40% - Accent4 4 2 6 2" xfId="5659"/>
    <cellStyle name="40% - Accent4 4 2 6 3" xfId="5660"/>
    <cellStyle name="40% - Accent4 4 2 7" xfId="5661"/>
    <cellStyle name="40% - Accent4 4 2 7 2" xfId="5662"/>
    <cellStyle name="40% - Accent4 4 2 7 3" xfId="5663"/>
    <cellStyle name="40% - Accent4 4 2 8" xfId="5664"/>
    <cellStyle name="40% - Accent4 4 2 9" xfId="5665"/>
    <cellStyle name="40% - Accent4 4 3" xfId="5666"/>
    <cellStyle name="40% - Accent4 4 3 2" xfId="5667"/>
    <cellStyle name="40% - Accent4 4 3 2 2" xfId="5668"/>
    <cellStyle name="40% - Accent4 4 3 2 2 2" xfId="5669"/>
    <cellStyle name="40% - Accent4 4 3 2 2 2 2" xfId="5670"/>
    <cellStyle name="40% - Accent4 4 3 2 2 2 3" xfId="5671"/>
    <cellStyle name="40% - Accent4 4 3 2 2 3" xfId="5672"/>
    <cellStyle name="40% - Accent4 4 3 2 2 3 2" xfId="5673"/>
    <cellStyle name="40% - Accent4 4 3 2 2 3 3" xfId="5674"/>
    <cellStyle name="40% - Accent4 4 3 2 2 4" xfId="5675"/>
    <cellStyle name="40% - Accent4 4 3 2 2 5" xfId="5676"/>
    <cellStyle name="40% - Accent4 4 3 2 3" xfId="5677"/>
    <cellStyle name="40% - Accent4 4 3 2 3 2" xfId="5678"/>
    <cellStyle name="40% - Accent4 4 3 2 3 2 2" xfId="5679"/>
    <cellStyle name="40% - Accent4 4 3 2 3 2 3" xfId="5680"/>
    <cellStyle name="40% - Accent4 4 3 2 3 3" xfId="5681"/>
    <cellStyle name="40% - Accent4 4 3 2 3 3 2" xfId="5682"/>
    <cellStyle name="40% - Accent4 4 3 2 3 3 3" xfId="5683"/>
    <cellStyle name="40% - Accent4 4 3 2 3 4" xfId="5684"/>
    <cellStyle name="40% - Accent4 4 3 2 3 5" xfId="5685"/>
    <cellStyle name="40% - Accent4 4 3 2 4" xfId="5686"/>
    <cellStyle name="40% - Accent4 4 3 2 4 2" xfId="5687"/>
    <cellStyle name="40% - Accent4 4 3 2 4 3" xfId="5688"/>
    <cellStyle name="40% - Accent4 4 3 2 5" xfId="5689"/>
    <cellStyle name="40% - Accent4 4 3 2 5 2" xfId="5690"/>
    <cellStyle name="40% - Accent4 4 3 2 5 3" xfId="5691"/>
    <cellStyle name="40% - Accent4 4 3 2 6" xfId="5692"/>
    <cellStyle name="40% - Accent4 4 3 2 7" xfId="5693"/>
    <cellStyle name="40% - Accent4 4 3 3" xfId="5694"/>
    <cellStyle name="40% - Accent4 4 3 3 2" xfId="5695"/>
    <cellStyle name="40% - Accent4 4 3 3 2 2" xfId="5696"/>
    <cellStyle name="40% - Accent4 4 3 3 2 2 2" xfId="5697"/>
    <cellStyle name="40% - Accent4 4 3 3 2 2 3" xfId="5698"/>
    <cellStyle name="40% - Accent4 4 3 3 2 3" xfId="5699"/>
    <cellStyle name="40% - Accent4 4 3 3 2 3 2" xfId="5700"/>
    <cellStyle name="40% - Accent4 4 3 3 2 3 3" xfId="5701"/>
    <cellStyle name="40% - Accent4 4 3 3 2 4" xfId="5702"/>
    <cellStyle name="40% - Accent4 4 3 3 2 5" xfId="5703"/>
    <cellStyle name="40% - Accent4 4 3 3 3" xfId="5704"/>
    <cellStyle name="40% - Accent4 4 3 3 3 2" xfId="5705"/>
    <cellStyle name="40% - Accent4 4 3 3 3 2 2" xfId="5706"/>
    <cellStyle name="40% - Accent4 4 3 3 3 2 3" xfId="5707"/>
    <cellStyle name="40% - Accent4 4 3 3 3 3" xfId="5708"/>
    <cellStyle name="40% - Accent4 4 3 3 3 3 2" xfId="5709"/>
    <cellStyle name="40% - Accent4 4 3 3 3 3 3" xfId="5710"/>
    <cellStyle name="40% - Accent4 4 3 3 3 4" xfId="5711"/>
    <cellStyle name="40% - Accent4 4 3 3 3 5" xfId="5712"/>
    <cellStyle name="40% - Accent4 4 3 3 4" xfId="5713"/>
    <cellStyle name="40% - Accent4 4 3 3 4 2" xfId="5714"/>
    <cellStyle name="40% - Accent4 4 3 3 4 3" xfId="5715"/>
    <cellStyle name="40% - Accent4 4 3 3 5" xfId="5716"/>
    <cellStyle name="40% - Accent4 4 3 3 5 2" xfId="5717"/>
    <cellStyle name="40% - Accent4 4 3 3 5 3" xfId="5718"/>
    <cellStyle name="40% - Accent4 4 3 3 6" xfId="5719"/>
    <cellStyle name="40% - Accent4 4 3 3 7" xfId="5720"/>
    <cellStyle name="40% - Accent4 4 3 4" xfId="5721"/>
    <cellStyle name="40% - Accent4 4 3 4 2" xfId="5722"/>
    <cellStyle name="40% - Accent4 4 3 4 2 2" xfId="5723"/>
    <cellStyle name="40% - Accent4 4 3 4 2 3" xfId="5724"/>
    <cellStyle name="40% - Accent4 4 3 4 3" xfId="5725"/>
    <cellStyle name="40% - Accent4 4 3 4 3 2" xfId="5726"/>
    <cellStyle name="40% - Accent4 4 3 4 3 3" xfId="5727"/>
    <cellStyle name="40% - Accent4 4 3 4 4" xfId="5728"/>
    <cellStyle name="40% - Accent4 4 3 4 5" xfId="5729"/>
    <cellStyle name="40% - Accent4 4 3 5" xfId="5730"/>
    <cellStyle name="40% - Accent4 4 3 5 2" xfId="5731"/>
    <cellStyle name="40% - Accent4 4 3 5 2 2" xfId="5732"/>
    <cellStyle name="40% - Accent4 4 3 5 2 3" xfId="5733"/>
    <cellStyle name="40% - Accent4 4 3 5 3" xfId="5734"/>
    <cellStyle name="40% - Accent4 4 3 5 3 2" xfId="5735"/>
    <cellStyle name="40% - Accent4 4 3 5 3 3" xfId="5736"/>
    <cellStyle name="40% - Accent4 4 3 5 4" xfId="5737"/>
    <cellStyle name="40% - Accent4 4 3 5 5" xfId="5738"/>
    <cellStyle name="40% - Accent4 4 3 6" xfId="5739"/>
    <cellStyle name="40% - Accent4 4 3 6 2" xfId="5740"/>
    <cellStyle name="40% - Accent4 4 3 6 3" xfId="5741"/>
    <cellStyle name="40% - Accent4 4 3 7" xfId="5742"/>
    <cellStyle name="40% - Accent4 4 3 7 2" xfId="5743"/>
    <cellStyle name="40% - Accent4 4 3 7 3" xfId="5744"/>
    <cellStyle name="40% - Accent4 4 3 8" xfId="5745"/>
    <cellStyle name="40% - Accent4 4 3 9" xfId="5746"/>
    <cellStyle name="40% - Accent4 4 4" xfId="5747"/>
    <cellStyle name="40% - Accent4 4 4 2" xfId="5748"/>
    <cellStyle name="40% - Accent4 4 4 2 2" xfId="5749"/>
    <cellStyle name="40% - Accent4 4 4 2 2 2" xfId="5750"/>
    <cellStyle name="40% - Accent4 4 4 2 2 3" xfId="5751"/>
    <cellStyle name="40% - Accent4 4 4 2 3" xfId="5752"/>
    <cellStyle name="40% - Accent4 4 4 2 3 2" xfId="5753"/>
    <cellStyle name="40% - Accent4 4 4 2 3 3" xfId="5754"/>
    <cellStyle name="40% - Accent4 4 4 2 4" xfId="5755"/>
    <cellStyle name="40% - Accent4 4 4 2 5" xfId="5756"/>
    <cellStyle name="40% - Accent4 4 4 3" xfId="5757"/>
    <cellStyle name="40% - Accent4 4 4 3 2" xfId="5758"/>
    <cellStyle name="40% - Accent4 4 4 3 2 2" xfId="5759"/>
    <cellStyle name="40% - Accent4 4 4 3 2 3" xfId="5760"/>
    <cellStyle name="40% - Accent4 4 4 3 3" xfId="5761"/>
    <cellStyle name="40% - Accent4 4 4 3 3 2" xfId="5762"/>
    <cellStyle name="40% - Accent4 4 4 3 3 3" xfId="5763"/>
    <cellStyle name="40% - Accent4 4 4 3 4" xfId="5764"/>
    <cellStyle name="40% - Accent4 4 4 3 5" xfId="5765"/>
    <cellStyle name="40% - Accent4 4 4 4" xfId="5766"/>
    <cellStyle name="40% - Accent4 4 4 4 2" xfId="5767"/>
    <cellStyle name="40% - Accent4 4 4 4 3" xfId="5768"/>
    <cellStyle name="40% - Accent4 4 4 5" xfId="5769"/>
    <cellStyle name="40% - Accent4 4 4 5 2" xfId="5770"/>
    <cellStyle name="40% - Accent4 4 4 5 3" xfId="5771"/>
    <cellStyle name="40% - Accent4 4 4 6" xfId="5772"/>
    <cellStyle name="40% - Accent4 4 4 7" xfId="5773"/>
    <cellStyle name="40% - Accent4 4 5" xfId="5774"/>
    <cellStyle name="40% - Accent4 4 5 2" xfId="5775"/>
    <cellStyle name="40% - Accent4 4 5 2 2" xfId="5776"/>
    <cellStyle name="40% - Accent4 4 5 2 2 2" xfId="5777"/>
    <cellStyle name="40% - Accent4 4 5 2 2 3" xfId="5778"/>
    <cellStyle name="40% - Accent4 4 5 2 3" xfId="5779"/>
    <cellStyle name="40% - Accent4 4 5 2 3 2" xfId="5780"/>
    <cellStyle name="40% - Accent4 4 5 2 3 3" xfId="5781"/>
    <cellStyle name="40% - Accent4 4 5 2 4" xfId="5782"/>
    <cellStyle name="40% - Accent4 4 5 2 5" xfId="5783"/>
    <cellStyle name="40% - Accent4 4 5 3" xfId="5784"/>
    <cellStyle name="40% - Accent4 4 5 3 2" xfId="5785"/>
    <cellStyle name="40% - Accent4 4 5 3 2 2" xfId="5786"/>
    <cellStyle name="40% - Accent4 4 5 3 2 3" xfId="5787"/>
    <cellStyle name="40% - Accent4 4 5 3 3" xfId="5788"/>
    <cellStyle name="40% - Accent4 4 5 3 3 2" xfId="5789"/>
    <cellStyle name="40% - Accent4 4 5 3 3 3" xfId="5790"/>
    <cellStyle name="40% - Accent4 4 5 3 4" xfId="5791"/>
    <cellStyle name="40% - Accent4 4 5 3 5" xfId="5792"/>
    <cellStyle name="40% - Accent4 4 5 4" xfId="5793"/>
    <cellStyle name="40% - Accent4 4 5 4 2" xfId="5794"/>
    <cellStyle name="40% - Accent4 4 5 4 3" xfId="5795"/>
    <cellStyle name="40% - Accent4 4 5 5" xfId="5796"/>
    <cellStyle name="40% - Accent4 4 5 5 2" xfId="5797"/>
    <cellStyle name="40% - Accent4 4 5 5 3" xfId="5798"/>
    <cellStyle name="40% - Accent4 4 5 6" xfId="5799"/>
    <cellStyle name="40% - Accent4 4 5 7" xfId="5800"/>
    <cellStyle name="40% - Accent4 4 6" xfId="5801"/>
    <cellStyle name="40% - Accent4 4 6 2" xfId="5802"/>
    <cellStyle name="40% - Accent4 4 6 2 2" xfId="5803"/>
    <cellStyle name="40% - Accent4 4 6 2 3" xfId="5804"/>
    <cellStyle name="40% - Accent4 4 6 3" xfId="5805"/>
    <cellStyle name="40% - Accent4 4 6 3 2" xfId="5806"/>
    <cellStyle name="40% - Accent4 4 6 3 3" xfId="5807"/>
    <cellStyle name="40% - Accent4 4 6 4" xfId="5808"/>
    <cellStyle name="40% - Accent4 4 6 5" xfId="5809"/>
    <cellStyle name="40% - Accent4 4 7" xfId="5810"/>
    <cellStyle name="40% - Accent4 4 7 2" xfId="5811"/>
    <cellStyle name="40% - Accent4 4 7 2 2" xfId="5812"/>
    <cellStyle name="40% - Accent4 4 7 2 3" xfId="5813"/>
    <cellStyle name="40% - Accent4 4 7 3" xfId="5814"/>
    <cellStyle name="40% - Accent4 4 7 3 2" xfId="5815"/>
    <cellStyle name="40% - Accent4 4 7 3 3" xfId="5816"/>
    <cellStyle name="40% - Accent4 4 7 4" xfId="5817"/>
    <cellStyle name="40% - Accent4 4 7 5" xfId="5818"/>
    <cellStyle name="40% - Accent4 4 8" xfId="5819"/>
    <cellStyle name="40% - Accent4 4 8 2" xfId="5820"/>
    <cellStyle name="40% - Accent4 4 8 3" xfId="5821"/>
    <cellStyle name="40% - Accent4 4 9" xfId="5822"/>
    <cellStyle name="40% - Accent4 4 9 2" xfId="5823"/>
    <cellStyle name="40% - Accent4 4 9 3" xfId="5824"/>
    <cellStyle name="40% - Accent4 4_Sheet8" xfId="5825"/>
    <cellStyle name="40% - Accent4 5" xfId="5826"/>
    <cellStyle name="40% - Accent4 5 2" xfId="5827"/>
    <cellStyle name="40% - Accent4 5 2 2" xfId="5828"/>
    <cellStyle name="40% - Accent4 5 2 3" xfId="5829"/>
    <cellStyle name="40% - Accent4 5 3" xfId="5830"/>
    <cellStyle name="40% - Accent4 5 4" xfId="5831"/>
    <cellStyle name="40% - Accent4 5 5" xfId="42946"/>
    <cellStyle name="40% - Accent4 6" xfId="5832"/>
    <cellStyle name="40% - Accent4 6 2" xfId="5833"/>
    <cellStyle name="40% - Accent4 6 3" xfId="5834"/>
    <cellStyle name="40% - Accent4 7" xfId="5835"/>
    <cellStyle name="40% - Accent4 7 2" xfId="5836"/>
    <cellStyle name="40% - Accent4 7 3" xfId="5837"/>
    <cellStyle name="40% - Accent4 8" xfId="5838"/>
    <cellStyle name="40% - Accent4 8 2" xfId="5839"/>
    <cellStyle name="40% - Accent4 8 3" xfId="5840"/>
    <cellStyle name="40% - Accent4 9" xfId="5841"/>
    <cellStyle name="40% - Accent4 9 2" xfId="5842"/>
    <cellStyle name="40% - Accent4 9 3" xfId="5843"/>
    <cellStyle name="40% - Accent5" xfId="42843" builtinId="47" customBuiltin="1"/>
    <cellStyle name="40% - Accent5 10" xfId="5844"/>
    <cellStyle name="40% - Accent5 10 2" xfId="5845"/>
    <cellStyle name="40% - Accent5 10 3" xfId="5846"/>
    <cellStyle name="40% - Accent5 11" xfId="5847"/>
    <cellStyle name="40% - Accent5 11 2" xfId="5848"/>
    <cellStyle name="40% - Accent5 11 3" xfId="5849"/>
    <cellStyle name="40% - Accent5 12" xfId="5850"/>
    <cellStyle name="40% - Accent5 2" xfId="5851"/>
    <cellStyle name="40% - Accent5 2 10" xfId="43150"/>
    <cellStyle name="40% - Accent5 2 2" xfId="5852"/>
    <cellStyle name="40% - Accent5 2 2 2" xfId="5853"/>
    <cellStyle name="40% - Accent5 2 2_FCC Filings With Webster 2012" xfId="5854"/>
    <cellStyle name="40% - Accent5 2 3" xfId="5855"/>
    <cellStyle name="40% - Accent5 2 3 2" xfId="5856"/>
    <cellStyle name="40% - Accent5 2 4" xfId="5857"/>
    <cellStyle name="40% - Accent5 2 5" xfId="5858"/>
    <cellStyle name="40% - Accent5 2 5 2" xfId="5859"/>
    <cellStyle name="40% - Accent5 2 5 3" xfId="5860"/>
    <cellStyle name="40% - Accent5 2 6" xfId="42994"/>
    <cellStyle name="40% - Accent5 2 7" xfId="43104"/>
    <cellStyle name="40% - Accent5 2 8" xfId="43165"/>
    <cellStyle name="40% - Accent5 2 9" xfId="43080"/>
    <cellStyle name="40% - Accent5 2_Dashboard - Inventory Metrics Aug 2012" xfId="5861"/>
    <cellStyle name="40% - Accent5 3" xfId="5862"/>
    <cellStyle name="40% - Accent5 3 2" xfId="5863"/>
    <cellStyle name="40% - Accent5 3 3" xfId="42914"/>
    <cellStyle name="40% - Accent5 3 4" xfId="42993"/>
    <cellStyle name="40% - Accent5 4" xfId="5864"/>
    <cellStyle name="40% - Accent5 4 10" xfId="5865"/>
    <cellStyle name="40% - Accent5 4 11" xfId="5866"/>
    <cellStyle name="40% - Accent5 4 12" xfId="42932"/>
    <cellStyle name="40% - Accent5 4 2" xfId="5867"/>
    <cellStyle name="40% - Accent5 4 2 2" xfId="5868"/>
    <cellStyle name="40% - Accent5 4 2 2 2" xfId="5869"/>
    <cellStyle name="40% - Accent5 4 2 2 2 2" xfId="5870"/>
    <cellStyle name="40% - Accent5 4 2 2 2 2 2" xfId="5871"/>
    <cellStyle name="40% - Accent5 4 2 2 2 2 3" xfId="5872"/>
    <cellStyle name="40% - Accent5 4 2 2 2 3" xfId="5873"/>
    <cellStyle name="40% - Accent5 4 2 2 2 3 2" xfId="5874"/>
    <cellStyle name="40% - Accent5 4 2 2 2 3 3" xfId="5875"/>
    <cellStyle name="40% - Accent5 4 2 2 2 4" xfId="5876"/>
    <cellStyle name="40% - Accent5 4 2 2 2 5" xfId="5877"/>
    <cellStyle name="40% - Accent5 4 2 2 3" xfId="5878"/>
    <cellStyle name="40% - Accent5 4 2 2 3 2" xfId="5879"/>
    <cellStyle name="40% - Accent5 4 2 2 3 2 2" xfId="5880"/>
    <cellStyle name="40% - Accent5 4 2 2 3 2 3" xfId="5881"/>
    <cellStyle name="40% - Accent5 4 2 2 3 3" xfId="5882"/>
    <cellStyle name="40% - Accent5 4 2 2 3 3 2" xfId="5883"/>
    <cellStyle name="40% - Accent5 4 2 2 3 3 3" xfId="5884"/>
    <cellStyle name="40% - Accent5 4 2 2 3 4" xfId="5885"/>
    <cellStyle name="40% - Accent5 4 2 2 3 5" xfId="5886"/>
    <cellStyle name="40% - Accent5 4 2 2 4" xfId="5887"/>
    <cellStyle name="40% - Accent5 4 2 2 4 2" xfId="5888"/>
    <cellStyle name="40% - Accent5 4 2 2 4 3" xfId="5889"/>
    <cellStyle name="40% - Accent5 4 2 2 5" xfId="5890"/>
    <cellStyle name="40% - Accent5 4 2 2 5 2" xfId="5891"/>
    <cellStyle name="40% - Accent5 4 2 2 5 3" xfId="5892"/>
    <cellStyle name="40% - Accent5 4 2 2 6" xfId="5893"/>
    <cellStyle name="40% - Accent5 4 2 2 7" xfId="5894"/>
    <cellStyle name="40% - Accent5 4 2 3" xfId="5895"/>
    <cellStyle name="40% - Accent5 4 2 3 2" xfId="5896"/>
    <cellStyle name="40% - Accent5 4 2 3 2 2" xfId="5897"/>
    <cellStyle name="40% - Accent5 4 2 3 2 2 2" xfId="5898"/>
    <cellStyle name="40% - Accent5 4 2 3 2 2 3" xfId="5899"/>
    <cellStyle name="40% - Accent5 4 2 3 2 3" xfId="5900"/>
    <cellStyle name="40% - Accent5 4 2 3 2 3 2" xfId="5901"/>
    <cellStyle name="40% - Accent5 4 2 3 2 3 3" xfId="5902"/>
    <cellStyle name="40% - Accent5 4 2 3 2 4" xfId="5903"/>
    <cellStyle name="40% - Accent5 4 2 3 2 5" xfId="5904"/>
    <cellStyle name="40% - Accent5 4 2 3 3" xfId="5905"/>
    <cellStyle name="40% - Accent5 4 2 3 3 2" xfId="5906"/>
    <cellStyle name="40% - Accent5 4 2 3 3 2 2" xfId="5907"/>
    <cellStyle name="40% - Accent5 4 2 3 3 2 3" xfId="5908"/>
    <cellStyle name="40% - Accent5 4 2 3 3 3" xfId="5909"/>
    <cellStyle name="40% - Accent5 4 2 3 3 3 2" xfId="5910"/>
    <cellStyle name="40% - Accent5 4 2 3 3 3 3" xfId="5911"/>
    <cellStyle name="40% - Accent5 4 2 3 3 4" xfId="5912"/>
    <cellStyle name="40% - Accent5 4 2 3 3 5" xfId="5913"/>
    <cellStyle name="40% - Accent5 4 2 3 4" xfId="5914"/>
    <cellStyle name="40% - Accent5 4 2 3 4 2" xfId="5915"/>
    <cellStyle name="40% - Accent5 4 2 3 4 3" xfId="5916"/>
    <cellStyle name="40% - Accent5 4 2 3 5" xfId="5917"/>
    <cellStyle name="40% - Accent5 4 2 3 5 2" xfId="5918"/>
    <cellStyle name="40% - Accent5 4 2 3 5 3" xfId="5919"/>
    <cellStyle name="40% - Accent5 4 2 3 6" xfId="5920"/>
    <cellStyle name="40% - Accent5 4 2 3 7" xfId="5921"/>
    <cellStyle name="40% - Accent5 4 2 4" xfId="5922"/>
    <cellStyle name="40% - Accent5 4 2 4 2" xfId="5923"/>
    <cellStyle name="40% - Accent5 4 2 4 2 2" xfId="5924"/>
    <cellStyle name="40% - Accent5 4 2 4 2 3" xfId="5925"/>
    <cellStyle name="40% - Accent5 4 2 4 3" xfId="5926"/>
    <cellStyle name="40% - Accent5 4 2 4 3 2" xfId="5927"/>
    <cellStyle name="40% - Accent5 4 2 4 3 3" xfId="5928"/>
    <cellStyle name="40% - Accent5 4 2 4 4" xfId="5929"/>
    <cellStyle name="40% - Accent5 4 2 4 5" xfId="5930"/>
    <cellStyle name="40% - Accent5 4 2 5" xfId="5931"/>
    <cellStyle name="40% - Accent5 4 2 5 2" xfId="5932"/>
    <cellStyle name="40% - Accent5 4 2 5 2 2" xfId="5933"/>
    <cellStyle name="40% - Accent5 4 2 5 2 3" xfId="5934"/>
    <cellStyle name="40% - Accent5 4 2 5 3" xfId="5935"/>
    <cellStyle name="40% - Accent5 4 2 5 3 2" xfId="5936"/>
    <cellStyle name="40% - Accent5 4 2 5 3 3" xfId="5937"/>
    <cellStyle name="40% - Accent5 4 2 5 4" xfId="5938"/>
    <cellStyle name="40% - Accent5 4 2 5 5" xfId="5939"/>
    <cellStyle name="40% - Accent5 4 2 6" xfId="5940"/>
    <cellStyle name="40% - Accent5 4 2 6 2" xfId="5941"/>
    <cellStyle name="40% - Accent5 4 2 6 3" xfId="5942"/>
    <cellStyle name="40% - Accent5 4 2 7" xfId="5943"/>
    <cellStyle name="40% - Accent5 4 2 7 2" xfId="5944"/>
    <cellStyle name="40% - Accent5 4 2 7 3" xfId="5945"/>
    <cellStyle name="40% - Accent5 4 2 8" xfId="5946"/>
    <cellStyle name="40% - Accent5 4 2 9" xfId="5947"/>
    <cellStyle name="40% - Accent5 4 3" xfId="5948"/>
    <cellStyle name="40% - Accent5 4 3 2" xfId="5949"/>
    <cellStyle name="40% - Accent5 4 3 2 2" xfId="5950"/>
    <cellStyle name="40% - Accent5 4 3 2 2 2" xfId="5951"/>
    <cellStyle name="40% - Accent5 4 3 2 2 2 2" xfId="5952"/>
    <cellStyle name="40% - Accent5 4 3 2 2 2 3" xfId="5953"/>
    <cellStyle name="40% - Accent5 4 3 2 2 3" xfId="5954"/>
    <cellStyle name="40% - Accent5 4 3 2 2 3 2" xfId="5955"/>
    <cellStyle name="40% - Accent5 4 3 2 2 3 3" xfId="5956"/>
    <cellStyle name="40% - Accent5 4 3 2 2 4" xfId="5957"/>
    <cellStyle name="40% - Accent5 4 3 2 2 5" xfId="5958"/>
    <cellStyle name="40% - Accent5 4 3 2 3" xfId="5959"/>
    <cellStyle name="40% - Accent5 4 3 2 3 2" xfId="5960"/>
    <cellStyle name="40% - Accent5 4 3 2 3 2 2" xfId="5961"/>
    <cellStyle name="40% - Accent5 4 3 2 3 2 3" xfId="5962"/>
    <cellStyle name="40% - Accent5 4 3 2 3 3" xfId="5963"/>
    <cellStyle name="40% - Accent5 4 3 2 3 3 2" xfId="5964"/>
    <cellStyle name="40% - Accent5 4 3 2 3 3 3" xfId="5965"/>
    <cellStyle name="40% - Accent5 4 3 2 3 4" xfId="5966"/>
    <cellStyle name="40% - Accent5 4 3 2 3 5" xfId="5967"/>
    <cellStyle name="40% - Accent5 4 3 2 4" xfId="5968"/>
    <cellStyle name="40% - Accent5 4 3 2 4 2" xfId="5969"/>
    <cellStyle name="40% - Accent5 4 3 2 4 3" xfId="5970"/>
    <cellStyle name="40% - Accent5 4 3 2 5" xfId="5971"/>
    <cellStyle name="40% - Accent5 4 3 2 5 2" xfId="5972"/>
    <cellStyle name="40% - Accent5 4 3 2 5 3" xfId="5973"/>
    <cellStyle name="40% - Accent5 4 3 2 6" xfId="5974"/>
    <cellStyle name="40% - Accent5 4 3 2 7" xfId="5975"/>
    <cellStyle name="40% - Accent5 4 3 3" xfId="5976"/>
    <cellStyle name="40% - Accent5 4 3 3 2" xfId="5977"/>
    <cellStyle name="40% - Accent5 4 3 3 2 2" xfId="5978"/>
    <cellStyle name="40% - Accent5 4 3 3 2 2 2" xfId="5979"/>
    <cellStyle name="40% - Accent5 4 3 3 2 2 3" xfId="5980"/>
    <cellStyle name="40% - Accent5 4 3 3 2 3" xfId="5981"/>
    <cellStyle name="40% - Accent5 4 3 3 2 3 2" xfId="5982"/>
    <cellStyle name="40% - Accent5 4 3 3 2 3 3" xfId="5983"/>
    <cellStyle name="40% - Accent5 4 3 3 2 4" xfId="5984"/>
    <cellStyle name="40% - Accent5 4 3 3 2 5" xfId="5985"/>
    <cellStyle name="40% - Accent5 4 3 3 3" xfId="5986"/>
    <cellStyle name="40% - Accent5 4 3 3 3 2" xfId="5987"/>
    <cellStyle name="40% - Accent5 4 3 3 3 2 2" xfId="5988"/>
    <cellStyle name="40% - Accent5 4 3 3 3 2 3" xfId="5989"/>
    <cellStyle name="40% - Accent5 4 3 3 3 3" xfId="5990"/>
    <cellStyle name="40% - Accent5 4 3 3 3 3 2" xfId="5991"/>
    <cellStyle name="40% - Accent5 4 3 3 3 3 3" xfId="5992"/>
    <cellStyle name="40% - Accent5 4 3 3 3 4" xfId="5993"/>
    <cellStyle name="40% - Accent5 4 3 3 3 5" xfId="5994"/>
    <cellStyle name="40% - Accent5 4 3 3 4" xfId="5995"/>
    <cellStyle name="40% - Accent5 4 3 3 4 2" xfId="5996"/>
    <cellStyle name="40% - Accent5 4 3 3 4 3" xfId="5997"/>
    <cellStyle name="40% - Accent5 4 3 3 5" xfId="5998"/>
    <cellStyle name="40% - Accent5 4 3 3 5 2" xfId="5999"/>
    <cellStyle name="40% - Accent5 4 3 3 5 3" xfId="6000"/>
    <cellStyle name="40% - Accent5 4 3 3 6" xfId="6001"/>
    <cellStyle name="40% - Accent5 4 3 3 7" xfId="6002"/>
    <cellStyle name="40% - Accent5 4 3 4" xfId="6003"/>
    <cellStyle name="40% - Accent5 4 3 4 2" xfId="6004"/>
    <cellStyle name="40% - Accent5 4 3 4 2 2" xfId="6005"/>
    <cellStyle name="40% - Accent5 4 3 4 2 3" xfId="6006"/>
    <cellStyle name="40% - Accent5 4 3 4 3" xfId="6007"/>
    <cellStyle name="40% - Accent5 4 3 4 3 2" xfId="6008"/>
    <cellStyle name="40% - Accent5 4 3 4 3 3" xfId="6009"/>
    <cellStyle name="40% - Accent5 4 3 4 4" xfId="6010"/>
    <cellStyle name="40% - Accent5 4 3 4 5" xfId="6011"/>
    <cellStyle name="40% - Accent5 4 3 5" xfId="6012"/>
    <cellStyle name="40% - Accent5 4 3 5 2" xfId="6013"/>
    <cellStyle name="40% - Accent5 4 3 5 2 2" xfId="6014"/>
    <cellStyle name="40% - Accent5 4 3 5 2 3" xfId="6015"/>
    <cellStyle name="40% - Accent5 4 3 5 3" xfId="6016"/>
    <cellStyle name="40% - Accent5 4 3 5 3 2" xfId="6017"/>
    <cellStyle name="40% - Accent5 4 3 5 3 3" xfId="6018"/>
    <cellStyle name="40% - Accent5 4 3 5 4" xfId="6019"/>
    <cellStyle name="40% - Accent5 4 3 5 5" xfId="6020"/>
    <cellStyle name="40% - Accent5 4 3 6" xfId="6021"/>
    <cellStyle name="40% - Accent5 4 3 6 2" xfId="6022"/>
    <cellStyle name="40% - Accent5 4 3 6 3" xfId="6023"/>
    <cellStyle name="40% - Accent5 4 3 7" xfId="6024"/>
    <cellStyle name="40% - Accent5 4 3 7 2" xfId="6025"/>
    <cellStyle name="40% - Accent5 4 3 7 3" xfId="6026"/>
    <cellStyle name="40% - Accent5 4 3 8" xfId="6027"/>
    <cellStyle name="40% - Accent5 4 3 9" xfId="6028"/>
    <cellStyle name="40% - Accent5 4 4" xfId="6029"/>
    <cellStyle name="40% - Accent5 4 4 2" xfId="6030"/>
    <cellStyle name="40% - Accent5 4 4 2 2" xfId="6031"/>
    <cellStyle name="40% - Accent5 4 4 2 2 2" xfId="6032"/>
    <cellStyle name="40% - Accent5 4 4 2 2 3" xfId="6033"/>
    <cellStyle name="40% - Accent5 4 4 2 3" xfId="6034"/>
    <cellStyle name="40% - Accent5 4 4 2 3 2" xfId="6035"/>
    <cellStyle name="40% - Accent5 4 4 2 3 3" xfId="6036"/>
    <cellStyle name="40% - Accent5 4 4 2 4" xfId="6037"/>
    <cellStyle name="40% - Accent5 4 4 2 5" xfId="6038"/>
    <cellStyle name="40% - Accent5 4 4 3" xfId="6039"/>
    <cellStyle name="40% - Accent5 4 4 3 2" xfId="6040"/>
    <cellStyle name="40% - Accent5 4 4 3 2 2" xfId="6041"/>
    <cellStyle name="40% - Accent5 4 4 3 2 3" xfId="6042"/>
    <cellStyle name="40% - Accent5 4 4 3 3" xfId="6043"/>
    <cellStyle name="40% - Accent5 4 4 3 3 2" xfId="6044"/>
    <cellStyle name="40% - Accent5 4 4 3 3 3" xfId="6045"/>
    <cellStyle name="40% - Accent5 4 4 3 4" xfId="6046"/>
    <cellStyle name="40% - Accent5 4 4 3 5" xfId="6047"/>
    <cellStyle name="40% - Accent5 4 4 4" xfId="6048"/>
    <cellStyle name="40% - Accent5 4 4 4 2" xfId="6049"/>
    <cellStyle name="40% - Accent5 4 4 4 3" xfId="6050"/>
    <cellStyle name="40% - Accent5 4 4 5" xfId="6051"/>
    <cellStyle name="40% - Accent5 4 4 5 2" xfId="6052"/>
    <cellStyle name="40% - Accent5 4 4 5 3" xfId="6053"/>
    <cellStyle name="40% - Accent5 4 4 6" xfId="6054"/>
    <cellStyle name="40% - Accent5 4 4 7" xfId="6055"/>
    <cellStyle name="40% - Accent5 4 5" xfId="6056"/>
    <cellStyle name="40% - Accent5 4 5 2" xfId="6057"/>
    <cellStyle name="40% - Accent5 4 5 2 2" xfId="6058"/>
    <cellStyle name="40% - Accent5 4 5 2 2 2" xfId="6059"/>
    <cellStyle name="40% - Accent5 4 5 2 2 3" xfId="6060"/>
    <cellStyle name="40% - Accent5 4 5 2 3" xfId="6061"/>
    <cellStyle name="40% - Accent5 4 5 2 3 2" xfId="6062"/>
    <cellStyle name="40% - Accent5 4 5 2 3 3" xfId="6063"/>
    <cellStyle name="40% - Accent5 4 5 2 4" xfId="6064"/>
    <cellStyle name="40% - Accent5 4 5 2 5" xfId="6065"/>
    <cellStyle name="40% - Accent5 4 5 3" xfId="6066"/>
    <cellStyle name="40% - Accent5 4 5 3 2" xfId="6067"/>
    <cellStyle name="40% - Accent5 4 5 3 2 2" xfId="6068"/>
    <cellStyle name="40% - Accent5 4 5 3 2 3" xfId="6069"/>
    <cellStyle name="40% - Accent5 4 5 3 3" xfId="6070"/>
    <cellStyle name="40% - Accent5 4 5 3 3 2" xfId="6071"/>
    <cellStyle name="40% - Accent5 4 5 3 3 3" xfId="6072"/>
    <cellStyle name="40% - Accent5 4 5 3 4" xfId="6073"/>
    <cellStyle name="40% - Accent5 4 5 3 5" xfId="6074"/>
    <cellStyle name="40% - Accent5 4 5 4" xfId="6075"/>
    <cellStyle name="40% - Accent5 4 5 4 2" xfId="6076"/>
    <cellStyle name="40% - Accent5 4 5 4 3" xfId="6077"/>
    <cellStyle name="40% - Accent5 4 5 5" xfId="6078"/>
    <cellStyle name="40% - Accent5 4 5 5 2" xfId="6079"/>
    <cellStyle name="40% - Accent5 4 5 5 3" xfId="6080"/>
    <cellStyle name="40% - Accent5 4 5 6" xfId="6081"/>
    <cellStyle name="40% - Accent5 4 5 7" xfId="6082"/>
    <cellStyle name="40% - Accent5 4 6" xfId="6083"/>
    <cellStyle name="40% - Accent5 4 6 2" xfId="6084"/>
    <cellStyle name="40% - Accent5 4 6 2 2" xfId="6085"/>
    <cellStyle name="40% - Accent5 4 6 2 3" xfId="6086"/>
    <cellStyle name="40% - Accent5 4 6 3" xfId="6087"/>
    <cellStyle name="40% - Accent5 4 6 3 2" xfId="6088"/>
    <cellStyle name="40% - Accent5 4 6 3 3" xfId="6089"/>
    <cellStyle name="40% - Accent5 4 6 4" xfId="6090"/>
    <cellStyle name="40% - Accent5 4 6 5" xfId="6091"/>
    <cellStyle name="40% - Accent5 4 7" xfId="6092"/>
    <cellStyle name="40% - Accent5 4 7 2" xfId="6093"/>
    <cellStyle name="40% - Accent5 4 7 2 2" xfId="6094"/>
    <cellStyle name="40% - Accent5 4 7 2 3" xfId="6095"/>
    <cellStyle name="40% - Accent5 4 7 3" xfId="6096"/>
    <cellStyle name="40% - Accent5 4 7 3 2" xfId="6097"/>
    <cellStyle name="40% - Accent5 4 7 3 3" xfId="6098"/>
    <cellStyle name="40% - Accent5 4 7 4" xfId="6099"/>
    <cellStyle name="40% - Accent5 4 7 5" xfId="6100"/>
    <cellStyle name="40% - Accent5 4 8" xfId="6101"/>
    <cellStyle name="40% - Accent5 4 8 2" xfId="6102"/>
    <cellStyle name="40% - Accent5 4 8 3" xfId="6103"/>
    <cellStyle name="40% - Accent5 4 9" xfId="6104"/>
    <cellStyle name="40% - Accent5 4 9 2" xfId="6105"/>
    <cellStyle name="40% - Accent5 4 9 3" xfId="6106"/>
    <cellStyle name="40% - Accent5 4_Sheet8" xfId="6107"/>
    <cellStyle name="40% - Accent5 5" xfId="6108"/>
    <cellStyle name="40% - Accent5 5 2" xfId="6109"/>
    <cellStyle name="40% - Accent5 5 2 2" xfId="6110"/>
    <cellStyle name="40% - Accent5 5 2 3" xfId="6111"/>
    <cellStyle name="40% - Accent5 5 3" xfId="6112"/>
    <cellStyle name="40% - Accent5 5 4" xfId="6113"/>
    <cellStyle name="40% - Accent5 5 5" xfId="42948"/>
    <cellStyle name="40% - Accent5 6" xfId="6114"/>
    <cellStyle name="40% - Accent5 6 2" xfId="6115"/>
    <cellStyle name="40% - Accent5 6 3" xfId="6116"/>
    <cellStyle name="40% - Accent5 7" xfId="6117"/>
    <cellStyle name="40% - Accent5 7 2" xfId="6118"/>
    <cellStyle name="40% - Accent5 7 3" xfId="6119"/>
    <cellStyle name="40% - Accent5 8" xfId="6120"/>
    <cellStyle name="40% - Accent5 8 2" xfId="6121"/>
    <cellStyle name="40% - Accent5 8 3" xfId="6122"/>
    <cellStyle name="40% - Accent5 9" xfId="6123"/>
    <cellStyle name="40% - Accent5 9 2" xfId="6124"/>
    <cellStyle name="40% - Accent5 9 3" xfId="6125"/>
    <cellStyle name="40% - Accent6" xfId="42847" builtinId="51" customBuiltin="1"/>
    <cellStyle name="40% - Accent6 10" xfId="6126"/>
    <cellStyle name="40% - Accent6 10 2" xfId="6127"/>
    <cellStyle name="40% - Accent6 10 3" xfId="6128"/>
    <cellStyle name="40% - Accent6 11" xfId="6129"/>
    <cellStyle name="40% - Accent6 11 2" xfId="6130"/>
    <cellStyle name="40% - Accent6 11 3" xfId="6131"/>
    <cellStyle name="40% - Accent6 12" xfId="6132"/>
    <cellStyle name="40% - Accent6 2" xfId="6133"/>
    <cellStyle name="40% - Accent6 2 10" xfId="43149"/>
    <cellStyle name="40% - Accent6 2 2" xfId="6134"/>
    <cellStyle name="40% - Accent6 2 2 2" xfId="6135"/>
    <cellStyle name="40% - Accent6 2 2_FCC Filings With Webster 2012" xfId="6136"/>
    <cellStyle name="40% - Accent6 2 3" xfId="6137"/>
    <cellStyle name="40% - Accent6 2 3 2" xfId="6138"/>
    <cellStyle name="40% - Accent6 2 4" xfId="6139"/>
    <cellStyle name="40% - Accent6 2 5" xfId="6140"/>
    <cellStyle name="40% - Accent6 2 5 2" xfId="6141"/>
    <cellStyle name="40% - Accent6 2 5 3" xfId="6142"/>
    <cellStyle name="40% - Accent6 2 6" xfId="42996"/>
    <cellStyle name="40% - Accent6 2 7" xfId="43103"/>
    <cellStyle name="40% - Accent6 2 8" xfId="43164"/>
    <cellStyle name="40% - Accent6 2 9" xfId="43078"/>
    <cellStyle name="40% - Accent6 2_Dashboard - Inventory Metrics Aug 2012" xfId="6143"/>
    <cellStyle name="40% - Accent6 3" xfId="6144"/>
    <cellStyle name="40% - Accent6 3 2" xfId="6145"/>
    <cellStyle name="40% - Accent6 3 3" xfId="42916"/>
    <cellStyle name="40% - Accent6 3 4" xfId="42995"/>
    <cellStyle name="40% - Accent6 4" xfId="6146"/>
    <cellStyle name="40% - Accent6 4 10" xfId="6147"/>
    <cellStyle name="40% - Accent6 4 11" xfId="6148"/>
    <cellStyle name="40% - Accent6 4 12" xfId="42934"/>
    <cellStyle name="40% - Accent6 4 2" xfId="6149"/>
    <cellStyle name="40% - Accent6 4 2 2" xfId="6150"/>
    <cellStyle name="40% - Accent6 4 2 2 2" xfId="6151"/>
    <cellStyle name="40% - Accent6 4 2 2 2 2" xfId="6152"/>
    <cellStyle name="40% - Accent6 4 2 2 2 2 2" xfId="6153"/>
    <cellStyle name="40% - Accent6 4 2 2 2 2 3" xfId="6154"/>
    <cellStyle name="40% - Accent6 4 2 2 2 3" xfId="6155"/>
    <cellStyle name="40% - Accent6 4 2 2 2 3 2" xfId="6156"/>
    <cellStyle name="40% - Accent6 4 2 2 2 3 3" xfId="6157"/>
    <cellStyle name="40% - Accent6 4 2 2 2 4" xfId="6158"/>
    <cellStyle name="40% - Accent6 4 2 2 2 5" xfId="6159"/>
    <cellStyle name="40% - Accent6 4 2 2 3" xfId="6160"/>
    <cellStyle name="40% - Accent6 4 2 2 3 2" xfId="6161"/>
    <cellStyle name="40% - Accent6 4 2 2 3 2 2" xfId="6162"/>
    <cellStyle name="40% - Accent6 4 2 2 3 2 3" xfId="6163"/>
    <cellStyle name="40% - Accent6 4 2 2 3 3" xfId="6164"/>
    <cellStyle name="40% - Accent6 4 2 2 3 3 2" xfId="6165"/>
    <cellStyle name="40% - Accent6 4 2 2 3 3 3" xfId="6166"/>
    <cellStyle name="40% - Accent6 4 2 2 3 4" xfId="6167"/>
    <cellStyle name="40% - Accent6 4 2 2 3 5" xfId="6168"/>
    <cellStyle name="40% - Accent6 4 2 2 4" xfId="6169"/>
    <cellStyle name="40% - Accent6 4 2 2 4 2" xfId="6170"/>
    <cellStyle name="40% - Accent6 4 2 2 4 3" xfId="6171"/>
    <cellStyle name="40% - Accent6 4 2 2 5" xfId="6172"/>
    <cellStyle name="40% - Accent6 4 2 2 5 2" xfId="6173"/>
    <cellStyle name="40% - Accent6 4 2 2 5 3" xfId="6174"/>
    <cellStyle name="40% - Accent6 4 2 2 6" xfId="6175"/>
    <cellStyle name="40% - Accent6 4 2 2 7" xfId="6176"/>
    <cellStyle name="40% - Accent6 4 2 3" xfId="6177"/>
    <cellStyle name="40% - Accent6 4 2 3 2" xfId="6178"/>
    <cellStyle name="40% - Accent6 4 2 3 2 2" xfId="6179"/>
    <cellStyle name="40% - Accent6 4 2 3 2 2 2" xfId="6180"/>
    <cellStyle name="40% - Accent6 4 2 3 2 2 3" xfId="6181"/>
    <cellStyle name="40% - Accent6 4 2 3 2 3" xfId="6182"/>
    <cellStyle name="40% - Accent6 4 2 3 2 3 2" xfId="6183"/>
    <cellStyle name="40% - Accent6 4 2 3 2 3 3" xfId="6184"/>
    <cellStyle name="40% - Accent6 4 2 3 2 4" xfId="6185"/>
    <cellStyle name="40% - Accent6 4 2 3 2 5" xfId="6186"/>
    <cellStyle name="40% - Accent6 4 2 3 3" xfId="6187"/>
    <cellStyle name="40% - Accent6 4 2 3 3 2" xfId="6188"/>
    <cellStyle name="40% - Accent6 4 2 3 3 2 2" xfId="6189"/>
    <cellStyle name="40% - Accent6 4 2 3 3 2 3" xfId="6190"/>
    <cellStyle name="40% - Accent6 4 2 3 3 3" xfId="6191"/>
    <cellStyle name="40% - Accent6 4 2 3 3 3 2" xfId="6192"/>
    <cellStyle name="40% - Accent6 4 2 3 3 3 3" xfId="6193"/>
    <cellStyle name="40% - Accent6 4 2 3 3 4" xfId="6194"/>
    <cellStyle name="40% - Accent6 4 2 3 3 5" xfId="6195"/>
    <cellStyle name="40% - Accent6 4 2 3 4" xfId="6196"/>
    <cellStyle name="40% - Accent6 4 2 3 4 2" xfId="6197"/>
    <cellStyle name="40% - Accent6 4 2 3 4 3" xfId="6198"/>
    <cellStyle name="40% - Accent6 4 2 3 5" xfId="6199"/>
    <cellStyle name="40% - Accent6 4 2 3 5 2" xfId="6200"/>
    <cellStyle name="40% - Accent6 4 2 3 5 3" xfId="6201"/>
    <cellStyle name="40% - Accent6 4 2 3 6" xfId="6202"/>
    <cellStyle name="40% - Accent6 4 2 3 7" xfId="6203"/>
    <cellStyle name="40% - Accent6 4 2 4" xfId="6204"/>
    <cellStyle name="40% - Accent6 4 2 4 2" xfId="6205"/>
    <cellStyle name="40% - Accent6 4 2 4 2 2" xfId="6206"/>
    <cellStyle name="40% - Accent6 4 2 4 2 3" xfId="6207"/>
    <cellStyle name="40% - Accent6 4 2 4 3" xfId="6208"/>
    <cellStyle name="40% - Accent6 4 2 4 3 2" xfId="6209"/>
    <cellStyle name="40% - Accent6 4 2 4 3 3" xfId="6210"/>
    <cellStyle name="40% - Accent6 4 2 4 4" xfId="6211"/>
    <cellStyle name="40% - Accent6 4 2 4 5" xfId="6212"/>
    <cellStyle name="40% - Accent6 4 2 5" xfId="6213"/>
    <cellStyle name="40% - Accent6 4 2 5 2" xfId="6214"/>
    <cellStyle name="40% - Accent6 4 2 5 2 2" xfId="6215"/>
    <cellStyle name="40% - Accent6 4 2 5 2 3" xfId="6216"/>
    <cellStyle name="40% - Accent6 4 2 5 3" xfId="6217"/>
    <cellStyle name="40% - Accent6 4 2 5 3 2" xfId="6218"/>
    <cellStyle name="40% - Accent6 4 2 5 3 3" xfId="6219"/>
    <cellStyle name="40% - Accent6 4 2 5 4" xfId="6220"/>
    <cellStyle name="40% - Accent6 4 2 5 5" xfId="6221"/>
    <cellStyle name="40% - Accent6 4 2 6" xfId="6222"/>
    <cellStyle name="40% - Accent6 4 2 6 2" xfId="6223"/>
    <cellStyle name="40% - Accent6 4 2 6 3" xfId="6224"/>
    <cellStyle name="40% - Accent6 4 2 7" xfId="6225"/>
    <cellStyle name="40% - Accent6 4 2 7 2" xfId="6226"/>
    <cellStyle name="40% - Accent6 4 2 7 3" xfId="6227"/>
    <cellStyle name="40% - Accent6 4 2 8" xfId="6228"/>
    <cellStyle name="40% - Accent6 4 2 9" xfId="6229"/>
    <cellStyle name="40% - Accent6 4 3" xfId="6230"/>
    <cellStyle name="40% - Accent6 4 3 2" xfId="6231"/>
    <cellStyle name="40% - Accent6 4 3 2 2" xfId="6232"/>
    <cellStyle name="40% - Accent6 4 3 2 2 2" xfId="6233"/>
    <cellStyle name="40% - Accent6 4 3 2 2 2 2" xfId="6234"/>
    <cellStyle name="40% - Accent6 4 3 2 2 2 3" xfId="6235"/>
    <cellStyle name="40% - Accent6 4 3 2 2 3" xfId="6236"/>
    <cellStyle name="40% - Accent6 4 3 2 2 3 2" xfId="6237"/>
    <cellStyle name="40% - Accent6 4 3 2 2 3 3" xfId="6238"/>
    <cellStyle name="40% - Accent6 4 3 2 2 4" xfId="6239"/>
    <cellStyle name="40% - Accent6 4 3 2 2 5" xfId="6240"/>
    <cellStyle name="40% - Accent6 4 3 2 3" xfId="6241"/>
    <cellStyle name="40% - Accent6 4 3 2 3 2" xfId="6242"/>
    <cellStyle name="40% - Accent6 4 3 2 3 2 2" xfId="6243"/>
    <cellStyle name="40% - Accent6 4 3 2 3 2 3" xfId="6244"/>
    <cellStyle name="40% - Accent6 4 3 2 3 3" xfId="6245"/>
    <cellStyle name="40% - Accent6 4 3 2 3 3 2" xfId="6246"/>
    <cellStyle name="40% - Accent6 4 3 2 3 3 3" xfId="6247"/>
    <cellStyle name="40% - Accent6 4 3 2 3 4" xfId="6248"/>
    <cellStyle name="40% - Accent6 4 3 2 3 5" xfId="6249"/>
    <cellStyle name="40% - Accent6 4 3 2 4" xfId="6250"/>
    <cellStyle name="40% - Accent6 4 3 2 4 2" xfId="6251"/>
    <cellStyle name="40% - Accent6 4 3 2 4 3" xfId="6252"/>
    <cellStyle name="40% - Accent6 4 3 2 5" xfId="6253"/>
    <cellStyle name="40% - Accent6 4 3 2 5 2" xfId="6254"/>
    <cellStyle name="40% - Accent6 4 3 2 5 3" xfId="6255"/>
    <cellStyle name="40% - Accent6 4 3 2 6" xfId="6256"/>
    <cellStyle name="40% - Accent6 4 3 2 7" xfId="6257"/>
    <cellStyle name="40% - Accent6 4 3 3" xfId="6258"/>
    <cellStyle name="40% - Accent6 4 3 3 2" xfId="6259"/>
    <cellStyle name="40% - Accent6 4 3 3 2 2" xfId="6260"/>
    <cellStyle name="40% - Accent6 4 3 3 2 2 2" xfId="6261"/>
    <cellStyle name="40% - Accent6 4 3 3 2 2 3" xfId="6262"/>
    <cellStyle name="40% - Accent6 4 3 3 2 3" xfId="6263"/>
    <cellStyle name="40% - Accent6 4 3 3 2 3 2" xfId="6264"/>
    <cellStyle name="40% - Accent6 4 3 3 2 3 3" xfId="6265"/>
    <cellStyle name="40% - Accent6 4 3 3 2 4" xfId="6266"/>
    <cellStyle name="40% - Accent6 4 3 3 2 5" xfId="6267"/>
    <cellStyle name="40% - Accent6 4 3 3 3" xfId="6268"/>
    <cellStyle name="40% - Accent6 4 3 3 3 2" xfId="6269"/>
    <cellStyle name="40% - Accent6 4 3 3 3 2 2" xfId="6270"/>
    <cellStyle name="40% - Accent6 4 3 3 3 2 3" xfId="6271"/>
    <cellStyle name="40% - Accent6 4 3 3 3 3" xfId="6272"/>
    <cellStyle name="40% - Accent6 4 3 3 3 3 2" xfId="6273"/>
    <cellStyle name="40% - Accent6 4 3 3 3 3 3" xfId="6274"/>
    <cellStyle name="40% - Accent6 4 3 3 3 4" xfId="6275"/>
    <cellStyle name="40% - Accent6 4 3 3 3 5" xfId="6276"/>
    <cellStyle name="40% - Accent6 4 3 3 4" xfId="6277"/>
    <cellStyle name="40% - Accent6 4 3 3 4 2" xfId="6278"/>
    <cellStyle name="40% - Accent6 4 3 3 4 3" xfId="6279"/>
    <cellStyle name="40% - Accent6 4 3 3 5" xfId="6280"/>
    <cellStyle name="40% - Accent6 4 3 3 5 2" xfId="6281"/>
    <cellStyle name="40% - Accent6 4 3 3 5 3" xfId="6282"/>
    <cellStyle name="40% - Accent6 4 3 3 6" xfId="6283"/>
    <cellStyle name="40% - Accent6 4 3 3 7" xfId="6284"/>
    <cellStyle name="40% - Accent6 4 3 4" xfId="6285"/>
    <cellStyle name="40% - Accent6 4 3 4 2" xfId="6286"/>
    <cellStyle name="40% - Accent6 4 3 4 2 2" xfId="6287"/>
    <cellStyle name="40% - Accent6 4 3 4 2 3" xfId="6288"/>
    <cellStyle name="40% - Accent6 4 3 4 3" xfId="6289"/>
    <cellStyle name="40% - Accent6 4 3 4 3 2" xfId="6290"/>
    <cellStyle name="40% - Accent6 4 3 4 3 3" xfId="6291"/>
    <cellStyle name="40% - Accent6 4 3 4 4" xfId="6292"/>
    <cellStyle name="40% - Accent6 4 3 4 5" xfId="6293"/>
    <cellStyle name="40% - Accent6 4 3 5" xfId="6294"/>
    <cellStyle name="40% - Accent6 4 3 5 2" xfId="6295"/>
    <cellStyle name="40% - Accent6 4 3 5 2 2" xfId="6296"/>
    <cellStyle name="40% - Accent6 4 3 5 2 3" xfId="6297"/>
    <cellStyle name="40% - Accent6 4 3 5 3" xfId="6298"/>
    <cellStyle name="40% - Accent6 4 3 5 3 2" xfId="6299"/>
    <cellStyle name="40% - Accent6 4 3 5 3 3" xfId="6300"/>
    <cellStyle name="40% - Accent6 4 3 5 4" xfId="6301"/>
    <cellStyle name="40% - Accent6 4 3 5 5" xfId="6302"/>
    <cellStyle name="40% - Accent6 4 3 6" xfId="6303"/>
    <cellStyle name="40% - Accent6 4 3 6 2" xfId="6304"/>
    <cellStyle name="40% - Accent6 4 3 6 3" xfId="6305"/>
    <cellStyle name="40% - Accent6 4 3 7" xfId="6306"/>
    <cellStyle name="40% - Accent6 4 3 7 2" xfId="6307"/>
    <cellStyle name="40% - Accent6 4 3 7 3" xfId="6308"/>
    <cellStyle name="40% - Accent6 4 3 8" xfId="6309"/>
    <cellStyle name="40% - Accent6 4 3 9" xfId="6310"/>
    <cellStyle name="40% - Accent6 4 4" xfId="6311"/>
    <cellStyle name="40% - Accent6 4 4 2" xfId="6312"/>
    <cellStyle name="40% - Accent6 4 4 2 2" xfId="6313"/>
    <cellStyle name="40% - Accent6 4 4 2 2 2" xfId="6314"/>
    <cellStyle name="40% - Accent6 4 4 2 2 3" xfId="6315"/>
    <cellStyle name="40% - Accent6 4 4 2 3" xfId="6316"/>
    <cellStyle name="40% - Accent6 4 4 2 3 2" xfId="6317"/>
    <cellStyle name="40% - Accent6 4 4 2 3 3" xfId="6318"/>
    <cellStyle name="40% - Accent6 4 4 2 4" xfId="6319"/>
    <cellStyle name="40% - Accent6 4 4 2 5" xfId="6320"/>
    <cellStyle name="40% - Accent6 4 4 3" xfId="6321"/>
    <cellStyle name="40% - Accent6 4 4 3 2" xfId="6322"/>
    <cellStyle name="40% - Accent6 4 4 3 2 2" xfId="6323"/>
    <cellStyle name="40% - Accent6 4 4 3 2 3" xfId="6324"/>
    <cellStyle name="40% - Accent6 4 4 3 3" xfId="6325"/>
    <cellStyle name="40% - Accent6 4 4 3 3 2" xfId="6326"/>
    <cellStyle name="40% - Accent6 4 4 3 3 3" xfId="6327"/>
    <cellStyle name="40% - Accent6 4 4 3 4" xfId="6328"/>
    <cellStyle name="40% - Accent6 4 4 3 5" xfId="6329"/>
    <cellStyle name="40% - Accent6 4 4 4" xfId="6330"/>
    <cellStyle name="40% - Accent6 4 4 4 2" xfId="6331"/>
    <cellStyle name="40% - Accent6 4 4 4 3" xfId="6332"/>
    <cellStyle name="40% - Accent6 4 4 5" xfId="6333"/>
    <cellStyle name="40% - Accent6 4 4 5 2" xfId="6334"/>
    <cellStyle name="40% - Accent6 4 4 5 3" xfId="6335"/>
    <cellStyle name="40% - Accent6 4 4 6" xfId="6336"/>
    <cellStyle name="40% - Accent6 4 4 7" xfId="6337"/>
    <cellStyle name="40% - Accent6 4 5" xfId="6338"/>
    <cellStyle name="40% - Accent6 4 5 2" xfId="6339"/>
    <cellStyle name="40% - Accent6 4 5 2 2" xfId="6340"/>
    <cellStyle name="40% - Accent6 4 5 2 2 2" xfId="6341"/>
    <cellStyle name="40% - Accent6 4 5 2 2 3" xfId="6342"/>
    <cellStyle name="40% - Accent6 4 5 2 3" xfId="6343"/>
    <cellStyle name="40% - Accent6 4 5 2 3 2" xfId="6344"/>
    <cellStyle name="40% - Accent6 4 5 2 3 3" xfId="6345"/>
    <cellStyle name="40% - Accent6 4 5 2 4" xfId="6346"/>
    <cellStyle name="40% - Accent6 4 5 2 5" xfId="6347"/>
    <cellStyle name="40% - Accent6 4 5 3" xfId="6348"/>
    <cellStyle name="40% - Accent6 4 5 3 2" xfId="6349"/>
    <cellStyle name="40% - Accent6 4 5 3 2 2" xfId="6350"/>
    <cellStyle name="40% - Accent6 4 5 3 2 3" xfId="6351"/>
    <cellStyle name="40% - Accent6 4 5 3 3" xfId="6352"/>
    <cellStyle name="40% - Accent6 4 5 3 3 2" xfId="6353"/>
    <cellStyle name="40% - Accent6 4 5 3 3 3" xfId="6354"/>
    <cellStyle name="40% - Accent6 4 5 3 4" xfId="6355"/>
    <cellStyle name="40% - Accent6 4 5 3 5" xfId="6356"/>
    <cellStyle name="40% - Accent6 4 5 4" xfId="6357"/>
    <cellStyle name="40% - Accent6 4 5 4 2" xfId="6358"/>
    <cellStyle name="40% - Accent6 4 5 4 3" xfId="6359"/>
    <cellStyle name="40% - Accent6 4 5 5" xfId="6360"/>
    <cellStyle name="40% - Accent6 4 5 5 2" xfId="6361"/>
    <cellStyle name="40% - Accent6 4 5 5 3" xfId="6362"/>
    <cellStyle name="40% - Accent6 4 5 6" xfId="6363"/>
    <cellStyle name="40% - Accent6 4 5 7" xfId="6364"/>
    <cellStyle name="40% - Accent6 4 6" xfId="6365"/>
    <cellStyle name="40% - Accent6 4 6 2" xfId="6366"/>
    <cellStyle name="40% - Accent6 4 6 2 2" xfId="6367"/>
    <cellStyle name="40% - Accent6 4 6 2 3" xfId="6368"/>
    <cellStyle name="40% - Accent6 4 6 3" xfId="6369"/>
    <cellStyle name="40% - Accent6 4 6 3 2" xfId="6370"/>
    <cellStyle name="40% - Accent6 4 6 3 3" xfId="6371"/>
    <cellStyle name="40% - Accent6 4 6 4" xfId="6372"/>
    <cellStyle name="40% - Accent6 4 6 5" xfId="6373"/>
    <cellStyle name="40% - Accent6 4 7" xfId="6374"/>
    <cellStyle name="40% - Accent6 4 7 2" xfId="6375"/>
    <cellStyle name="40% - Accent6 4 7 2 2" xfId="6376"/>
    <cellStyle name="40% - Accent6 4 7 2 3" xfId="6377"/>
    <cellStyle name="40% - Accent6 4 7 3" xfId="6378"/>
    <cellStyle name="40% - Accent6 4 7 3 2" xfId="6379"/>
    <cellStyle name="40% - Accent6 4 7 3 3" xfId="6380"/>
    <cellStyle name="40% - Accent6 4 7 4" xfId="6381"/>
    <cellStyle name="40% - Accent6 4 7 5" xfId="6382"/>
    <cellStyle name="40% - Accent6 4 8" xfId="6383"/>
    <cellStyle name="40% - Accent6 4 8 2" xfId="6384"/>
    <cellStyle name="40% - Accent6 4 8 3" xfId="6385"/>
    <cellStyle name="40% - Accent6 4 9" xfId="6386"/>
    <cellStyle name="40% - Accent6 4 9 2" xfId="6387"/>
    <cellStyle name="40% - Accent6 4 9 3" xfId="6388"/>
    <cellStyle name="40% - Accent6 4_Sheet8" xfId="6389"/>
    <cellStyle name="40% - Accent6 5" xfId="6390"/>
    <cellStyle name="40% - Accent6 5 2" xfId="6391"/>
    <cellStyle name="40% - Accent6 5 2 2" xfId="6392"/>
    <cellStyle name="40% - Accent6 5 2 3" xfId="6393"/>
    <cellStyle name="40% - Accent6 5 3" xfId="6394"/>
    <cellStyle name="40% - Accent6 5 4" xfId="6395"/>
    <cellStyle name="40% - Accent6 5 5" xfId="42950"/>
    <cellStyle name="40% - Accent6 6" xfId="6396"/>
    <cellStyle name="40% - Accent6 6 2" xfId="6397"/>
    <cellStyle name="40% - Accent6 6 3" xfId="6398"/>
    <cellStyle name="40% - Accent6 7" xfId="6399"/>
    <cellStyle name="40% - Accent6 7 2" xfId="6400"/>
    <cellStyle name="40% - Accent6 7 3" xfId="6401"/>
    <cellStyle name="40% - Accent6 8" xfId="6402"/>
    <cellStyle name="40% - Accent6 8 2" xfId="6403"/>
    <cellStyle name="40% - Accent6 8 3" xfId="6404"/>
    <cellStyle name="40% - Accent6 9" xfId="6405"/>
    <cellStyle name="40% - Accent6 9 2" xfId="6406"/>
    <cellStyle name="40% - Accent6 9 3" xfId="6407"/>
    <cellStyle name="60% - Accent1" xfId="42828" builtinId="32" customBuiltin="1"/>
    <cellStyle name="60% - Accent1 10" xfId="6408"/>
    <cellStyle name="60% - Accent1 11" xfId="6409"/>
    <cellStyle name="60% - Accent1 12" xfId="6410"/>
    <cellStyle name="60% - Accent1 2" xfId="6411"/>
    <cellStyle name="60% - Accent1 2 10" xfId="43177"/>
    <cellStyle name="60% - Accent1 2 2" xfId="6412"/>
    <cellStyle name="60% - Accent1 2 2 2" xfId="6413"/>
    <cellStyle name="60% - Accent1 2 2_FCC Filings With Webster 2012" xfId="6414"/>
    <cellStyle name="60% - Accent1 2 3" xfId="6415"/>
    <cellStyle name="60% - Accent1 2 3 2" xfId="6416"/>
    <cellStyle name="60% - Accent1 2 4" xfId="6417"/>
    <cellStyle name="60% - Accent1 2 5" xfId="6418"/>
    <cellStyle name="60% - Accent1 2 6" xfId="42998"/>
    <cellStyle name="60% - Accent1 2 7" xfId="42975"/>
    <cellStyle name="60% - Accent1 2 8" xfId="43163"/>
    <cellStyle name="60% - Accent1 2 9" xfId="43075"/>
    <cellStyle name="60% - Accent1 2_Dashboard - Inventory Metrics Aug 2012" xfId="6419"/>
    <cellStyle name="60% - Accent1 3" xfId="6420"/>
    <cellStyle name="60% - Accent1 3 2" xfId="6421"/>
    <cellStyle name="60% - Accent1 3 3" xfId="42997"/>
    <cellStyle name="60% - Accent1 4" xfId="6422"/>
    <cellStyle name="60% - Accent1 4 2" xfId="6423"/>
    <cellStyle name="60% - Accent1 4_Sheet8" xfId="6424"/>
    <cellStyle name="60% - Accent1 5" xfId="6425"/>
    <cellStyle name="60% - Accent1 6" xfId="6426"/>
    <cellStyle name="60% - Accent1 7" xfId="6427"/>
    <cellStyle name="60% - Accent1 8" xfId="6428"/>
    <cellStyle name="60% - Accent1 9" xfId="6429"/>
    <cellStyle name="60% - Accent2" xfId="42832" builtinId="36" customBuiltin="1"/>
    <cellStyle name="60% - Accent2 10" xfId="6430"/>
    <cellStyle name="60% - Accent2 11" xfId="6431"/>
    <cellStyle name="60% - Accent2 12" xfId="6432"/>
    <cellStyle name="60% - Accent2 2" xfId="6433"/>
    <cellStyle name="60% - Accent2 2 10" xfId="43148"/>
    <cellStyle name="60% - Accent2 2 2" xfId="6434"/>
    <cellStyle name="60% - Accent2 2 2 2" xfId="6435"/>
    <cellStyle name="60% - Accent2 2 2_FCC Filings With Webster 2012" xfId="6436"/>
    <cellStyle name="60% - Accent2 2 3" xfId="6437"/>
    <cellStyle name="60% - Accent2 2 3 2" xfId="6438"/>
    <cellStyle name="60% - Accent2 2 4" xfId="6439"/>
    <cellStyle name="60% - Accent2 2 5" xfId="6440"/>
    <cellStyle name="60% - Accent2 2 6" xfId="43000"/>
    <cellStyle name="60% - Accent2 2 7" xfId="42973"/>
    <cellStyle name="60% - Accent2 2 8" xfId="43162"/>
    <cellStyle name="60% - Accent2 2 9" xfId="43074"/>
    <cellStyle name="60% - Accent2 2_Dashboard - Inventory Metrics Aug 2012" xfId="6441"/>
    <cellStyle name="60% - Accent2 3" xfId="6442"/>
    <cellStyle name="60% - Accent2 3 2" xfId="6443"/>
    <cellStyle name="60% - Accent2 3 3" xfId="42999"/>
    <cellStyle name="60% - Accent2 4" xfId="6444"/>
    <cellStyle name="60% - Accent2 4 2" xfId="6445"/>
    <cellStyle name="60% - Accent2 4_Sheet8" xfId="6446"/>
    <cellStyle name="60% - Accent2 5" xfId="6447"/>
    <cellStyle name="60% - Accent2 6" xfId="6448"/>
    <cellStyle name="60% - Accent2 7" xfId="6449"/>
    <cellStyle name="60% - Accent2 8" xfId="6450"/>
    <cellStyle name="60% - Accent2 9" xfId="6451"/>
    <cellStyle name="60% - Accent3" xfId="42836" builtinId="40" customBuiltin="1"/>
    <cellStyle name="60% - Accent3 10" xfId="6452"/>
    <cellStyle name="60% - Accent3 11" xfId="6453"/>
    <cellStyle name="60% - Accent3 12" xfId="6454"/>
    <cellStyle name="60% - Accent3 2" xfId="6455"/>
    <cellStyle name="60% - Accent3 2 10" xfId="43073"/>
    <cellStyle name="60% - Accent3 2 2" xfId="6456"/>
    <cellStyle name="60% - Accent3 2 2 2" xfId="6457"/>
    <cellStyle name="60% - Accent3 2 2_FCC Filings With Webster 2012" xfId="6458"/>
    <cellStyle name="60% - Accent3 2 3" xfId="6459"/>
    <cellStyle name="60% - Accent3 2 4" xfId="6460"/>
    <cellStyle name="60% - Accent3 2 4 2" xfId="6461"/>
    <cellStyle name="60% - Accent3 2 5" xfId="6462"/>
    <cellStyle name="60% - Accent3 2 6" xfId="6463"/>
    <cellStyle name="60% - Accent3 2 7" xfId="43002"/>
    <cellStyle name="60% - Accent3 2 8" xfId="43102"/>
    <cellStyle name="60% - Accent3 2 9" xfId="43161"/>
    <cellStyle name="60% - Accent3 2_Dashboard - Inventory Metrics Aug 2012" xfId="6464"/>
    <cellStyle name="60% - Accent3 3" xfId="6465"/>
    <cellStyle name="60% - Accent3 3 2" xfId="6466"/>
    <cellStyle name="60% - Accent3 3 3" xfId="43001"/>
    <cellStyle name="60% - Accent3 4" xfId="6467"/>
    <cellStyle name="60% - Accent3 4 2" xfId="6468"/>
    <cellStyle name="60% - Accent3 4_Sheet8" xfId="6469"/>
    <cellStyle name="60% - Accent3 5" xfId="6470"/>
    <cellStyle name="60% - Accent3 6" xfId="6471"/>
    <cellStyle name="60% - Accent3 7" xfId="6472"/>
    <cellStyle name="60% - Accent3 8" xfId="6473"/>
    <cellStyle name="60% - Accent3 9" xfId="6474"/>
    <cellStyle name="60% - Accent4" xfId="42840" builtinId="44" customBuiltin="1"/>
    <cellStyle name="60% - Accent4 10" xfId="6475"/>
    <cellStyle name="60% - Accent4 11" xfId="6476"/>
    <cellStyle name="60% - Accent4 12" xfId="6477"/>
    <cellStyle name="60% - Accent4 2" xfId="6478"/>
    <cellStyle name="60% - Accent4 2 10" xfId="43072"/>
    <cellStyle name="60% - Accent4 2 2" xfId="6479"/>
    <cellStyle name="60% - Accent4 2 2 2" xfId="6480"/>
    <cellStyle name="60% - Accent4 2 2_FCC Filings With Webster 2012" xfId="6481"/>
    <cellStyle name="60% - Accent4 2 3" xfId="6482"/>
    <cellStyle name="60% - Accent4 2 4" xfId="6483"/>
    <cellStyle name="60% - Accent4 2 4 2" xfId="6484"/>
    <cellStyle name="60% - Accent4 2 5" xfId="6485"/>
    <cellStyle name="60% - Accent4 2 6" xfId="6486"/>
    <cellStyle name="60% - Accent4 2 7" xfId="43004"/>
    <cellStyle name="60% - Accent4 2 8" xfId="43099"/>
    <cellStyle name="60% - Accent4 2 9" xfId="43160"/>
    <cellStyle name="60% - Accent4 2_Dashboard - Inventory Metrics Aug 2012" xfId="6487"/>
    <cellStyle name="60% - Accent4 3" xfId="6488"/>
    <cellStyle name="60% - Accent4 3 2" xfId="6489"/>
    <cellStyle name="60% - Accent4 3 3" xfId="43003"/>
    <cellStyle name="60% - Accent4 4" xfId="6490"/>
    <cellStyle name="60% - Accent4 4 2" xfId="6491"/>
    <cellStyle name="60% - Accent4 4_Sheet8" xfId="6492"/>
    <cellStyle name="60% - Accent4 5" xfId="6493"/>
    <cellStyle name="60% - Accent4 6" xfId="6494"/>
    <cellStyle name="60% - Accent4 7" xfId="6495"/>
    <cellStyle name="60% - Accent4 8" xfId="6496"/>
    <cellStyle name="60% - Accent4 9" xfId="6497"/>
    <cellStyle name="60% - Accent5" xfId="42844" builtinId="48" customBuiltin="1"/>
    <cellStyle name="60% - Accent5 10" xfId="6498"/>
    <cellStyle name="60% - Accent5 11" xfId="6499"/>
    <cellStyle name="60% - Accent5 12" xfId="6500"/>
    <cellStyle name="60% - Accent5 2" xfId="6501"/>
    <cellStyle name="60% - Accent5 2 10" xfId="43186"/>
    <cellStyle name="60% - Accent5 2 2" xfId="6502"/>
    <cellStyle name="60% - Accent5 2 2 2" xfId="6503"/>
    <cellStyle name="60% - Accent5 2 2_FCC Filings With Webster 2012" xfId="6504"/>
    <cellStyle name="60% - Accent5 2 3" xfId="6505"/>
    <cellStyle name="60% - Accent5 2 3 2" xfId="6506"/>
    <cellStyle name="60% - Accent5 2 4" xfId="6507"/>
    <cellStyle name="60% - Accent5 2 5" xfId="6508"/>
    <cellStyle name="60% - Accent5 2 6" xfId="43006"/>
    <cellStyle name="60% - Accent5 2 7" xfId="43096"/>
    <cellStyle name="60% - Accent5 2 8" xfId="43159"/>
    <cellStyle name="60% - Accent5 2 9" xfId="43069"/>
    <cellStyle name="60% - Accent5 2_Dashboard - Inventory Metrics Aug 2012" xfId="6509"/>
    <cellStyle name="60% - Accent5 3" xfId="6510"/>
    <cellStyle name="60% - Accent5 3 2" xfId="6511"/>
    <cellStyle name="60% - Accent5 3 3" xfId="43005"/>
    <cellStyle name="60% - Accent5 4" xfId="6512"/>
    <cellStyle name="60% - Accent5 4 2" xfId="6513"/>
    <cellStyle name="60% - Accent5 4_Sheet8" xfId="6514"/>
    <cellStyle name="60% - Accent5 5" xfId="6515"/>
    <cellStyle name="60% - Accent5 6" xfId="6516"/>
    <cellStyle name="60% - Accent5 7" xfId="6517"/>
    <cellStyle name="60% - Accent5 8" xfId="6518"/>
    <cellStyle name="60% - Accent5 9" xfId="6519"/>
    <cellStyle name="60% - Accent6" xfId="42848" builtinId="52" customBuiltin="1"/>
    <cellStyle name="60% - Accent6 10" xfId="6520"/>
    <cellStyle name="60% - Accent6 11" xfId="6521"/>
    <cellStyle name="60% - Accent6 12" xfId="6522"/>
    <cellStyle name="60% - Accent6 2" xfId="6523"/>
    <cellStyle name="60% - Accent6 2 10" xfId="43061"/>
    <cellStyle name="60% - Accent6 2 2" xfId="6524"/>
    <cellStyle name="60% - Accent6 2 2 2" xfId="6525"/>
    <cellStyle name="60% - Accent6 2 2_FCC Filings With Webster 2012" xfId="6526"/>
    <cellStyle name="60% - Accent6 2 3" xfId="6527"/>
    <cellStyle name="60% - Accent6 2 4" xfId="6528"/>
    <cellStyle name="60% - Accent6 2 4 2" xfId="6529"/>
    <cellStyle name="60% - Accent6 2 5" xfId="6530"/>
    <cellStyle name="60% - Accent6 2 6" xfId="6531"/>
    <cellStyle name="60% - Accent6 2 7" xfId="43008"/>
    <cellStyle name="60% - Accent6 2 8" xfId="43094"/>
    <cellStyle name="60% - Accent6 2 9" xfId="43158"/>
    <cellStyle name="60% - Accent6 2_Dashboard - Inventory Metrics Aug 2012" xfId="6532"/>
    <cellStyle name="60% - Accent6 3" xfId="6533"/>
    <cellStyle name="60% - Accent6 3 2" xfId="6534"/>
    <cellStyle name="60% - Accent6 3 3" xfId="43007"/>
    <cellStyle name="60% - Accent6 4" xfId="6535"/>
    <cellStyle name="60% - Accent6 4 2" xfId="6536"/>
    <cellStyle name="60% - Accent6 4_Sheet8" xfId="6537"/>
    <cellStyle name="60% - Accent6 5" xfId="6538"/>
    <cellStyle name="60% - Accent6 6" xfId="6539"/>
    <cellStyle name="60% - Accent6 7" xfId="6540"/>
    <cellStyle name="60% - Accent6 8" xfId="6541"/>
    <cellStyle name="60% - Accent6 9" xfId="6542"/>
    <cellStyle name="A%" xfId="6543"/>
    <cellStyle name="Accent1" xfId="42825" builtinId="29" customBuiltin="1"/>
    <cellStyle name="Accent1 10" xfId="6544"/>
    <cellStyle name="Accent1 11" xfId="6545"/>
    <cellStyle name="Accent1 12" xfId="6546"/>
    <cellStyle name="Accent1 2" xfId="6547"/>
    <cellStyle name="Accent1 2 10" xfId="43189"/>
    <cellStyle name="Accent1 2 2" xfId="6548"/>
    <cellStyle name="Accent1 2 2 2" xfId="6549"/>
    <cellStyle name="Accent1 2 2_FCC Filings With Webster 2012" xfId="6550"/>
    <cellStyle name="Accent1 2 3" xfId="6551"/>
    <cellStyle name="Accent1 2 3 2" xfId="6552"/>
    <cellStyle name="Accent1 2 4" xfId="6553"/>
    <cellStyle name="Accent1 2 5" xfId="6554"/>
    <cellStyle name="Accent1 2 6" xfId="43010"/>
    <cellStyle name="Accent1 2 7" xfId="43089"/>
    <cellStyle name="Accent1 2 8" xfId="43157"/>
    <cellStyle name="Accent1 2 9" xfId="43053"/>
    <cellStyle name="Accent1 2_Dashboard - Inventory Metrics Aug 2012" xfId="6555"/>
    <cellStyle name="Accent1 3" xfId="6556"/>
    <cellStyle name="Accent1 3 2" xfId="6557"/>
    <cellStyle name="Accent1 3 3" xfId="43009"/>
    <cellStyle name="Accent1 4" xfId="6558"/>
    <cellStyle name="Accent1 4 2" xfId="6559"/>
    <cellStyle name="Accent1 4_Sheet8" xfId="6560"/>
    <cellStyle name="Accent1 5" xfId="6561"/>
    <cellStyle name="Accent1 6" xfId="6562"/>
    <cellStyle name="Accent1 7" xfId="6563"/>
    <cellStyle name="Accent1 8" xfId="6564"/>
    <cellStyle name="Accent1 9" xfId="6565"/>
    <cellStyle name="Accent2" xfId="42829" builtinId="33" customBuiltin="1"/>
    <cellStyle name="Accent2 10" xfId="6566"/>
    <cellStyle name="Accent2 11" xfId="6567"/>
    <cellStyle name="Accent2 12" xfId="6568"/>
    <cellStyle name="Accent2 2" xfId="6569"/>
    <cellStyle name="Accent2 2 10" xfId="43193"/>
    <cellStyle name="Accent2 2 2" xfId="6570"/>
    <cellStyle name="Accent2 2 2 2" xfId="6571"/>
    <cellStyle name="Accent2 2 2_FCC Filings With Webster 2012" xfId="6572"/>
    <cellStyle name="Accent2 2 3" xfId="6573"/>
    <cellStyle name="Accent2 2 3 2" xfId="6574"/>
    <cellStyle name="Accent2 2 4" xfId="6575"/>
    <cellStyle name="Accent2 2 5" xfId="6576"/>
    <cellStyle name="Accent2 2 6" xfId="43012"/>
    <cellStyle name="Accent2 2 7" xfId="43146"/>
    <cellStyle name="Accent2 2 8" xfId="43156"/>
    <cellStyle name="Accent2 2 9" xfId="43052"/>
    <cellStyle name="Accent2 2_Dashboard - Inventory Metrics Aug 2012" xfId="6577"/>
    <cellStyle name="Accent2 3" xfId="6578"/>
    <cellStyle name="Accent2 3 2" xfId="6579"/>
    <cellStyle name="Accent2 3 3" xfId="43011"/>
    <cellStyle name="Accent2 4" xfId="6580"/>
    <cellStyle name="Accent2 4 2" xfId="6581"/>
    <cellStyle name="Accent2 4_Sheet8" xfId="6582"/>
    <cellStyle name="Accent2 5" xfId="6583"/>
    <cellStyle name="Accent2 6" xfId="6584"/>
    <cellStyle name="Accent2 7" xfId="6585"/>
    <cellStyle name="Accent2 8" xfId="6586"/>
    <cellStyle name="Accent2 9" xfId="6587"/>
    <cellStyle name="Accent3" xfId="42833" builtinId="37" customBuiltin="1"/>
    <cellStyle name="Accent3 10" xfId="6588"/>
    <cellStyle name="Accent3 11" xfId="6589"/>
    <cellStyle name="Accent3 12" xfId="6590"/>
    <cellStyle name="Accent3 2" xfId="6591"/>
    <cellStyle name="Accent3 2 10" xfId="43195"/>
    <cellStyle name="Accent3 2 2" xfId="6592"/>
    <cellStyle name="Accent3 2 2 2" xfId="6593"/>
    <cellStyle name="Accent3 2 2_FCC Filings With Webster 2012" xfId="6594"/>
    <cellStyle name="Accent3 2 3" xfId="6595"/>
    <cellStyle name="Accent3 2 3 2" xfId="6596"/>
    <cellStyle name="Accent3 2 4" xfId="6597"/>
    <cellStyle name="Accent3 2 5" xfId="6598"/>
    <cellStyle name="Accent3 2 6" xfId="43014"/>
    <cellStyle name="Accent3 2 7" xfId="43145"/>
    <cellStyle name="Accent3 2 8" xfId="43155"/>
    <cellStyle name="Accent3 2 9" xfId="43049"/>
    <cellStyle name="Accent3 2_Dashboard - Inventory Metrics Aug 2012" xfId="6599"/>
    <cellStyle name="Accent3 3" xfId="6600"/>
    <cellStyle name="Accent3 3 2" xfId="6601"/>
    <cellStyle name="Accent3 3 3" xfId="43013"/>
    <cellStyle name="Accent3 4" xfId="6602"/>
    <cellStyle name="Accent3 4 2" xfId="6603"/>
    <cellStyle name="Accent3 4_Sheet8" xfId="6604"/>
    <cellStyle name="Accent3 5" xfId="6605"/>
    <cellStyle name="Accent3 6" xfId="6606"/>
    <cellStyle name="Accent3 7" xfId="6607"/>
    <cellStyle name="Accent3 8" xfId="6608"/>
    <cellStyle name="Accent3 9" xfId="6609"/>
    <cellStyle name="Accent4" xfId="42837" builtinId="41" customBuiltin="1"/>
    <cellStyle name="Accent4 10" xfId="6610"/>
    <cellStyle name="Accent4 11" xfId="6611"/>
    <cellStyle name="Accent4 12" xfId="6612"/>
    <cellStyle name="Accent4 2" xfId="6613"/>
    <cellStyle name="Accent4 2 10" xfId="43178"/>
    <cellStyle name="Accent4 2 2" xfId="6614"/>
    <cellStyle name="Accent4 2 2 2" xfId="6615"/>
    <cellStyle name="Accent4 2 2_FCC Filings With Webster 2012" xfId="6616"/>
    <cellStyle name="Accent4 2 3" xfId="6617"/>
    <cellStyle name="Accent4 2 3 2" xfId="6618"/>
    <cellStyle name="Accent4 2 4" xfId="6619"/>
    <cellStyle name="Accent4 2 5" xfId="6620"/>
    <cellStyle name="Accent4 2 6" xfId="43016"/>
    <cellStyle name="Accent4 2 7" xfId="43142"/>
    <cellStyle name="Accent4 2 8" xfId="43154"/>
    <cellStyle name="Accent4 2 9" xfId="43185"/>
    <cellStyle name="Accent4 2_Dashboard - Inventory Metrics Aug 2012" xfId="6621"/>
    <cellStyle name="Accent4 3" xfId="6622"/>
    <cellStyle name="Accent4 3 2" xfId="6623"/>
    <cellStyle name="Accent4 3 3" xfId="43015"/>
    <cellStyle name="Accent4 4" xfId="6624"/>
    <cellStyle name="Accent4 4 2" xfId="6625"/>
    <cellStyle name="Accent4 4_Sheet8" xfId="6626"/>
    <cellStyle name="Accent4 5" xfId="6627"/>
    <cellStyle name="Accent4 6" xfId="6628"/>
    <cellStyle name="Accent4 7" xfId="6629"/>
    <cellStyle name="Accent4 8" xfId="6630"/>
    <cellStyle name="Accent4 9" xfId="6631"/>
    <cellStyle name="Accent5" xfId="42841" builtinId="45" customBuiltin="1"/>
    <cellStyle name="Accent5 10" xfId="6632"/>
    <cellStyle name="Accent5 11" xfId="6633"/>
    <cellStyle name="Accent5 2" xfId="6634"/>
    <cellStyle name="Accent5 2 2" xfId="6635"/>
    <cellStyle name="Accent5 2 3" xfId="6636"/>
    <cellStyle name="Accent5 2 3 2" xfId="6637"/>
    <cellStyle name="Accent5 2 4" xfId="6638"/>
    <cellStyle name="Accent5 2 5" xfId="6639"/>
    <cellStyle name="Accent5 2_Dashboard - Inventory Metrics Aug 2012" xfId="6640"/>
    <cellStyle name="Accent5 3" xfId="6641"/>
    <cellStyle name="Accent5 3 2" xfId="6642"/>
    <cellStyle name="Accent5 4" xfId="6643"/>
    <cellStyle name="Accent5 5" xfId="6644"/>
    <cellStyle name="Accent5 6" xfId="6645"/>
    <cellStyle name="Accent5 7" xfId="6646"/>
    <cellStyle name="Accent5 8" xfId="6647"/>
    <cellStyle name="Accent5 9" xfId="6648"/>
    <cellStyle name="Accent6" xfId="42845" builtinId="49" customBuiltin="1"/>
    <cellStyle name="Accent6 10" xfId="6649"/>
    <cellStyle name="Accent6 11" xfId="6650"/>
    <cellStyle name="Accent6 12" xfId="6651"/>
    <cellStyle name="Accent6 2" xfId="6652"/>
    <cellStyle name="Accent6 2 10" xfId="43184"/>
    <cellStyle name="Accent6 2 2" xfId="6653"/>
    <cellStyle name="Accent6 2 2 2" xfId="6654"/>
    <cellStyle name="Accent6 2 2_FCC Filings With Webster 2012" xfId="6655"/>
    <cellStyle name="Accent6 2 3" xfId="6656"/>
    <cellStyle name="Accent6 2 3 2" xfId="6657"/>
    <cellStyle name="Accent6 2 4" xfId="6658"/>
    <cellStyle name="Accent6 2 5" xfId="6659"/>
    <cellStyle name="Accent6 2 6" xfId="43018"/>
    <cellStyle name="Accent6 2 7" xfId="43079"/>
    <cellStyle name="Accent6 2 8" xfId="43136"/>
    <cellStyle name="Accent6 2 9" xfId="43179"/>
    <cellStyle name="Accent6 2_Dashboard - Inventory Metrics Aug 2012" xfId="6660"/>
    <cellStyle name="Accent6 3" xfId="6661"/>
    <cellStyle name="Accent6 3 2" xfId="6662"/>
    <cellStyle name="Accent6 3 3" xfId="43017"/>
    <cellStyle name="Accent6 4" xfId="6663"/>
    <cellStyle name="Accent6 4 2" xfId="6664"/>
    <cellStyle name="Accent6 4_Sheet8" xfId="6665"/>
    <cellStyle name="Accent6 5" xfId="6666"/>
    <cellStyle name="Accent6 6" xfId="6667"/>
    <cellStyle name="Accent6 7" xfId="6668"/>
    <cellStyle name="Accent6 8" xfId="6669"/>
    <cellStyle name="Accent6 9" xfId="6670"/>
    <cellStyle name="Accy [0]" xfId="6671"/>
    <cellStyle name="Accy [1]" xfId="6672"/>
    <cellStyle name="Accy [2]" xfId="6673"/>
    <cellStyle name="Accy$ [0]" xfId="6674"/>
    <cellStyle name="Accy$ [1]" xfId="6675"/>
    <cellStyle name="Accy$ [2]" xfId="6676"/>
    <cellStyle name="Acinput" xfId="6677"/>
    <cellStyle name="Acinput,," xfId="6678"/>
    <cellStyle name="Acinput_Comparable Companies Analysis 18" xfId="6679"/>
    <cellStyle name="Acoutput" xfId="6680"/>
    <cellStyle name="Acoutput,," xfId="6681"/>
    <cellStyle name="Acoutput_CAScomps02" xfId="6682"/>
    <cellStyle name="Actual Date" xfId="6683"/>
    <cellStyle name="adjusted" xfId="6684"/>
    <cellStyle name="Adjusted &quot; X&quot;" xfId="6685"/>
    <cellStyle name="AFE" xfId="6686"/>
    <cellStyle name="AFE 10" xfId="6687"/>
    <cellStyle name="AFE 11" xfId="6688"/>
    <cellStyle name="AFE 12" xfId="6689"/>
    <cellStyle name="AFE 2" xfId="6690"/>
    <cellStyle name="AFE 2 2" xfId="6691"/>
    <cellStyle name="AFE 2 3" xfId="6692"/>
    <cellStyle name="AFE 2 4" xfId="6693"/>
    <cellStyle name="AFE 2 5" xfId="6694"/>
    <cellStyle name="AFE 2 6" xfId="6695"/>
    <cellStyle name="AFE 2 7" xfId="6696"/>
    <cellStyle name="AFE 2 8" xfId="6697"/>
    <cellStyle name="AFE 2 9" xfId="6698"/>
    <cellStyle name="AFE 3" xfId="6699"/>
    <cellStyle name="AFE 4" xfId="6700"/>
    <cellStyle name="AFE 5" xfId="6701"/>
    <cellStyle name="AFE 6" xfId="6702"/>
    <cellStyle name="AFE 7" xfId="6703"/>
    <cellStyle name="AFE 8" xfId="6704"/>
    <cellStyle name="AFE 9" xfId="6705"/>
    <cellStyle name="AFE_Copy of RUI Holding Corp Note" xfId="6706"/>
    <cellStyle name="After Percent" xfId="6707"/>
    <cellStyle name="Annotations Cell - PerformancePoint" xfId="6708"/>
    <cellStyle name="Annotations Cell - PerformancePoint 10" xfId="6709"/>
    <cellStyle name="Annotations Cell - PerformancePoint 11" xfId="6710"/>
    <cellStyle name="Annotations Cell - PerformancePoint 12" xfId="6711"/>
    <cellStyle name="Annotations Cell - PerformancePoint 13" xfId="6712"/>
    <cellStyle name="Annotations Cell - PerformancePoint 14" xfId="6713"/>
    <cellStyle name="Annotations Cell - PerformancePoint 15" xfId="6714"/>
    <cellStyle name="Annotations Cell - PerformancePoint 16" xfId="6715"/>
    <cellStyle name="Annotations Cell - PerformancePoint 17" xfId="6716"/>
    <cellStyle name="Annotations Cell - PerformancePoint 18" xfId="6717"/>
    <cellStyle name="Annotations Cell - PerformancePoint 19" xfId="6718"/>
    <cellStyle name="Annotations Cell - PerformancePoint 2" xfId="6719"/>
    <cellStyle name="Annotations Cell - PerformancePoint 2 10" xfId="6720"/>
    <cellStyle name="Annotations Cell - PerformancePoint 2 11" xfId="6721"/>
    <cellStyle name="Annotations Cell - PerformancePoint 2 12" xfId="6722"/>
    <cellStyle name="Annotations Cell - PerformancePoint 2 13" xfId="6723"/>
    <cellStyle name="Annotations Cell - PerformancePoint 2 14" xfId="6724"/>
    <cellStyle name="Annotations Cell - PerformancePoint 2 15" xfId="6725"/>
    <cellStyle name="Annotations Cell - PerformancePoint 2 16" xfId="6726"/>
    <cellStyle name="Annotations Cell - PerformancePoint 2 17" xfId="6727"/>
    <cellStyle name="Annotations Cell - PerformancePoint 2 18" xfId="6728"/>
    <cellStyle name="Annotations Cell - PerformancePoint 2 2" xfId="6729"/>
    <cellStyle name="Annotations Cell - PerformancePoint 2 3" xfId="6730"/>
    <cellStyle name="Annotations Cell - PerformancePoint 2 4" xfId="6731"/>
    <cellStyle name="Annotations Cell - PerformancePoint 2 5" xfId="6732"/>
    <cellStyle name="Annotations Cell - PerformancePoint 2 6" xfId="6733"/>
    <cellStyle name="Annotations Cell - PerformancePoint 2 7" xfId="6734"/>
    <cellStyle name="Annotations Cell - PerformancePoint 2 8" xfId="6735"/>
    <cellStyle name="Annotations Cell - PerformancePoint 2 9" xfId="6736"/>
    <cellStyle name="Annotations Cell - PerformancePoint 3" xfId="6737"/>
    <cellStyle name="Annotations Cell - PerformancePoint 4" xfId="6738"/>
    <cellStyle name="Annotations Cell - PerformancePoint 5" xfId="6739"/>
    <cellStyle name="Annotations Cell - PerformancePoint 6" xfId="6740"/>
    <cellStyle name="Annotations Cell - PerformancePoint 7" xfId="6741"/>
    <cellStyle name="Annotations Cell - PerformancePoint 7 2" xfId="6742"/>
    <cellStyle name="Annotations Cell - PerformancePoint 7 2 2" xfId="6743"/>
    <cellStyle name="Annotations Cell - PerformancePoint 7 2 2 2" xfId="6744"/>
    <cellStyle name="Annotations Cell - PerformancePoint 7 2 2 2 2" xfId="6745"/>
    <cellStyle name="Annotations Cell - PerformancePoint 7 2 2 2 2 2" xfId="6746"/>
    <cellStyle name="Annotations Cell - PerformancePoint 7 2 2 2 2 3" xfId="6747"/>
    <cellStyle name="Annotations Cell - PerformancePoint 7 2 2 2 3" xfId="6748"/>
    <cellStyle name="Annotations Cell - PerformancePoint 7 2 2 2 3 2" xfId="6749"/>
    <cellStyle name="Annotations Cell - PerformancePoint 7 2 2 2 3 3" xfId="6750"/>
    <cellStyle name="Annotations Cell - PerformancePoint 7 2 2 2 4" xfId="6751"/>
    <cellStyle name="Annotations Cell - PerformancePoint 7 2 2 2 5" xfId="6752"/>
    <cellStyle name="Annotations Cell - PerformancePoint 7 2 2 3" xfId="6753"/>
    <cellStyle name="Annotations Cell - PerformancePoint 7 2 2 3 2" xfId="6754"/>
    <cellStyle name="Annotations Cell - PerformancePoint 7 2 2 3 2 2" xfId="6755"/>
    <cellStyle name="Annotations Cell - PerformancePoint 7 2 2 3 2 3" xfId="6756"/>
    <cellStyle name="Annotations Cell - PerformancePoint 7 2 2 3 3" xfId="6757"/>
    <cellStyle name="Annotations Cell - PerformancePoint 7 2 2 3 3 2" xfId="6758"/>
    <cellStyle name="Annotations Cell - PerformancePoint 7 2 2 3 3 3" xfId="6759"/>
    <cellStyle name="Annotations Cell - PerformancePoint 7 2 2 3 4" xfId="6760"/>
    <cellStyle name="Annotations Cell - PerformancePoint 7 2 2 3 5" xfId="6761"/>
    <cellStyle name="Annotations Cell - PerformancePoint 7 2 2 4" xfId="6762"/>
    <cellStyle name="Annotations Cell - PerformancePoint 7 2 2 4 2" xfId="6763"/>
    <cellStyle name="Annotations Cell - PerformancePoint 7 2 2 4 3" xfId="6764"/>
    <cellStyle name="Annotations Cell - PerformancePoint 7 2 2 5" xfId="6765"/>
    <cellStyle name="Annotations Cell - PerformancePoint 7 2 2 5 2" xfId="6766"/>
    <cellStyle name="Annotations Cell - PerformancePoint 7 2 2 5 3" xfId="6767"/>
    <cellStyle name="Annotations Cell - PerformancePoint 7 2 2 6" xfId="6768"/>
    <cellStyle name="Annotations Cell - PerformancePoint 7 2 2 7" xfId="6769"/>
    <cellStyle name="Annotations Cell - PerformancePoint 7 2 3" xfId="6770"/>
    <cellStyle name="Annotations Cell - PerformancePoint 7 2 3 2" xfId="6771"/>
    <cellStyle name="Annotations Cell - PerformancePoint 7 2 3 2 2" xfId="6772"/>
    <cellStyle name="Annotations Cell - PerformancePoint 7 2 3 2 2 2" xfId="6773"/>
    <cellStyle name="Annotations Cell - PerformancePoint 7 2 3 2 2 3" xfId="6774"/>
    <cellStyle name="Annotations Cell - PerformancePoint 7 2 3 2 3" xfId="6775"/>
    <cellStyle name="Annotations Cell - PerformancePoint 7 2 3 2 3 2" xfId="6776"/>
    <cellStyle name="Annotations Cell - PerformancePoint 7 2 3 2 3 3" xfId="6777"/>
    <cellStyle name="Annotations Cell - PerformancePoint 7 2 3 2 4" xfId="6778"/>
    <cellStyle name="Annotations Cell - PerformancePoint 7 2 3 2 5" xfId="6779"/>
    <cellStyle name="Annotations Cell - PerformancePoint 7 2 3 3" xfId="6780"/>
    <cellStyle name="Annotations Cell - PerformancePoint 7 2 3 3 2" xfId="6781"/>
    <cellStyle name="Annotations Cell - PerformancePoint 7 2 3 3 2 2" xfId="6782"/>
    <cellStyle name="Annotations Cell - PerformancePoint 7 2 3 3 2 3" xfId="6783"/>
    <cellStyle name="Annotations Cell - PerformancePoint 7 2 3 3 3" xfId="6784"/>
    <cellStyle name="Annotations Cell - PerformancePoint 7 2 3 3 3 2" xfId="6785"/>
    <cellStyle name="Annotations Cell - PerformancePoint 7 2 3 3 3 3" xfId="6786"/>
    <cellStyle name="Annotations Cell - PerformancePoint 7 2 3 3 4" xfId="6787"/>
    <cellStyle name="Annotations Cell - PerformancePoint 7 2 3 3 5" xfId="6788"/>
    <cellStyle name="Annotations Cell - PerformancePoint 7 2 3 4" xfId="6789"/>
    <cellStyle name="Annotations Cell - PerformancePoint 7 2 3 4 2" xfId="6790"/>
    <cellStyle name="Annotations Cell - PerformancePoint 7 2 3 4 3" xfId="6791"/>
    <cellStyle name="Annotations Cell - PerformancePoint 7 2 3 5" xfId="6792"/>
    <cellStyle name="Annotations Cell - PerformancePoint 7 2 3 5 2" xfId="6793"/>
    <cellStyle name="Annotations Cell - PerformancePoint 7 2 3 5 3" xfId="6794"/>
    <cellStyle name="Annotations Cell - PerformancePoint 7 2 3 6" xfId="6795"/>
    <cellStyle name="Annotations Cell - PerformancePoint 7 2 3 7" xfId="6796"/>
    <cellStyle name="Annotations Cell - PerformancePoint 7 2 4" xfId="6797"/>
    <cellStyle name="Annotations Cell - PerformancePoint 7 2 4 2" xfId="6798"/>
    <cellStyle name="Annotations Cell - PerformancePoint 7 2 4 2 2" xfId="6799"/>
    <cellStyle name="Annotations Cell - PerformancePoint 7 2 4 2 3" xfId="6800"/>
    <cellStyle name="Annotations Cell - PerformancePoint 7 2 4 3" xfId="6801"/>
    <cellStyle name="Annotations Cell - PerformancePoint 7 2 4 3 2" xfId="6802"/>
    <cellStyle name="Annotations Cell - PerformancePoint 7 2 4 3 3" xfId="6803"/>
    <cellStyle name="Annotations Cell - PerformancePoint 7 2 4 4" xfId="6804"/>
    <cellStyle name="Annotations Cell - PerformancePoint 7 2 4 5" xfId="6805"/>
    <cellStyle name="Annotations Cell - PerformancePoint 7 2 5" xfId="6806"/>
    <cellStyle name="Annotations Cell - PerformancePoint 7 2 5 2" xfId="6807"/>
    <cellStyle name="Annotations Cell - PerformancePoint 7 2 5 2 2" xfId="6808"/>
    <cellStyle name="Annotations Cell - PerformancePoint 7 2 5 2 3" xfId="6809"/>
    <cellStyle name="Annotations Cell - PerformancePoint 7 2 5 3" xfId="6810"/>
    <cellStyle name="Annotations Cell - PerformancePoint 7 2 5 3 2" xfId="6811"/>
    <cellStyle name="Annotations Cell - PerformancePoint 7 2 5 3 3" xfId="6812"/>
    <cellStyle name="Annotations Cell - PerformancePoint 7 2 5 4" xfId="6813"/>
    <cellStyle name="Annotations Cell - PerformancePoint 7 2 5 5" xfId="6814"/>
    <cellStyle name="Annotations Cell - PerformancePoint 7 2 6" xfId="6815"/>
    <cellStyle name="Annotations Cell - PerformancePoint 7 2 6 2" xfId="6816"/>
    <cellStyle name="Annotations Cell - PerformancePoint 7 2 6 3" xfId="6817"/>
    <cellStyle name="Annotations Cell - PerformancePoint 7 2 7" xfId="6818"/>
    <cellStyle name="Annotations Cell - PerformancePoint 7 2 7 2" xfId="6819"/>
    <cellStyle name="Annotations Cell - PerformancePoint 7 2 7 3" xfId="6820"/>
    <cellStyle name="Annotations Cell - PerformancePoint 7 2 8" xfId="6821"/>
    <cellStyle name="Annotations Cell - PerformancePoint 7 2 9" xfId="6822"/>
    <cellStyle name="Annotations Cell - PerformancePoint 8" xfId="6823"/>
    <cellStyle name="Annotations Cell - PerformancePoint 9" xfId="6824"/>
    <cellStyle name="Año" xfId="6825"/>
    <cellStyle name="Apershare" xfId="6826"/>
    <cellStyle name="apex in the pool, need to include if construct to handle -ve construct_x0001__x000f_" xfId="6827"/>
    <cellStyle name="Aprice" xfId="6828"/>
    <cellStyle name="Arial 10" xfId="6829"/>
    <cellStyle name="Arial 12" xfId="6830"/>
    <cellStyle name="Assessment Name" xfId="6831"/>
    <cellStyle name="AUD 0" xfId="6832"/>
    <cellStyle name="AUD 0 2" xfId="6833"/>
    <cellStyle name="AUD 0 3" xfId="6834"/>
    <cellStyle name="AUD 2" xfId="6835"/>
    <cellStyle name="AUD 2 2" xfId="6836"/>
    <cellStyle name="AUD 2 3" xfId="6837"/>
    <cellStyle name="Bad" xfId="42815" builtinId="27" customBuiltin="1"/>
    <cellStyle name="Bad 10" xfId="6838"/>
    <cellStyle name="Bad 11" xfId="6839"/>
    <cellStyle name="Bad 12" xfId="6840"/>
    <cellStyle name="Bad 2" xfId="6841"/>
    <cellStyle name="Bad 2 10" xfId="43147"/>
    <cellStyle name="Bad 2 2" xfId="6842"/>
    <cellStyle name="Bad 2 2 2" xfId="6843"/>
    <cellStyle name="Bad 2 2_FCC Filings With Webster 2012" xfId="6844"/>
    <cellStyle name="Bad 2 3" xfId="6845"/>
    <cellStyle name="Bad 2 4" xfId="6846"/>
    <cellStyle name="Bad 2 5" xfId="6847"/>
    <cellStyle name="Bad 2 6" xfId="43020"/>
    <cellStyle name="Bad 2 7" xfId="43077"/>
    <cellStyle name="Bad 2 8" xfId="43153"/>
    <cellStyle name="Bad 2 9" xfId="43183"/>
    <cellStyle name="Bad 2_Dashboard - Inventory Metrics Aug 2012" xfId="6848"/>
    <cellStyle name="Bad 3" xfId="6849"/>
    <cellStyle name="Bad 3 2" xfId="6850"/>
    <cellStyle name="Bad 3 3" xfId="43019"/>
    <cellStyle name="Bad 4" xfId="6851"/>
    <cellStyle name="Bad 4 2" xfId="6852"/>
    <cellStyle name="Bad 4_Sheet8" xfId="6853"/>
    <cellStyle name="Bad 5" xfId="6854"/>
    <cellStyle name="Bad 6" xfId="6855"/>
    <cellStyle name="Bad 7" xfId="6856"/>
    <cellStyle name="Bad 8" xfId="6857"/>
    <cellStyle name="Bad 9" xfId="6858"/>
    <cellStyle name="base" xfId="6859"/>
    <cellStyle name="Black" xfId="6860"/>
    <cellStyle name="blank" xfId="6861"/>
    <cellStyle name="Blue" xfId="6862"/>
    <cellStyle name="Blue Shading" xfId="6863"/>
    <cellStyle name="Blue Title" xfId="6864"/>
    <cellStyle name="blue$00" xfId="6865"/>
    <cellStyle name="Blue_194645_13" xfId="6866"/>
    <cellStyle name="Body" xfId="6867"/>
    <cellStyle name="Bold" xfId="6868"/>
    <cellStyle name="BOLD - Style1" xfId="6869"/>
    <cellStyle name="Bold/Border" xfId="6870"/>
    <cellStyle name="Border Heavy" xfId="6871"/>
    <cellStyle name="Border Thin" xfId="6872"/>
    <cellStyle name="Border Thin 2" xfId="6873"/>
    <cellStyle name="Border Thin 2 2" xfId="6874"/>
    <cellStyle name="Border Thin 3" xfId="6875"/>
    <cellStyle name="British Pound" xfId="6876"/>
    <cellStyle name="British Pound[1]" xfId="6877"/>
    <cellStyle name="British Pound[1] 2" xfId="6878"/>
    <cellStyle name="British Pound[1] 2 2" xfId="6879"/>
    <cellStyle name="British Pound[1] 2 2 2" xfId="6880"/>
    <cellStyle name="British Pound[1] 2 2 2 2" xfId="6881"/>
    <cellStyle name="British Pound[1] 2 2 2 2 2" xfId="6882"/>
    <cellStyle name="British Pound[1] 2 2 2 2 3" xfId="6883"/>
    <cellStyle name="British Pound[1] 2 2 2 3" xfId="6884"/>
    <cellStyle name="British Pound[1] 2 2 2 4" xfId="6885"/>
    <cellStyle name="British Pound[1] 2 3" xfId="6886"/>
    <cellStyle name="British Pound[1] 2 3 2" xfId="6887"/>
    <cellStyle name="British Pound[1] 2 3 2 2" xfId="6888"/>
    <cellStyle name="British Pound[1] 2 3 2 2 2" xfId="6889"/>
    <cellStyle name="British Pound[1] 2 3 2 2 3" xfId="6890"/>
    <cellStyle name="British Pound[1] 2 3 2 3" xfId="6891"/>
    <cellStyle name="British Pound[1] 2 3 2 4" xfId="6892"/>
    <cellStyle name="British Pound[1] 2 4" xfId="6893"/>
    <cellStyle name="British Pound[1] 2 4 2" xfId="6894"/>
    <cellStyle name="British Pound[1] 2 4 2 2" xfId="6895"/>
    <cellStyle name="British Pound[1] 2 4 2 2 2" xfId="6896"/>
    <cellStyle name="British Pound[1] 2 4 2 2 3" xfId="6897"/>
    <cellStyle name="British Pound[1] 2 4 2 3" xfId="6898"/>
    <cellStyle name="British Pound[1] 2 4 2 4" xfId="6899"/>
    <cellStyle name="British Pound[1] 2 5" xfId="6900"/>
    <cellStyle name="British Pound[1] 2 5 2" xfId="6901"/>
    <cellStyle name="British Pound[1] 2 5 2 2" xfId="6902"/>
    <cellStyle name="British Pound[1] 2 5 2 2 2" xfId="6903"/>
    <cellStyle name="British Pound[1] 2 5 2 2 3" xfId="6904"/>
    <cellStyle name="British Pound[1] 2 5 2 3" xfId="6905"/>
    <cellStyle name="British Pound[1] 2 5 2 4" xfId="6906"/>
    <cellStyle name="British Pound[1] 2 6" xfId="6907"/>
    <cellStyle name="British Pound[1] 2 6 2" xfId="6908"/>
    <cellStyle name="British Pound[1] 2 6 2 2" xfId="6909"/>
    <cellStyle name="British Pound[1] 2 6 2 2 2" xfId="6910"/>
    <cellStyle name="British Pound[1] 2 6 2 2 3" xfId="6911"/>
    <cellStyle name="British Pound[1] 2 6 2 3" xfId="6912"/>
    <cellStyle name="British Pound[1] 2 6 2 4" xfId="6913"/>
    <cellStyle name="British Pound[1] 2 7" xfId="6914"/>
    <cellStyle name="British Pound[1] 2 7 2" xfId="6915"/>
    <cellStyle name="British Pound[1] 2 7 2 2" xfId="6916"/>
    <cellStyle name="British Pound[1] 2 7 2 2 2" xfId="6917"/>
    <cellStyle name="British Pound[1] 2 7 2 2 3" xfId="6918"/>
    <cellStyle name="British Pound[1] 2 7 2 3" xfId="6919"/>
    <cellStyle name="British Pound[1] 2 7 2 4" xfId="6920"/>
    <cellStyle name="British Pound[1] 2 8" xfId="6921"/>
    <cellStyle name="British Pound[1] 2 8 2" xfId="6922"/>
    <cellStyle name="British Pound[1] 2 8 2 2" xfId="6923"/>
    <cellStyle name="British Pound[1] 2 8 2 3" xfId="6924"/>
    <cellStyle name="British Pound[1] 2 8 3" xfId="6925"/>
    <cellStyle name="British Pound[1] 2 8 4" xfId="6926"/>
    <cellStyle name="British Pound[1] 3" xfId="6927"/>
    <cellStyle name="British Pound[1] 3 2" xfId="6928"/>
    <cellStyle name="British Pound[1] 3 2 2" xfId="6929"/>
    <cellStyle name="British Pound[1] 3 2 2 2" xfId="6930"/>
    <cellStyle name="British Pound[1] 3 2 2 2 2" xfId="6931"/>
    <cellStyle name="British Pound[1] 3 2 2 2 3" xfId="6932"/>
    <cellStyle name="British Pound[1] 3 2 2 3" xfId="6933"/>
    <cellStyle name="British Pound[1] 3 2 2 4" xfId="6934"/>
    <cellStyle name="British Pound[1] 3 3" xfId="6935"/>
    <cellStyle name="British Pound[1] 3 3 2" xfId="6936"/>
    <cellStyle name="British Pound[1] 3 3 2 2" xfId="6937"/>
    <cellStyle name="British Pound[1] 3 3 2 2 2" xfId="6938"/>
    <cellStyle name="British Pound[1] 3 3 2 2 3" xfId="6939"/>
    <cellStyle name="British Pound[1] 3 3 2 3" xfId="6940"/>
    <cellStyle name="British Pound[1] 3 3 2 4" xfId="6941"/>
    <cellStyle name="British Pound[1] 3 4" xfId="6942"/>
    <cellStyle name="British Pound[1] 3 4 2" xfId="6943"/>
    <cellStyle name="British Pound[1] 3 4 2 2" xfId="6944"/>
    <cellStyle name="British Pound[1] 3 4 2 2 2" xfId="6945"/>
    <cellStyle name="British Pound[1] 3 4 2 2 3" xfId="6946"/>
    <cellStyle name="British Pound[1] 3 4 2 3" xfId="6947"/>
    <cellStyle name="British Pound[1] 3 4 2 4" xfId="6948"/>
    <cellStyle name="British Pound[1] 3 5" xfId="6949"/>
    <cellStyle name="British Pound[1] 3 5 2" xfId="6950"/>
    <cellStyle name="British Pound[1] 3 5 2 2" xfId="6951"/>
    <cellStyle name="British Pound[1] 3 5 2 2 2" xfId="6952"/>
    <cellStyle name="British Pound[1] 3 5 2 2 3" xfId="6953"/>
    <cellStyle name="British Pound[1] 3 5 2 3" xfId="6954"/>
    <cellStyle name="British Pound[1] 3 5 2 4" xfId="6955"/>
    <cellStyle name="British Pound[1] 3 6" xfId="6956"/>
    <cellStyle name="British Pound[1] 3 6 2" xfId="6957"/>
    <cellStyle name="British Pound[1] 3 6 2 2" xfId="6958"/>
    <cellStyle name="British Pound[1] 3 6 2 2 2" xfId="6959"/>
    <cellStyle name="British Pound[1] 3 6 2 2 3" xfId="6960"/>
    <cellStyle name="British Pound[1] 3 6 2 3" xfId="6961"/>
    <cellStyle name="British Pound[1] 3 6 2 4" xfId="6962"/>
    <cellStyle name="British Pound[1] 3 7" xfId="6963"/>
    <cellStyle name="British Pound[1] 3 7 2" xfId="6964"/>
    <cellStyle name="British Pound[1] 3 7 2 2" xfId="6965"/>
    <cellStyle name="British Pound[1] 3 7 2 2 2" xfId="6966"/>
    <cellStyle name="British Pound[1] 3 7 2 2 3" xfId="6967"/>
    <cellStyle name="British Pound[1] 3 7 2 3" xfId="6968"/>
    <cellStyle name="British Pound[1] 3 7 2 4" xfId="6969"/>
    <cellStyle name="British Pound[1] 3 8" xfId="6970"/>
    <cellStyle name="British Pound[1] 3 8 2" xfId="6971"/>
    <cellStyle name="British Pound[1] 3 8 2 2" xfId="6972"/>
    <cellStyle name="British Pound[1] 3 8 2 3" xfId="6973"/>
    <cellStyle name="British Pound[1] 3 8 3" xfId="6974"/>
    <cellStyle name="British Pound[1] 3 8 4" xfId="6975"/>
    <cellStyle name="British Pound[1] 4" xfId="6976"/>
    <cellStyle name="British Pound[1] 4 2" xfId="6977"/>
    <cellStyle name="British Pound[1] 4 2 2" xfId="6978"/>
    <cellStyle name="British Pound[1] 4 2 2 2" xfId="6979"/>
    <cellStyle name="British Pound[1] 4 2 2 2 2" xfId="6980"/>
    <cellStyle name="British Pound[1] 4 2 2 2 3" xfId="6981"/>
    <cellStyle name="British Pound[1] 4 2 2 3" xfId="6982"/>
    <cellStyle name="British Pound[1] 4 2 2 4" xfId="6983"/>
    <cellStyle name="British Pound[1] 4 3" xfId="6984"/>
    <cellStyle name="British Pound[1] 4 3 2" xfId="6985"/>
    <cellStyle name="British Pound[1] 4 3 2 2" xfId="6986"/>
    <cellStyle name="British Pound[1] 4 3 2 2 2" xfId="6987"/>
    <cellStyle name="British Pound[1] 4 3 2 2 3" xfId="6988"/>
    <cellStyle name="British Pound[1] 4 3 2 3" xfId="6989"/>
    <cellStyle name="British Pound[1] 4 3 2 4" xfId="6990"/>
    <cellStyle name="British Pound[1] 4 4" xfId="6991"/>
    <cellStyle name="British Pound[1] 4 4 2" xfId="6992"/>
    <cellStyle name="British Pound[1] 4 4 2 2" xfId="6993"/>
    <cellStyle name="British Pound[1] 4 4 2 2 2" xfId="6994"/>
    <cellStyle name="British Pound[1] 4 4 2 2 3" xfId="6995"/>
    <cellStyle name="British Pound[1] 4 4 2 3" xfId="6996"/>
    <cellStyle name="British Pound[1] 4 4 2 4" xfId="6997"/>
    <cellStyle name="British Pound[1] 4 5" xfId="6998"/>
    <cellStyle name="British Pound[1] 4 5 2" xfId="6999"/>
    <cellStyle name="British Pound[1] 4 5 2 2" xfId="7000"/>
    <cellStyle name="British Pound[1] 4 5 2 2 2" xfId="7001"/>
    <cellStyle name="British Pound[1] 4 5 2 2 3" xfId="7002"/>
    <cellStyle name="British Pound[1] 4 5 2 3" xfId="7003"/>
    <cellStyle name="British Pound[1] 4 5 2 4" xfId="7004"/>
    <cellStyle name="British Pound[1] 4 6" xfId="7005"/>
    <cellStyle name="British Pound[1] 4 6 2" xfId="7006"/>
    <cellStyle name="British Pound[1] 4 6 2 2" xfId="7007"/>
    <cellStyle name="British Pound[1] 4 6 2 2 2" xfId="7008"/>
    <cellStyle name="British Pound[1] 4 6 2 2 3" xfId="7009"/>
    <cellStyle name="British Pound[1] 4 6 2 3" xfId="7010"/>
    <cellStyle name="British Pound[1] 4 6 2 4" xfId="7011"/>
    <cellStyle name="British Pound[1] 4 7" xfId="7012"/>
    <cellStyle name="British Pound[1] 4 7 2" xfId="7013"/>
    <cellStyle name="British Pound[1] 4 7 2 2" xfId="7014"/>
    <cellStyle name="British Pound[1] 4 7 2 2 2" xfId="7015"/>
    <cellStyle name="British Pound[1] 4 7 2 2 3" xfId="7016"/>
    <cellStyle name="British Pound[1] 4 7 2 3" xfId="7017"/>
    <cellStyle name="British Pound[1] 4 7 2 4" xfId="7018"/>
    <cellStyle name="British Pound[1] 4 8" xfId="7019"/>
    <cellStyle name="British Pound[1] 4 8 2" xfId="7020"/>
    <cellStyle name="British Pound[1] 4 8 2 2" xfId="7021"/>
    <cellStyle name="British Pound[1] 4 8 2 2 2" xfId="7022"/>
    <cellStyle name="British Pound[1] 4 8 2 2 3" xfId="7023"/>
    <cellStyle name="British Pound[1] 4 8 2 3" xfId="7024"/>
    <cellStyle name="British Pound[1] 4 8 2 4" xfId="7025"/>
    <cellStyle name="British Pound[1] 4 9" xfId="7026"/>
    <cellStyle name="British Pound[1] 4 9 2" xfId="7027"/>
    <cellStyle name="British Pound[1] 4 9 2 2" xfId="7028"/>
    <cellStyle name="British Pound[1] 4 9 2 3" xfId="7029"/>
    <cellStyle name="British Pound[1] 4 9 3" xfId="7030"/>
    <cellStyle name="British Pound[1] 4 9 4" xfId="7031"/>
    <cellStyle name="British Pound[1] 5" xfId="7032"/>
    <cellStyle name="British Pound[1] 5 2" xfId="7033"/>
    <cellStyle name="British Pound[1] 5 2 2" xfId="7034"/>
    <cellStyle name="British Pound[1] 5 2 3" xfId="7035"/>
    <cellStyle name="British Pound[1] 5 3" xfId="7036"/>
    <cellStyle name="British Pound[1] 5 4" xfId="7037"/>
    <cellStyle name="British Pound[2]" xfId="7038"/>
    <cellStyle name="British Pound[2] 2" xfId="7039"/>
    <cellStyle name="British Pound_aug9mergera" xfId="7040"/>
    <cellStyle name="Brooks" xfId="7041"/>
    <cellStyle name="bullet" xfId="7042"/>
    <cellStyle name="Business Description" xfId="7043"/>
    <cellStyle name="Calc Currency (0)" xfId="7044"/>
    <cellStyle name="Calc Currency (2)" xfId="7045"/>
    <cellStyle name="Calc Percent (0)" xfId="7046"/>
    <cellStyle name="Calc Percent (1)" xfId="7047"/>
    <cellStyle name="Calc Percent (2)" xfId="7048"/>
    <cellStyle name="Calc Units (0)" xfId="7049"/>
    <cellStyle name="Calc Units (1)" xfId="7050"/>
    <cellStyle name="Calc Units (2)" xfId="7051"/>
    <cellStyle name="Calculation" xfId="42819" builtinId="22" customBuiltin="1"/>
    <cellStyle name="Calculation 10" xfId="7052"/>
    <cellStyle name="Calculation 11" xfId="7053"/>
    <cellStyle name="Calculation 12" xfId="7054"/>
    <cellStyle name="Calculation 12 2" xfId="7055"/>
    <cellStyle name="Calculation 12 3" xfId="7056"/>
    <cellStyle name="Calculation 12 4" xfId="7057"/>
    <cellStyle name="Calculation 12 5" xfId="7058"/>
    <cellStyle name="Calculation 13" xfId="7059"/>
    <cellStyle name="Calculation 14" xfId="7060"/>
    <cellStyle name="Calculation 15" xfId="7061"/>
    <cellStyle name="Calculation 16" xfId="7062"/>
    <cellStyle name="Calculation 2" xfId="7063"/>
    <cellStyle name="Calculation 2 10" xfId="7064"/>
    <cellStyle name="Calculation 2 10 2" xfId="7065"/>
    <cellStyle name="Calculation 2 10 2 2" xfId="7066"/>
    <cellStyle name="Calculation 2 10 2 2 2" xfId="7067"/>
    <cellStyle name="Calculation 2 10 2 2 3" xfId="7068"/>
    <cellStyle name="Calculation 2 10 2 3" xfId="7069"/>
    <cellStyle name="Calculation 2 10 2 4" xfId="7070"/>
    <cellStyle name="Calculation 2 11" xfId="7071"/>
    <cellStyle name="Calculation 2 11 2" xfId="7072"/>
    <cellStyle name="Calculation 2 11 2 2" xfId="7073"/>
    <cellStyle name="Calculation 2 11 2 3" xfId="7074"/>
    <cellStyle name="Calculation 2 11 3" xfId="7075"/>
    <cellStyle name="Calculation 2 11 4" xfId="7076"/>
    <cellStyle name="Calculation 2 12" xfId="42857"/>
    <cellStyle name="Calculation 2 13" xfId="42858"/>
    <cellStyle name="Calculation 2 14" xfId="43022"/>
    <cellStyle name="Calculation 2 2" xfId="7077"/>
    <cellStyle name="Calculation 2 2 2" xfId="7078"/>
    <cellStyle name="Calculation 2 2 2 2" xfId="7079"/>
    <cellStyle name="Calculation 2 2 2 2 2" xfId="7080"/>
    <cellStyle name="Calculation 2 2 2 2 2 2" xfId="7081"/>
    <cellStyle name="Calculation 2 2 2 2 2 2 2" xfId="7082"/>
    <cellStyle name="Calculation 2 2 2 2 2 2 3" xfId="7083"/>
    <cellStyle name="Calculation 2 2 2 2 2 3" xfId="7084"/>
    <cellStyle name="Calculation 2 2 2 2 2 4" xfId="7085"/>
    <cellStyle name="Calculation 2 2 2 3" xfId="7086"/>
    <cellStyle name="Calculation 2 2 2 3 2" xfId="7087"/>
    <cellStyle name="Calculation 2 2 2 3 2 2" xfId="7088"/>
    <cellStyle name="Calculation 2 2 2 3 2 2 2" xfId="7089"/>
    <cellStyle name="Calculation 2 2 2 3 2 2 3" xfId="7090"/>
    <cellStyle name="Calculation 2 2 2 3 2 3" xfId="7091"/>
    <cellStyle name="Calculation 2 2 2 3 2 4" xfId="7092"/>
    <cellStyle name="Calculation 2 2 2 4" xfId="7093"/>
    <cellStyle name="Calculation 2 2 2 4 2" xfId="7094"/>
    <cellStyle name="Calculation 2 2 2 4 2 2" xfId="7095"/>
    <cellStyle name="Calculation 2 2 2 4 2 2 2" xfId="7096"/>
    <cellStyle name="Calculation 2 2 2 4 2 2 3" xfId="7097"/>
    <cellStyle name="Calculation 2 2 2 4 2 3" xfId="7098"/>
    <cellStyle name="Calculation 2 2 2 4 2 4" xfId="7099"/>
    <cellStyle name="Calculation 2 2 2 5" xfId="7100"/>
    <cellStyle name="Calculation 2 2 2 5 2" xfId="7101"/>
    <cellStyle name="Calculation 2 2 2 5 2 2" xfId="7102"/>
    <cellStyle name="Calculation 2 2 2 5 2 2 2" xfId="7103"/>
    <cellStyle name="Calculation 2 2 2 5 2 2 3" xfId="7104"/>
    <cellStyle name="Calculation 2 2 2 5 2 3" xfId="7105"/>
    <cellStyle name="Calculation 2 2 2 5 2 4" xfId="7106"/>
    <cellStyle name="Calculation 2 2 2 6" xfId="7107"/>
    <cellStyle name="Calculation 2 2 2 6 2" xfId="7108"/>
    <cellStyle name="Calculation 2 2 2 6 2 2" xfId="7109"/>
    <cellStyle name="Calculation 2 2 2 6 2 2 2" xfId="7110"/>
    <cellStyle name="Calculation 2 2 2 6 2 2 3" xfId="7111"/>
    <cellStyle name="Calculation 2 2 2 6 2 3" xfId="7112"/>
    <cellStyle name="Calculation 2 2 2 6 2 4" xfId="7113"/>
    <cellStyle name="Calculation 2 2 2 7" xfId="7114"/>
    <cellStyle name="Calculation 2 2 2 7 2" xfId="7115"/>
    <cellStyle name="Calculation 2 2 2 7 2 2" xfId="7116"/>
    <cellStyle name="Calculation 2 2 2 7 2 2 2" xfId="7117"/>
    <cellStyle name="Calculation 2 2 2 7 2 2 3" xfId="7118"/>
    <cellStyle name="Calculation 2 2 2 7 2 3" xfId="7119"/>
    <cellStyle name="Calculation 2 2 2 7 2 4" xfId="7120"/>
    <cellStyle name="Calculation 2 2 2 8" xfId="7121"/>
    <cellStyle name="Calculation 2 2 2 8 2" xfId="7122"/>
    <cellStyle name="Calculation 2 2 2 8 2 2" xfId="7123"/>
    <cellStyle name="Calculation 2 2 2 8 2 2 2" xfId="7124"/>
    <cellStyle name="Calculation 2 2 2 8 2 2 3" xfId="7125"/>
    <cellStyle name="Calculation 2 2 2 8 2 3" xfId="7126"/>
    <cellStyle name="Calculation 2 2 2 8 2 4" xfId="7127"/>
    <cellStyle name="Calculation 2 2 2 9" xfId="7128"/>
    <cellStyle name="Calculation 2 2 2 9 2" xfId="7129"/>
    <cellStyle name="Calculation 2 2 2 9 2 2" xfId="7130"/>
    <cellStyle name="Calculation 2 2 2 9 2 3" xfId="7131"/>
    <cellStyle name="Calculation 2 2 2 9 3" xfId="7132"/>
    <cellStyle name="Calculation 2 2 2 9 4" xfId="7133"/>
    <cellStyle name="Calculation 2 2 3" xfId="7134"/>
    <cellStyle name="Calculation 2 2 3 2" xfId="7135"/>
    <cellStyle name="Calculation 2 2 3 2 2" xfId="7136"/>
    <cellStyle name="Calculation 2 2 3 2 2 2" xfId="7137"/>
    <cellStyle name="Calculation 2 2 3 2 2 2 2" xfId="7138"/>
    <cellStyle name="Calculation 2 2 3 2 2 2 3" xfId="7139"/>
    <cellStyle name="Calculation 2 2 3 2 2 3" xfId="7140"/>
    <cellStyle name="Calculation 2 2 3 2 2 4" xfId="7141"/>
    <cellStyle name="Calculation 2 2 3 3" xfId="7142"/>
    <cellStyle name="Calculation 2 2 3 3 2" xfId="7143"/>
    <cellStyle name="Calculation 2 2 3 3 2 2" xfId="7144"/>
    <cellStyle name="Calculation 2 2 3 3 2 2 2" xfId="7145"/>
    <cellStyle name="Calculation 2 2 3 3 2 2 3" xfId="7146"/>
    <cellStyle name="Calculation 2 2 3 3 2 3" xfId="7147"/>
    <cellStyle name="Calculation 2 2 3 3 2 4" xfId="7148"/>
    <cellStyle name="Calculation 2 2 3 4" xfId="7149"/>
    <cellStyle name="Calculation 2 2 3 4 2" xfId="7150"/>
    <cellStyle name="Calculation 2 2 3 4 2 2" xfId="7151"/>
    <cellStyle name="Calculation 2 2 3 4 2 2 2" xfId="7152"/>
    <cellStyle name="Calculation 2 2 3 4 2 2 3" xfId="7153"/>
    <cellStyle name="Calculation 2 2 3 4 2 3" xfId="7154"/>
    <cellStyle name="Calculation 2 2 3 4 2 4" xfId="7155"/>
    <cellStyle name="Calculation 2 2 3 5" xfId="7156"/>
    <cellStyle name="Calculation 2 2 3 5 2" xfId="7157"/>
    <cellStyle name="Calculation 2 2 3 5 2 2" xfId="7158"/>
    <cellStyle name="Calculation 2 2 3 5 2 2 2" xfId="7159"/>
    <cellStyle name="Calculation 2 2 3 5 2 2 3" xfId="7160"/>
    <cellStyle name="Calculation 2 2 3 5 2 3" xfId="7161"/>
    <cellStyle name="Calculation 2 2 3 5 2 4" xfId="7162"/>
    <cellStyle name="Calculation 2 2 3 6" xfId="7163"/>
    <cellStyle name="Calculation 2 2 3 6 2" xfId="7164"/>
    <cellStyle name="Calculation 2 2 3 6 2 2" xfId="7165"/>
    <cellStyle name="Calculation 2 2 3 6 2 2 2" xfId="7166"/>
    <cellStyle name="Calculation 2 2 3 6 2 2 3" xfId="7167"/>
    <cellStyle name="Calculation 2 2 3 6 2 3" xfId="7168"/>
    <cellStyle name="Calculation 2 2 3 6 2 4" xfId="7169"/>
    <cellStyle name="Calculation 2 2 3 7" xfId="7170"/>
    <cellStyle name="Calculation 2 2 3 7 2" xfId="7171"/>
    <cellStyle name="Calculation 2 2 3 7 2 2" xfId="7172"/>
    <cellStyle name="Calculation 2 2 3 7 2 2 2" xfId="7173"/>
    <cellStyle name="Calculation 2 2 3 7 2 2 3" xfId="7174"/>
    <cellStyle name="Calculation 2 2 3 7 2 3" xfId="7175"/>
    <cellStyle name="Calculation 2 2 3 7 2 4" xfId="7176"/>
    <cellStyle name="Calculation 2 2 3 8" xfId="7177"/>
    <cellStyle name="Calculation 2 2 3 8 2" xfId="7178"/>
    <cellStyle name="Calculation 2 2 3 8 2 2" xfId="7179"/>
    <cellStyle name="Calculation 2 2 3 8 2 2 2" xfId="7180"/>
    <cellStyle name="Calculation 2 2 3 8 2 2 3" xfId="7181"/>
    <cellStyle name="Calculation 2 2 3 8 2 3" xfId="7182"/>
    <cellStyle name="Calculation 2 2 3 8 2 4" xfId="7183"/>
    <cellStyle name="Calculation 2 2 3 9" xfId="7184"/>
    <cellStyle name="Calculation 2 2 3 9 2" xfId="7185"/>
    <cellStyle name="Calculation 2 2 3 9 2 2" xfId="7186"/>
    <cellStyle name="Calculation 2 2 3 9 2 3" xfId="7187"/>
    <cellStyle name="Calculation 2 2 3 9 3" xfId="7188"/>
    <cellStyle name="Calculation 2 2 3 9 4" xfId="7189"/>
    <cellStyle name="Calculation 2 2 4" xfId="7190"/>
    <cellStyle name="Calculation 2 2 4 2" xfId="7191"/>
    <cellStyle name="Calculation 2 2 4 2 2" xfId="7192"/>
    <cellStyle name="Calculation 2 2 4 2 2 2" xfId="7193"/>
    <cellStyle name="Calculation 2 2 4 2 2 2 2" xfId="7194"/>
    <cellStyle name="Calculation 2 2 4 2 2 2 3" xfId="7195"/>
    <cellStyle name="Calculation 2 2 4 2 2 3" xfId="7196"/>
    <cellStyle name="Calculation 2 2 4 2 2 4" xfId="7197"/>
    <cellStyle name="Calculation 2 2 4 3" xfId="7198"/>
    <cellStyle name="Calculation 2 2 4 3 2" xfId="7199"/>
    <cellStyle name="Calculation 2 2 4 3 2 2" xfId="7200"/>
    <cellStyle name="Calculation 2 2 4 3 2 2 2" xfId="7201"/>
    <cellStyle name="Calculation 2 2 4 3 2 2 3" xfId="7202"/>
    <cellStyle name="Calculation 2 2 4 3 2 3" xfId="7203"/>
    <cellStyle name="Calculation 2 2 4 3 2 4" xfId="7204"/>
    <cellStyle name="Calculation 2 2 4 4" xfId="7205"/>
    <cellStyle name="Calculation 2 2 4 4 2" xfId="7206"/>
    <cellStyle name="Calculation 2 2 4 4 2 2" xfId="7207"/>
    <cellStyle name="Calculation 2 2 4 4 2 2 2" xfId="7208"/>
    <cellStyle name="Calculation 2 2 4 4 2 2 3" xfId="7209"/>
    <cellStyle name="Calculation 2 2 4 4 2 3" xfId="7210"/>
    <cellStyle name="Calculation 2 2 4 4 2 4" xfId="7211"/>
    <cellStyle name="Calculation 2 2 4 5" xfId="7212"/>
    <cellStyle name="Calculation 2 2 4 5 2" xfId="7213"/>
    <cellStyle name="Calculation 2 2 4 5 2 2" xfId="7214"/>
    <cellStyle name="Calculation 2 2 4 5 2 2 2" xfId="7215"/>
    <cellStyle name="Calculation 2 2 4 5 2 2 3" xfId="7216"/>
    <cellStyle name="Calculation 2 2 4 5 2 3" xfId="7217"/>
    <cellStyle name="Calculation 2 2 4 5 2 4" xfId="7218"/>
    <cellStyle name="Calculation 2 2 4 6" xfId="7219"/>
    <cellStyle name="Calculation 2 2 4 6 2" xfId="7220"/>
    <cellStyle name="Calculation 2 2 4 6 2 2" xfId="7221"/>
    <cellStyle name="Calculation 2 2 4 6 2 2 2" xfId="7222"/>
    <cellStyle name="Calculation 2 2 4 6 2 2 3" xfId="7223"/>
    <cellStyle name="Calculation 2 2 4 6 2 3" xfId="7224"/>
    <cellStyle name="Calculation 2 2 4 6 2 4" xfId="7225"/>
    <cellStyle name="Calculation 2 2 4 7" xfId="7226"/>
    <cellStyle name="Calculation 2 2 4 7 2" xfId="7227"/>
    <cellStyle name="Calculation 2 2 4 7 2 2" xfId="7228"/>
    <cellStyle name="Calculation 2 2 4 7 2 2 2" xfId="7229"/>
    <cellStyle name="Calculation 2 2 4 7 2 2 3" xfId="7230"/>
    <cellStyle name="Calculation 2 2 4 7 2 3" xfId="7231"/>
    <cellStyle name="Calculation 2 2 4 7 2 4" xfId="7232"/>
    <cellStyle name="Calculation 2 2 4 8" xfId="7233"/>
    <cellStyle name="Calculation 2 2 4 8 2" xfId="7234"/>
    <cellStyle name="Calculation 2 2 4 8 2 2" xfId="7235"/>
    <cellStyle name="Calculation 2 2 4 8 2 2 2" xfId="7236"/>
    <cellStyle name="Calculation 2 2 4 8 2 2 3" xfId="7237"/>
    <cellStyle name="Calculation 2 2 4 8 2 3" xfId="7238"/>
    <cellStyle name="Calculation 2 2 4 8 2 4" xfId="7239"/>
    <cellStyle name="Calculation 2 2 4 9" xfId="7240"/>
    <cellStyle name="Calculation 2 2 4 9 2" xfId="7241"/>
    <cellStyle name="Calculation 2 2 4 9 2 2" xfId="7242"/>
    <cellStyle name="Calculation 2 2 4 9 2 3" xfId="7243"/>
    <cellStyle name="Calculation 2 2 4 9 3" xfId="7244"/>
    <cellStyle name="Calculation 2 2 4 9 4" xfId="7245"/>
    <cellStyle name="Calculation 2 2 5" xfId="7246"/>
    <cellStyle name="Calculation 2 2 5 2" xfId="7247"/>
    <cellStyle name="Calculation 2 2 5 2 2" xfId="7248"/>
    <cellStyle name="Calculation 2 2 5 2 2 2" xfId="7249"/>
    <cellStyle name="Calculation 2 2 5 2 2 2 2" xfId="7250"/>
    <cellStyle name="Calculation 2 2 5 2 2 2 3" xfId="7251"/>
    <cellStyle name="Calculation 2 2 5 2 2 3" xfId="7252"/>
    <cellStyle name="Calculation 2 2 5 2 2 4" xfId="7253"/>
    <cellStyle name="Calculation 2 2 5 3" xfId="7254"/>
    <cellStyle name="Calculation 2 2 5 3 2" xfId="7255"/>
    <cellStyle name="Calculation 2 2 5 3 2 2" xfId="7256"/>
    <cellStyle name="Calculation 2 2 5 3 2 2 2" xfId="7257"/>
    <cellStyle name="Calculation 2 2 5 3 2 2 3" xfId="7258"/>
    <cellStyle name="Calculation 2 2 5 3 2 3" xfId="7259"/>
    <cellStyle name="Calculation 2 2 5 3 2 4" xfId="7260"/>
    <cellStyle name="Calculation 2 2 5 4" xfId="7261"/>
    <cellStyle name="Calculation 2 2 5 4 2" xfId="7262"/>
    <cellStyle name="Calculation 2 2 5 4 2 2" xfId="7263"/>
    <cellStyle name="Calculation 2 2 5 4 2 2 2" xfId="7264"/>
    <cellStyle name="Calculation 2 2 5 4 2 2 3" xfId="7265"/>
    <cellStyle name="Calculation 2 2 5 4 2 3" xfId="7266"/>
    <cellStyle name="Calculation 2 2 5 4 2 4" xfId="7267"/>
    <cellStyle name="Calculation 2 2 5 5" xfId="7268"/>
    <cellStyle name="Calculation 2 2 5 5 2" xfId="7269"/>
    <cellStyle name="Calculation 2 2 5 5 2 2" xfId="7270"/>
    <cellStyle name="Calculation 2 2 5 5 2 2 2" xfId="7271"/>
    <cellStyle name="Calculation 2 2 5 5 2 2 3" xfId="7272"/>
    <cellStyle name="Calculation 2 2 5 5 2 3" xfId="7273"/>
    <cellStyle name="Calculation 2 2 5 5 2 4" xfId="7274"/>
    <cellStyle name="Calculation 2 2 5 6" xfId="7275"/>
    <cellStyle name="Calculation 2 2 5 6 2" xfId="7276"/>
    <cellStyle name="Calculation 2 2 5 6 2 2" xfId="7277"/>
    <cellStyle name="Calculation 2 2 5 6 2 2 2" xfId="7278"/>
    <cellStyle name="Calculation 2 2 5 6 2 2 3" xfId="7279"/>
    <cellStyle name="Calculation 2 2 5 6 2 3" xfId="7280"/>
    <cellStyle name="Calculation 2 2 5 6 2 4" xfId="7281"/>
    <cellStyle name="Calculation 2 2 5 7" xfId="7282"/>
    <cellStyle name="Calculation 2 2 5 7 2" xfId="7283"/>
    <cellStyle name="Calculation 2 2 5 7 2 2" xfId="7284"/>
    <cellStyle name="Calculation 2 2 5 7 2 2 2" xfId="7285"/>
    <cellStyle name="Calculation 2 2 5 7 2 2 3" xfId="7286"/>
    <cellStyle name="Calculation 2 2 5 7 2 3" xfId="7287"/>
    <cellStyle name="Calculation 2 2 5 7 2 4" xfId="7288"/>
    <cellStyle name="Calculation 2 2 5 8" xfId="7289"/>
    <cellStyle name="Calculation 2 2 5 8 2" xfId="7290"/>
    <cellStyle name="Calculation 2 2 5 8 2 2" xfId="7291"/>
    <cellStyle name="Calculation 2 2 5 8 2 2 2" xfId="7292"/>
    <cellStyle name="Calculation 2 2 5 8 2 2 3" xfId="7293"/>
    <cellStyle name="Calculation 2 2 5 8 2 3" xfId="7294"/>
    <cellStyle name="Calculation 2 2 5 8 2 4" xfId="7295"/>
    <cellStyle name="Calculation 2 2 5 9" xfId="7296"/>
    <cellStyle name="Calculation 2 2 5 9 2" xfId="7297"/>
    <cellStyle name="Calculation 2 2 5 9 2 2" xfId="7298"/>
    <cellStyle name="Calculation 2 2 5 9 2 3" xfId="7299"/>
    <cellStyle name="Calculation 2 2 5 9 3" xfId="7300"/>
    <cellStyle name="Calculation 2 2 5 9 4" xfId="7301"/>
    <cellStyle name="Calculation 2 2 6" xfId="7302"/>
    <cellStyle name="Calculation 2 2 6 2" xfId="7303"/>
    <cellStyle name="Calculation 2 2 6 2 2" xfId="7304"/>
    <cellStyle name="Calculation 2 2 6 2 2 2" xfId="7305"/>
    <cellStyle name="Calculation 2 2 6 2 2 3" xfId="7306"/>
    <cellStyle name="Calculation 2 2 6 2 3" xfId="7307"/>
    <cellStyle name="Calculation 2 2 6 2 4" xfId="7308"/>
    <cellStyle name="Calculation 2 2 7" xfId="7309"/>
    <cellStyle name="Calculation 2 2 7 2" xfId="7310"/>
    <cellStyle name="Calculation 2 2 7 2 2" xfId="7311"/>
    <cellStyle name="Calculation 2 2 7 2 2 2" xfId="7312"/>
    <cellStyle name="Calculation 2 2 7 2 2 3" xfId="7313"/>
    <cellStyle name="Calculation 2 2 7 2 3" xfId="7314"/>
    <cellStyle name="Calculation 2 2 7 2 4" xfId="7315"/>
    <cellStyle name="Calculation 2 2_FCC Filings With Webster 2012" xfId="7316"/>
    <cellStyle name="Calculation 2 3" xfId="7317"/>
    <cellStyle name="Calculation 2 3 2" xfId="7318"/>
    <cellStyle name="Calculation 2 3 2 2" xfId="7319"/>
    <cellStyle name="Calculation 2 3 2 2 2" xfId="7320"/>
    <cellStyle name="Calculation 2 3 2 2 2 2" xfId="7321"/>
    <cellStyle name="Calculation 2 3 2 2 2 2 2" xfId="7322"/>
    <cellStyle name="Calculation 2 3 2 2 2 2 3" xfId="7323"/>
    <cellStyle name="Calculation 2 3 2 2 2 3" xfId="7324"/>
    <cellStyle name="Calculation 2 3 2 2 2 4" xfId="7325"/>
    <cellStyle name="Calculation 2 3 2 3" xfId="7326"/>
    <cellStyle name="Calculation 2 3 2 3 2" xfId="7327"/>
    <cellStyle name="Calculation 2 3 2 3 2 2" xfId="7328"/>
    <cellStyle name="Calculation 2 3 2 3 2 2 2" xfId="7329"/>
    <cellStyle name="Calculation 2 3 2 3 2 2 3" xfId="7330"/>
    <cellStyle name="Calculation 2 3 2 3 2 3" xfId="7331"/>
    <cellStyle name="Calculation 2 3 2 3 2 4" xfId="7332"/>
    <cellStyle name="Calculation 2 3 2 4" xfId="7333"/>
    <cellStyle name="Calculation 2 3 2 4 2" xfId="7334"/>
    <cellStyle name="Calculation 2 3 2 4 2 2" xfId="7335"/>
    <cellStyle name="Calculation 2 3 2 4 2 2 2" xfId="7336"/>
    <cellStyle name="Calculation 2 3 2 4 2 2 3" xfId="7337"/>
    <cellStyle name="Calculation 2 3 2 4 2 3" xfId="7338"/>
    <cellStyle name="Calculation 2 3 2 4 2 4" xfId="7339"/>
    <cellStyle name="Calculation 2 3 2 5" xfId="7340"/>
    <cellStyle name="Calculation 2 3 2 5 2" xfId="7341"/>
    <cellStyle name="Calculation 2 3 2 5 2 2" xfId="7342"/>
    <cellStyle name="Calculation 2 3 2 5 2 2 2" xfId="7343"/>
    <cellStyle name="Calculation 2 3 2 5 2 2 3" xfId="7344"/>
    <cellStyle name="Calculation 2 3 2 5 2 3" xfId="7345"/>
    <cellStyle name="Calculation 2 3 2 5 2 4" xfId="7346"/>
    <cellStyle name="Calculation 2 3 2 6" xfId="7347"/>
    <cellStyle name="Calculation 2 3 2 6 2" xfId="7348"/>
    <cellStyle name="Calculation 2 3 2 6 2 2" xfId="7349"/>
    <cellStyle name="Calculation 2 3 2 6 2 2 2" xfId="7350"/>
    <cellStyle name="Calculation 2 3 2 6 2 2 3" xfId="7351"/>
    <cellStyle name="Calculation 2 3 2 6 2 3" xfId="7352"/>
    <cellStyle name="Calculation 2 3 2 6 2 4" xfId="7353"/>
    <cellStyle name="Calculation 2 3 2 7" xfId="7354"/>
    <cellStyle name="Calculation 2 3 2 7 2" xfId="7355"/>
    <cellStyle name="Calculation 2 3 2 7 2 2" xfId="7356"/>
    <cellStyle name="Calculation 2 3 2 7 2 2 2" xfId="7357"/>
    <cellStyle name="Calculation 2 3 2 7 2 2 3" xfId="7358"/>
    <cellStyle name="Calculation 2 3 2 7 2 3" xfId="7359"/>
    <cellStyle name="Calculation 2 3 2 7 2 4" xfId="7360"/>
    <cellStyle name="Calculation 2 3 2 8" xfId="7361"/>
    <cellStyle name="Calculation 2 3 2 8 2" xfId="7362"/>
    <cellStyle name="Calculation 2 3 2 8 2 2" xfId="7363"/>
    <cellStyle name="Calculation 2 3 2 8 2 2 2" xfId="7364"/>
    <cellStyle name="Calculation 2 3 2 8 2 2 3" xfId="7365"/>
    <cellStyle name="Calculation 2 3 2 8 2 3" xfId="7366"/>
    <cellStyle name="Calculation 2 3 2 8 2 4" xfId="7367"/>
    <cellStyle name="Calculation 2 3 2 9" xfId="7368"/>
    <cellStyle name="Calculation 2 3 2 9 2" xfId="7369"/>
    <cellStyle name="Calculation 2 3 2 9 2 2" xfId="7370"/>
    <cellStyle name="Calculation 2 3 2 9 2 3" xfId="7371"/>
    <cellStyle name="Calculation 2 3 2 9 3" xfId="7372"/>
    <cellStyle name="Calculation 2 3 2 9 4" xfId="7373"/>
    <cellStyle name="Calculation 2 3 3" xfId="7374"/>
    <cellStyle name="Calculation 2 3 3 2" xfId="7375"/>
    <cellStyle name="Calculation 2 3 3 2 2" xfId="7376"/>
    <cellStyle name="Calculation 2 3 3 2 2 2" xfId="7377"/>
    <cellStyle name="Calculation 2 3 3 2 2 2 2" xfId="7378"/>
    <cellStyle name="Calculation 2 3 3 2 2 2 3" xfId="7379"/>
    <cellStyle name="Calculation 2 3 3 2 2 3" xfId="7380"/>
    <cellStyle name="Calculation 2 3 3 2 2 4" xfId="7381"/>
    <cellStyle name="Calculation 2 3 3 3" xfId="7382"/>
    <cellStyle name="Calculation 2 3 3 3 2" xfId="7383"/>
    <cellStyle name="Calculation 2 3 3 3 2 2" xfId="7384"/>
    <cellStyle name="Calculation 2 3 3 3 2 2 2" xfId="7385"/>
    <cellStyle name="Calculation 2 3 3 3 2 2 3" xfId="7386"/>
    <cellStyle name="Calculation 2 3 3 3 2 3" xfId="7387"/>
    <cellStyle name="Calculation 2 3 3 3 2 4" xfId="7388"/>
    <cellStyle name="Calculation 2 3 3 4" xfId="7389"/>
    <cellStyle name="Calculation 2 3 3 4 2" xfId="7390"/>
    <cellStyle name="Calculation 2 3 3 4 2 2" xfId="7391"/>
    <cellStyle name="Calculation 2 3 3 4 2 2 2" xfId="7392"/>
    <cellStyle name="Calculation 2 3 3 4 2 2 3" xfId="7393"/>
    <cellStyle name="Calculation 2 3 3 4 2 3" xfId="7394"/>
    <cellStyle name="Calculation 2 3 3 4 2 4" xfId="7395"/>
    <cellStyle name="Calculation 2 3 3 5" xfId="7396"/>
    <cellStyle name="Calculation 2 3 3 5 2" xfId="7397"/>
    <cellStyle name="Calculation 2 3 3 5 2 2" xfId="7398"/>
    <cellStyle name="Calculation 2 3 3 5 2 2 2" xfId="7399"/>
    <cellStyle name="Calculation 2 3 3 5 2 2 3" xfId="7400"/>
    <cellStyle name="Calculation 2 3 3 5 2 3" xfId="7401"/>
    <cellStyle name="Calculation 2 3 3 5 2 4" xfId="7402"/>
    <cellStyle name="Calculation 2 3 3 6" xfId="7403"/>
    <cellStyle name="Calculation 2 3 3 6 2" xfId="7404"/>
    <cellStyle name="Calculation 2 3 3 6 2 2" xfId="7405"/>
    <cellStyle name="Calculation 2 3 3 6 2 2 2" xfId="7406"/>
    <cellStyle name="Calculation 2 3 3 6 2 2 3" xfId="7407"/>
    <cellStyle name="Calculation 2 3 3 6 2 3" xfId="7408"/>
    <cellStyle name="Calculation 2 3 3 6 2 4" xfId="7409"/>
    <cellStyle name="Calculation 2 3 3 7" xfId="7410"/>
    <cellStyle name="Calculation 2 3 3 7 2" xfId="7411"/>
    <cellStyle name="Calculation 2 3 3 7 2 2" xfId="7412"/>
    <cellStyle name="Calculation 2 3 3 7 2 2 2" xfId="7413"/>
    <cellStyle name="Calculation 2 3 3 7 2 2 3" xfId="7414"/>
    <cellStyle name="Calculation 2 3 3 7 2 3" xfId="7415"/>
    <cellStyle name="Calculation 2 3 3 7 2 4" xfId="7416"/>
    <cellStyle name="Calculation 2 3 3 8" xfId="7417"/>
    <cellStyle name="Calculation 2 3 3 8 2" xfId="7418"/>
    <cellStyle name="Calculation 2 3 3 8 2 2" xfId="7419"/>
    <cellStyle name="Calculation 2 3 3 8 2 2 2" xfId="7420"/>
    <cellStyle name="Calculation 2 3 3 8 2 2 3" xfId="7421"/>
    <cellStyle name="Calculation 2 3 3 8 2 3" xfId="7422"/>
    <cellStyle name="Calculation 2 3 3 8 2 4" xfId="7423"/>
    <cellStyle name="Calculation 2 3 3 9" xfId="7424"/>
    <cellStyle name="Calculation 2 3 3 9 2" xfId="7425"/>
    <cellStyle name="Calculation 2 3 3 9 2 2" xfId="7426"/>
    <cellStyle name="Calculation 2 3 3 9 2 3" xfId="7427"/>
    <cellStyle name="Calculation 2 3 3 9 3" xfId="7428"/>
    <cellStyle name="Calculation 2 3 3 9 4" xfId="7429"/>
    <cellStyle name="Calculation 2 3 4" xfId="7430"/>
    <cellStyle name="Calculation 2 3 4 2" xfId="7431"/>
    <cellStyle name="Calculation 2 3 4 2 2" xfId="7432"/>
    <cellStyle name="Calculation 2 3 4 2 2 2" xfId="7433"/>
    <cellStyle name="Calculation 2 3 4 2 2 2 2" xfId="7434"/>
    <cellStyle name="Calculation 2 3 4 2 2 2 3" xfId="7435"/>
    <cellStyle name="Calculation 2 3 4 2 2 3" xfId="7436"/>
    <cellStyle name="Calculation 2 3 4 2 2 4" xfId="7437"/>
    <cellStyle name="Calculation 2 3 4 3" xfId="7438"/>
    <cellStyle name="Calculation 2 3 4 3 2" xfId="7439"/>
    <cellStyle name="Calculation 2 3 4 3 2 2" xfId="7440"/>
    <cellStyle name="Calculation 2 3 4 3 2 2 2" xfId="7441"/>
    <cellStyle name="Calculation 2 3 4 3 2 2 3" xfId="7442"/>
    <cellStyle name="Calculation 2 3 4 3 2 3" xfId="7443"/>
    <cellStyle name="Calculation 2 3 4 3 2 4" xfId="7444"/>
    <cellStyle name="Calculation 2 3 4 4" xfId="7445"/>
    <cellStyle name="Calculation 2 3 4 4 2" xfId="7446"/>
    <cellStyle name="Calculation 2 3 4 4 2 2" xfId="7447"/>
    <cellStyle name="Calculation 2 3 4 4 2 2 2" xfId="7448"/>
    <cellStyle name="Calculation 2 3 4 4 2 2 3" xfId="7449"/>
    <cellStyle name="Calculation 2 3 4 4 2 3" xfId="7450"/>
    <cellStyle name="Calculation 2 3 4 4 2 4" xfId="7451"/>
    <cellStyle name="Calculation 2 3 4 5" xfId="7452"/>
    <cellStyle name="Calculation 2 3 4 5 2" xfId="7453"/>
    <cellStyle name="Calculation 2 3 4 5 2 2" xfId="7454"/>
    <cellStyle name="Calculation 2 3 4 5 2 2 2" xfId="7455"/>
    <cellStyle name="Calculation 2 3 4 5 2 2 3" xfId="7456"/>
    <cellStyle name="Calculation 2 3 4 5 2 3" xfId="7457"/>
    <cellStyle name="Calculation 2 3 4 5 2 4" xfId="7458"/>
    <cellStyle name="Calculation 2 3 4 6" xfId="7459"/>
    <cellStyle name="Calculation 2 3 4 6 2" xfId="7460"/>
    <cellStyle name="Calculation 2 3 4 6 2 2" xfId="7461"/>
    <cellStyle name="Calculation 2 3 4 6 2 2 2" xfId="7462"/>
    <cellStyle name="Calculation 2 3 4 6 2 2 3" xfId="7463"/>
    <cellStyle name="Calculation 2 3 4 6 2 3" xfId="7464"/>
    <cellStyle name="Calculation 2 3 4 6 2 4" xfId="7465"/>
    <cellStyle name="Calculation 2 3 4 7" xfId="7466"/>
    <cellStyle name="Calculation 2 3 4 7 2" xfId="7467"/>
    <cellStyle name="Calculation 2 3 4 7 2 2" xfId="7468"/>
    <cellStyle name="Calculation 2 3 4 7 2 2 2" xfId="7469"/>
    <cellStyle name="Calculation 2 3 4 7 2 2 3" xfId="7470"/>
    <cellStyle name="Calculation 2 3 4 7 2 3" xfId="7471"/>
    <cellStyle name="Calculation 2 3 4 7 2 4" xfId="7472"/>
    <cellStyle name="Calculation 2 3 4 8" xfId="7473"/>
    <cellStyle name="Calculation 2 3 4 8 2" xfId="7474"/>
    <cellStyle name="Calculation 2 3 4 8 2 2" xfId="7475"/>
    <cellStyle name="Calculation 2 3 4 8 2 2 2" xfId="7476"/>
    <cellStyle name="Calculation 2 3 4 8 2 2 3" xfId="7477"/>
    <cellStyle name="Calculation 2 3 4 8 2 3" xfId="7478"/>
    <cellStyle name="Calculation 2 3 4 8 2 4" xfId="7479"/>
    <cellStyle name="Calculation 2 3 4 9" xfId="7480"/>
    <cellStyle name="Calculation 2 3 4 9 2" xfId="7481"/>
    <cellStyle name="Calculation 2 3 4 9 2 2" xfId="7482"/>
    <cellStyle name="Calculation 2 3 4 9 2 3" xfId="7483"/>
    <cellStyle name="Calculation 2 3 4 9 3" xfId="7484"/>
    <cellStyle name="Calculation 2 3 4 9 4" xfId="7485"/>
    <cellStyle name="Calculation 2 3 5" xfId="7486"/>
    <cellStyle name="Calculation 2 3 5 2" xfId="7487"/>
    <cellStyle name="Calculation 2 3 5 2 2" xfId="7488"/>
    <cellStyle name="Calculation 2 3 5 2 2 2" xfId="7489"/>
    <cellStyle name="Calculation 2 3 5 2 2 2 2" xfId="7490"/>
    <cellStyle name="Calculation 2 3 5 2 2 2 3" xfId="7491"/>
    <cellStyle name="Calculation 2 3 5 2 2 3" xfId="7492"/>
    <cellStyle name="Calculation 2 3 5 2 2 4" xfId="7493"/>
    <cellStyle name="Calculation 2 3 5 3" xfId="7494"/>
    <cellStyle name="Calculation 2 3 5 3 2" xfId="7495"/>
    <cellStyle name="Calculation 2 3 5 3 2 2" xfId="7496"/>
    <cellStyle name="Calculation 2 3 5 3 2 2 2" xfId="7497"/>
    <cellStyle name="Calculation 2 3 5 3 2 2 3" xfId="7498"/>
    <cellStyle name="Calculation 2 3 5 3 2 3" xfId="7499"/>
    <cellStyle name="Calculation 2 3 5 3 2 4" xfId="7500"/>
    <cellStyle name="Calculation 2 3 5 4" xfId="7501"/>
    <cellStyle name="Calculation 2 3 5 4 2" xfId="7502"/>
    <cellStyle name="Calculation 2 3 5 4 2 2" xfId="7503"/>
    <cellStyle name="Calculation 2 3 5 4 2 2 2" xfId="7504"/>
    <cellStyle name="Calculation 2 3 5 4 2 2 3" xfId="7505"/>
    <cellStyle name="Calculation 2 3 5 4 2 3" xfId="7506"/>
    <cellStyle name="Calculation 2 3 5 4 2 4" xfId="7507"/>
    <cellStyle name="Calculation 2 3 5 5" xfId="7508"/>
    <cellStyle name="Calculation 2 3 5 5 2" xfId="7509"/>
    <cellStyle name="Calculation 2 3 5 5 2 2" xfId="7510"/>
    <cellStyle name="Calculation 2 3 5 5 2 2 2" xfId="7511"/>
    <cellStyle name="Calculation 2 3 5 5 2 2 3" xfId="7512"/>
    <cellStyle name="Calculation 2 3 5 5 2 3" xfId="7513"/>
    <cellStyle name="Calculation 2 3 5 5 2 4" xfId="7514"/>
    <cellStyle name="Calculation 2 3 5 6" xfId="7515"/>
    <cellStyle name="Calculation 2 3 5 6 2" xfId="7516"/>
    <cellStyle name="Calculation 2 3 5 6 2 2" xfId="7517"/>
    <cellStyle name="Calculation 2 3 5 6 2 2 2" xfId="7518"/>
    <cellStyle name="Calculation 2 3 5 6 2 2 3" xfId="7519"/>
    <cellStyle name="Calculation 2 3 5 6 2 3" xfId="7520"/>
    <cellStyle name="Calculation 2 3 5 6 2 4" xfId="7521"/>
    <cellStyle name="Calculation 2 3 5 7" xfId="7522"/>
    <cellStyle name="Calculation 2 3 5 7 2" xfId="7523"/>
    <cellStyle name="Calculation 2 3 5 7 2 2" xfId="7524"/>
    <cellStyle name="Calculation 2 3 5 7 2 2 2" xfId="7525"/>
    <cellStyle name="Calculation 2 3 5 7 2 2 3" xfId="7526"/>
    <cellStyle name="Calculation 2 3 5 7 2 3" xfId="7527"/>
    <cellStyle name="Calculation 2 3 5 7 2 4" xfId="7528"/>
    <cellStyle name="Calculation 2 3 5 8" xfId="7529"/>
    <cellStyle name="Calculation 2 3 5 8 2" xfId="7530"/>
    <cellStyle name="Calculation 2 3 5 8 2 2" xfId="7531"/>
    <cellStyle name="Calculation 2 3 5 8 2 2 2" xfId="7532"/>
    <cellStyle name="Calculation 2 3 5 8 2 2 3" xfId="7533"/>
    <cellStyle name="Calculation 2 3 5 8 2 3" xfId="7534"/>
    <cellStyle name="Calculation 2 3 5 8 2 4" xfId="7535"/>
    <cellStyle name="Calculation 2 3 5 9" xfId="7536"/>
    <cellStyle name="Calculation 2 3 5 9 2" xfId="7537"/>
    <cellStyle name="Calculation 2 3 5 9 2 2" xfId="7538"/>
    <cellStyle name="Calculation 2 3 5 9 2 3" xfId="7539"/>
    <cellStyle name="Calculation 2 3 5 9 3" xfId="7540"/>
    <cellStyle name="Calculation 2 3 5 9 4" xfId="7541"/>
    <cellStyle name="Calculation 2 3 6" xfId="7542"/>
    <cellStyle name="Calculation 2 3 6 2" xfId="7543"/>
    <cellStyle name="Calculation 2 3 6 2 2" xfId="7544"/>
    <cellStyle name="Calculation 2 3 6 2 2 2" xfId="7545"/>
    <cellStyle name="Calculation 2 3 6 2 2 3" xfId="7546"/>
    <cellStyle name="Calculation 2 3 6 2 3" xfId="7547"/>
    <cellStyle name="Calculation 2 3 6 2 4" xfId="7548"/>
    <cellStyle name="Calculation 2 3 7" xfId="7549"/>
    <cellStyle name="Calculation 2 3 7 2" xfId="7550"/>
    <cellStyle name="Calculation 2 3 7 2 2" xfId="7551"/>
    <cellStyle name="Calculation 2 3 7 2 2 2" xfId="7552"/>
    <cellStyle name="Calculation 2 3 7 2 2 3" xfId="7553"/>
    <cellStyle name="Calculation 2 3 7 2 3" xfId="7554"/>
    <cellStyle name="Calculation 2 3 7 2 4" xfId="7555"/>
    <cellStyle name="Calculation 2 3 8" xfId="7556"/>
    <cellStyle name="Calculation 2 3 8 2" xfId="7557"/>
    <cellStyle name="Calculation 2 3 8 2 2" xfId="7558"/>
    <cellStyle name="Calculation 2 3 8 2 3" xfId="7559"/>
    <cellStyle name="Calculation 2 3 8 3" xfId="7560"/>
    <cellStyle name="Calculation 2 3 8 4" xfId="7561"/>
    <cellStyle name="Calculation 2 4" xfId="7562"/>
    <cellStyle name="Calculation 2 4 10" xfId="7563"/>
    <cellStyle name="Calculation 2 4 10 2" xfId="7564"/>
    <cellStyle name="Calculation 2 4 10 2 2" xfId="7565"/>
    <cellStyle name="Calculation 2 4 10 2 3" xfId="7566"/>
    <cellStyle name="Calculation 2 4 10 3" xfId="7567"/>
    <cellStyle name="Calculation 2 4 10 4" xfId="7568"/>
    <cellStyle name="Calculation 2 4 2" xfId="7569"/>
    <cellStyle name="Calculation 2 4 2 10" xfId="7570"/>
    <cellStyle name="Calculation 2 4 2 10 2" xfId="7571"/>
    <cellStyle name="Calculation 2 4 2 10 2 2" xfId="7572"/>
    <cellStyle name="Calculation 2 4 2 10 2 3" xfId="7573"/>
    <cellStyle name="Calculation 2 4 2 10 3" xfId="7574"/>
    <cellStyle name="Calculation 2 4 2 10 4" xfId="7575"/>
    <cellStyle name="Calculation 2 4 2 2" xfId="7576"/>
    <cellStyle name="Calculation 2 4 2 2 2" xfId="7577"/>
    <cellStyle name="Calculation 2 4 2 2 2 2" xfId="7578"/>
    <cellStyle name="Calculation 2 4 2 2 2 2 2" xfId="7579"/>
    <cellStyle name="Calculation 2 4 2 2 2 2 2 2" xfId="7580"/>
    <cellStyle name="Calculation 2 4 2 2 2 2 2 3" xfId="7581"/>
    <cellStyle name="Calculation 2 4 2 2 2 2 3" xfId="7582"/>
    <cellStyle name="Calculation 2 4 2 2 2 2 4" xfId="7583"/>
    <cellStyle name="Calculation 2 4 2 2 3" xfId="7584"/>
    <cellStyle name="Calculation 2 4 2 2 3 2" xfId="7585"/>
    <cellStyle name="Calculation 2 4 2 2 3 2 2" xfId="7586"/>
    <cellStyle name="Calculation 2 4 2 2 3 2 2 2" xfId="7587"/>
    <cellStyle name="Calculation 2 4 2 2 3 2 2 3" xfId="7588"/>
    <cellStyle name="Calculation 2 4 2 2 3 2 3" xfId="7589"/>
    <cellStyle name="Calculation 2 4 2 2 3 2 4" xfId="7590"/>
    <cellStyle name="Calculation 2 4 2 2 4" xfId="7591"/>
    <cellStyle name="Calculation 2 4 2 2 4 2" xfId="7592"/>
    <cellStyle name="Calculation 2 4 2 2 4 2 2" xfId="7593"/>
    <cellStyle name="Calculation 2 4 2 2 4 2 2 2" xfId="7594"/>
    <cellStyle name="Calculation 2 4 2 2 4 2 2 3" xfId="7595"/>
    <cellStyle name="Calculation 2 4 2 2 4 2 3" xfId="7596"/>
    <cellStyle name="Calculation 2 4 2 2 4 2 4" xfId="7597"/>
    <cellStyle name="Calculation 2 4 2 2 5" xfId="7598"/>
    <cellStyle name="Calculation 2 4 2 2 5 2" xfId="7599"/>
    <cellStyle name="Calculation 2 4 2 2 5 2 2" xfId="7600"/>
    <cellStyle name="Calculation 2 4 2 2 5 2 2 2" xfId="7601"/>
    <cellStyle name="Calculation 2 4 2 2 5 2 2 3" xfId="7602"/>
    <cellStyle name="Calculation 2 4 2 2 5 2 3" xfId="7603"/>
    <cellStyle name="Calculation 2 4 2 2 5 2 4" xfId="7604"/>
    <cellStyle name="Calculation 2 4 2 2 6" xfId="7605"/>
    <cellStyle name="Calculation 2 4 2 2 6 2" xfId="7606"/>
    <cellStyle name="Calculation 2 4 2 2 6 2 2" xfId="7607"/>
    <cellStyle name="Calculation 2 4 2 2 6 2 2 2" xfId="7608"/>
    <cellStyle name="Calculation 2 4 2 2 6 2 2 3" xfId="7609"/>
    <cellStyle name="Calculation 2 4 2 2 6 2 3" xfId="7610"/>
    <cellStyle name="Calculation 2 4 2 2 6 2 4" xfId="7611"/>
    <cellStyle name="Calculation 2 4 2 2 7" xfId="7612"/>
    <cellStyle name="Calculation 2 4 2 2 7 2" xfId="7613"/>
    <cellStyle name="Calculation 2 4 2 2 7 2 2" xfId="7614"/>
    <cellStyle name="Calculation 2 4 2 2 7 2 2 2" xfId="7615"/>
    <cellStyle name="Calculation 2 4 2 2 7 2 2 3" xfId="7616"/>
    <cellStyle name="Calculation 2 4 2 2 7 2 3" xfId="7617"/>
    <cellStyle name="Calculation 2 4 2 2 7 2 4" xfId="7618"/>
    <cellStyle name="Calculation 2 4 2 2 8" xfId="7619"/>
    <cellStyle name="Calculation 2 4 2 2 8 2" xfId="7620"/>
    <cellStyle name="Calculation 2 4 2 2 8 2 2" xfId="7621"/>
    <cellStyle name="Calculation 2 4 2 2 8 2 2 2" xfId="7622"/>
    <cellStyle name="Calculation 2 4 2 2 8 2 2 3" xfId="7623"/>
    <cellStyle name="Calculation 2 4 2 2 8 2 3" xfId="7624"/>
    <cellStyle name="Calculation 2 4 2 2 8 2 4" xfId="7625"/>
    <cellStyle name="Calculation 2 4 2 2 9" xfId="7626"/>
    <cellStyle name="Calculation 2 4 2 2 9 2" xfId="7627"/>
    <cellStyle name="Calculation 2 4 2 2 9 2 2" xfId="7628"/>
    <cellStyle name="Calculation 2 4 2 2 9 2 3" xfId="7629"/>
    <cellStyle name="Calculation 2 4 2 2 9 3" xfId="7630"/>
    <cellStyle name="Calculation 2 4 2 2 9 4" xfId="7631"/>
    <cellStyle name="Calculation 2 4 2 3" xfId="7632"/>
    <cellStyle name="Calculation 2 4 2 3 2" xfId="7633"/>
    <cellStyle name="Calculation 2 4 2 3 2 2" xfId="7634"/>
    <cellStyle name="Calculation 2 4 2 3 2 2 2" xfId="7635"/>
    <cellStyle name="Calculation 2 4 2 3 2 2 3" xfId="7636"/>
    <cellStyle name="Calculation 2 4 2 3 2 3" xfId="7637"/>
    <cellStyle name="Calculation 2 4 2 3 2 4" xfId="7638"/>
    <cellStyle name="Calculation 2 4 2 4" xfId="7639"/>
    <cellStyle name="Calculation 2 4 2 4 2" xfId="7640"/>
    <cellStyle name="Calculation 2 4 2 4 2 2" xfId="7641"/>
    <cellStyle name="Calculation 2 4 2 4 2 2 2" xfId="7642"/>
    <cellStyle name="Calculation 2 4 2 4 2 2 3" xfId="7643"/>
    <cellStyle name="Calculation 2 4 2 4 2 3" xfId="7644"/>
    <cellStyle name="Calculation 2 4 2 4 2 4" xfId="7645"/>
    <cellStyle name="Calculation 2 4 2 5" xfId="7646"/>
    <cellStyle name="Calculation 2 4 2 5 2" xfId="7647"/>
    <cellStyle name="Calculation 2 4 2 5 2 2" xfId="7648"/>
    <cellStyle name="Calculation 2 4 2 5 2 2 2" xfId="7649"/>
    <cellStyle name="Calculation 2 4 2 5 2 2 3" xfId="7650"/>
    <cellStyle name="Calculation 2 4 2 5 2 3" xfId="7651"/>
    <cellStyle name="Calculation 2 4 2 5 2 4" xfId="7652"/>
    <cellStyle name="Calculation 2 4 2 6" xfId="7653"/>
    <cellStyle name="Calculation 2 4 2 6 2" xfId="7654"/>
    <cellStyle name="Calculation 2 4 2 6 2 2" xfId="7655"/>
    <cellStyle name="Calculation 2 4 2 6 2 2 2" xfId="7656"/>
    <cellStyle name="Calculation 2 4 2 6 2 2 3" xfId="7657"/>
    <cellStyle name="Calculation 2 4 2 6 2 3" xfId="7658"/>
    <cellStyle name="Calculation 2 4 2 6 2 4" xfId="7659"/>
    <cellStyle name="Calculation 2 4 2 7" xfId="7660"/>
    <cellStyle name="Calculation 2 4 2 7 2" xfId="7661"/>
    <cellStyle name="Calculation 2 4 2 7 2 2" xfId="7662"/>
    <cellStyle name="Calculation 2 4 2 7 2 2 2" xfId="7663"/>
    <cellStyle name="Calculation 2 4 2 7 2 2 3" xfId="7664"/>
    <cellStyle name="Calculation 2 4 2 7 2 3" xfId="7665"/>
    <cellStyle name="Calculation 2 4 2 7 2 4" xfId="7666"/>
    <cellStyle name="Calculation 2 4 2 8" xfId="7667"/>
    <cellStyle name="Calculation 2 4 2 8 2" xfId="7668"/>
    <cellStyle name="Calculation 2 4 2 8 2 2" xfId="7669"/>
    <cellStyle name="Calculation 2 4 2 8 2 2 2" xfId="7670"/>
    <cellStyle name="Calculation 2 4 2 8 2 2 3" xfId="7671"/>
    <cellStyle name="Calculation 2 4 2 8 2 3" xfId="7672"/>
    <cellStyle name="Calculation 2 4 2 8 2 4" xfId="7673"/>
    <cellStyle name="Calculation 2 4 2 9" xfId="7674"/>
    <cellStyle name="Calculation 2 4 2 9 2" xfId="7675"/>
    <cellStyle name="Calculation 2 4 2 9 2 2" xfId="7676"/>
    <cellStyle name="Calculation 2 4 2 9 2 2 2" xfId="7677"/>
    <cellStyle name="Calculation 2 4 2 9 2 2 3" xfId="7678"/>
    <cellStyle name="Calculation 2 4 2 9 2 3" xfId="7679"/>
    <cellStyle name="Calculation 2 4 2 9 2 4" xfId="7680"/>
    <cellStyle name="Calculation 2 4 3" xfId="7681"/>
    <cellStyle name="Calculation 2 4 3 2" xfId="7682"/>
    <cellStyle name="Calculation 2 4 3 2 2" xfId="7683"/>
    <cellStyle name="Calculation 2 4 3 2 2 2" xfId="7684"/>
    <cellStyle name="Calculation 2 4 3 2 2 2 2" xfId="7685"/>
    <cellStyle name="Calculation 2 4 3 2 2 2 3" xfId="7686"/>
    <cellStyle name="Calculation 2 4 3 2 2 3" xfId="7687"/>
    <cellStyle name="Calculation 2 4 3 2 2 4" xfId="7688"/>
    <cellStyle name="Calculation 2 4 3 3" xfId="7689"/>
    <cellStyle name="Calculation 2 4 3 3 2" xfId="7690"/>
    <cellStyle name="Calculation 2 4 3 3 2 2" xfId="7691"/>
    <cellStyle name="Calculation 2 4 3 3 2 2 2" xfId="7692"/>
    <cellStyle name="Calculation 2 4 3 3 2 2 3" xfId="7693"/>
    <cellStyle name="Calculation 2 4 3 3 2 3" xfId="7694"/>
    <cellStyle name="Calculation 2 4 3 3 2 4" xfId="7695"/>
    <cellStyle name="Calculation 2 4 3 4" xfId="7696"/>
    <cellStyle name="Calculation 2 4 3 4 2" xfId="7697"/>
    <cellStyle name="Calculation 2 4 3 4 2 2" xfId="7698"/>
    <cellStyle name="Calculation 2 4 3 4 2 2 2" xfId="7699"/>
    <cellStyle name="Calculation 2 4 3 4 2 2 3" xfId="7700"/>
    <cellStyle name="Calculation 2 4 3 4 2 3" xfId="7701"/>
    <cellStyle name="Calculation 2 4 3 4 2 4" xfId="7702"/>
    <cellStyle name="Calculation 2 4 3 5" xfId="7703"/>
    <cellStyle name="Calculation 2 4 3 5 2" xfId="7704"/>
    <cellStyle name="Calculation 2 4 3 5 2 2" xfId="7705"/>
    <cellStyle name="Calculation 2 4 3 5 2 2 2" xfId="7706"/>
    <cellStyle name="Calculation 2 4 3 5 2 2 3" xfId="7707"/>
    <cellStyle name="Calculation 2 4 3 5 2 3" xfId="7708"/>
    <cellStyle name="Calculation 2 4 3 5 2 4" xfId="7709"/>
    <cellStyle name="Calculation 2 4 3 6" xfId="7710"/>
    <cellStyle name="Calculation 2 4 3 6 2" xfId="7711"/>
    <cellStyle name="Calculation 2 4 3 6 2 2" xfId="7712"/>
    <cellStyle name="Calculation 2 4 3 6 2 2 2" xfId="7713"/>
    <cellStyle name="Calculation 2 4 3 6 2 2 3" xfId="7714"/>
    <cellStyle name="Calculation 2 4 3 6 2 3" xfId="7715"/>
    <cellStyle name="Calculation 2 4 3 6 2 4" xfId="7716"/>
    <cellStyle name="Calculation 2 4 3 7" xfId="7717"/>
    <cellStyle name="Calculation 2 4 3 7 2" xfId="7718"/>
    <cellStyle name="Calculation 2 4 3 7 2 2" xfId="7719"/>
    <cellStyle name="Calculation 2 4 3 7 2 2 2" xfId="7720"/>
    <cellStyle name="Calculation 2 4 3 7 2 2 3" xfId="7721"/>
    <cellStyle name="Calculation 2 4 3 7 2 3" xfId="7722"/>
    <cellStyle name="Calculation 2 4 3 7 2 4" xfId="7723"/>
    <cellStyle name="Calculation 2 4 3 8" xfId="7724"/>
    <cellStyle name="Calculation 2 4 3 8 2" xfId="7725"/>
    <cellStyle name="Calculation 2 4 3 8 2 2" xfId="7726"/>
    <cellStyle name="Calculation 2 4 3 8 2 2 2" xfId="7727"/>
    <cellStyle name="Calculation 2 4 3 8 2 2 3" xfId="7728"/>
    <cellStyle name="Calculation 2 4 3 8 2 3" xfId="7729"/>
    <cellStyle name="Calculation 2 4 3 8 2 4" xfId="7730"/>
    <cellStyle name="Calculation 2 4 3 9" xfId="7731"/>
    <cellStyle name="Calculation 2 4 3 9 2" xfId="7732"/>
    <cellStyle name="Calculation 2 4 3 9 2 2" xfId="7733"/>
    <cellStyle name="Calculation 2 4 3 9 2 3" xfId="7734"/>
    <cellStyle name="Calculation 2 4 3 9 3" xfId="7735"/>
    <cellStyle name="Calculation 2 4 3 9 4" xfId="7736"/>
    <cellStyle name="Calculation 2 4 4" xfId="7737"/>
    <cellStyle name="Calculation 2 4 4 2" xfId="7738"/>
    <cellStyle name="Calculation 2 4 4 2 2" xfId="7739"/>
    <cellStyle name="Calculation 2 4 4 2 2 2" xfId="7740"/>
    <cellStyle name="Calculation 2 4 4 2 2 3" xfId="7741"/>
    <cellStyle name="Calculation 2 4 4 2 3" xfId="7742"/>
    <cellStyle name="Calculation 2 4 4 2 4" xfId="7743"/>
    <cellStyle name="Calculation 2 4 5" xfId="7744"/>
    <cellStyle name="Calculation 2 4 5 2" xfId="7745"/>
    <cellStyle name="Calculation 2 4 5 2 2" xfId="7746"/>
    <cellStyle name="Calculation 2 4 5 2 2 2" xfId="7747"/>
    <cellStyle name="Calculation 2 4 5 2 2 3" xfId="7748"/>
    <cellStyle name="Calculation 2 4 5 2 3" xfId="7749"/>
    <cellStyle name="Calculation 2 4 5 2 4" xfId="7750"/>
    <cellStyle name="Calculation 2 4 6" xfId="7751"/>
    <cellStyle name="Calculation 2 4 6 2" xfId="7752"/>
    <cellStyle name="Calculation 2 4 6 2 2" xfId="7753"/>
    <cellStyle name="Calculation 2 4 6 2 2 2" xfId="7754"/>
    <cellStyle name="Calculation 2 4 6 2 2 3" xfId="7755"/>
    <cellStyle name="Calculation 2 4 6 2 3" xfId="7756"/>
    <cellStyle name="Calculation 2 4 6 2 4" xfId="7757"/>
    <cellStyle name="Calculation 2 4 7" xfId="7758"/>
    <cellStyle name="Calculation 2 4 7 2" xfId="7759"/>
    <cellStyle name="Calculation 2 4 7 2 2" xfId="7760"/>
    <cellStyle name="Calculation 2 4 7 2 2 2" xfId="7761"/>
    <cellStyle name="Calculation 2 4 7 2 2 3" xfId="7762"/>
    <cellStyle name="Calculation 2 4 7 2 3" xfId="7763"/>
    <cellStyle name="Calculation 2 4 7 2 4" xfId="7764"/>
    <cellStyle name="Calculation 2 4 8" xfId="7765"/>
    <cellStyle name="Calculation 2 4 8 2" xfId="7766"/>
    <cellStyle name="Calculation 2 4 8 2 2" xfId="7767"/>
    <cellStyle name="Calculation 2 4 8 2 2 2" xfId="7768"/>
    <cellStyle name="Calculation 2 4 8 2 2 3" xfId="7769"/>
    <cellStyle name="Calculation 2 4 8 2 3" xfId="7770"/>
    <cellStyle name="Calculation 2 4 8 2 4" xfId="7771"/>
    <cellStyle name="Calculation 2 4 9" xfId="7772"/>
    <cellStyle name="Calculation 2 4 9 2" xfId="7773"/>
    <cellStyle name="Calculation 2 4 9 2 2" xfId="7774"/>
    <cellStyle name="Calculation 2 4 9 2 2 2" xfId="7775"/>
    <cellStyle name="Calculation 2 4 9 2 2 3" xfId="7776"/>
    <cellStyle name="Calculation 2 4 9 2 3" xfId="7777"/>
    <cellStyle name="Calculation 2 4 9 2 4" xfId="7778"/>
    <cellStyle name="Calculation 2 5" xfId="7779"/>
    <cellStyle name="Calculation 2 5 2" xfId="7780"/>
    <cellStyle name="Calculation 2 5 2 2" xfId="7781"/>
    <cellStyle name="Calculation 2 5 2 2 2" xfId="7782"/>
    <cellStyle name="Calculation 2 5 2 2 2 2" xfId="7783"/>
    <cellStyle name="Calculation 2 5 2 2 2 3" xfId="7784"/>
    <cellStyle name="Calculation 2 5 2 2 3" xfId="7785"/>
    <cellStyle name="Calculation 2 5 2 2 4" xfId="7786"/>
    <cellStyle name="Calculation 2 5 3" xfId="7787"/>
    <cellStyle name="Calculation 2 5 3 2" xfId="7788"/>
    <cellStyle name="Calculation 2 5 3 2 2" xfId="7789"/>
    <cellStyle name="Calculation 2 5 3 2 2 2" xfId="7790"/>
    <cellStyle name="Calculation 2 5 3 2 2 3" xfId="7791"/>
    <cellStyle name="Calculation 2 5 3 2 3" xfId="7792"/>
    <cellStyle name="Calculation 2 5 3 2 4" xfId="7793"/>
    <cellStyle name="Calculation 2 5 4" xfId="7794"/>
    <cellStyle name="Calculation 2 5 4 2" xfId="7795"/>
    <cellStyle name="Calculation 2 5 4 2 2" xfId="7796"/>
    <cellStyle name="Calculation 2 5 4 2 2 2" xfId="7797"/>
    <cellStyle name="Calculation 2 5 4 2 2 3" xfId="7798"/>
    <cellStyle name="Calculation 2 5 4 2 3" xfId="7799"/>
    <cellStyle name="Calculation 2 5 4 2 4" xfId="7800"/>
    <cellStyle name="Calculation 2 5 5" xfId="7801"/>
    <cellStyle name="Calculation 2 5 5 2" xfId="7802"/>
    <cellStyle name="Calculation 2 5 5 2 2" xfId="7803"/>
    <cellStyle name="Calculation 2 5 5 2 2 2" xfId="7804"/>
    <cellStyle name="Calculation 2 5 5 2 2 3" xfId="7805"/>
    <cellStyle name="Calculation 2 5 5 2 3" xfId="7806"/>
    <cellStyle name="Calculation 2 5 5 2 4" xfId="7807"/>
    <cellStyle name="Calculation 2 5 6" xfId="7808"/>
    <cellStyle name="Calculation 2 5 6 2" xfId="7809"/>
    <cellStyle name="Calculation 2 5 6 2 2" xfId="7810"/>
    <cellStyle name="Calculation 2 5 6 2 2 2" xfId="7811"/>
    <cellStyle name="Calculation 2 5 6 2 2 3" xfId="7812"/>
    <cellStyle name="Calculation 2 5 6 2 3" xfId="7813"/>
    <cellStyle name="Calculation 2 5 6 2 4" xfId="7814"/>
    <cellStyle name="Calculation 2 5 7" xfId="7815"/>
    <cellStyle name="Calculation 2 5 7 2" xfId="7816"/>
    <cellStyle name="Calculation 2 5 7 2 2" xfId="7817"/>
    <cellStyle name="Calculation 2 5 7 2 2 2" xfId="7818"/>
    <cellStyle name="Calculation 2 5 7 2 2 3" xfId="7819"/>
    <cellStyle name="Calculation 2 5 7 2 3" xfId="7820"/>
    <cellStyle name="Calculation 2 5 7 2 4" xfId="7821"/>
    <cellStyle name="Calculation 2 5 8" xfId="7822"/>
    <cellStyle name="Calculation 2 5 8 2" xfId="7823"/>
    <cellStyle name="Calculation 2 5 8 2 2" xfId="7824"/>
    <cellStyle name="Calculation 2 5 8 2 2 2" xfId="7825"/>
    <cellStyle name="Calculation 2 5 8 2 2 3" xfId="7826"/>
    <cellStyle name="Calculation 2 5 8 2 3" xfId="7827"/>
    <cellStyle name="Calculation 2 5 8 2 4" xfId="7828"/>
    <cellStyle name="Calculation 2 5 9" xfId="7829"/>
    <cellStyle name="Calculation 2 5 9 2" xfId="7830"/>
    <cellStyle name="Calculation 2 5 9 2 2" xfId="7831"/>
    <cellStyle name="Calculation 2 5 9 2 3" xfId="7832"/>
    <cellStyle name="Calculation 2 5 9 3" xfId="7833"/>
    <cellStyle name="Calculation 2 5 9 4" xfId="7834"/>
    <cellStyle name="Calculation 2 6" xfId="7835"/>
    <cellStyle name="Calculation 2 6 2" xfId="7836"/>
    <cellStyle name="Calculation 2 6 2 2" xfId="7837"/>
    <cellStyle name="Calculation 2 6 2 2 2" xfId="7838"/>
    <cellStyle name="Calculation 2 6 2 2 2 2" xfId="7839"/>
    <cellStyle name="Calculation 2 6 2 2 2 3" xfId="7840"/>
    <cellStyle name="Calculation 2 6 2 2 3" xfId="7841"/>
    <cellStyle name="Calculation 2 6 2 2 4" xfId="7842"/>
    <cellStyle name="Calculation 2 6 3" xfId="7843"/>
    <cellStyle name="Calculation 2 6 3 2" xfId="7844"/>
    <cellStyle name="Calculation 2 6 3 2 2" xfId="7845"/>
    <cellStyle name="Calculation 2 6 3 2 2 2" xfId="7846"/>
    <cellStyle name="Calculation 2 6 3 2 2 3" xfId="7847"/>
    <cellStyle name="Calculation 2 6 3 2 3" xfId="7848"/>
    <cellStyle name="Calculation 2 6 3 2 4" xfId="7849"/>
    <cellStyle name="Calculation 2 6 4" xfId="7850"/>
    <cellStyle name="Calculation 2 6 4 2" xfId="7851"/>
    <cellStyle name="Calculation 2 6 4 2 2" xfId="7852"/>
    <cellStyle name="Calculation 2 6 4 2 2 2" xfId="7853"/>
    <cellStyle name="Calculation 2 6 4 2 2 3" xfId="7854"/>
    <cellStyle name="Calculation 2 6 4 2 3" xfId="7855"/>
    <cellStyle name="Calculation 2 6 4 2 4" xfId="7856"/>
    <cellStyle name="Calculation 2 6 5" xfId="7857"/>
    <cellStyle name="Calculation 2 6 5 2" xfId="7858"/>
    <cellStyle name="Calculation 2 6 5 2 2" xfId="7859"/>
    <cellStyle name="Calculation 2 6 5 2 2 2" xfId="7860"/>
    <cellStyle name="Calculation 2 6 5 2 2 3" xfId="7861"/>
    <cellStyle name="Calculation 2 6 5 2 3" xfId="7862"/>
    <cellStyle name="Calculation 2 6 5 2 4" xfId="7863"/>
    <cellStyle name="Calculation 2 6 6" xfId="7864"/>
    <cellStyle name="Calculation 2 6 6 2" xfId="7865"/>
    <cellStyle name="Calculation 2 6 6 2 2" xfId="7866"/>
    <cellStyle name="Calculation 2 6 6 2 2 2" xfId="7867"/>
    <cellStyle name="Calculation 2 6 6 2 2 3" xfId="7868"/>
    <cellStyle name="Calculation 2 6 6 2 3" xfId="7869"/>
    <cellStyle name="Calculation 2 6 6 2 4" xfId="7870"/>
    <cellStyle name="Calculation 2 6 7" xfId="7871"/>
    <cellStyle name="Calculation 2 6 7 2" xfId="7872"/>
    <cellStyle name="Calculation 2 6 7 2 2" xfId="7873"/>
    <cellStyle name="Calculation 2 6 7 2 2 2" xfId="7874"/>
    <cellStyle name="Calculation 2 6 7 2 2 3" xfId="7875"/>
    <cellStyle name="Calculation 2 6 7 2 3" xfId="7876"/>
    <cellStyle name="Calculation 2 6 7 2 4" xfId="7877"/>
    <cellStyle name="Calculation 2 6 8" xfId="7878"/>
    <cellStyle name="Calculation 2 6 8 2" xfId="7879"/>
    <cellStyle name="Calculation 2 6 8 2 2" xfId="7880"/>
    <cellStyle name="Calculation 2 6 8 2 2 2" xfId="7881"/>
    <cellStyle name="Calculation 2 6 8 2 2 3" xfId="7882"/>
    <cellStyle name="Calculation 2 6 8 2 3" xfId="7883"/>
    <cellStyle name="Calculation 2 6 8 2 4" xfId="7884"/>
    <cellStyle name="Calculation 2 6 9" xfId="7885"/>
    <cellStyle name="Calculation 2 6 9 2" xfId="7886"/>
    <cellStyle name="Calculation 2 6 9 2 2" xfId="7887"/>
    <cellStyle name="Calculation 2 6 9 2 3" xfId="7888"/>
    <cellStyle name="Calculation 2 6 9 3" xfId="7889"/>
    <cellStyle name="Calculation 2 6 9 4" xfId="7890"/>
    <cellStyle name="Calculation 2 7" xfId="7891"/>
    <cellStyle name="Calculation 2 7 2" xfId="7892"/>
    <cellStyle name="Calculation 2 7 2 2" xfId="7893"/>
    <cellStyle name="Calculation 2 7 2 2 2" xfId="7894"/>
    <cellStyle name="Calculation 2 7 2 2 2 2" xfId="7895"/>
    <cellStyle name="Calculation 2 7 2 2 2 3" xfId="7896"/>
    <cellStyle name="Calculation 2 7 2 2 3" xfId="7897"/>
    <cellStyle name="Calculation 2 7 2 2 4" xfId="7898"/>
    <cellStyle name="Calculation 2 7 3" xfId="7899"/>
    <cellStyle name="Calculation 2 7 3 2" xfId="7900"/>
    <cellStyle name="Calculation 2 7 3 2 2" xfId="7901"/>
    <cellStyle name="Calculation 2 7 3 2 2 2" xfId="7902"/>
    <cellStyle name="Calculation 2 7 3 2 2 3" xfId="7903"/>
    <cellStyle name="Calculation 2 7 3 2 3" xfId="7904"/>
    <cellStyle name="Calculation 2 7 3 2 4" xfId="7905"/>
    <cellStyle name="Calculation 2 7 4" xfId="7906"/>
    <cellStyle name="Calculation 2 7 4 2" xfId="7907"/>
    <cellStyle name="Calculation 2 7 4 2 2" xfId="7908"/>
    <cellStyle name="Calculation 2 7 4 2 2 2" xfId="7909"/>
    <cellStyle name="Calculation 2 7 4 2 2 3" xfId="7910"/>
    <cellStyle name="Calculation 2 7 4 2 3" xfId="7911"/>
    <cellStyle name="Calculation 2 7 4 2 4" xfId="7912"/>
    <cellStyle name="Calculation 2 7 5" xfId="7913"/>
    <cellStyle name="Calculation 2 7 5 2" xfId="7914"/>
    <cellStyle name="Calculation 2 7 5 2 2" xfId="7915"/>
    <cellStyle name="Calculation 2 7 5 2 2 2" xfId="7916"/>
    <cellStyle name="Calculation 2 7 5 2 2 3" xfId="7917"/>
    <cellStyle name="Calculation 2 7 5 2 3" xfId="7918"/>
    <cellStyle name="Calculation 2 7 5 2 4" xfId="7919"/>
    <cellStyle name="Calculation 2 7 6" xfId="7920"/>
    <cellStyle name="Calculation 2 7 6 2" xfId="7921"/>
    <cellStyle name="Calculation 2 7 6 2 2" xfId="7922"/>
    <cellStyle name="Calculation 2 7 6 2 2 2" xfId="7923"/>
    <cellStyle name="Calculation 2 7 6 2 2 3" xfId="7924"/>
    <cellStyle name="Calculation 2 7 6 2 3" xfId="7925"/>
    <cellStyle name="Calculation 2 7 6 2 4" xfId="7926"/>
    <cellStyle name="Calculation 2 7 7" xfId="7927"/>
    <cellStyle name="Calculation 2 7 7 2" xfId="7928"/>
    <cellStyle name="Calculation 2 7 7 2 2" xfId="7929"/>
    <cellStyle name="Calculation 2 7 7 2 2 2" xfId="7930"/>
    <cellStyle name="Calculation 2 7 7 2 2 3" xfId="7931"/>
    <cellStyle name="Calculation 2 7 7 2 3" xfId="7932"/>
    <cellStyle name="Calculation 2 7 7 2 4" xfId="7933"/>
    <cellStyle name="Calculation 2 7 8" xfId="7934"/>
    <cellStyle name="Calculation 2 7 8 2" xfId="7935"/>
    <cellStyle name="Calculation 2 7 8 2 2" xfId="7936"/>
    <cellStyle name="Calculation 2 7 8 2 2 2" xfId="7937"/>
    <cellStyle name="Calculation 2 7 8 2 2 3" xfId="7938"/>
    <cellStyle name="Calculation 2 7 8 2 3" xfId="7939"/>
    <cellStyle name="Calculation 2 7 8 2 4" xfId="7940"/>
    <cellStyle name="Calculation 2 7 9" xfId="7941"/>
    <cellStyle name="Calculation 2 7 9 2" xfId="7942"/>
    <cellStyle name="Calculation 2 7 9 2 2" xfId="7943"/>
    <cellStyle name="Calculation 2 7 9 2 3" xfId="7944"/>
    <cellStyle name="Calculation 2 7 9 3" xfId="7945"/>
    <cellStyle name="Calculation 2 7 9 4" xfId="7946"/>
    <cellStyle name="Calculation 2 8" xfId="7947"/>
    <cellStyle name="Calculation 2 8 2" xfId="7948"/>
    <cellStyle name="Calculation 2 8 2 2" xfId="7949"/>
    <cellStyle name="Calculation 2 8 2 2 2" xfId="7950"/>
    <cellStyle name="Calculation 2 8 2 2 2 2" xfId="7951"/>
    <cellStyle name="Calculation 2 8 2 2 2 3" xfId="7952"/>
    <cellStyle name="Calculation 2 8 2 2 3" xfId="7953"/>
    <cellStyle name="Calculation 2 8 2 2 4" xfId="7954"/>
    <cellStyle name="Calculation 2 8 3" xfId="7955"/>
    <cellStyle name="Calculation 2 8 3 2" xfId="7956"/>
    <cellStyle name="Calculation 2 8 3 2 2" xfId="7957"/>
    <cellStyle name="Calculation 2 8 3 2 2 2" xfId="7958"/>
    <cellStyle name="Calculation 2 8 3 2 2 3" xfId="7959"/>
    <cellStyle name="Calculation 2 8 3 2 3" xfId="7960"/>
    <cellStyle name="Calculation 2 8 3 2 4" xfId="7961"/>
    <cellStyle name="Calculation 2 8 4" xfId="7962"/>
    <cellStyle name="Calculation 2 8 4 2" xfId="7963"/>
    <cellStyle name="Calculation 2 8 4 2 2" xfId="7964"/>
    <cellStyle name="Calculation 2 8 4 2 2 2" xfId="7965"/>
    <cellStyle name="Calculation 2 8 4 2 2 3" xfId="7966"/>
    <cellStyle name="Calculation 2 8 4 2 3" xfId="7967"/>
    <cellStyle name="Calculation 2 8 4 2 4" xfId="7968"/>
    <cellStyle name="Calculation 2 8 5" xfId="7969"/>
    <cellStyle name="Calculation 2 8 5 2" xfId="7970"/>
    <cellStyle name="Calculation 2 8 5 2 2" xfId="7971"/>
    <cellStyle name="Calculation 2 8 5 2 2 2" xfId="7972"/>
    <cellStyle name="Calculation 2 8 5 2 2 3" xfId="7973"/>
    <cellStyle name="Calculation 2 8 5 2 3" xfId="7974"/>
    <cellStyle name="Calculation 2 8 5 2 4" xfId="7975"/>
    <cellStyle name="Calculation 2 8 6" xfId="7976"/>
    <cellStyle name="Calculation 2 8 6 2" xfId="7977"/>
    <cellStyle name="Calculation 2 8 6 2 2" xfId="7978"/>
    <cellStyle name="Calculation 2 8 6 2 2 2" xfId="7979"/>
    <cellStyle name="Calculation 2 8 6 2 2 3" xfId="7980"/>
    <cellStyle name="Calculation 2 8 6 2 3" xfId="7981"/>
    <cellStyle name="Calculation 2 8 6 2 4" xfId="7982"/>
    <cellStyle name="Calculation 2 8 7" xfId="7983"/>
    <cellStyle name="Calculation 2 8 7 2" xfId="7984"/>
    <cellStyle name="Calculation 2 8 7 2 2" xfId="7985"/>
    <cellStyle name="Calculation 2 8 7 2 2 2" xfId="7986"/>
    <cellStyle name="Calculation 2 8 7 2 2 3" xfId="7987"/>
    <cellStyle name="Calculation 2 8 7 2 3" xfId="7988"/>
    <cellStyle name="Calculation 2 8 7 2 4" xfId="7989"/>
    <cellStyle name="Calculation 2 8 8" xfId="7990"/>
    <cellStyle name="Calculation 2 8 8 2" xfId="7991"/>
    <cellStyle name="Calculation 2 8 8 2 2" xfId="7992"/>
    <cellStyle name="Calculation 2 8 8 2 2 2" xfId="7993"/>
    <cellStyle name="Calculation 2 8 8 2 2 3" xfId="7994"/>
    <cellStyle name="Calculation 2 8 8 2 3" xfId="7995"/>
    <cellStyle name="Calculation 2 8 8 2 4" xfId="7996"/>
    <cellStyle name="Calculation 2 8 9" xfId="7997"/>
    <cellStyle name="Calculation 2 8 9 2" xfId="7998"/>
    <cellStyle name="Calculation 2 8 9 2 2" xfId="7999"/>
    <cellStyle name="Calculation 2 8 9 2 3" xfId="8000"/>
    <cellStyle name="Calculation 2 8 9 3" xfId="8001"/>
    <cellStyle name="Calculation 2 8 9 4" xfId="8002"/>
    <cellStyle name="Calculation 2 9" xfId="8003"/>
    <cellStyle name="Calculation 2 9 2" xfId="8004"/>
    <cellStyle name="Calculation 2 9 2 2" xfId="8005"/>
    <cellStyle name="Calculation 2 9 2 2 2" xfId="8006"/>
    <cellStyle name="Calculation 2 9 2 2 3" xfId="8007"/>
    <cellStyle name="Calculation 2 9 2 3" xfId="8008"/>
    <cellStyle name="Calculation 2 9 2 4" xfId="8009"/>
    <cellStyle name="Calculation 2_Dashboard - Inventory Metrics Aug 2012" xfId="8010"/>
    <cellStyle name="Calculation 3" xfId="8011"/>
    <cellStyle name="Calculation 3 10" xfId="43021"/>
    <cellStyle name="Calculation 3 2" xfId="8012"/>
    <cellStyle name="Calculation 3 2 2" xfId="8013"/>
    <cellStyle name="Calculation 3 2 2 2" xfId="8014"/>
    <cellStyle name="Calculation 3 2 2 2 2" xfId="8015"/>
    <cellStyle name="Calculation 3 2 2 2 2 2" xfId="8016"/>
    <cellStyle name="Calculation 3 2 2 2 2 2 2" xfId="8017"/>
    <cellStyle name="Calculation 3 2 2 2 2 2 3" xfId="8018"/>
    <cellStyle name="Calculation 3 2 2 2 2 3" xfId="8019"/>
    <cellStyle name="Calculation 3 2 2 2 2 4" xfId="8020"/>
    <cellStyle name="Calculation 3 2 2 3" xfId="8021"/>
    <cellStyle name="Calculation 3 2 2 3 2" xfId="8022"/>
    <cellStyle name="Calculation 3 2 2 3 2 2" xfId="8023"/>
    <cellStyle name="Calculation 3 2 2 3 2 2 2" xfId="8024"/>
    <cellStyle name="Calculation 3 2 2 3 2 2 3" xfId="8025"/>
    <cellStyle name="Calculation 3 2 2 3 2 3" xfId="8026"/>
    <cellStyle name="Calculation 3 2 2 3 2 4" xfId="8027"/>
    <cellStyle name="Calculation 3 2 2 4" xfId="8028"/>
    <cellStyle name="Calculation 3 2 2 4 2" xfId="8029"/>
    <cellStyle name="Calculation 3 2 2 4 2 2" xfId="8030"/>
    <cellStyle name="Calculation 3 2 2 4 2 2 2" xfId="8031"/>
    <cellStyle name="Calculation 3 2 2 4 2 2 3" xfId="8032"/>
    <cellStyle name="Calculation 3 2 2 4 2 3" xfId="8033"/>
    <cellStyle name="Calculation 3 2 2 4 2 4" xfId="8034"/>
    <cellStyle name="Calculation 3 2 2 5" xfId="8035"/>
    <cellStyle name="Calculation 3 2 2 5 2" xfId="8036"/>
    <cellStyle name="Calculation 3 2 2 5 2 2" xfId="8037"/>
    <cellStyle name="Calculation 3 2 2 5 2 2 2" xfId="8038"/>
    <cellStyle name="Calculation 3 2 2 5 2 2 3" xfId="8039"/>
    <cellStyle name="Calculation 3 2 2 5 2 3" xfId="8040"/>
    <cellStyle name="Calculation 3 2 2 5 2 4" xfId="8041"/>
    <cellStyle name="Calculation 3 2 2 6" xfId="8042"/>
    <cellStyle name="Calculation 3 2 2 6 2" xfId="8043"/>
    <cellStyle name="Calculation 3 2 2 6 2 2" xfId="8044"/>
    <cellStyle name="Calculation 3 2 2 6 2 2 2" xfId="8045"/>
    <cellStyle name="Calculation 3 2 2 6 2 2 3" xfId="8046"/>
    <cellStyle name="Calculation 3 2 2 6 2 3" xfId="8047"/>
    <cellStyle name="Calculation 3 2 2 6 2 4" xfId="8048"/>
    <cellStyle name="Calculation 3 2 2 7" xfId="8049"/>
    <cellStyle name="Calculation 3 2 2 7 2" xfId="8050"/>
    <cellStyle name="Calculation 3 2 2 7 2 2" xfId="8051"/>
    <cellStyle name="Calculation 3 2 2 7 2 2 2" xfId="8052"/>
    <cellStyle name="Calculation 3 2 2 7 2 2 3" xfId="8053"/>
    <cellStyle name="Calculation 3 2 2 7 2 3" xfId="8054"/>
    <cellStyle name="Calculation 3 2 2 7 2 4" xfId="8055"/>
    <cellStyle name="Calculation 3 2 2 8" xfId="8056"/>
    <cellStyle name="Calculation 3 2 2 8 2" xfId="8057"/>
    <cellStyle name="Calculation 3 2 2 8 2 2" xfId="8058"/>
    <cellStyle name="Calculation 3 2 2 8 2 2 2" xfId="8059"/>
    <cellStyle name="Calculation 3 2 2 8 2 2 3" xfId="8060"/>
    <cellStyle name="Calculation 3 2 2 8 2 3" xfId="8061"/>
    <cellStyle name="Calculation 3 2 2 8 2 4" xfId="8062"/>
    <cellStyle name="Calculation 3 2 2 9" xfId="8063"/>
    <cellStyle name="Calculation 3 2 2 9 2" xfId="8064"/>
    <cellStyle name="Calculation 3 2 2 9 2 2" xfId="8065"/>
    <cellStyle name="Calculation 3 2 2 9 2 3" xfId="8066"/>
    <cellStyle name="Calculation 3 2 2 9 3" xfId="8067"/>
    <cellStyle name="Calculation 3 2 2 9 4" xfId="8068"/>
    <cellStyle name="Calculation 3 2 3" xfId="8069"/>
    <cellStyle name="Calculation 3 2 3 2" xfId="8070"/>
    <cellStyle name="Calculation 3 2 3 2 2" xfId="8071"/>
    <cellStyle name="Calculation 3 2 3 2 2 2" xfId="8072"/>
    <cellStyle name="Calculation 3 2 3 2 2 2 2" xfId="8073"/>
    <cellStyle name="Calculation 3 2 3 2 2 2 3" xfId="8074"/>
    <cellStyle name="Calculation 3 2 3 2 2 3" xfId="8075"/>
    <cellStyle name="Calculation 3 2 3 2 2 4" xfId="8076"/>
    <cellStyle name="Calculation 3 2 3 3" xfId="8077"/>
    <cellStyle name="Calculation 3 2 3 3 2" xfId="8078"/>
    <cellStyle name="Calculation 3 2 3 3 2 2" xfId="8079"/>
    <cellStyle name="Calculation 3 2 3 3 2 2 2" xfId="8080"/>
    <cellStyle name="Calculation 3 2 3 3 2 2 3" xfId="8081"/>
    <cellStyle name="Calculation 3 2 3 3 2 3" xfId="8082"/>
    <cellStyle name="Calculation 3 2 3 3 2 4" xfId="8083"/>
    <cellStyle name="Calculation 3 2 3 4" xfId="8084"/>
    <cellStyle name="Calculation 3 2 3 4 2" xfId="8085"/>
    <cellStyle name="Calculation 3 2 3 4 2 2" xfId="8086"/>
    <cellStyle name="Calculation 3 2 3 4 2 2 2" xfId="8087"/>
    <cellStyle name="Calculation 3 2 3 4 2 2 3" xfId="8088"/>
    <cellStyle name="Calculation 3 2 3 4 2 3" xfId="8089"/>
    <cellStyle name="Calculation 3 2 3 4 2 4" xfId="8090"/>
    <cellStyle name="Calculation 3 2 3 5" xfId="8091"/>
    <cellStyle name="Calculation 3 2 3 5 2" xfId="8092"/>
    <cellStyle name="Calculation 3 2 3 5 2 2" xfId="8093"/>
    <cellStyle name="Calculation 3 2 3 5 2 2 2" xfId="8094"/>
    <cellStyle name="Calculation 3 2 3 5 2 2 3" xfId="8095"/>
    <cellStyle name="Calculation 3 2 3 5 2 3" xfId="8096"/>
    <cellStyle name="Calculation 3 2 3 5 2 4" xfId="8097"/>
    <cellStyle name="Calculation 3 2 3 6" xfId="8098"/>
    <cellStyle name="Calculation 3 2 3 6 2" xfId="8099"/>
    <cellStyle name="Calculation 3 2 3 6 2 2" xfId="8100"/>
    <cellStyle name="Calculation 3 2 3 6 2 2 2" xfId="8101"/>
    <cellStyle name="Calculation 3 2 3 6 2 2 3" xfId="8102"/>
    <cellStyle name="Calculation 3 2 3 6 2 3" xfId="8103"/>
    <cellStyle name="Calculation 3 2 3 6 2 4" xfId="8104"/>
    <cellStyle name="Calculation 3 2 3 7" xfId="8105"/>
    <cellStyle name="Calculation 3 2 3 7 2" xfId="8106"/>
    <cellStyle name="Calculation 3 2 3 7 2 2" xfId="8107"/>
    <cellStyle name="Calculation 3 2 3 7 2 2 2" xfId="8108"/>
    <cellStyle name="Calculation 3 2 3 7 2 2 3" xfId="8109"/>
    <cellStyle name="Calculation 3 2 3 7 2 3" xfId="8110"/>
    <cellStyle name="Calculation 3 2 3 7 2 4" xfId="8111"/>
    <cellStyle name="Calculation 3 2 3 8" xfId="8112"/>
    <cellStyle name="Calculation 3 2 3 8 2" xfId="8113"/>
    <cellStyle name="Calculation 3 2 3 8 2 2" xfId="8114"/>
    <cellStyle name="Calculation 3 2 3 8 2 2 2" xfId="8115"/>
    <cellStyle name="Calculation 3 2 3 8 2 2 3" xfId="8116"/>
    <cellStyle name="Calculation 3 2 3 8 2 3" xfId="8117"/>
    <cellStyle name="Calculation 3 2 3 8 2 4" xfId="8118"/>
    <cellStyle name="Calculation 3 2 3 9" xfId="8119"/>
    <cellStyle name="Calculation 3 2 3 9 2" xfId="8120"/>
    <cellStyle name="Calculation 3 2 3 9 2 2" xfId="8121"/>
    <cellStyle name="Calculation 3 2 3 9 2 3" xfId="8122"/>
    <cellStyle name="Calculation 3 2 3 9 3" xfId="8123"/>
    <cellStyle name="Calculation 3 2 3 9 4" xfId="8124"/>
    <cellStyle name="Calculation 3 2 4" xfId="8125"/>
    <cellStyle name="Calculation 3 2 4 2" xfId="8126"/>
    <cellStyle name="Calculation 3 2 4 2 2" xfId="8127"/>
    <cellStyle name="Calculation 3 2 4 2 2 2" xfId="8128"/>
    <cellStyle name="Calculation 3 2 4 2 2 2 2" xfId="8129"/>
    <cellStyle name="Calculation 3 2 4 2 2 2 3" xfId="8130"/>
    <cellStyle name="Calculation 3 2 4 2 2 3" xfId="8131"/>
    <cellStyle name="Calculation 3 2 4 2 2 4" xfId="8132"/>
    <cellStyle name="Calculation 3 2 4 3" xfId="8133"/>
    <cellStyle name="Calculation 3 2 4 3 2" xfId="8134"/>
    <cellStyle name="Calculation 3 2 4 3 2 2" xfId="8135"/>
    <cellStyle name="Calculation 3 2 4 3 2 2 2" xfId="8136"/>
    <cellStyle name="Calculation 3 2 4 3 2 2 3" xfId="8137"/>
    <cellStyle name="Calculation 3 2 4 3 2 3" xfId="8138"/>
    <cellStyle name="Calculation 3 2 4 3 2 4" xfId="8139"/>
    <cellStyle name="Calculation 3 2 4 4" xfId="8140"/>
    <cellStyle name="Calculation 3 2 4 4 2" xfId="8141"/>
    <cellStyle name="Calculation 3 2 4 4 2 2" xfId="8142"/>
    <cellStyle name="Calculation 3 2 4 4 2 2 2" xfId="8143"/>
    <cellStyle name="Calculation 3 2 4 4 2 2 3" xfId="8144"/>
    <cellStyle name="Calculation 3 2 4 4 2 3" xfId="8145"/>
    <cellStyle name="Calculation 3 2 4 4 2 4" xfId="8146"/>
    <cellStyle name="Calculation 3 2 4 5" xfId="8147"/>
    <cellStyle name="Calculation 3 2 4 5 2" xfId="8148"/>
    <cellStyle name="Calculation 3 2 4 5 2 2" xfId="8149"/>
    <cellStyle name="Calculation 3 2 4 5 2 2 2" xfId="8150"/>
    <cellStyle name="Calculation 3 2 4 5 2 2 3" xfId="8151"/>
    <cellStyle name="Calculation 3 2 4 5 2 3" xfId="8152"/>
    <cellStyle name="Calculation 3 2 4 5 2 4" xfId="8153"/>
    <cellStyle name="Calculation 3 2 4 6" xfId="8154"/>
    <cellStyle name="Calculation 3 2 4 6 2" xfId="8155"/>
    <cellStyle name="Calculation 3 2 4 6 2 2" xfId="8156"/>
    <cellStyle name="Calculation 3 2 4 6 2 2 2" xfId="8157"/>
    <cellStyle name="Calculation 3 2 4 6 2 2 3" xfId="8158"/>
    <cellStyle name="Calculation 3 2 4 6 2 3" xfId="8159"/>
    <cellStyle name="Calculation 3 2 4 6 2 4" xfId="8160"/>
    <cellStyle name="Calculation 3 2 4 7" xfId="8161"/>
    <cellStyle name="Calculation 3 2 4 7 2" xfId="8162"/>
    <cellStyle name="Calculation 3 2 4 7 2 2" xfId="8163"/>
    <cellStyle name="Calculation 3 2 4 7 2 2 2" xfId="8164"/>
    <cellStyle name="Calculation 3 2 4 7 2 2 3" xfId="8165"/>
    <cellStyle name="Calculation 3 2 4 7 2 3" xfId="8166"/>
    <cellStyle name="Calculation 3 2 4 7 2 4" xfId="8167"/>
    <cellStyle name="Calculation 3 2 4 8" xfId="8168"/>
    <cellStyle name="Calculation 3 2 4 8 2" xfId="8169"/>
    <cellStyle name="Calculation 3 2 4 8 2 2" xfId="8170"/>
    <cellStyle name="Calculation 3 2 4 8 2 2 2" xfId="8171"/>
    <cellStyle name="Calculation 3 2 4 8 2 2 3" xfId="8172"/>
    <cellStyle name="Calculation 3 2 4 8 2 3" xfId="8173"/>
    <cellStyle name="Calculation 3 2 4 8 2 4" xfId="8174"/>
    <cellStyle name="Calculation 3 2 4 9" xfId="8175"/>
    <cellStyle name="Calculation 3 2 4 9 2" xfId="8176"/>
    <cellStyle name="Calculation 3 2 4 9 2 2" xfId="8177"/>
    <cellStyle name="Calculation 3 2 4 9 2 3" xfId="8178"/>
    <cellStyle name="Calculation 3 2 4 9 3" xfId="8179"/>
    <cellStyle name="Calculation 3 2 4 9 4" xfId="8180"/>
    <cellStyle name="Calculation 3 2 5" xfId="8181"/>
    <cellStyle name="Calculation 3 2 5 2" xfId="8182"/>
    <cellStyle name="Calculation 3 2 5 2 2" xfId="8183"/>
    <cellStyle name="Calculation 3 2 5 2 2 2" xfId="8184"/>
    <cellStyle name="Calculation 3 2 5 2 2 2 2" xfId="8185"/>
    <cellStyle name="Calculation 3 2 5 2 2 2 3" xfId="8186"/>
    <cellStyle name="Calculation 3 2 5 2 2 3" xfId="8187"/>
    <cellStyle name="Calculation 3 2 5 2 2 4" xfId="8188"/>
    <cellStyle name="Calculation 3 2 5 3" xfId="8189"/>
    <cellStyle name="Calculation 3 2 5 3 2" xfId="8190"/>
    <cellStyle name="Calculation 3 2 5 3 2 2" xfId="8191"/>
    <cellStyle name="Calculation 3 2 5 3 2 2 2" xfId="8192"/>
    <cellStyle name="Calculation 3 2 5 3 2 2 3" xfId="8193"/>
    <cellStyle name="Calculation 3 2 5 3 2 3" xfId="8194"/>
    <cellStyle name="Calculation 3 2 5 3 2 4" xfId="8195"/>
    <cellStyle name="Calculation 3 2 5 4" xfId="8196"/>
    <cellStyle name="Calculation 3 2 5 4 2" xfId="8197"/>
    <cellStyle name="Calculation 3 2 5 4 2 2" xfId="8198"/>
    <cellStyle name="Calculation 3 2 5 4 2 2 2" xfId="8199"/>
    <cellStyle name="Calculation 3 2 5 4 2 2 3" xfId="8200"/>
    <cellStyle name="Calculation 3 2 5 4 2 3" xfId="8201"/>
    <cellStyle name="Calculation 3 2 5 4 2 4" xfId="8202"/>
    <cellStyle name="Calculation 3 2 5 5" xfId="8203"/>
    <cellStyle name="Calculation 3 2 5 5 2" xfId="8204"/>
    <cellStyle name="Calculation 3 2 5 5 2 2" xfId="8205"/>
    <cellStyle name="Calculation 3 2 5 5 2 2 2" xfId="8206"/>
    <cellStyle name="Calculation 3 2 5 5 2 2 3" xfId="8207"/>
    <cellStyle name="Calculation 3 2 5 5 2 3" xfId="8208"/>
    <cellStyle name="Calculation 3 2 5 5 2 4" xfId="8209"/>
    <cellStyle name="Calculation 3 2 5 6" xfId="8210"/>
    <cellStyle name="Calculation 3 2 5 6 2" xfId="8211"/>
    <cellStyle name="Calculation 3 2 5 6 2 2" xfId="8212"/>
    <cellStyle name="Calculation 3 2 5 6 2 2 2" xfId="8213"/>
    <cellStyle name="Calculation 3 2 5 6 2 2 3" xfId="8214"/>
    <cellStyle name="Calculation 3 2 5 6 2 3" xfId="8215"/>
    <cellStyle name="Calculation 3 2 5 6 2 4" xfId="8216"/>
    <cellStyle name="Calculation 3 2 5 7" xfId="8217"/>
    <cellStyle name="Calculation 3 2 5 7 2" xfId="8218"/>
    <cellStyle name="Calculation 3 2 5 7 2 2" xfId="8219"/>
    <cellStyle name="Calculation 3 2 5 7 2 2 2" xfId="8220"/>
    <cellStyle name="Calculation 3 2 5 7 2 2 3" xfId="8221"/>
    <cellStyle name="Calculation 3 2 5 7 2 3" xfId="8222"/>
    <cellStyle name="Calculation 3 2 5 7 2 4" xfId="8223"/>
    <cellStyle name="Calculation 3 2 5 8" xfId="8224"/>
    <cellStyle name="Calculation 3 2 5 8 2" xfId="8225"/>
    <cellStyle name="Calculation 3 2 5 8 2 2" xfId="8226"/>
    <cellStyle name="Calculation 3 2 5 8 2 2 2" xfId="8227"/>
    <cellStyle name="Calculation 3 2 5 8 2 2 3" xfId="8228"/>
    <cellStyle name="Calculation 3 2 5 8 2 3" xfId="8229"/>
    <cellStyle name="Calculation 3 2 5 8 2 4" xfId="8230"/>
    <cellStyle name="Calculation 3 2 5 9" xfId="8231"/>
    <cellStyle name="Calculation 3 2 5 9 2" xfId="8232"/>
    <cellStyle name="Calculation 3 2 5 9 2 2" xfId="8233"/>
    <cellStyle name="Calculation 3 2 5 9 2 3" xfId="8234"/>
    <cellStyle name="Calculation 3 2 5 9 3" xfId="8235"/>
    <cellStyle name="Calculation 3 2 5 9 4" xfId="8236"/>
    <cellStyle name="Calculation 3 2 6" xfId="8237"/>
    <cellStyle name="Calculation 3 2 6 2" xfId="8238"/>
    <cellStyle name="Calculation 3 2 6 2 2" xfId="8239"/>
    <cellStyle name="Calculation 3 2 6 2 2 2" xfId="8240"/>
    <cellStyle name="Calculation 3 2 6 2 2 3" xfId="8241"/>
    <cellStyle name="Calculation 3 2 6 2 3" xfId="8242"/>
    <cellStyle name="Calculation 3 2 6 2 4" xfId="8243"/>
    <cellStyle name="Calculation 3 2 7" xfId="8244"/>
    <cellStyle name="Calculation 3 2 7 2" xfId="8245"/>
    <cellStyle name="Calculation 3 2 7 2 2" xfId="8246"/>
    <cellStyle name="Calculation 3 2 7 2 2 2" xfId="8247"/>
    <cellStyle name="Calculation 3 2 7 2 2 3" xfId="8248"/>
    <cellStyle name="Calculation 3 2 7 2 3" xfId="8249"/>
    <cellStyle name="Calculation 3 2 7 2 4" xfId="8250"/>
    <cellStyle name="Calculation 3 2 8" xfId="8251"/>
    <cellStyle name="Calculation 3 2 8 2" xfId="8252"/>
    <cellStyle name="Calculation 3 2 8 2 2" xfId="8253"/>
    <cellStyle name="Calculation 3 2 8 2 3" xfId="8254"/>
    <cellStyle name="Calculation 3 2 8 3" xfId="8255"/>
    <cellStyle name="Calculation 3 2 8 4" xfId="8256"/>
    <cellStyle name="Calculation 3 3" xfId="8257"/>
    <cellStyle name="Calculation 3 3 2" xfId="8258"/>
    <cellStyle name="Calculation 3 3 2 2" xfId="8259"/>
    <cellStyle name="Calculation 3 3 2 2 2" xfId="8260"/>
    <cellStyle name="Calculation 3 3 2 2 2 2" xfId="8261"/>
    <cellStyle name="Calculation 3 3 2 2 2 3" xfId="8262"/>
    <cellStyle name="Calculation 3 3 2 2 3" xfId="8263"/>
    <cellStyle name="Calculation 3 3 2 2 4" xfId="8264"/>
    <cellStyle name="Calculation 3 3 3" xfId="8265"/>
    <cellStyle name="Calculation 3 3 3 2" xfId="8266"/>
    <cellStyle name="Calculation 3 3 3 2 2" xfId="8267"/>
    <cellStyle name="Calculation 3 3 3 2 2 2" xfId="8268"/>
    <cellStyle name="Calculation 3 3 3 2 2 3" xfId="8269"/>
    <cellStyle name="Calculation 3 3 3 2 3" xfId="8270"/>
    <cellStyle name="Calculation 3 3 3 2 4" xfId="8271"/>
    <cellStyle name="Calculation 3 3 4" xfId="8272"/>
    <cellStyle name="Calculation 3 3 4 2" xfId="8273"/>
    <cellStyle name="Calculation 3 3 4 2 2" xfId="8274"/>
    <cellStyle name="Calculation 3 3 4 2 2 2" xfId="8275"/>
    <cellStyle name="Calculation 3 3 4 2 2 3" xfId="8276"/>
    <cellStyle name="Calculation 3 3 4 2 3" xfId="8277"/>
    <cellStyle name="Calculation 3 3 4 2 4" xfId="8278"/>
    <cellStyle name="Calculation 3 3 5" xfId="8279"/>
    <cellStyle name="Calculation 3 3 5 2" xfId="8280"/>
    <cellStyle name="Calculation 3 3 5 2 2" xfId="8281"/>
    <cellStyle name="Calculation 3 3 5 2 2 2" xfId="8282"/>
    <cellStyle name="Calculation 3 3 5 2 2 3" xfId="8283"/>
    <cellStyle name="Calculation 3 3 5 2 3" xfId="8284"/>
    <cellStyle name="Calculation 3 3 5 2 4" xfId="8285"/>
    <cellStyle name="Calculation 3 3 6" xfId="8286"/>
    <cellStyle name="Calculation 3 3 6 2" xfId="8287"/>
    <cellStyle name="Calculation 3 3 6 2 2" xfId="8288"/>
    <cellStyle name="Calculation 3 3 6 2 2 2" xfId="8289"/>
    <cellStyle name="Calculation 3 3 6 2 2 3" xfId="8290"/>
    <cellStyle name="Calculation 3 3 6 2 3" xfId="8291"/>
    <cellStyle name="Calculation 3 3 6 2 4" xfId="8292"/>
    <cellStyle name="Calculation 3 3 7" xfId="8293"/>
    <cellStyle name="Calculation 3 3 7 2" xfId="8294"/>
    <cellStyle name="Calculation 3 3 7 2 2" xfId="8295"/>
    <cellStyle name="Calculation 3 3 7 2 2 2" xfId="8296"/>
    <cellStyle name="Calculation 3 3 7 2 2 3" xfId="8297"/>
    <cellStyle name="Calculation 3 3 7 2 3" xfId="8298"/>
    <cellStyle name="Calculation 3 3 7 2 4" xfId="8299"/>
    <cellStyle name="Calculation 3 3 8" xfId="8300"/>
    <cellStyle name="Calculation 3 3 8 2" xfId="8301"/>
    <cellStyle name="Calculation 3 3 8 2 2" xfId="8302"/>
    <cellStyle name="Calculation 3 3 8 2 2 2" xfId="8303"/>
    <cellStyle name="Calculation 3 3 8 2 2 3" xfId="8304"/>
    <cellStyle name="Calculation 3 3 8 2 3" xfId="8305"/>
    <cellStyle name="Calculation 3 3 8 2 4" xfId="8306"/>
    <cellStyle name="Calculation 3 3 9" xfId="8307"/>
    <cellStyle name="Calculation 3 3 9 2" xfId="8308"/>
    <cellStyle name="Calculation 3 3 9 2 2" xfId="8309"/>
    <cellStyle name="Calculation 3 3 9 2 3" xfId="8310"/>
    <cellStyle name="Calculation 3 3 9 3" xfId="8311"/>
    <cellStyle name="Calculation 3 3 9 4" xfId="8312"/>
    <cellStyle name="Calculation 3 4" xfId="8313"/>
    <cellStyle name="Calculation 3 4 2" xfId="8314"/>
    <cellStyle name="Calculation 3 4 2 2" xfId="8315"/>
    <cellStyle name="Calculation 3 4 2 2 2" xfId="8316"/>
    <cellStyle name="Calculation 3 4 2 2 2 2" xfId="8317"/>
    <cellStyle name="Calculation 3 4 2 2 2 3" xfId="8318"/>
    <cellStyle name="Calculation 3 4 2 2 3" xfId="8319"/>
    <cellStyle name="Calculation 3 4 2 2 4" xfId="8320"/>
    <cellStyle name="Calculation 3 4 3" xfId="8321"/>
    <cellStyle name="Calculation 3 4 3 2" xfId="8322"/>
    <cellStyle name="Calculation 3 4 3 2 2" xfId="8323"/>
    <cellStyle name="Calculation 3 4 3 2 2 2" xfId="8324"/>
    <cellStyle name="Calculation 3 4 3 2 2 3" xfId="8325"/>
    <cellStyle name="Calculation 3 4 3 2 3" xfId="8326"/>
    <cellStyle name="Calculation 3 4 3 2 4" xfId="8327"/>
    <cellStyle name="Calculation 3 4 4" xfId="8328"/>
    <cellStyle name="Calculation 3 4 4 2" xfId="8329"/>
    <cellStyle name="Calculation 3 4 4 2 2" xfId="8330"/>
    <cellStyle name="Calculation 3 4 4 2 2 2" xfId="8331"/>
    <cellStyle name="Calculation 3 4 4 2 2 3" xfId="8332"/>
    <cellStyle name="Calculation 3 4 4 2 3" xfId="8333"/>
    <cellStyle name="Calculation 3 4 4 2 4" xfId="8334"/>
    <cellStyle name="Calculation 3 4 5" xfId="8335"/>
    <cellStyle name="Calculation 3 4 5 2" xfId="8336"/>
    <cellStyle name="Calculation 3 4 5 2 2" xfId="8337"/>
    <cellStyle name="Calculation 3 4 5 2 2 2" xfId="8338"/>
    <cellStyle name="Calculation 3 4 5 2 2 3" xfId="8339"/>
    <cellStyle name="Calculation 3 4 5 2 3" xfId="8340"/>
    <cellStyle name="Calculation 3 4 5 2 4" xfId="8341"/>
    <cellStyle name="Calculation 3 4 6" xfId="8342"/>
    <cellStyle name="Calculation 3 4 6 2" xfId="8343"/>
    <cellStyle name="Calculation 3 4 6 2 2" xfId="8344"/>
    <cellStyle name="Calculation 3 4 6 2 2 2" xfId="8345"/>
    <cellStyle name="Calculation 3 4 6 2 2 3" xfId="8346"/>
    <cellStyle name="Calculation 3 4 6 2 3" xfId="8347"/>
    <cellStyle name="Calculation 3 4 6 2 4" xfId="8348"/>
    <cellStyle name="Calculation 3 4 7" xfId="8349"/>
    <cellStyle name="Calculation 3 4 7 2" xfId="8350"/>
    <cellStyle name="Calculation 3 4 7 2 2" xfId="8351"/>
    <cellStyle name="Calculation 3 4 7 2 2 2" xfId="8352"/>
    <cellStyle name="Calculation 3 4 7 2 2 3" xfId="8353"/>
    <cellStyle name="Calculation 3 4 7 2 3" xfId="8354"/>
    <cellStyle name="Calculation 3 4 7 2 4" xfId="8355"/>
    <cellStyle name="Calculation 3 4 8" xfId="8356"/>
    <cellStyle name="Calculation 3 4 8 2" xfId="8357"/>
    <cellStyle name="Calculation 3 4 8 2 2" xfId="8358"/>
    <cellStyle name="Calculation 3 4 8 2 2 2" xfId="8359"/>
    <cellStyle name="Calculation 3 4 8 2 2 3" xfId="8360"/>
    <cellStyle name="Calculation 3 4 8 2 3" xfId="8361"/>
    <cellStyle name="Calculation 3 4 8 2 4" xfId="8362"/>
    <cellStyle name="Calculation 3 4 9" xfId="8363"/>
    <cellStyle name="Calculation 3 4 9 2" xfId="8364"/>
    <cellStyle name="Calculation 3 4 9 2 2" xfId="8365"/>
    <cellStyle name="Calculation 3 4 9 2 3" xfId="8366"/>
    <cellStyle name="Calculation 3 4 9 3" xfId="8367"/>
    <cellStyle name="Calculation 3 4 9 4" xfId="8368"/>
    <cellStyle name="Calculation 3 5" xfId="8369"/>
    <cellStyle name="Calculation 3 5 2" xfId="8370"/>
    <cellStyle name="Calculation 3 5 2 2" xfId="8371"/>
    <cellStyle name="Calculation 3 5 2 2 2" xfId="8372"/>
    <cellStyle name="Calculation 3 5 2 2 2 2" xfId="8373"/>
    <cellStyle name="Calculation 3 5 2 2 2 3" xfId="8374"/>
    <cellStyle name="Calculation 3 5 2 2 3" xfId="8375"/>
    <cellStyle name="Calculation 3 5 2 2 4" xfId="8376"/>
    <cellStyle name="Calculation 3 5 3" xfId="8377"/>
    <cellStyle name="Calculation 3 5 3 2" xfId="8378"/>
    <cellStyle name="Calculation 3 5 3 2 2" xfId="8379"/>
    <cellStyle name="Calculation 3 5 3 2 2 2" xfId="8380"/>
    <cellStyle name="Calculation 3 5 3 2 2 3" xfId="8381"/>
    <cellStyle name="Calculation 3 5 3 2 3" xfId="8382"/>
    <cellStyle name="Calculation 3 5 3 2 4" xfId="8383"/>
    <cellStyle name="Calculation 3 5 4" xfId="8384"/>
    <cellStyle name="Calculation 3 5 4 2" xfId="8385"/>
    <cellStyle name="Calculation 3 5 4 2 2" xfId="8386"/>
    <cellStyle name="Calculation 3 5 4 2 2 2" xfId="8387"/>
    <cellStyle name="Calculation 3 5 4 2 2 3" xfId="8388"/>
    <cellStyle name="Calculation 3 5 4 2 3" xfId="8389"/>
    <cellStyle name="Calculation 3 5 4 2 4" xfId="8390"/>
    <cellStyle name="Calculation 3 5 5" xfId="8391"/>
    <cellStyle name="Calculation 3 5 5 2" xfId="8392"/>
    <cellStyle name="Calculation 3 5 5 2 2" xfId="8393"/>
    <cellStyle name="Calculation 3 5 5 2 2 2" xfId="8394"/>
    <cellStyle name="Calculation 3 5 5 2 2 3" xfId="8395"/>
    <cellStyle name="Calculation 3 5 5 2 3" xfId="8396"/>
    <cellStyle name="Calculation 3 5 5 2 4" xfId="8397"/>
    <cellStyle name="Calculation 3 5 6" xfId="8398"/>
    <cellStyle name="Calculation 3 5 6 2" xfId="8399"/>
    <cellStyle name="Calculation 3 5 6 2 2" xfId="8400"/>
    <cellStyle name="Calculation 3 5 6 2 2 2" xfId="8401"/>
    <cellStyle name="Calculation 3 5 6 2 2 3" xfId="8402"/>
    <cellStyle name="Calculation 3 5 6 2 3" xfId="8403"/>
    <cellStyle name="Calculation 3 5 6 2 4" xfId="8404"/>
    <cellStyle name="Calculation 3 5 7" xfId="8405"/>
    <cellStyle name="Calculation 3 5 7 2" xfId="8406"/>
    <cellStyle name="Calculation 3 5 7 2 2" xfId="8407"/>
    <cellStyle name="Calculation 3 5 7 2 2 2" xfId="8408"/>
    <cellStyle name="Calculation 3 5 7 2 2 3" xfId="8409"/>
    <cellStyle name="Calculation 3 5 7 2 3" xfId="8410"/>
    <cellStyle name="Calculation 3 5 7 2 4" xfId="8411"/>
    <cellStyle name="Calculation 3 5 8" xfId="8412"/>
    <cellStyle name="Calculation 3 5 8 2" xfId="8413"/>
    <cellStyle name="Calculation 3 5 8 2 2" xfId="8414"/>
    <cellStyle name="Calculation 3 5 8 2 2 2" xfId="8415"/>
    <cellStyle name="Calculation 3 5 8 2 2 3" xfId="8416"/>
    <cellStyle name="Calculation 3 5 8 2 3" xfId="8417"/>
    <cellStyle name="Calculation 3 5 8 2 4" xfId="8418"/>
    <cellStyle name="Calculation 3 5 9" xfId="8419"/>
    <cellStyle name="Calculation 3 5 9 2" xfId="8420"/>
    <cellStyle name="Calculation 3 5 9 2 2" xfId="8421"/>
    <cellStyle name="Calculation 3 5 9 2 3" xfId="8422"/>
    <cellStyle name="Calculation 3 5 9 3" xfId="8423"/>
    <cellStyle name="Calculation 3 5 9 4" xfId="8424"/>
    <cellStyle name="Calculation 3 6" xfId="8425"/>
    <cellStyle name="Calculation 3 6 2" xfId="8426"/>
    <cellStyle name="Calculation 3 6 2 2" xfId="8427"/>
    <cellStyle name="Calculation 3 6 2 2 2" xfId="8428"/>
    <cellStyle name="Calculation 3 6 2 2 2 2" xfId="8429"/>
    <cellStyle name="Calculation 3 6 2 2 2 3" xfId="8430"/>
    <cellStyle name="Calculation 3 6 2 2 3" xfId="8431"/>
    <cellStyle name="Calculation 3 6 2 2 4" xfId="8432"/>
    <cellStyle name="Calculation 3 6 3" xfId="8433"/>
    <cellStyle name="Calculation 3 6 3 2" xfId="8434"/>
    <cellStyle name="Calculation 3 6 3 2 2" xfId="8435"/>
    <cellStyle name="Calculation 3 6 3 2 2 2" xfId="8436"/>
    <cellStyle name="Calculation 3 6 3 2 2 3" xfId="8437"/>
    <cellStyle name="Calculation 3 6 3 2 3" xfId="8438"/>
    <cellStyle name="Calculation 3 6 3 2 4" xfId="8439"/>
    <cellStyle name="Calculation 3 6 4" xfId="8440"/>
    <cellStyle name="Calculation 3 6 4 2" xfId="8441"/>
    <cellStyle name="Calculation 3 6 4 2 2" xfId="8442"/>
    <cellStyle name="Calculation 3 6 4 2 2 2" xfId="8443"/>
    <cellStyle name="Calculation 3 6 4 2 2 3" xfId="8444"/>
    <cellStyle name="Calculation 3 6 4 2 3" xfId="8445"/>
    <cellStyle name="Calculation 3 6 4 2 4" xfId="8446"/>
    <cellStyle name="Calculation 3 6 5" xfId="8447"/>
    <cellStyle name="Calculation 3 6 5 2" xfId="8448"/>
    <cellStyle name="Calculation 3 6 5 2 2" xfId="8449"/>
    <cellStyle name="Calculation 3 6 5 2 2 2" xfId="8450"/>
    <cellStyle name="Calculation 3 6 5 2 2 3" xfId="8451"/>
    <cellStyle name="Calculation 3 6 5 2 3" xfId="8452"/>
    <cellStyle name="Calculation 3 6 5 2 4" xfId="8453"/>
    <cellStyle name="Calculation 3 6 6" xfId="8454"/>
    <cellStyle name="Calculation 3 6 6 2" xfId="8455"/>
    <cellStyle name="Calculation 3 6 6 2 2" xfId="8456"/>
    <cellStyle name="Calculation 3 6 6 2 2 2" xfId="8457"/>
    <cellStyle name="Calculation 3 6 6 2 2 3" xfId="8458"/>
    <cellStyle name="Calculation 3 6 6 2 3" xfId="8459"/>
    <cellStyle name="Calculation 3 6 6 2 4" xfId="8460"/>
    <cellStyle name="Calculation 3 6 7" xfId="8461"/>
    <cellStyle name="Calculation 3 6 7 2" xfId="8462"/>
    <cellStyle name="Calculation 3 6 7 2 2" xfId="8463"/>
    <cellStyle name="Calculation 3 6 7 2 2 2" xfId="8464"/>
    <cellStyle name="Calculation 3 6 7 2 2 3" xfId="8465"/>
    <cellStyle name="Calculation 3 6 7 2 3" xfId="8466"/>
    <cellStyle name="Calculation 3 6 7 2 4" xfId="8467"/>
    <cellStyle name="Calculation 3 6 8" xfId="8468"/>
    <cellStyle name="Calculation 3 6 8 2" xfId="8469"/>
    <cellStyle name="Calculation 3 6 8 2 2" xfId="8470"/>
    <cellStyle name="Calculation 3 6 8 2 2 2" xfId="8471"/>
    <cellStyle name="Calculation 3 6 8 2 2 3" xfId="8472"/>
    <cellStyle name="Calculation 3 6 8 2 3" xfId="8473"/>
    <cellStyle name="Calculation 3 6 8 2 4" xfId="8474"/>
    <cellStyle name="Calculation 3 6 9" xfId="8475"/>
    <cellStyle name="Calculation 3 6 9 2" xfId="8476"/>
    <cellStyle name="Calculation 3 6 9 2 2" xfId="8477"/>
    <cellStyle name="Calculation 3 6 9 2 3" xfId="8478"/>
    <cellStyle name="Calculation 3 6 9 3" xfId="8479"/>
    <cellStyle name="Calculation 3 6 9 4" xfId="8480"/>
    <cellStyle name="Calculation 3 7" xfId="8481"/>
    <cellStyle name="Calculation 3 7 2" xfId="8482"/>
    <cellStyle name="Calculation 3 7 2 2" xfId="8483"/>
    <cellStyle name="Calculation 3 7 2 2 2" xfId="8484"/>
    <cellStyle name="Calculation 3 7 2 2 3" xfId="8485"/>
    <cellStyle name="Calculation 3 7 2 3" xfId="8486"/>
    <cellStyle name="Calculation 3 7 2 4" xfId="8487"/>
    <cellStyle name="Calculation 3 8" xfId="8488"/>
    <cellStyle name="Calculation 3 8 2" xfId="8489"/>
    <cellStyle name="Calculation 3 8 2 2" xfId="8490"/>
    <cellStyle name="Calculation 3 8 2 2 2" xfId="8491"/>
    <cellStyle name="Calculation 3 8 2 2 3" xfId="8492"/>
    <cellStyle name="Calculation 3 8 2 3" xfId="8493"/>
    <cellStyle name="Calculation 3 8 2 4" xfId="8494"/>
    <cellStyle name="Calculation 3 9" xfId="8495"/>
    <cellStyle name="Calculation 3 9 2" xfId="8496"/>
    <cellStyle name="Calculation 3 9 2 2" xfId="8497"/>
    <cellStyle name="Calculation 3 9 2 3" xfId="8498"/>
    <cellStyle name="Calculation 3 9 3" xfId="8499"/>
    <cellStyle name="Calculation 3 9 4" xfId="8500"/>
    <cellStyle name="Calculation 4" xfId="8501"/>
    <cellStyle name="Calculation 4 2" xfId="8502"/>
    <cellStyle name="Calculation 4_FCC Filings With Webster 2012" xfId="8503"/>
    <cellStyle name="Calculation 5" xfId="8504"/>
    <cellStyle name="Calculation 5 2" xfId="8505"/>
    <cellStyle name="Calculation 5 2 2" xfId="8506"/>
    <cellStyle name="Calculation 5 2 2 2" xfId="8507"/>
    <cellStyle name="Calculation 5 2 2 3" xfId="8508"/>
    <cellStyle name="Calculation 5 2 3" xfId="8509"/>
    <cellStyle name="Calculation 5 2 4" xfId="8510"/>
    <cellStyle name="Calculation 6" xfId="8511"/>
    <cellStyle name="Calculation 7" xfId="8512"/>
    <cellStyle name="Calculation 8" xfId="8513"/>
    <cellStyle name="Calculation 9" xfId="8514"/>
    <cellStyle name="CAPS1" xfId="8515"/>
    <cellStyle name="Case" xfId="8516"/>
    <cellStyle name="Center" xfId="8517"/>
    <cellStyle name="Centred across" xfId="8518"/>
    <cellStyle name="ChartingText" xfId="8519"/>
    <cellStyle name="Check" xfId="8520"/>
    <cellStyle name="Check Cell" xfId="42821" builtinId="23" customBuiltin="1"/>
    <cellStyle name="Check Cell 10" xfId="8521"/>
    <cellStyle name="Check Cell 11" xfId="8522"/>
    <cellStyle name="Check Cell 11 2" xfId="8523"/>
    <cellStyle name="Check Cell 11 3" xfId="8524"/>
    <cellStyle name="Check Cell 11 4" xfId="8525"/>
    <cellStyle name="Check Cell 2" xfId="8526"/>
    <cellStyle name="Check Cell 2 2" xfId="8527"/>
    <cellStyle name="Check Cell 2 3" xfId="8528"/>
    <cellStyle name="Check Cell 2 3 2" xfId="8529"/>
    <cellStyle name="Check Cell 2 3 2 10" xfId="8530"/>
    <cellStyle name="Check Cell 2 3 2 11" xfId="8531"/>
    <cellStyle name="Check Cell 2 3 2 12" xfId="8532"/>
    <cellStyle name="Check Cell 2 3 2 2" xfId="8533"/>
    <cellStyle name="Check Cell 2 3 2 2 2" xfId="8534"/>
    <cellStyle name="Check Cell 2 3 2 2 2 2" xfId="8535"/>
    <cellStyle name="Check Cell 2 3 2 2 2 3" xfId="8536"/>
    <cellStyle name="Check Cell 2 3 2 2 2 4" xfId="8537"/>
    <cellStyle name="Check Cell 2 3 2 2 2 5" xfId="8538"/>
    <cellStyle name="Check Cell 2 3 2 2 2 6" xfId="8539"/>
    <cellStyle name="Check Cell 2 3 2 2 2 7" xfId="8540"/>
    <cellStyle name="Check Cell 2 3 2 2 3" xfId="8541"/>
    <cellStyle name="Check Cell 2 3 2 2 3 2" xfId="8542"/>
    <cellStyle name="Check Cell 2 3 2 2 3 3" xfId="8543"/>
    <cellStyle name="Check Cell 2 3 2 2 3 4" xfId="8544"/>
    <cellStyle name="Check Cell 2 3 2 2 3 5" xfId="8545"/>
    <cellStyle name="Check Cell 2 3 2 2 3 6" xfId="8546"/>
    <cellStyle name="Check Cell 2 3 2 2 3 7" xfId="8547"/>
    <cellStyle name="Check Cell 2 3 2 2 4" xfId="8548"/>
    <cellStyle name="Check Cell 2 3 2 2 5" xfId="8549"/>
    <cellStyle name="Check Cell 2 3 2 2 6" xfId="8550"/>
    <cellStyle name="Check Cell 2 3 2 2 7" xfId="8551"/>
    <cellStyle name="Check Cell 2 3 2 2 8" xfId="8552"/>
    <cellStyle name="Check Cell 2 3 2 2 9" xfId="8553"/>
    <cellStyle name="Check Cell 2 3 2 3" xfId="8554"/>
    <cellStyle name="Check Cell 2 3 2 3 2" xfId="8555"/>
    <cellStyle name="Check Cell 2 3 2 3 2 2" xfId="8556"/>
    <cellStyle name="Check Cell 2 3 2 3 2 3" xfId="8557"/>
    <cellStyle name="Check Cell 2 3 2 3 2 4" xfId="8558"/>
    <cellStyle name="Check Cell 2 3 2 3 2 5" xfId="8559"/>
    <cellStyle name="Check Cell 2 3 2 3 2 6" xfId="8560"/>
    <cellStyle name="Check Cell 2 3 2 3 2 7" xfId="8561"/>
    <cellStyle name="Check Cell 2 3 2 3 3" xfId="8562"/>
    <cellStyle name="Check Cell 2 3 2 3 3 2" xfId="8563"/>
    <cellStyle name="Check Cell 2 3 2 3 3 3" xfId="8564"/>
    <cellStyle name="Check Cell 2 3 2 3 3 4" xfId="8565"/>
    <cellStyle name="Check Cell 2 3 2 3 3 5" xfId="8566"/>
    <cellStyle name="Check Cell 2 3 2 3 3 6" xfId="8567"/>
    <cellStyle name="Check Cell 2 3 2 3 3 7" xfId="8568"/>
    <cellStyle name="Check Cell 2 3 2 3 4" xfId="8569"/>
    <cellStyle name="Check Cell 2 3 2 3 5" xfId="8570"/>
    <cellStyle name="Check Cell 2 3 2 3 6" xfId="8571"/>
    <cellStyle name="Check Cell 2 3 2 3 7" xfId="8572"/>
    <cellStyle name="Check Cell 2 3 2 3 8" xfId="8573"/>
    <cellStyle name="Check Cell 2 3 2 3 9" xfId="8574"/>
    <cellStyle name="Check Cell 2 3 2 4" xfId="8575"/>
    <cellStyle name="Check Cell 2 3 2 4 2" xfId="8576"/>
    <cellStyle name="Check Cell 2 3 2 4 2 2" xfId="8577"/>
    <cellStyle name="Check Cell 2 3 2 4 2 3" xfId="8578"/>
    <cellStyle name="Check Cell 2 3 2 4 2 4" xfId="8579"/>
    <cellStyle name="Check Cell 2 3 2 4 2 5" xfId="8580"/>
    <cellStyle name="Check Cell 2 3 2 4 2 6" xfId="8581"/>
    <cellStyle name="Check Cell 2 3 2 4 2 7" xfId="8582"/>
    <cellStyle name="Check Cell 2 3 2 4 3" xfId="8583"/>
    <cellStyle name="Check Cell 2 3 2 4 3 2" xfId="8584"/>
    <cellStyle name="Check Cell 2 3 2 4 3 3" xfId="8585"/>
    <cellStyle name="Check Cell 2 3 2 4 3 4" xfId="8586"/>
    <cellStyle name="Check Cell 2 3 2 4 3 5" xfId="8587"/>
    <cellStyle name="Check Cell 2 3 2 4 3 6" xfId="8588"/>
    <cellStyle name="Check Cell 2 3 2 4 3 7" xfId="8589"/>
    <cellStyle name="Check Cell 2 3 2 4 4" xfId="8590"/>
    <cellStyle name="Check Cell 2 3 2 4 5" xfId="8591"/>
    <cellStyle name="Check Cell 2 3 2 4 6" xfId="8592"/>
    <cellStyle name="Check Cell 2 3 2 4 7" xfId="8593"/>
    <cellStyle name="Check Cell 2 3 2 4 8" xfId="8594"/>
    <cellStyle name="Check Cell 2 3 2 4 9" xfId="8595"/>
    <cellStyle name="Check Cell 2 3 2 5" xfId="8596"/>
    <cellStyle name="Check Cell 2 3 2 5 2" xfId="8597"/>
    <cellStyle name="Check Cell 2 3 2 5 3" xfId="8598"/>
    <cellStyle name="Check Cell 2 3 2 5 4" xfId="8599"/>
    <cellStyle name="Check Cell 2 3 2 5 5" xfId="8600"/>
    <cellStyle name="Check Cell 2 3 2 5 6" xfId="8601"/>
    <cellStyle name="Check Cell 2 3 2 5 7" xfId="8602"/>
    <cellStyle name="Check Cell 2 3 2 6" xfId="8603"/>
    <cellStyle name="Check Cell 2 3 2 6 2" xfId="8604"/>
    <cellStyle name="Check Cell 2 3 2 6 3" xfId="8605"/>
    <cellStyle name="Check Cell 2 3 2 6 4" xfId="8606"/>
    <cellStyle name="Check Cell 2 3 2 6 5" xfId="8607"/>
    <cellStyle name="Check Cell 2 3 2 6 6" xfId="8608"/>
    <cellStyle name="Check Cell 2 3 2 6 7" xfId="8609"/>
    <cellStyle name="Check Cell 2 3 2 7" xfId="8610"/>
    <cellStyle name="Check Cell 2 3 2 8" xfId="8611"/>
    <cellStyle name="Check Cell 2 3 2 9" xfId="8612"/>
    <cellStyle name="Check Cell 2 3 3" xfId="8613"/>
    <cellStyle name="Check Cell 2 3 3 10" xfId="8614"/>
    <cellStyle name="Check Cell 2 3 3 11" xfId="8615"/>
    <cellStyle name="Check Cell 2 3 3 12" xfId="8616"/>
    <cellStyle name="Check Cell 2 3 3 2" xfId="8617"/>
    <cellStyle name="Check Cell 2 3 3 2 2" xfId="8618"/>
    <cellStyle name="Check Cell 2 3 3 2 2 2" xfId="8619"/>
    <cellStyle name="Check Cell 2 3 3 2 2 3" xfId="8620"/>
    <cellStyle name="Check Cell 2 3 3 2 2 4" xfId="8621"/>
    <cellStyle name="Check Cell 2 3 3 2 2 5" xfId="8622"/>
    <cellStyle name="Check Cell 2 3 3 2 2 6" xfId="8623"/>
    <cellStyle name="Check Cell 2 3 3 2 2 7" xfId="8624"/>
    <cellStyle name="Check Cell 2 3 3 2 3" xfId="8625"/>
    <cellStyle name="Check Cell 2 3 3 2 3 2" xfId="8626"/>
    <cellStyle name="Check Cell 2 3 3 2 3 3" xfId="8627"/>
    <cellStyle name="Check Cell 2 3 3 2 3 4" xfId="8628"/>
    <cellStyle name="Check Cell 2 3 3 2 3 5" xfId="8629"/>
    <cellStyle name="Check Cell 2 3 3 2 3 6" xfId="8630"/>
    <cellStyle name="Check Cell 2 3 3 2 3 7" xfId="8631"/>
    <cellStyle name="Check Cell 2 3 3 2 4" xfId="8632"/>
    <cellStyle name="Check Cell 2 3 3 2 5" xfId="8633"/>
    <cellStyle name="Check Cell 2 3 3 2 6" xfId="8634"/>
    <cellStyle name="Check Cell 2 3 3 2 7" xfId="8635"/>
    <cellStyle name="Check Cell 2 3 3 2 8" xfId="8636"/>
    <cellStyle name="Check Cell 2 3 3 2 9" xfId="8637"/>
    <cellStyle name="Check Cell 2 3 3 3" xfId="8638"/>
    <cellStyle name="Check Cell 2 3 3 3 2" xfId="8639"/>
    <cellStyle name="Check Cell 2 3 3 3 2 2" xfId="8640"/>
    <cellStyle name="Check Cell 2 3 3 3 2 3" xfId="8641"/>
    <cellStyle name="Check Cell 2 3 3 3 2 4" xfId="8642"/>
    <cellStyle name="Check Cell 2 3 3 3 2 5" xfId="8643"/>
    <cellStyle name="Check Cell 2 3 3 3 2 6" xfId="8644"/>
    <cellStyle name="Check Cell 2 3 3 3 2 7" xfId="8645"/>
    <cellStyle name="Check Cell 2 3 3 3 3" xfId="8646"/>
    <cellStyle name="Check Cell 2 3 3 3 3 2" xfId="8647"/>
    <cellStyle name="Check Cell 2 3 3 3 3 3" xfId="8648"/>
    <cellStyle name="Check Cell 2 3 3 3 3 4" xfId="8649"/>
    <cellStyle name="Check Cell 2 3 3 3 3 5" xfId="8650"/>
    <cellStyle name="Check Cell 2 3 3 3 3 6" xfId="8651"/>
    <cellStyle name="Check Cell 2 3 3 3 3 7" xfId="8652"/>
    <cellStyle name="Check Cell 2 3 3 3 4" xfId="8653"/>
    <cellStyle name="Check Cell 2 3 3 3 5" xfId="8654"/>
    <cellStyle name="Check Cell 2 3 3 3 6" xfId="8655"/>
    <cellStyle name="Check Cell 2 3 3 3 7" xfId="8656"/>
    <cellStyle name="Check Cell 2 3 3 3 8" xfId="8657"/>
    <cellStyle name="Check Cell 2 3 3 3 9" xfId="8658"/>
    <cellStyle name="Check Cell 2 3 3 4" xfId="8659"/>
    <cellStyle name="Check Cell 2 3 3 4 2" xfId="8660"/>
    <cellStyle name="Check Cell 2 3 3 4 2 2" xfId="8661"/>
    <cellStyle name="Check Cell 2 3 3 4 2 3" xfId="8662"/>
    <cellStyle name="Check Cell 2 3 3 4 2 4" xfId="8663"/>
    <cellStyle name="Check Cell 2 3 3 4 2 5" xfId="8664"/>
    <cellStyle name="Check Cell 2 3 3 4 2 6" xfId="8665"/>
    <cellStyle name="Check Cell 2 3 3 4 2 7" xfId="8666"/>
    <cellStyle name="Check Cell 2 3 3 4 3" xfId="8667"/>
    <cellStyle name="Check Cell 2 3 3 4 3 2" xfId="8668"/>
    <cellStyle name="Check Cell 2 3 3 4 3 3" xfId="8669"/>
    <cellStyle name="Check Cell 2 3 3 4 3 4" xfId="8670"/>
    <cellStyle name="Check Cell 2 3 3 4 3 5" xfId="8671"/>
    <cellStyle name="Check Cell 2 3 3 4 3 6" xfId="8672"/>
    <cellStyle name="Check Cell 2 3 3 4 3 7" xfId="8673"/>
    <cellStyle name="Check Cell 2 3 3 4 4" xfId="8674"/>
    <cellStyle name="Check Cell 2 3 3 4 5" xfId="8675"/>
    <cellStyle name="Check Cell 2 3 3 4 6" xfId="8676"/>
    <cellStyle name="Check Cell 2 3 3 4 7" xfId="8677"/>
    <cellStyle name="Check Cell 2 3 3 4 8" xfId="8678"/>
    <cellStyle name="Check Cell 2 3 3 4 9" xfId="8679"/>
    <cellStyle name="Check Cell 2 3 3 5" xfId="8680"/>
    <cellStyle name="Check Cell 2 3 3 5 2" xfId="8681"/>
    <cellStyle name="Check Cell 2 3 3 5 3" xfId="8682"/>
    <cellStyle name="Check Cell 2 3 3 5 4" xfId="8683"/>
    <cellStyle name="Check Cell 2 3 3 5 5" xfId="8684"/>
    <cellStyle name="Check Cell 2 3 3 5 6" xfId="8685"/>
    <cellStyle name="Check Cell 2 3 3 5 7" xfId="8686"/>
    <cellStyle name="Check Cell 2 3 3 6" xfId="8687"/>
    <cellStyle name="Check Cell 2 3 3 6 2" xfId="8688"/>
    <cellStyle name="Check Cell 2 3 3 6 3" xfId="8689"/>
    <cellStyle name="Check Cell 2 3 3 6 4" xfId="8690"/>
    <cellStyle name="Check Cell 2 3 3 6 5" xfId="8691"/>
    <cellStyle name="Check Cell 2 3 3 6 6" xfId="8692"/>
    <cellStyle name="Check Cell 2 3 3 6 7" xfId="8693"/>
    <cellStyle name="Check Cell 2 3 3 7" xfId="8694"/>
    <cellStyle name="Check Cell 2 3 3 8" xfId="8695"/>
    <cellStyle name="Check Cell 2 3 3 9" xfId="8696"/>
    <cellStyle name="Check Cell 2 3 4" xfId="8697"/>
    <cellStyle name="Check Cell 2 3 4 10" xfId="8698"/>
    <cellStyle name="Check Cell 2 3 4 11" xfId="8699"/>
    <cellStyle name="Check Cell 2 3 4 12" xfId="8700"/>
    <cellStyle name="Check Cell 2 3 4 2" xfId="8701"/>
    <cellStyle name="Check Cell 2 3 4 2 2" xfId="8702"/>
    <cellStyle name="Check Cell 2 3 4 2 2 2" xfId="8703"/>
    <cellStyle name="Check Cell 2 3 4 2 2 3" xfId="8704"/>
    <cellStyle name="Check Cell 2 3 4 2 2 4" xfId="8705"/>
    <cellStyle name="Check Cell 2 3 4 2 2 5" xfId="8706"/>
    <cellStyle name="Check Cell 2 3 4 2 2 6" xfId="8707"/>
    <cellStyle name="Check Cell 2 3 4 2 2 7" xfId="8708"/>
    <cellStyle name="Check Cell 2 3 4 2 3" xfId="8709"/>
    <cellStyle name="Check Cell 2 3 4 2 3 2" xfId="8710"/>
    <cellStyle name="Check Cell 2 3 4 2 3 3" xfId="8711"/>
    <cellStyle name="Check Cell 2 3 4 2 3 4" xfId="8712"/>
    <cellStyle name="Check Cell 2 3 4 2 3 5" xfId="8713"/>
    <cellStyle name="Check Cell 2 3 4 2 3 6" xfId="8714"/>
    <cellStyle name="Check Cell 2 3 4 2 3 7" xfId="8715"/>
    <cellStyle name="Check Cell 2 3 4 2 4" xfId="8716"/>
    <cellStyle name="Check Cell 2 3 4 2 5" xfId="8717"/>
    <cellStyle name="Check Cell 2 3 4 2 6" xfId="8718"/>
    <cellStyle name="Check Cell 2 3 4 2 7" xfId="8719"/>
    <cellStyle name="Check Cell 2 3 4 2 8" xfId="8720"/>
    <cellStyle name="Check Cell 2 3 4 2 9" xfId="8721"/>
    <cellStyle name="Check Cell 2 3 4 3" xfId="8722"/>
    <cellStyle name="Check Cell 2 3 4 3 2" xfId="8723"/>
    <cellStyle name="Check Cell 2 3 4 3 2 2" xfId="8724"/>
    <cellStyle name="Check Cell 2 3 4 3 2 3" xfId="8725"/>
    <cellStyle name="Check Cell 2 3 4 3 2 4" xfId="8726"/>
    <cellStyle name="Check Cell 2 3 4 3 2 5" xfId="8727"/>
    <cellStyle name="Check Cell 2 3 4 3 2 6" xfId="8728"/>
    <cellStyle name="Check Cell 2 3 4 3 2 7" xfId="8729"/>
    <cellStyle name="Check Cell 2 3 4 3 3" xfId="8730"/>
    <cellStyle name="Check Cell 2 3 4 3 3 2" xfId="8731"/>
    <cellStyle name="Check Cell 2 3 4 3 3 3" xfId="8732"/>
    <cellStyle name="Check Cell 2 3 4 3 3 4" xfId="8733"/>
    <cellStyle name="Check Cell 2 3 4 3 3 5" xfId="8734"/>
    <cellStyle name="Check Cell 2 3 4 3 3 6" xfId="8735"/>
    <cellStyle name="Check Cell 2 3 4 3 3 7" xfId="8736"/>
    <cellStyle name="Check Cell 2 3 4 3 4" xfId="8737"/>
    <cellStyle name="Check Cell 2 3 4 3 5" xfId="8738"/>
    <cellStyle name="Check Cell 2 3 4 3 6" xfId="8739"/>
    <cellStyle name="Check Cell 2 3 4 3 7" xfId="8740"/>
    <cellStyle name="Check Cell 2 3 4 3 8" xfId="8741"/>
    <cellStyle name="Check Cell 2 3 4 3 9" xfId="8742"/>
    <cellStyle name="Check Cell 2 3 4 4" xfId="8743"/>
    <cellStyle name="Check Cell 2 3 4 4 2" xfId="8744"/>
    <cellStyle name="Check Cell 2 3 4 4 2 2" xfId="8745"/>
    <cellStyle name="Check Cell 2 3 4 4 2 3" xfId="8746"/>
    <cellStyle name="Check Cell 2 3 4 4 2 4" xfId="8747"/>
    <cellStyle name="Check Cell 2 3 4 4 2 5" xfId="8748"/>
    <cellStyle name="Check Cell 2 3 4 4 2 6" xfId="8749"/>
    <cellStyle name="Check Cell 2 3 4 4 2 7" xfId="8750"/>
    <cellStyle name="Check Cell 2 3 4 4 3" xfId="8751"/>
    <cellStyle name="Check Cell 2 3 4 4 3 2" xfId="8752"/>
    <cellStyle name="Check Cell 2 3 4 4 3 3" xfId="8753"/>
    <cellStyle name="Check Cell 2 3 4 4 3 4" xfId="8754"/>
    <cellStyle name="Check Cell 2 3 4 4 3 5" xfId="8755"/>
    <cellStyle name="Check Cell 2 3 4 4 3 6" xfId="8756"/>
    <cellStyle name="Check Cell 2 3 4 4 3 7" xfId="8757"/>
    <cellStyle name="Check Cell 2 3 4 4 4" xfId="8758"/>
    <cellStyle name="Check Cell 2 3 4 4 5" xfId="8759"/>
    <cellStyle name="Check Cell 2 3 4 4 6" xfId="8760"/>
    <cellStyle name="Check Cell 2 3 4 4 7" xfId="8761"/>
    <cellStyle name="Check Cell 2 3 4 4 8" xfId="8762"/>
    <cellStyle name="Check Cell 2 3 4 4 9" xfId="8763"/>
    <cellStyle name="Check Cell 2 3 4 5" xfId="8764"/>
    <cellStyle name="Check Cell 2 3 4 5 2" xfId="8765"/>
    <cellStyle name="Check Cell 2 3 4 5 3" xfId="8766"/>
    <cellStyle name="Check Cell 2 3 4 5 4" xfId="8767"/>
    <cellStyle name="Check Cell 2 3 4 5 5" xfId="8768"/>
    <cellStyle name="Check Cell 2 3 4 5 6" xfId="8769"/>
    <cellStyle name="Check Cell 2 3 4 5 7" xfId="8770"/>
    <cellStyle name="Check Cell 2 3 4 6" xfId="8771"/>
    <cellStyle name="Check Cell 2 3 4 6 2" xfId="8772"/>
    <cellStyle name="Check Cell 2 3 4 6 3" xfId="8773"/>
    <cellStyle name="Check Cell 2 3 4 6 4" xfId="8774"/>
    <cellStyle name="Check Cell 2 3 4 6 5" xfId="8775"/>
    <cellStyle name="Check Cell 2 3 4 6 6" xfId="8776"/>
    <cellStyle name="Check Cell 2 3 4 6 7" xfId="8777"/>
    <cellStyle name="Check Cell 2 3 4 7" xfId="8778"/>
    <cellStyle name="Check Cell 2 3 4 8" xfId="8779"/>
    <cellStyle name="Check Cell 2 3 4 9" xfId="8780"/>
    <cellStyle name="Check Cell 2 3 5" xfId="8781"/>
    <cellStyle name="Check Cell 2 3 5 2" xfId="8782"/>
    <cellStyle name="Check Cell 2 3 5 2 2" xfId="8783"/>
    <cellStyle name="Check Cell 2 3 5 2 3" xfId="8784"/>
    <cellStyle name="Check Cell 2 3 5 2 4" xfId="8785"/>
    <cellStyle name="Check Cell 2 3 5 2 5" xfId="8786"/>
    <cellStyle name="Check Cell 2 3 5 2 6" xfId="8787"/>
    <cellStyle name="Check Cell 2 3 5 2 7" xfId="8788"/>
    <cellStyle name="Check Cell 2 3 5 3" xfId="8789"/>
    <cellStyle name="Check Cell 2 3 5 3 2" xfId="8790"/>
    <cellStyle name="Check Cell 2 3 5 3 3" xfId="8791"/>
    <cellStyle name="Check Cell 2 3 5 3 4" xfId="8792"/>
    <cellStyle name="Check Cell 2 3 5 3 5" xfId="8793"/>
    <cellStyle name="Check Cell 2 3 5 3 6" xfId="8794"/>
    <cellStyle name="Check Cell 2 3 5 3 7" xfId="8795"/>
    <cellStyle name="Check Cell 2 3 5 4" xfId="8796"/>
    <cellStyle name="Check Cell 2 3 5 5" xfId="8797"/>
    <cellStyle name="Check Cell 2 3 5 6" xfId="8798"/>
    <cellStyle name="Check Cell 2 3 5 7" xfId="8799"/>
    <cellStyle name="Check Cell 2 3 5 8" xfId="8800"/>
    <cellStyle name="Check Cell 2 3 5 9" xfId="8801"/>
    <cellStyle name="Check Cell 2 4" xfId="8802"/>
    <cellStyle name="Check Cell 2 4 2" xfId="8803"/>
    <cellStyle name="Check Cell 2 4 2 10" xfId="8804"/>
    <cellStyle name="Check Cell 2 4 2 11" xfId="8805"/>
    <cellStyle name="Check Cell 2 4 2 12" xfId="8806"/>
    <cellStyle name="Check Cell 2 4 2 2" xfId="8807"/>
    <cellStyle name="Check Cell 2 4 2 2 2" xfId="8808"/>
    <cellStyle name="Check Cell 2 4 2 2 2 2" xfId="8809"/>
    <cellStyle name="Check Cell 2 4 2 2 2 3" xfId="8810"/>
    <cellStyle name="Check Cell 2 4 2 2 2 4" xfId="8811"/>
    <cellStyle name="Check Cell 2 4 2 2 2 5" xfId="8812"/>
    <cellStyle name="Check Cell 2 4 2 2 2 6" xfId="8813"/>
    <cellStyle name="Check Cell 2 4 2 2 2 7" xfId="8814"/>
    <cellStyle name="Check Cell 2 4 2 2 3" xfId="8815"/>
    <cellStyle name="Check Cell 2 4 2 2 3 2" xfId="8816"/>
    <cellStyle name="Check Cell 2 4 2 2 3 3" xfId="8817"/>
    <cellStyle name="Check Cell 2 4 2 2 3 4" xfId="8818"/>
    <cellStyle name="Check Cell 2 4 2 2 3 5" xfId="8819"/>
    <cellStyle name="Check Cell 2 4 2 2 3 6" xfId="8820"/>
    <cellStyle name="Check Cell 2 4 2 2 3 7" xfId="8821"/>
    <cellStyle name="Check Cell 2 4 2 2 4" xfId="8822"/>
    <cellStyle name="Check Cell 2 4 2 2 5" xfId="8823"/>
    <cellStyle name="Check Cell 2 4 2 2 6" xfId="8824"/>
    <cellStyle name="Check Cell 2 4 2 2 7" xfId="8825"/>
    <cellStyle name="Check Cell 2 4 2 2 8" xfId="8826"/>
    <cellStyle name="Check Cell 2 4 2 2 9" xfId="8827"/>
    <cellStyle name="Check Cell 2 4 2 3" xfId="8828"/>
    <cellStyle name="Check Cell 2 4 2 3 2" xfId="8829"/>
    <cellStyle name="Check Cell 2 4 2 3 2 2" xfId="8830"/>
    <cellStyle name="Check Cell 2 4 2 3 2 3" xfId="8831"/>
    <cellStyle name="Check Cell 2 4 2 3 2 4" xfId="8832"/>
    <cellStyle name="Check Cell 2 4 2 3 2 5" xfId="8833"/>
    <cellStyle name="Check Cell 2 4 2 3 2 6" xfId="8834"/>
    <cellStyle name="Check Cell 2 4 2 3 2 7" xfId="8835"/>
    <cellStyle name="Check Cell 2 4 2 3 3" xfId="8836"/>
    <cellStyle name="Check Cell 2 4 2 3 3 2" xfId="8837"/>
    <cellStyle name="Check Cell 2 4 2 3 3 3" xfId="8838"/>
    <cellStyle name="Check Cell 2 4 2 3 3 4" xfId="8839"/>
    <cellStyle name="Check Cell 2 4 2 3 3 5" xfId="8840"/>
    <cellStyle name="Check Cell 2 4 2 3 3 6" xfId="8841"/>
    <cellStyle name="Check Cell 2 4 2 3 3 7" xfId="8842"/>
    <cellStyle name="Check Cell 2 4 2 3 4" xfId="8843"/>
    <cellStyle name="Check Cell 2 4 2 3 5" xfId="8844"/>
    <cellStyle name="Check Cell 2 4 2 3 6" xfId="8845"/>
    <cellStyle name="Check Cell 2 4 2 3 7" xfId="8846"/>
    <cellStyle name="Check Cell 2 4 2 3 8" xfId="8847"/>
    <cellStyle name="Check Cell 2 4 2 3 9" xfId="8848"/>
    <cellStyle name="Check Cell 2 4 2 4" xfId="8849"/>
    <cellStyle name="Check Cell 2 4 2 4 2" xfId="8850"/>
    <cellStyle name="Check Cell 2 4 2 4 2 2" xfId="8851"/>
    <cellStyle name="Check Cell 2 4 2 4 2 3" xfId="8852"/>
    <cellStyle name="Check Cell 2 4 2 4 2 4" xfId="8853"/>
    <cellStyle name="Check Cell 2 4 2 4 2 5" xfId="8854"/>
    <cellStyle name="Check Cell 2 4 2 4 2 6" xfId="8855"/>
    <cellStyle name="Check Cell 2 4 2 4 2 7" xfId="8856"/>
    <cellStyle name="Check Cell 2 4 2 4 3" xfId="8857"/>
    <cellStyle name="Check Cell 2 4 2 4 3 2" xfId="8858"/>
    <cellStyle name="Check Cell 2 4 2 4 3 3" xfId="8859"/>
    <cellStyle name="Check Cell 2 4 2 4 3 4" xfId="8860"/>
    <cellStyle name="Check Cell 2 4 2 4 3 5" xfId="8861"/>
    <cellStyle name="Check Cell 2 4 2 4 3 6" xfId="8862"/>
    <cellStyle name="Check Cell 2 4 2 4 3 7" xfId="8863"/>
    <cellStyle name="Check Cell 2 4 2 4 4" xfId="8864"/>
    <cellStyle name="Check Cell 2 4 2 4 5" xfId="8865"/>
    <cellStyle name="Check Cell 2 4 2 4 6" xfId="8866"/>
    <cellStyle name="Check Cell 2 4 2 4 7" xfId="8867"/>
    <cellStyle name="Check Cell 2 4 2 4 8" xfId="8868"/>
    <cellStyle name="Check Cell 2 4 2 4 9" xfId="8869"/>
    <cellStyle name="Check Cell 2 4 2 5" xfId="8870"/>
    <cellStyle name="Check Cell 2 4 2 5 2" xfId="8871"/>
    <cellStyle name="Check Cell 2 4 2 5 3" xfId="8872"/>
    <cellStyle name="Check Cell 2 4 2 5 4" xfId="8873"/>
    <cellStyle name="Check Cell 2 4 2 5 5" xfId="8874"/>
    <cellStyle name="Check Cell 2 4 2 5 6" xfId="8875"/>
    <cellStyle name="Check Cell 2 4 2 5 7" xfId="8876"/>
    <cellStyle name="Check Cell 2 4 2 6" xfId="8877"/>
    <cellStyle name="Check Cell 2 4 2 6 2" xfId="8878"/>
    <cellStyle name="Check Cell 2 4 2 6 3" xfId="8879"/>
    <cellStyle name="Check Cell 2 4 2 6 4" xfId="8880"/>
    <cellStyle name="Check Cell 2 4 2 6 5" xfId="8881"/>
    <cellStyle name="Check Cell 2 4 2 6 6" xfId="8882"/>
    <cellStyle name="Check Cell 2 4 2 6 7" xfId="8883"/>
    <cellStyle name="Check Cell 2 4 2 7" xfId="8884"/>
    <cellStyle name="Check Cell 2 4 2 8" xfId="8885"/>
    <cellStyle name="Check Cell 2 4 2 9" xfId="8886"/>
    <cellStyle name="Check Cell 2 4 3" xfId="8887"/>
    <cellStyle name="Check Cell 2 4 3 10" xfId="8888"/>
    <cellStyle name="Check Cell 2 4 3 11" xfId="8889"/>
    <cellStyle name="Check Cell 2 4 3 12" xfId="8890"/>
    <cellStyle name="Check Cell 2 4 3 2" xfId="8891"/>
    <cellStyle name="Check Cell 2 4 3 2 2" xfId="8892"/>
    <cellStyle name="Check Cell 2 4 3 2 2 2" xfId="8893"/>
    <cellStyle name="Check Cell 2 4 3 2 2 3" xfId="8894"/>
    <cellStyle name="Check Cell 2 4 3 2 2 4" xfId="8895"/>
    <cellStyle name="Check Cell 2 4 3 2 2 5" xfId="8896"/>
    <cellStyle name="Check Cell 2 4 3 2 2 6" xfId="8897"/>
    <cellStyle name="Check Cell 2 4 3 2 2 7" xfId="8898"/>
    <cellStyle name="Check Cell 2 4 3 2 3" xfId="8899"/>
    <cellStyle name="Check Cell 2 4 3 2 3 2" xfId="8900"/>
    <cellStyle name="Check Cell 2 4 3 2 3 3" xfId="8901"/>
    <cellStyle name="Check Cell 2 4 3 2 3 4" xfId="8902"/>
    <cellStyle name="Check Cell 2 4 3 2 3 5" xfId="8903"/>
    <cellStyle name="Check Cell 2 4 3 2 3 6" xfId="8904"/>
    <cellStyle name="Check Cell 2 4 3 2 3 7" xfId="8905"/>
    <cellStyle name="Check Cell 2 4 3 2 4" xfId="8906"/>
    <cellStyle name="Check Cell 2 4 3 2 5" xfId="8907"/>
    <cellStyle name="Check Cell 2 4 3 2 6" xfId="8908"/>
    <cellStyle name="Check Cell 2 4 3 2 7" xfId="8909"/>
    <cellStyle name="Check Cell 2 4 3 2 8" xfId="8910"/>
    <cellStyle name="Check Cell 2 4 3 2 9" xfId="8911"/>
    <cellStyle name="Check Cell 2 4 3 3" xfId="8912"/>
    <cellStyle name="Check Cell 2 4 3 3 2" xfId="8913"/>
    <cellStyle name="Check Cell 2 4 3 3 2 2" xfId="8914"/>
    <cellStyle name="Check Cell 2 4 3 3 2 3" xfId="8915"/>
    <cellStyle name="Check Cell 2 4 3 3 2 4" xfId="8916"/>
    <cellStyle name="Check Cell 2 4 3 3 2 5" xfId="8917"/>
    <cellStyle name="Check Cell 2 4 3 3 2 6" xfId="8918"/>
    <cellStyle name="Check Cell 2 4 3 3 2 7" xfId="8919"/>
    <cellStyle name="Check Cell 2 4 3 3 3" xfId="8920"/>
    <cellStyle name="Check Cell 2 4 3 3 3 2" xfId="8921"/>
    <cellStyle name="Check Cell 2 4 3 3 3 3" xfId="8922"/>
    <cellStyle name="Check Cell 2 4 3 3 3 4" xfId="8923"/>
    <cellStyle name="Check Cell 2 4 3 3 3 5" xfId="8924"/>
    <cellStyle name="Check Cell 2 4 3 3 3 6" xfId="8925"/>
    <cellStyle name="Check Cell 2 4 3 3 3 7" xfId="8926"/>
    <cellStyle name="Check Cell 2 4 3 3 4" xfId="8927"/>
    <cellStyle name="Check Cell 2 4 3 3 5" xfId="8928"/>
    <cellStyle name="Check Cell 2 4 3 3 6" xfId="8929"/>
    <cellStyle name="Check Cell 2 4 3 3 7" xfId="8930"/>
    <cellStyle name="Check Cell 2 4 3 3 8" xfId="8931"/>
    <cellStyle name="Check Cell 2 4 3 3 9" xfId="8932"/>
    <cellStyle name="Check Cell 2 4 3 4" xfId="8933"/>
    <cellStyle name="Check Cell 2 4 3 4 2" xfId="8934"/>
    <cellStyle name="Check Cell 2 4 3 4 2 2" xfId="8935"/>
    <cellStyle name="Check Cell 2 4 3 4 2 3" xfId="8936"/>
    <cellStyle name="Check Cell 2 4 3 4 2 4" xfId="8937"/>
    <cellStyle name="Check Cell 2 4 3 4 2 5" xfId="8938"/>
    <cellStyle name="Check Cell 2 4 3 4 2 6" xfId="8939"/>
    <cellStyle name="Check Cell 2 4 3 4 2 7" xfId="8940"/>
    <cellStyle name="Check Cell 2 4 3 4 3" xfId="8941"/>
    <cellStyle name="Check Cell 2 4 3 4 3 2" xfId="8942"/>
    <cellStyle name="Check Cell 2 4 3 4 3 3" xfId="8943"/>
    <cellStyle name="Check Cell 2 4 3 4 3 4" xfId="8944"/>
    <cellStyle name="Check Cell 2 4 3 4 3 5" xfId="8945"/>
    <cellStyle name="Check Cell 2 4 3 4 3 6" xfId="8946"/>
    <cellStyle name="Check Cell 2 4 3 4 3 7" xfId="8947"/>
    <cellStyle name="Check Cell 2 4 3 4 4" xfId="8948"/>
    <cellStyle name="Check Cell 2 4 3 4 5" xfId="8949"/>
    <cellStyle name="Check Cell 2 4 3 4 6" xfId="8950"/>
    <cellStyle name="Check Cell 2 4 3 4 7" xfId="8951"/>
    <cellStyle name="Check Cell 2 4 3 4 8" xfId="8952"/>
    <cellStyle name="Check Cell 2 4 3 4 9" xfId="8953"/>
    <cellStyle name="Check Cell 2 4 3 5" xfId="8954"/>
    <cellStyle name="Check Cell 2 4 3 5 2" xfId="8955"/>
    <cellStyle name="Check Cell 2 4 3 5 3" xfId="8956"/>
    <cellStyle name="Check Cell 2 4 3 5 4" xfId="8957"/>
    <cellStyle name="Check Cell 2 4 3 5 5" xfId="8958"/>
    <cellStyle name="Check Cell 2 4 3 5 6" xfId="8959"/>
    <cellStyle name="Check Cell 2 4 3 5 7" xfId="8960"/>
    <cellStyle name="Check Cell 2 4 3 6" xfId="8961"/>
    <cellStyle name="Check Cell 2 4 3 6 2" xfId="8962"/>
    <cellStyle name="Check Cell 2 4 3 6 3" xfId="8963"/>
    <cellStyle name="Check Cell 2 4 3 6 4" xfId="8964"/>
    <cellStyle name="Check Cell 2 4 3 6 5" xfId="8965"/>
    <cellStyle name="Check Cell 2 4 3 6 6" xfId="8966"/>
    <cellStyle name="Check Cell 2 4 3 6 7" xfId="8967"/>
    <cellStyle name="Check Cell 2 4 3 7" xfId="8968"/>
    <cellStyle name="Check Cell 2 4 3 8" xfId="8969"/>
    <cellStyle name="Check Cell 2 4 3 9" xfId="8970"/>
    <cellStyle name="Check Cell 2 4 4" xfId="8971"/>
    <cellStyle name="Check Cell 2 4 4 10" xfId="8972"/>
    <cellStyle name="Check Cell 2 4 4 11" xfId="8973"/>
    <cellStyle name="Check Cell 2 4 4 12" xfId="8974"/>
    <cellStyle name="Check Cell 2 4 4 2" xfId="8975"/>
    <cellStyle name="Check Cell 2 4 4 2 2" xfId="8976"/>
    <cellStyle name="Check Cell 2 4 4 2 2 2" xfId="8977"/>
    <cellStyle name="Check Cell 2 4 4 2 2 3" xfId="8978"/>
    <cellStyle name="Check Cell 2 4 4 2 2 4" xfId="8979"/>
    <cellStyle name="Check Cell 2 4 4 2 2 5" xfId="8980"/>
    <cellStyle name="Check Cell 2 4 4 2 2 6" xfId="8981"/>
    <cellStyle name="Check Cell 2 4 4 2 2 7" xfId="8982"/>
    <cellStyle name="Check Cell 2 4 4 2 3" xfId="8983"/>
    <cellStyle name="Check Cell 2 4 4 2 3 2" xfId="8984"/>
    <cellStyle name="Check Cell 2 4 4 2 3 3" xfId="8985"/>
    <cellStyle name="Check Cell 2 4 4 2 3 4" xfId="8986"/>
    <cellStyle name="Check Cell 2 4 4 2 3 5" xfId="8987"/>
    <cellStyle name="Check Cell 2 4 4 2 3 6" xfId="8988"/>
    <cellStyle name="Check Cell 2 4 4 2 3 7" xfId="8989"/>
    <cellStyle name="Check Cell 2 4 4 2 4" xfId="8990"/>
    <cellStyle name="Check Cell 2 4 4 2 5" xfId="8991"/>
    <cellStyle name="Check Cell 2 4 4 2 6" xfId="8992"/>
    <cellStyle name="Check Cell 2 4 4 2 7" xfId="8993"/>
    <cellStyle name="Check Cell 2 4 4 2 8" xfId="8994"/>
    <cellStyle name="Check Cell 2 4 4 2 9" xfId="8995"/>
    <cellStyle name="Check Cell 2 4 4 3" xfId="8996"/>
    <cellStyle name="Check Cell 2 4 4 3 2" xfId="8997"/>
    <cellStyle name="Check Cell 2 4 4 3 2 2" xfId="8998"/>
    <cellStyle name="Check Cell 2 4 4 3 2 3" xfId="8999"/>
    <cellStyle name="Check Cell 2 4 4 3 2 4" xfId="9000"/>
    <cellStyle name="Check Cell 2 4 4 3 2 5" xfId="9001"/>
    <cellStyle name="Check Cell 2 4 4 3 2 6" xfId="9002"/>
    <cellStyle name="Check Cell 2 4 4 3 2 7" xfId="9003"/>
    <cellStyle name="Check Cell 2 4 4 3 3" xfId="9004"/>
    <cellStyle name="Check Cell 2 4 4 3 3 2" xfId="9005"/>
    <cellStyle name="Check Cell 2 4 4 3 3 3" xfId="9006"/>
    <cellStyle name="Check Cell 2 4 4 3 3 4" xfId="9007"/>
    <cellStyle name="Check Cell 2 4 4 3 3 5" xfId="9008"/>
    <cellStyle name="Check Cell 2 4 4 3 3 6" xfId="9009"/>
    <cellStyle name="Check Cell 2 4 4 3 3 7" xfId="9010"/>
    <cellStyle name="Check Cell 2 4 4 3 4" xfId="9011"/>
    <cellStyle name="Check Cell 2 4 4 3 5" xfId="9012"/>
    <cellStyle name="Check Cell 2 4 4 3 6" xfId="9013"/>
    <cellStyle name="Check Cell 2 4 4 3 7" xfId="9014"/>
    <cellStyle name="Check Cell 2 4 4 3 8" xfId="9015"/>
    <cellStyle name="Check Cell 2 4 4 3 9" xfId="9016"/>
    <cellStyle name="Check Cell 2 4 4 4" xfId="9017"/>
    <cellStyle name="Check Cell 2 4 4 4 2" xfId="9018"/>
    <cellStyle name="Check Cell 2 4 4 4 2 2" xfId="9019"/>
    <cellStyle name="Check Cell 2 4 4 4 2 3" xfId="9020"/>
    <cellStyle name="Check Cell 2 4 4 4 2 4" xfId="9021"/>
    <cellStyle name="Check Cell 2 4 4 4 2 5" xfId="9022"/>
    <cellStyle name="Check Cell 2 4 4 4 2 6" xfId="9023"/>
    <cellStyle name="Check Cell 2 4 4 4 2 7" xfId="9024"/>
    <cellStyle name="Check Cell 2 4 4 4 3" xfId="9025"/>
    <cellStyle name="Check Cell 2 4 4 4 3 2" xfId="9026"/>
    <cellStyle name="Check Cell 2 4 4 4 3 3" xfId="9027"/>
    <cellStyle name="Check Cell 2 4 4 4 3 4" xfId="9028"/>
    <cellStyle name="Check Cell 2 4 4 4 3 5" xfId="9029"/>
    <cellStyle name="Check Cell 2 4 4 4 3 6" xfId="9030"/>
    <cellStyle name="Check Cell 2 4 4 4 3 7" xfId="9031"/>
    <cellStyle name="Check Cell 2 4 4 4 4" xfId="9032"/>
    <cellStyle name="Check Cell 2 4 4 4 5" xfId="9033"/>
    <cellStyle name="Check Cell 2 4 4 4 6" xfId="9034"/>
    <cellStyle name="Check Cell 2 4 4 4 7" xfId="9035"/>
    <cellStyle name="Check Cell 2 4 4 4 8" xfId="9036"/>
    <cellStyle name="Check Cell 2 4 4 4 9" xfId="9037"/>
    <cellStyle name="Check Cell 2 4 4 5" xfId="9038"/>
    <cellStyle name="Check Cell 2 4 4 5 2" xfId="9039"/>
    <cellStyle name="Check Cell 2 4 4 5 3" xfId="9040"/>
    <cellStyle name="Check Cell 2 4 4 5 4" xfId="9041"/>
    <cellStyle name="Check Cell 2 4 4 5 5" xfId="9042"/>
    <cellStyle name="Check Cell 2 4 4 5 6" xfId="9043"/>
    <cellStyle name="Check Cell 2 4 4 5 7" xfId="9044"/>
    <cellStyle name="Check Cell 2 4 4 6" xfId="9045"/>
    <cellStyle name="Check Cell 2 4 4 6 2" xfId="9046"/>
    <cellStyle name="Check Cell 2 4 4 6 3" xfId="9047"/>
    <cellStyle name="Check Cell 2 4 4 6 4" xfId="9048"/>
    <cellStyle name="Check Cell 2 4 4 6 5" xfId="9049"/>
    <cellStyle name="Check Cell 2 4 4 6 6" xfId="9050"/>
    <cellStyle name="Check Cell 2 4 4 6 7" xfId="9051"/>
    <cellStyle name="Check Cell 2 4 4 7" xfId="9052"/>
    <cellStyle name="Check Cell 2 4 4 8" xfId="9053"/>
    <cellStyle name="Check Cell 2 4 4 9" xfId="9054"/>
    <cellStyle name="Check Cell 2 4 5" xfId="9055"/>
    <cellStyle name="Check Cell 2 4 5 2" xfId="9056"/>
    <cellStyle name="Check Cell 2 4 5 2 2" xfId="9057"/>
    <cellStyle name="Check Cell 2 4 5 2 3" xfId="9058"/>
    <cellStyle name="Check Cell 2 4 5 2 4" xfId="9059"/>
    <cellStyle name="Check Cell 2 4 5 2 5" xfId="9060"/>
    <cellStyle name="Check Cell 2 4 5 2 6" xfId="9061"/>
    <cellStyle name="Check Cell 2 4 5 2 7" xfId="9062"/>
    <cellStyle name="Check Cell 2 4 5 3" xfId="9063"/>
    <cellStyle name="Check Cell 2 4 5 3 2" xfId="9064"/>
    <cellStyle name="Check Cell 2 4 5 3 3" xfId="9065"/>
    <cellStyle name="Check Cell 2 4 5 3 4" xfId="9066"/>
    <cellStyle name="Check Cell 2 4 5 3 5" xfId="9067"/>
    <cellStyle name="Check Cell 2 4 5 3 6" xfId="9068"/>
    <cellStyle name="Check Cell 2 4 5 3 7" xfId="9069"/>
    <cellStyle name="Check Cell 2 4 5 4" xfId="9070"/>
    <cellStyle name="Check Cell 2 4 5 5" xfId="9071"/>
    <cellStyle name="Check Cell 2 4 5 6" xfId="9072"/>
    <cellStyle name="Check Cell 2 4 5 7" xfId="9073"/>
    <cellStyle name="Check Cell 2 4 5 8" xfId="9074"/>
    <cellStyle name="Check Cell 2 4 5 9" xfId="9075"/>
    <cellStyle name="Check Cell 2 5" xfId="9076"/>
    <cellStyle name="Check Cell 2 5 10" xfId="9077"/>
    <cellStyle name="Check Cell 2 5 11" xfId="9078"/>
    <cellStyle name="Check Cell 2 5 12" xfId="9079"/>
    <cellStyle name="Check Cell 2 5 2" xfId="9080"/>
    <cellStyle name="Check Cell 2 5 2 2" xfId="9081"/>
    <cellStyle name="Check Cell 2 5 2 2 2" xfId="9082"/>
    <cellStyle name="Check Cell 2 5 2 2 3" xfId="9083"/>
    <cellStyle name="Check Cell 2 5 2 2 4" xfId="9084"/>
    <cellStyle name="Check Cell 2 5 2 2 5" xfId="9085"/>
    <cellStyle name="Check Cell 2 5 2 2 6" xfId="9086"/>
    <cellStyle name="Check Cell 2 5 2 2 7" xfId="9087"/>
    <cellStyle name="Check Cell 2 5 2 3" xfId="9088"/>
    <cellStyle name="Check Cell 2 5 2 3 2" xfId="9089"/>
    <cellStyle name="Check Cell 2 5 2 3 3" xfId="9090"/>
    <cellStyle name="Check Cell 2 5 2 3 4" xfId="9091"/>
    <cellStyle name="Check Cell 2 5 2 3 5" xfId="9092"/>
    <cellStyle name="Check Cell 2 5 2 3 6" xfId="9093"/>
    <cellStyle name="Check Cell 2 5 2 3 7" xfId="9094"/>
    <cellStyle name="Check Cell 2 5 2 4" xfId="9095"/>
    <cellStyle name="Check Cell 2 5 2 5" xfId="9096"/>
    <cellStyle name="Check Cell 2 5 2 6" xfId="9097"/>
    <cellStyle name="Check Cell 2 5 2 7" xfId="9098"/>
    <cellStyle name="Check Cell 2 5 2 8" xfId="9099"/>
    <cellStyle name="Check Cell 2 5 2 9" xfId="9100"/>
    <cellStyle name="Check Cell 2 5 3" xfId="9101"/>
    <cellStyle name="Check Cell 2 5 3 2" xfId="9102"/>
    <cellStyle name="Check Cell 2 5 3 2 2" xfId="9103"/>
    <cellStyle name="Check Cell 2 5 3 2 3" xfId="9104"/>
    <cellStyle name="Check Cell 2 5 3 2 4" xfId="9105"/>
    <cellStyle name="Check Cell 2 5 3 2 5" xfId="9106"/>
    <cellStyle name="Check Cell 2 5 3 2 6" xfId="9107"/>
    <cellStyle name="Check Cell 2 5 3 2 7" xfId="9108"/>
    <cellStyle name="Check Cell 2 5 3 3" xfId="9109"/>
    <cellStyle name="Check Cell 2 5 3 3 2" xfId="9110"/>
    <cellStyle name="Check Cell 2 5 3 3 3" xfId="9111"/>
    <cellStyle name="Check Cell 2 5 3 3 4" xfId="9112"/>
    <cellStyle name="Check Cell 2 5 3 3 5" xfId="9113"/>
    <cellStyle name="Check Cell 2 5 3 3 6" xfId="9114"/>
    <cellStyle name="Check Cell 2 5 3 3 7" xfId="9115"/>
    <cellStyle name="Check Cell 2 5 3 4" xfId="9116"/>
    <cellStyle name="Check Cell 2 5 3 5" xfId="9117"/>
    <cellStyle name="Check Cell 2 5 3 6" xfId="9118"/>
    <cellStyle name="Check Cell 2 5 3 7" xfId="9119"/>
    <cellStyle name="Check Cell 2 5 3 8" xfId="9120"/>
    <cellStyle name="Check Cell 2 5 3 9" xfId="9121"/>
    <cellStyle name="Check Cell 2 5 4" xfId="9122"/>
    <cellStyle name="Check Cell 2 5 4 2" xfId="9123"/>
    <cellStyle name="Check Cell 2 5 4 2 2" xfId="9124"/>
    <cellStyle name="Check Cell 2 5 4 2 3" xfId="9125"/>
    <cellStyle name="Check Cell 2 5 4 2 4" xfId="9126"/>
    <cellStyle name="Check Cell 2 5 4 2 5" xfId="9127"/>
    <cellStyle name="Check Cell 2 5 4 2 6" xfId="9128"/>
    <cellStyle name="Check Cell 2 5 4 2 7" xfId="9129"/>
    <cellStyle name="Check Cell 2 5 4 3" xfId="9130"/>
    <cellStyle name="Check Cell 2 5 4 3 2" xfId="9131"/>
    <cellStyle name="Check Cell 2 5 4 3 3" xfId="9132"/>
    <cellStyle name="Check Cell 2 5 4 3 4" xfId="9133"/>
    <cellStyle name="Check Cell 2 5 4 3 5" xfId="9134"/>
    <cellStyle name="Check Cell 2 5 4 3 6" xfId="9135"/>
    <cellStyle name="Check Cell 2 5 4 3 7" xfId="9136"/>
    <cellStyle name="Check Cell 2 5 4 4" xfId="9137"/>
    <cellStyle name="Check Cell 2 5 4 5" xfId="9138"/>
    <cellStyle name="Check Cell 2 5 4 6" xfId="9139"/>
    <cellStyle name="Check Cell 2 5 4 7" xfId="9140"/>
    <cellStyle name="Check Cell 2 5 4 8" xfId="9141"/>
    <cellStyle name="Check Cell 2 5 4 9" xfId="9142"/>
    <cellStyle name="Check Cell 2 5 5" xfId="9143"/>
    <cellStyle name="Check Cell 2 5 5 2" xfId="9144"/>
    <cellStyle name="Check Cell 2 5 5 3" xfId="9145"/>
    <cellStyle name="Check Cell 2 5 5 4" xfId="9146"/>
    <cellStyle name="Check Cell 2 5 5 5" xfId="9147"/>
    <cellStyle name="Check Cell 2 5 5 6" xfId="9148"/>
    <cellStyle name="Check Cell 2 5 5 7" xfId="9149"/>
    <cellStyle name="Check Cell 2 5 6" xfId="9150"/>
    <cellStyle name="Check Cell 2 5 6 2" xfId="9151"/>
    <cellStyle name="Check Cell 2 5 6 3" xfId="9152"/>
    <cellStyle name="Check Cell 2 5 6 4" xfId="9153"/>
    <cellStyle name="Check Cell 2 5 6 5" xfId="9154"/>
    <cellStyle name="Check Cell 2 5 6 6" xfId="9155"/>
    <cellStyle name="Check Cell 2 5 6 7" xfId="9156"/>
    <cellStyle name="Check Cell 2 5 7" xfId="9157"/>
    <cellStyle name="Check Cell 2 5 8" xfId="9158"/>
    <cellStyle name="Check Cell 2 5 9" xfId="9159"/>
    <cellStyle name="Check Cell 2 6" xfId="9160"/>
    <cellStyle name="Check Cell 2 6 10" xfId="9161"/>
    <cellStyle name="Check Cell 2 6 11" xfId="9162"/>
    <cellStyle name="Check Cell 2 6 12" xfId="9163"/>
    <cellStyle name="Check Cell 2 6 2" xfId="9164"/>
    <cellStyle name="Check Cell 2 6 2 2" xfId="9165"/>
    <cellStyle name="Check Cell 2 6 2 2 2" xfId="9166"/>
    <cellStyle name="Check Cell 2 6 2 2 3" xfId="9167"/>
    <cellStyle name="Check Cell 2 6 2 2 4" xfId="9168"/>
    <cellStyle name="Check Cell 2 6 2 2 5" xfId="9169"/>
    <cellStyle name="Check Cell 2 6 2 2 6" xfId="9170"/>
    <cellStyle name="Check Cell 2 6 2 2 7" xfId="9171"/>
    <cellStyle name="Check Cell 2 6 2 3" xfId="9172"/>
    <cellStyle name="Check Cell 2 6 2 3 2" xfId="9173"/>
    <cellStyle name="Check Cell 2 6 2 3 3" xfId="9174"/>
    <cellStyle name="Check Cell 2 6 2 3 4" xfId="9175"/>
    <cellStyle name="Check Cell 2 6 2 3 5" xfId="9176"/>
    <cellStyle name="Check Cell 2 6 2 3 6" xfId="9177"/>
    <cellStyle name="Check Cell 2 6 2 3 7" xfId="9178"/>
    <cellStyle name="Check Cell 2 6 2 4" xfId="9179"/>
    <cellStyle name="Check Cell 2 6 2 5" xfId="9180"/>
    <cellStyle name="Check Cell 2 6 2 6" xfId="9181"/>
    <cellStyle name="Check Cell 2 6 2 7" xfId="9182"/>
    <cellStyle name="Check Cell 2 6 2 8" xfId="9183"/>
    <cellStyle name="Check Cell 2 6 2 9" xfId="9184"/>
    <cellStyle name="Check Cell 2 6 3" xfId="9185"/>
    <cellStyle name="Check Cell 2 6 3 2" xfId="9186"/>
    <cellStyle name="Check Cell 2 6 3 2 2" xfId="9187"/>
    <cellStyle name="Check Cell 2 6 3 2 3" xfId="9188"/>
    <cellStyle name="Check Cell 2 6 3 2 4" xfId="9189"/>
    <cellStyle name="Check Cell 2 6 3 2 5" xfId="9190"/>
    <cellStyle name="Check Cell 2 6 3 2 6" xfId="9191"/>
    <cellStyle name="Check Cell 2 6 3 2 7" xfId="9192"/>
    <cellStyle name="Check Cell 2 6 3 3" xfId="9193"/>
    <cellStyle name="Check Cell 2 6 3 3 2" xfId="9194"/>
    <cellStyle name="Check Cell 2 6 3 3 3" xfId="9195"/>
    <cellStyle name="Check Cell 2 6 3 3 4" xfId="9196"/>
    <cellStyle name="Check Cell 2 6 3 3 5" xfId="9197"/>
    <cellStyle name="Check Cell 2 6 3 3 6" xfId="9198"/>
    <cellStyle name="Check Cell 2 6 3 3 7" xfId="9199"/>
    <cellStyle name="Check Cell 2 6 3 4" xfId="9200"/>
    <cellStyle name="Check Cell 2 6 3 5" xfId="9201"/>
    <cellStyle name="Check Cell 2 6 3 6" xfId="9202"/>
    <cellStyle name="Check Cell 2 6 3 7" xfId="9203"/>
    <cellStyle name="Check Cell 2 6 3 8" xfId="9204"/>
    <cellStyle name="Check Cell 2 6 3 9" xfId="9205"/>
    <cellStyle name="Check Cell 2 6 4" xfId="9206"/>
    <cellStyle name="Check Cell 2 6 4 2" xfId="9207"/>
    <cellStyle name="Check Cell 2 6 4 2 2" xfId="9208"/>
    <cellStyle name="Check Cell 2 6 4 2 3" xfId="9209"/>
    <cellStyle name="Check Cell 2 6 4 2 4" xfId="9210"/>
    <cellStyle name="Check Cell 2 6 4 2 5" xfId="9211"/>
    <cellStyle name="Check Cell 2 6 4 2 6" xfId="9212"/>
    <cellStyle name="Check Cell 2 6 4 2 7" xfId="9213"/>
    <cellStyle name="Check Cell 2 6 4 3" xfId="9214"/>
    <cellStyle name="Check Cell 2 6 4 3 2" xfId="9215"/>
    <cellStyle name="Check Cell 2 6 4 3 3" xfId="9216"/>
    <cellStyle name="Check Cell 2 6 4 3 4" xfId="9217"/>
    <cellStyle name="Check Cell 2 6 4 3 5" xfId="9218"/>
    <cellStyle name="Check Cell 2 6 4 3 6" xfId="9219"/>
    <cellStyle name="Check Cell 2 6 4 3 7" xfId="9220"/>
    <cellStyle name="Check Cell 2 6 4 4" xfId="9221"/>
    <cellStyle name="Check Cell 2 6 4 5" xfId="9222"/>
    <cellStyle name="Check Cell 2 6 4 6" xfId="9223"/>
    <cellStyle name="Check Cell 2 6 4 7" xfId="9224"/>
    <cellStyle name="Check Cell 2 6 4 8" xfId="9225"/>
    <cellStyle name="Check Cell 2 6 4 9" xfId="9226"/>
    <cellStyle name="Check Cell 2 6 5" xfId="9227"/>
    <cellStyle name="Check Cell 2 6 5 2" xfId="9228"/>
    <cellStyle name="Check Cell 2 6 5 3" xfId="9229"/>
    <cellStyle name="Check Cell 2 6 5 4" xfId="9230"/>
    <cellStyle name="Check Cell 2 6 5 5" xfId="9231"/>
    <cellStyle name="Check Cell 2 6 5 6" xfId="9232"/>
    <cellStyle name="Check Cell 2 6 5 7" xfId="9233"/>
    <cellStyle name="Check Cell 2 6 6" xfId="9234"/>
    <cellStyle name="Check Cell 2 6 6 2" xfId="9235"/>
    <cellStyle name="Check Cell 2 6 6 3" xfId="9236"/>
    <cellStyle name="Check Cell 2 6 6 4" xfId="9237"/>
    <cellStyle name="Check Cell 2 6 6 5" xfId="9238"/>
    <cellStyle name="Check Cell 2 6 6 6" xfId="9239"/>
    <cellStyle name="Check Cell 2 6 6 7" xfId="9240"/>
    <cellStyle name="Check Cell 2 6 7" xfId="9241"/>
    <cellStyle name="Check Cell 2 6 8" xfId="9242"/>
    <cellStyle name="Check Cell 2 6 9" xfId="9243"/>
    <cellStyle name="Check Cell 2 7" xfId="9244"/>
    <cellStyle name="Check Cell 2 7 10" xfId="9245"/>
    <cellStyle name="Check Cell 2 7 11" xfId="9246"/>
    <cellStyle name="Check Cell 2 7 12" xfId="9247"/>
    <cellStyle name="Check Cell 2 7 2" xfId="9248"/>
    <cellStyle name="Check Cell 2 7 2 2" xfId="9249"/>
    <cellStyle name="Check Cell 2 7 2 2 2" xfId="9250"/>
    <cellStyle name="Check Cell 2 7 2 2 3" xfId="9251"/>
    <cellStyle name="Check Cell 2 7 2 2 4" xfId="9252"/>
    <cellStyle name="Check Cell 2 7 2 2 5" xfId="9253"/>
    <cellStyle name="Check Cell 2 7 2 2 6" xfId="9254"/>
    <cellStyle name="Check Cell 2 7 2 2 7" xfId="9255"/>
    <cellStyle name="Check Cell 2 7 2 3" xfId="9256"/>
    <cellStyle name="Check Cell 2 7 2 3 2" xfId="9257"/>
    <cellStyle name="Check Cell 2 7 2 3 3" xfId="9258"/>
    <cellStyle name="Check Cell 2 7 2 3 4" xfId="9259"/>
    <cellStyle name="Check Cell 2 7 2 3 5" xfId="9260"/>
    <cellStyle name="Check Cell 2 7 2 3 6" xfId="9261"/>
    <cellStyle name="Check Cell 2 7 2 3 7" xfId="9262"/>
    <cellStyle name="Check Cell 2 7 2 4" xfId="9263"/>
    <cellStyle name="Check Cell 2 7 2 5" xfId="9264"/>
    <cellStyle name="Check Cell 2 7 2 6" xfId="9265"/>
    <cellStyle name="Check Cell 2 7 2 7" xfId="9266"/>
    <cellStyle name="Check Cell 2 7 2 8" xfId="9267"/>
    <cellStyle name="Check Cell 2 7 2 9" xfId="9268"/>
    <cellStyle name="Check Cell 2 7 3" xfId="9269"/>
    <cellStyle name="Check Cell 2 7 3 2" xfId="9270"/>
    <cellStyle name="Check Cell 2 7 3 2 2" xfId="9271"/>
    <cellStyle name="Check Cell 2 7 3 2 3" xfId="9272"/>
    <cellStyle name="Check Cell 2 7 3 2 4" xfId="9273"/>
    <cellStyle name="Check Cell 2 7 3 2 5" xfId="9274"/>
    <cellStyle name="Check Cell 2 7 3 2 6" xfId="9275"/>
    <cellStyle name="Check Cell 2 7 3 2 7" xfId="9276"/>
    <cellStyle name="Check Cell 2 7 3 3" xfId="9277"/>
    <cellStyle name="Check Cell 2 7 3 3 2" xfId="9278"/>
    <cellStyle name="Check Cell 2 7 3 3 3" xfId="9279"/>
    <cellStyle name="Check Cell 2 7 3 3 4" xfId="9280"/>
    <cellStyle name="Check Cell 2 7 3 3 5" xfId="9281"/>
    <cellStyle name="Check Cell 2 7 3 3 6" xfId="9282"/>
    <cellStyle name="Check Cell 2 7 3 3 7" xfId="9283"/>
    <cellStyle name="Check Cell 2 7 3 4" xfId="9284"/>
    <cellStyle name="Check Cell 2 7 3 5" xfId="9285"/>
    <cellStyle name="Check Cell 2 7 3 6" xfId="9286"/>
    <cellStyle name="Check Cell 2 7 3 7" xfId="9287"/>
    <cellStyle name="Check Cell 2 7 3 8" xfId="9288"/>
    <cellStyle name="Check Cell 2 7 3 9" xfId="9289"/>
    <cellStyle name="Check Cell 2 7 4" xfId="9290"/>
    <cellStyle name="Check Cell 2 7 4 2" xfId="9291"/>
    <cellStyle name="Check Cell 2 7 4 2 2" xfId="9292"/>
    <cellStyle name="Check Cell 2 7 4 2 3" xfId="9293"/>
    <cellStyle name="Check Cell 2 7 4 2 4" xfId="9294"/>
    <cellStyle name="Check Cell 2 7 4 2 5" xfId="9295"/>
    <cellStyle name="Check Cell 2 7 4 2 6" xfId="9296"/>
    <cellStyle name="Check Cell 2 7 4 2 7" xfId="9297"/>
    <cellStyle name="Check Cell 2 7 4 3" xfId="9298"/>
    <cellStyle name="Check Cell 2 7 4 3 2" xfId="9299"/>
    <cellStyle name="Check Cell 2 7 4 3 3" xfId="9300"/>
    <cellStyle name="Check Cell 2 7 4 3 4" xfId="9301"/>
    <cellStyle name="Check Cell 2 7 4 3 5" xfId="9302"/>
    <cellStyle name="Check Cell 2 7 4 3 6" xfId="9303"/>
    <cellStyle name="Check Cell 2 7 4 3 7" xfId="9304"/>
    <cellStyle name="Check Cell 2 7 4 4" xfId="9305"/>
    <cellStyle name="Check Cell 2 7 4 5" xfId="9306"/>
    <cellStyle name="Check Cell 2 7 4 6" xfId="9307"/>
    <cellStyle name="Check Cell 2 7 4 7" xfId="9308"/>
    <cellStyle name="Check Cell 2 7 4 8" xfId="9309"/>
    <cellStyle name="Check Cell 2 7 4 9" xfId="9310"/>
    <cellStyle name="Check Cell 2 7 5" xfId="9311"/>
    <cellStyle name="Check Cell 2 7 5 2" xfId="9312"/>
    <cellStyle name="Check Cell 2 7 5 3" xfId="9313"/>
    <cellStyle name="Check Cell 2 7 5 4" xfId="9314"/>
    <cellStyle name="Check Cell 2 7 5 5" xfId="9315"/>
    <cellStyle name="Check Cell 2 7 5 6" xfId="9316"/>
    <cellStyle name="Check Cell 2 7 5 7" xfId="9317"/>
    <cellStyle name="Check Cell 2 7 6" xfId="9318"/>
    <cellStyle name="Check Cell 2 7 6 2" xfId="9319"/>
    <cellStyle name="Check Cell 2 7 6 3" xfId="9320"/>
    <cellStyle name="Check Cell 2 7 6 4" xfId="9321"/>
    <cellStyle name="Check Cell 2 7 6 5" xfId="9322"/>
    <cellStyle name="Check Cell 2 7 6 6" xfId="9323"/>
    <cellStyle name="Check Cell 2 7 6 7" xfId="9324"/>
    <cellStyle name="Check Cell 2 7 7" xfId="9325"/>
    <cellStyle name="Check Cell 2 7 8" xfId="9326"/>
    <cellStyle name="Check Cell 2 7 9" xfId="9327"/>
    <cellStyle name="Check Cell 2 8" xfId="9328"/>
    <cellStyle name="Check Cell 2 8 2" xfId="9329"/>
    <cellStyle name="Check Cell 2 8 2 2" xfId="9330"/>
    <cellStyle name="Check Cell 2 8 2 3" xfId="9331"/>
    <cellStyle name="Check Cell 2 8 2 4" xfId="9332"/>
    <cellStyle name="Check Cell 2 8 2 5" xfId="9333"/>
    <cellStyle name="Check Cell 2 8 2 6" xfId="9334"/>
    <cellStyle name="Check Cell 2 8 2 7" xfId="9335"/>
    <cellStyle name="Check Cell 2 8 3" xfId="9336"/>
    <cellStyle name="Check Cell 2 8 3 2" xfId="9337"/>
    <cellStyle name="Check Cell 2 8 3 3" xfId="9338"/>
    <cellStyle name="Check Cell 2 8 3 4" xfId="9339"/>
    <cellStyle name="Check Cell 2 8 3 5" xfId="9340"/>
    <cellStyle name="Check Cell 2 8 3 6" xfId="9341"/>
    <cellStyle name="Check Cell 2 8 3 7" xfId="9342"/>
    <cellStyle name="Check Cell 2 8 4" xfId="9343"/>
    <cellStyle name="Check Cell 2 8 5" xfId="9344"/>
    <cellStyle name="Check Cell 2 8 6" xfId="9345"/>
    <cellStyle name="Check Cell 2 8 7" xfId="9346"/>
    <cellStyle name="Check Cell 2 8 8" xfId="9347"/>
    <cellStyle name="Check Cell 2 8 9" xfId="9348"/>
    <cellStyle name="Check Cell 2_Dashboard - Inventory Metrics Aug 2012" xfId="9349"/>
    <cellStyle name="Check Cell 3" xfId="9350"/>
    <cellStyle name="Check Cell 3 2" xfId="9351"/>
    <cellStyle name="Check Cell 3 2 10" xfId="9352"/>
    <cellStyle name="Check Cell 3 2 11" xfId="9353"/>
    <cellStyle name="Check Cell 3 2 12" xfId="9354"/>
    <cellStyle name="Check Cell 3 2 13" xfId="9355"/>
    <cellStyle name="Check Cell 3 2 14" xfId="9356"/>
    <cellStyle name="Check Cell 3 2 15" xfId="9357"/>
    <cellStyle name="Check Cell 3 2 2" xfId="9358"/>
    <cellStyle name="Check Cell 3 2 2 10" xfId="9359"/>
    <cellStyle name="Check Cell 3 2 2 11" xfId="9360"/>
    <cellStyle name="Check Cell 3 2 2 12" xfId="9361"/>
    <cellStyle name="Check Cell 3 2 2 2" xfId="9362"/>
    <cellStyle name="Check Cell 3 2 2 2 2" xfId="9363"/>
    <cellStyle name="Check Cell 3 2 2 2 2 2" xfId="9364"/>
    <cellStyle name="Check Cell 3 2 2 2 2 3" xfId="9365"/>
    <cellStyle name="Check Cell 3 2 2 2 2 4" xfId="9366"/>
    <cellStyle name="Check Cell 3 2 2 2 2 5" xfId="9367"/>
    <cellStyle name="Check Cell 3 2 2 2 2 6" xfId="9368"/>
    <cellStyle name="Check Cell 3 2 2 2 2 7" xfId="9369"/>
    <cellStyle name="Check Cell 3 2 2 2 3" xfId="9370"/>
    <cellStyle name="Check Cell 3 2 2 2 3 2" xfId="9371"/>
    <cellStyle name="Check Cell 3 2 2 2 3 3" xfId="9372"/>
    <cellStyle name="Check Cell 3 2 2 2 3 4" xfId="9373"/>
    <cellStyle name="Check Cell 3 2 2 2 3 5" xfId="9374"/>
    <cellStyle name="Check Cell 3 2 2 2 3 6" xfId="9375"/>
    <cellStyle name="Check Cell 3 2 2 2 3 7" xfId="9376"/>
    <cellStyle name="Check Cell 3 2 2 2 4" xfId="9377"/>
    <cellStyle name="Check Cell 3 2 2 2 5" xfId="9378"/>
    <cellStyle name="Check Cell 3 2 2 2 6" xfId="9379"/>
    <cellStyle name="Check Cell 3 2 2 2 7" xfId="9380"/>
    <cellStyle name="Check Cell 3 2 2 2 8" xfId="9381"/>
    <cellStyle name="Check Cell 3 2 2 2 9" xfId="9382"/>
    <cellStyle name="Check Cell 3 2 2 3" xfId="9383"/>
    <cellStyle name="Check Cell 3 2 2 3 2" xfId="9384"/>
    <cellStyle name="Check Cell 3 2 2 3 2 2" xfId="9385"/>
    <cellStyle name="Check Cell 3 2 2 3 2 3" xfId="9386"/>
    <cellStyle name="Check Cell 3 2 2 3 2 4" xfId="9387"/>
    <cellStyle name="Check Cell 3 2 2 3 2 5" xfId="9388"/>
    <cellStyle name="Check Cell 3 2 2 3 2 6" xfId="9389"/>
    <cellStyle name="Check Cell 3 2 2 3 2 7" xfId="9390"/>
    <cellStyle name="Check Cell 3 2 2 3 3" xfId="9391"/>
    <cellStyle name="Check Cell 3 2 2 3 3 2" xfId="9392"/>
    <cellStyle name="Check Cell 3 2 2 3 3 3" xfId="9393"/>
    <cellStyle name="Check Cell 3 2 2 3 3 4" xfId="9394"/>
    <cellStyle name="Check Cell 3 2 2 3 3 5" xfId="9395"/>
    <cellStyle name="Check Cell 3 2 2 3 3 6" xfId="9396"/>
    <cellStyle name="Check Cell 3 2 2 3 3 7" xfId="9397"/>
    <cellStyle name="Check Cell 3 2 2 3 4" xfId="9398"/>
    <cellStyle name="Check Cell 3 2 2 3 5" xfId="9399"/>
    <cellStyle name="Check Cell 3 2 2 3 6" xfId="9400"/>
    <cellStyle name="Check Cell 3 2 2 3 7" xfId="9401"/>
    <cellStyle name="Check Cell 3 2 2 3 8" xfId="9402"/>
    <cellStyle name="Check Cell 3 2 2 3 9" xfId="9403"/>
    <cellStyle name="Check Cell 3 2 2 4" xfId="9404"/>
    <cellStyle name="Check Cell 3 2 2 4 2" xfId="9405"/>
    <cellStyle name="Check Cell 3 2 2 4 2 2" xfId="9406"/>
    <cellStyle name="Check Cell 3 2 2 4 2 3" xfId="9407"/>
    <cellStyle name="Check Cell 3 2 2 4 2 4" xfId="9408"/>
    <cellStyle name="Check Cell 3 2 2 4 2 5" xfId="9409"/>
    <cellStyle name="Check Cell 3 2 2 4 2 6" xfId="9410"/>
    <cellStyle name="Check Cell 3 2 2 4 2 7" xfId="9411"/>
    <cellStyle name="Check Cell 3 2 2 4 3" xfId="9412"/>
    <cellStyle name="Check Cell 3 2 2 4 3 2" xfId="9413"/>
    <cellStyle name="Check Cell 3 2 2 4 3 3" xfId="9414"/>
    <cellStyle name="Check Cell 3 2 2 4 3 4" xfId="9415"/>
    <cellStyle name="Check Cell 3 2 2 4 3 5" xfId="9416"/>
    <cellStyle name="Check Cell 3 2 2 4 3 6" xfId="9417"/>
    <cellStyle name="Check Cell 3 2 2 4 3 7" xfId="9418"/>
    <cellStyle name="Check Cell 3 2 2 4 4" xfId="9419"/>
    <cellStyle name="Check Cell 3 2 2 4 5" xfId="9420"/>
    <cellStyle name="Check Cell 3 2 2 4 6" xfId="9421"/>
    <cellStyle name="Check Cell 3 2 2 4 7" xfId="9422"/>
    <cellStyle name="Check Cell 3 2 2 4 8" xfId="9423"/>
    <cellStyle name="Check Cell 3 2 2 4 9" xfId="9424"/>
    <cellStyle name="Check Cell 3 2 2 5" xfId="9425"/>
    <cellStyle name="Check Cell 3 2 2 5 2" xfId="9426"/>
    <cellStyle name="Check Cell 3 2 2 5 3" xfId="9427"/>
    <cellStyle name="Check Cell 3 2 2 5 4" xfId="9428"/>
    <cellStyle name="Check Cell 3 2 2 5 5" xfId="9429"/>
    <cellStyle name="Check Cell 3 2 2 5 6" xfId="9430"/>
    <cellStyle name="Check Cell 3 2 2 5 7" xfId="9431"/>
    <cellStyle name="Check Cell 3 2 2 6" xfId="9432"/>
    <cellStyle name="Check Cell 3 2 2 6 2" xfId="9433"/>
    <cellStyle name="Check Cell 3 2 2 6 3" xfId="9434"/>
    <cellStyle name="Check Cell 3 2 2 6 4" xfId="9435"/>
    <cellStyle name="Check Cell 3 2 2 6 5" xfId="9436"/>
    <cellStyle name="Check Cell 3 2 2 6 6" xfId="9437"/>
    <cellStyle name="Check Cell 3 2 2 6 7" xfId="9438"/>
    <cellStyle name="Check Cell 3 2 2 7" xfId="9439"/>
    <cellStyle name="Check Cell 3 2 2 8" xfId="9440"/>
    <cellStyle name="Check Cell 3 2 2 9" xfId="9441"/>
    <cellStyle name="Check Cell 3 2 3" xfId="9442"/>
    <cellStyle name="Check Cell 3 2 3 10" xfId="9443"/>
    <cellStyle name="Check Cell 3 2 3 11" xfId="9444"/>
    <cellStyle name="Check Cell 3 2 3 12" xfId="9445"/>
    <cellStyle name="Check Cell 3 2 3 2" xfId="9446"/>
    <cellStyle name="Check Cell 3 2 3 2 2" xfId="9447"/>
    <cellStyle name="Check Cell 3 2 3 2 2 2" xfId="9448"/>
    <cellStyle name="Check Cell 3 2 3 2 2 3" xfId="9449"/>
    <cellStyle name="Check Cell 3 2 3 2 2 4" xfId="9450"/>
    <cellStyle name="Check Cell 3 2 3 2 2 5" xfId="9451"/>
    <cellStyle name="Check Cell 3 2 3 2 2 6" xfId="9452"/>
    <cellStyle name="Check Cell 3 2 3 2 2 7" xfId="9453"/>
    <cellStyle name="Check Cell 3 2 3 2 3" xfId="9454"/>
    <cellStyle name="Check Cell 3 2 3 2 3 2" xfId="9455"/>
    <cellStyle name="Check Cell 3 2 3 2 3 3" xfId="9456"/>
    <cellStyle name="Check Cell 3 2 3 2 3 4" xfId="9457"/>
    <cellStyle name="Check Cell 3 2 3 2 3 5" xfId="9458"/>
    <cellStyle name="Check Cell 3 2 3 2 3 6" xfId="9459"/>
    <cellStyle name="Check Cell 3 2 3 2 3 7" xfId="9460"/>
    <cellStyle name="Check Cell 3 2 3 2 4" xfId="9461"/>
    <cellStyle name="Check Cell 3 2 3 2 5" xfId="9462"/>
    <cellStyle name="Check Cell 3 2 3 2 6" xfId="9463"/>
    <cellStyle name="Check Cell 3 2 3 2 7" xfId="9464"/>
    <cellStyle name="Check Cell 3 2 3 2 8" xfId="9465"/>
    <cellStyle name="Check Cell 3 2 3 2 9" xfId="9466"/>
    <cellStyle name="Check Cell 3 2 3 3" xfId="9467"/>
    <cellStyle name="Check Cell 3 2 3 3 2" xfId="9468"/>
    <cellStyle name="Check Cell 3 2 3 3 2 2" xfId="9469"/>
    <cellStyle name="Check Cell 3 2 3 3 2 3" xfId="9470"/>
    <cellStyle name="Check Cell 3 2 3 3 2 4" xfId="9471"/>
    <cellStyle name="Check Cell 3 2 3 3 2 5" xfId="9472"/>
    <cellStyle name="Check Cell 3 2 3 3 2 6" xfId="9473"/>
    <cellStyle name="Check Cell 3 2 3 3 2 7" xfId="9474"/>
    <cellStyle name="Check Cell 3 2 3 3 3" xfId="9475"/>
    <cellStyle name="Check Cell 3 2 3 3 3 2" xfId="9476"/>
    <cellStyle name="Check Cell 3 2 3 3 3 3" xfId="9477"/>
    <cellStyle name="Check Cell 3 2 3 3 3 4" xfId="9478"/>
    <cellStyle name="Check Cell 3 2 3 3 3 5" xfId="9479"/>
    <cellStyle name="Check Cell 3 2 3 3 3 6" xfId="9480"/>
    <cellStyle name="Check Cell 3 2 3 3 3 7" xfId="9481"/>
    <cellStyle name="Check Cell 3 2 3 3 4" xfId="9482"/>
    <cellStyle name="Check Cell 3 2 3 3 5" xfId="9483"/>
    <cellStyle name="Check Cell 3 2 3 3 6" xfId="9484"/>
    <cellStyle name="Check Cell 3 2 3 3 7" xfId="9485"/>
    <cellStyle name="Check Cell 3 2 3 3 8" xfId="9486"/>
    <cellStyle name="Check Cell 3 2 3 3 9" xfId="9487"/>
    <cellStyle name="Check Cell 3 2 3 4" xfId="9488"/>
    <cellStyle name="Check Cell 3 2 3 4 2" xfId="9489"/>
    <cellStyle name="Check Cell 3 2 3 4 2 2" xfId="9490"/>
    <cellStyle name="Check Cell 3 2 3 4 2 3" xfId="9491"/>
    <cellStyle name="Check Cell 3 2 3 4 2 4" xfId="9492"/>
    <cellStyle name="Check Cell 3 2 3 4 2 5" xfId="9493"/>
    <cellStyle name="Check Cell 3 2 3 4 2 6" xfId="9494"/>
    <cellStyle name="Check Cell 3 2 3 4 2 7" xfId="9495"/>
    <cellStyle name="Check Cell 3 2 3 4 3" xfId="9496"/>
    <cellStyle name="Check Cell 3 2 3 4 3 2" xfId="9497"/>
    <cellStyle name="Check Cell 3 2 3 4 3 3" xfId="9498"/>
    <cellStyle name="Check Cell 3 2 3 4 3 4" xfId="9499"/>
    <cellStyle name="Check Cell 3 2 3 4 3 5" xfId="9500"/>
    <cellStyle name="Check Cell 3 2 3 4 3 6" xfId="9501"/>
    <cellStyle name="Check Cell 3 2 3 4 3 7" xfId="9502"/>
    <cellStyle name="Check Cell 3 2 3 4 4" xfId="9503"/>
    <cellStyle name="Check Cell 3 2 3 4 5" xfId="9504"/>
    <cellStyle name="Check Cell 3 2 3 4 6" xfId="9505"/>
    <cellStyle name="Check Cell 3 2 3 4 7" xfId="9506"/>
    <cellStyle name="Check Cell 3 2 3 4 8" xfId="9507"/>
    <cellStyle name="Check Cell 3 2 3 4 9" xfId="9508"/>
    <cellStyle name="Check Cell 3 2 3 5" xfId="9509"/>
    <cellStyle name="Check Cell 3 2 3 5 2" xfId="9510"/>
    <cellStyle name="Check Cell 3 2 3 5 3" xfId="9511"/>
    <cellStyle name="Check Cell 3 2 3 5 4" xfId="9512"/>
    <cellStyle name="Check Cell 3 2 3 5 5" xfId="9513"/>
    <cellStyle name="Check Cell 3 2 3 5 6" xfId="9514"/>
    <cellStyle name="Check Cell 3 2 3 5 7" xfId="9515"/>
    <cellStyle name="Check Cell 3 2 3 6" xfId="9516"/>
    <cellStyle name="Check Cell 3 2 3 6 2" xfId="9517"/>
    <cellStyle name="Check Cell 3 2 3 6 3" xfId="9518"/>
    <cellStyle name="Check Cell 3 2 3 6 4" xfId="9519"/>
    <cellStyle name="Check Cell 3 2 3 6 5" xfId="9520"/>
    <cellStyle name="Check Cell 3 2 3 6 6" xfId="9521"/>
    <cellStyle name="Check Cell 3 2 3 6 7" xfId="9522"/>
    <cellStyle name="Check Cell 3 2 3 7" xfId="9523"/>
    <cellStyle name="Check Cell 3 2 3 8" xfId="9524"/>
    <cellStyle name="Check Cell 3 2 3 9" xfId="9525"/>
    <cellStyle name="Check Cell 3 2 4" xfId="9526"/>
    <cellStyle name="Check Cell 3 2 4 10" xfId="9527"/>
    <cellStyle name="Check Cell 3 2 4 11" xfId="9528"/>
    <cellStyle name="Check Cell 3 2 4 12" xfId="9529"/>
    <cellStyle name="Check Cell 3 2 4 2" xfId="9530"/>
    <cellStyle name="Check Cell 3 2 4 2 2" xfId="9531"/>
    <cellStyle name="Check Cell 3 2 4 2 2 2" xfId="9532"/>
    <cellStyle name="Check Cell 3 2 4 2 2 3" xfId="9533"/>
    <cellStyle name="Check Cell 3 2 4 2 2 4" xfId="9534"/>
    <cellStyle name="Check Cell 3 2 4 2 2 5" xfId="9535"/>
    <cellStyle name="Check Cell 3 2 4 2 2 6" xfId="9536"/>
    <cellStyle name="Check Cell 3 2 4 2 2 7" xfId="9537"/>
    <cellStyle name="Check Cell 3 2 4 2 3" xfId="9538"/>
    <cellStyle name="Check Cell 3 2 4 2 3 2" xfId="9539"/>
    <cellStyle name="Check Cell 3 2 4 2 3 3" xfId="9540"/>
    <cellStyle name="Check Cell 3 2 4 2 3 4" xfId="9541"/>
    <cellStyle name="Check Cell 3 2 4 2 3 5" xfId="9542"/>
    <cellStyle name="Check Cell 3 2 4 2 3 6" xfId="9543"/>
    <cellStyle name="Check Cell 3 2 4 2 3 7" xfId="9544"/>
    <cellStyle name="Check Cell 3 2 4 2 4" xfId="9545"/>
    <cellStyle name="Check Cell 3 2 4 2 5" xfId="9546"/>
    <cellStyle name="Check Cell 3 2 4 2 6" xfId="9547"/>
    <cellStyle name="Check Cell 3 2 4 2 7" xfId="9548"/>
    <cellStyle name="Check Cell 3 2 4 2 8" xfId="9549"/>
    <cellStyle name="Check Cell 3 2 4 2 9" xfId="9550"/>
    <cellStyle name="Check Cell 3 2 4 3" xfId="9551"/>
    <cellStyle name="Check Cell 3 2 4 3 2" xfId="9552"/>
    <cellStyle name="Check Cell 3 2 4 3 2 2" xfId="9553"/>
    <cellStyle name="Check Cell 3 2 4 3 2 3" xfId="9554"/>
    <cellStyle name="Check Cell 3 2 4 3 2 4" xfId="9555"/>
    <cellStyle name="Check Cell 3 2 4 3 2 5" xfId="9556"/>
    <cellStyle name="Check Cell 3 2 4 3 2 6" xfId="9557"/>
    <cellStyle name="Check Cell 3 2 4 3 2 7" xfId="9558"/>
    <cellStyle name="Check Cell 3 2 4 3 3" xfId="9559"/>
    <cellStyle name="Check Cell 3 2 4 3 3 2" xfId="9560"/>
    <cellStyle name="Check Cell 3 2 4 3 3 3" xfId="9561"/>
    <cellStyle name="Check Cell 3 2 4 3 3 4" xfId="9562"/>
    <cellStyle name="Check Cell 3 2 4 3 3 5" xfId="9563"/>
    <cellStyle name="Check Cell 3 2 4 3 3 6" xfId="9564"/>
    <cellStyle name="Check Cell 3 2 4 3 3 7" xfId="9565"/>
    <cellStyle name="Check Cell 3 2 4 3 4" xfId="9566"/>
    <cellStyle name="Check Cell 3 2 4 3 5" xfId="9567"/>
    <cellStyle name="Check Cell 3 2 4 3 6" xfId="9568"/>
    <cellStyle name="Check Cell 3 2 4 3 7" xfId="9569"/>
    <cellStyle name="Check Cell 3 2 4 3 8" xfId="9570"/>
    <cellStyle name="Check Cell 3 2 4 3 9" xfId="9571"/>
    <cellStyle name="Check Cell 3 2 4 4" xfId="9572"/>
    <cellStyle name="Check Cell 3 2 4 4 2" xfId="9573"/>
    <cellStyle name="Check Cell 3 2 4 4 2 2" xfId="9574"/>
    <cellStyle name="Check Cell 3 2 4 4 2 3" xfId="9575"/>
    <cellStyle name="Check Cell 3 2 4 4 2 4" xfId="9576"/>
    <cellStyle name="Check Cell 3 2 4 4 2 5" xfId="9577"/>
    <cellStyle name="Check Cell 3 2 4 4 2 6" xfId="9578"/>
    <cellStyle name="Check Cell 3 2 4 4 2 7" xfId="9579"/>
    <cellStyle name="Check Cell 3 2 4 4 3" xfId="9580"/>
    <cellStyle name="Check Cell 3 2 4 4 3 2" xfId="9581"/>
    <cellStyle name="Check Cell 3 2 4 4 3 3" xfId="9582"/>
    <cellStyle name="Check Cell 3 2 4 4 3 4" xfId="9583"/>
    <cellStyle name="Check Cell 3 2 4 4 3 5" xfId="9584"/>
    <cellStyle name="Check Cell 3 2 4 4 3 6" xfId="9585"/>
    <cellStyle name="Check Cell 3 2 4 4 3 7" xfId="9586"/>
    <cellStyle name="Check Cell 3 2 4 4 4" xfId="9587"/>
    <cellStyle name="Check Cell 3 2 4 4 5" xfId="9588"/>
    <cellStyle name="Check Cell 3 2 4 4 6" xfId="9589"/>
    <cellStyle name="Check Cell 3 2 4 4 7" xfId="9590"/>
    <cellStyle name="Check Cell 3 2 4 4 8" xfId="9591"/>
    <cellStyle name="Check Cell 3 2 4 4 9" xfId="9592"/>
    <cellStyle name="Check Cell 3 2 4 5" xfId="9593"/>
    <cellStyle name="Check Cell 3 2 4 5 2" xfId="9594"/>
    <cellStyle name="Check Cell 3 2 4 5 3" xfId="9595"/>
    <cellStyle name="Check Cell 3 2 4 5 4" xfId="9596"/>
    <cellStyle name="Check Cell 3 2 4 5 5" xfId="9597"/>
    <cellStyle name="Check Cell 3 2 4 5 6" xfId="9598"/>
    <cellStyle name="Check Cell 3 2 4 5 7" xfId="9599"/>
    <cellStyle name="Check Cell 3 2 4 6" xfId="9600"/>
    <cellStyle name="Check Cell 3 2 4 6 2" xfId="9601"/>
    <cellStyle name="Check Cell 3 2 4 6 3" xfId="9602"/>
    <cellStyle name="Check Cell 3 2 4 6 4" xfId="9603"/>
    <cellStyle name="Check Cell 3 2 4 6 5" xfId="9604"/>
    <cellStyle name="Check Cell 3 2 4 6 6" xfId="9605"/>
    <cellStyle name="Check Cell 3 2 4 6 7" xfId="9606"/>
    <cellStyle name="Check Cell 3 2 4 7" xfId="9607"/>
    <cellStyle name="Check Cell 3 2 4 8" xfId="9608"/>
    <cellStyle name="Check Cell 3 2 4 9" xfId="9609"/>
    <cellStyle name="Check Cell 3 2 5" xfId="9610"/>
    <cellStyle name="Check Cell 3 2 5 2" xfId="9611"/>
    <cellStyle name="Check Cell 3 2 5 2 2" xfId="9612"/>
    <cellStyle name="Check Cell 3 2 5 2 3" xfId="9613"/>
    <cellStyle name="Check Cell 3 2 5 2 4" xfId="9614"/>
    <cellStyle name="Check Cell 3 2 5 2 5" xfId="9615"/>
    <cellStyle name="Check Cell 3 2 5 2 6" xfId="9616"/>
    <cellStyle name="Check Cell 3 2 5 2 7" xfId="9617"/>
    <cellStyle name="Check Cell 3 2 5 3" xfId="9618"/>
    <cellStyle name="Check Cell 3 2 5 3 2" xfId="9619"/>
    <cellStyle name="Check Cell 3 2 5 3 3" xfId="9620"/>
    <cellStyle name="Check Cell 3 2 5 3 4" xfId="9621"/>
    <cellStyle name="Check Cell 3 2 5 3 5" xfId="9622"/>
    <cellStyle name="Check Cell 3 2 5 3 6" xfId="9623"/>
    <cellStyle name="Check Cell 3 2 5 3 7" xfId="9624"/>
    <cellStyle name="Check Cell 3 2 5 4" xfId="9625"/>
    <cellStyle name="Check Cell 3 2 5 5" xfId="9626"/>
    <cellStyle name="Check Cell 3 2 5 6" xfId="9627"/>
    <cellStyle name="Check Cell 3 2 5 7" xfId="9628"/>
    <cellStyle name="Check Cell 3 2 5 8" xfId="9629"/>
    <cellStyle name="Check Cell 3 2 5 9" xfId="9630"/>
    <cellStyle name="Check Cell 3 2 6" xfId="9631"/>
    <cellStyle name="Check Cell 3 2 6 2" xfId="9632"/>
    <cellStyle name="Check Cell 3 2 6 2 2" xfId="9633"/>
    <cellStyle name="Check Cell 3 2 6 2 3" xfId="9634"/>
    <cellStyle name="Check Cell 3 2 6 2 4" xfId="9635"/>
    <cellStyle name="Check Cell 3 2 6 2 5" xfId="9636"/>
    <cellStyle name="Check Cell 3 2 6 2 6" xfId="9637"/>
    <cellStyle name="Check Cell 3 2 6 2 7" xfId="9638"/>
    <cellStyle name="Check Cell 3 2 6 3" xfId="9639"/>
    <cellStyle name="Check Cell 3 2 6 3 2" xfId="9640"/>
    <cellStyle name="Check Cell 3 2 6 3 3" xfId="9641"/>
    <cellStyle name="Check Cell 3 2 6 3 4" xfId="9642"/>
    <cellStyle name="Check Cell 3 2 6 3 5" xfId="9643"/>
    <cellStyle name="Check Cell 3 2 6 3 6" xfId="9644"/>
    <cellStyle name="Check Cell 3 2 6 3 7" xfId="9645"/>
    <cellStyle name="Check Cell 3 2 6 4" xfId="9646"/>
    <cellStyle name="Check Cell 3 2 6 5" xfId="9647"/>
    <cellStyle name="Check Cell 3 2 6 6" xfId="9648"/>
    <cellStyle name="Check Cell 3 2 6 7" xfId="9649"/>
    <cellStyle name="Check Cell 3 2 6 8" xfId="9650"/>
    <cellStyle name="Check Cell 3 2 6 9" xfId="9651"/>
    <cellStyle name="Check Cell 3 2 7" xfId="9652"/>
    <cellStyle name="Check Cell 3 2 7 2" xfId="9653"/>
    <cellStyle name="Check Cell 3 2 7 2 2" xfId="9654"/>
    <cellStyle name="Check Cell 3 2 7 2 3" xfId="9655"/>
    <cellStyle name="Check Cell 3 2 7 2 4" xfId="9656"/>
    <cellStyle name="Check Cell 3 2 7 2 5" xfId="9657"/>
    <cellStyle name="Check Cell 3 2 7 2 6" xfId="9658"/>
    <cellStyle name="Check Cell 3 2 7 2 7" xfId="9659"/>
    <cellStyle name="Check Cell 3 2 7 3" xfId="9660"/>
    <cellStyle name="Check Cell 3 2 7 3 2" xfId="9661"/>
    <cellStyle name="Check Cell 3 2 7 3 3" xfId="9662"/>
    <cellStyle name="Check Cell 3 2 7 3 4" xfId="9663"/>
    <cellStyle name="Check Cell 3 2 7 3 5" xfId="9664"/>
    <cellStyle name="Check Cell 3 2 7 3 6" xfId="9665"/>
    <cellStyle name="Check Cell 3 2 7 3 7" xfId="9666"/>
    <cellStyle name="Check Cell 3 2 7 4" xfId="9667"/>
    <cellStyle name="Check Cell 3 2 7 5" xfId="9668"/>
    <cellStyle name="Check Cell 3 2 7 6" xfId="9669"/>
    <cellStyle name="Check Cell 3 2 7 7" xfId="9670"/>
    <cellStyle name="Check Cell 3 2 7 8" xfId="9671"/>
    <cellStyle name="Check Cell 3 2 7 9" xfId="9672"/>
    <cellStyle name="Check Cell 3 2 8" xfId="9673"/>
    <cellStyle name="Check Cell 3 2 8 2" xfId="9674"/>
    <cellStyle name="Check Cell 3 2 8 3" xfId="9675"/>
    <cellStyle name="Check Cell 3 2 8 4" xfId="9676"/>
    <cellStyle name="Check Cell 3 2 8 5" xfId="9677"/>
    <cellStyle name="Check Cell 3 2 8 6" xfId="9678"/>
    <cellStyle name="Check Cell 3 2 8 7" xfId="9679"/>
    <cellStyle name="Check Cell 3 2 9" xfId="9680"/>
    <cellStyle name="Check Cell 3 2 9 2" xfId="9681"/>
    <cellStyle name="Check Cell 3 2 9 3" xfId="9682"/>
    <cellStyle name="Check Cell 3 2 9 4" xfId="9683"/>
    <cellStyle name="Check Cell 3 2 9 5" xfId="9684"/>
    <cellStyle name="Check Cell 3 2 9 6" xfId="9685"/>
    <cellStyle name="Check Cell 3 2 9 7" xfId="9686"/>
    <cellStyle name="Check Cell 3 3" xfId="9687"/>
    <cellStyle name="Check Cell 3 3 2" xfId="9688"/>
    <cellStyle name="Check Cell 3 3 3" xfId="9689"/>
    <cellStyle name="Check Cell 3 3 4" xfId="9690"/>
    <cellStyle name="Check Cell 4" xfId="9691"/>
    <cellStyle name="Check Cell 5" xfId="9692"/>
    <cellStyle name="Check Cell 6" xfId="9693"/>
    <cellStyle name="Check Cell 7" xfId="9694"/>
    <cellStyle name="Check Cell 8" xfId="9695"/>
    <cellStyle name="Check Cell 9" xfId="9696"/>
    <cellStyle name="claire" xfId="9697"/>
    <cellStyle name="Co. Names" xfId="9698"/>
    <cellStyle name="Co. Names - Bold" xfId="9699"/>
    <cellStyle name="Co. Names_Tax Rates" xfId="9700"/>
    <cellStyle name="Code" xfId="9701"/>
    <cellStyle name="Code 2" xfId="9702"/>
    <cellStyle name="Code 3" xfId="9703"/>
    <cellStyle name="Code 4" xfId="9704"/>
    <cellStyle name="Code 5" xfId="9705"/>
    <cellStyle name="Code 6" xfId="9706"/>
    <cellStyle name="COL HEADINGS" xfId="9707"/>
    <cellStyle name="Colhead" xfId="9708"/>
    <cellStyle name="ColHeading" xfId="9709"/>
    <cellStyle name="Column_Title" xfId="9710"/>
    <cellStyle name="column1" xfId="9711"/>
    <cellStyle name="column1BigNoWrap" xfId="9712"/>
    <cellStyle name="column1Date" xfId="9713"/>
    <cellStyle name="column2Date" xfId="9714"/>
    <cellStyle name="column3Date" xfId="9715"/>
    <cellStyle name="ColumnAttributeAbovePrompt" xfId="9716"/>
    <cellStyle name="ColumnAttributeAbovePrompt 2" xfId="9717"/>
    <cellStyle name="ColumnAttributePrompt" xfId="9718"/>
    <cellStyle name="ColumnAttributePrompt 2" xfId="9719"/>
    <cellStyle name="ColumnAttributeValue" xfId="9720"/>
    <cellStyle name="ColumnAttributeValue 2" xfId="9721"/>
    <cellStyle name="ColumnHeaderNormal" xfId="9722"/>
    <cellStyle name="ColumnHeadingPrompt" xfId="9723"/>
    <cellStyle name="ColumnHeadingPrompt 2" xfId="9724"/>
    <cellStyle name="ColumnHeadingValue" xfId="9725"/>
    <cellStyle name="ColumnHeadingValue 2" xfId="9726"/>
    <cellStyle name="Comma" xfId="42790" builtinId="3"/>
    <cellStyle name="Comma  - Style1" xfId="9727"/>
    <cellStyle name="Comma  - Style1 10" xfId="9728"/>
    <cellStyle name="Comma  - Style1 11" xfId="9729"/>
    <cellStyle name="Comma  - Style1 2" xfId="9730"/>
    <cellStyle name="Comma  - Style1 2 2" xfId="9731"/>
    <cellStyle name="Comma  - Style1 2 3" xfId="9732"/>
    <cellStyle name="Comma  - Style1 2 4" xfId="9733"/>
    <cellStyle name="Comma  - Style1 2 5" xfId="9734"/>
    <cellStyle name="Comma  - Style1 2 6" xfId="9735"/>
    <cellStyle name="Comma  - Style1 2 7" xfId="9736"/>
    <cellStyle name="Comma  - Style1 2 8" xfId="9737"/>
    <cellStyle name="Comma  - Style1 2 9" xfId="9738"/>
    <cellStyle name="Comma  - Style1 3" xfId="9739"/>
    <cellStyle name="Comma  - Style1 4" xfId="9740"/>
    <cellStyle name="Comma  - Style1 5" xfId="9741"/>
    <cellStyle name="Comma  - Style1 6" xfId="9742"/>
    <cellStyle name="Comma  - Style1 7" xfId="9743"/>
    <cellStyle name="Comma  - Style1 8" xfId="9744"/>
    <cellStyle name="Comma  - Style1 9" xfId="9745"/>
    <cellStyle name="Comma  - Style2" xfId="9746"/>
    <cellStyle name="Comma  - Style2 10" xfId="9747"/>
    <cellStyle name="Comma  - Style2 11" xfId="9748"/>
    <cellStyle name="Comma  - Style2 2" xfId="9749"/>
    <cellStyle name="Comma  - Style2 2 2" xfId="9750"/>
    <cellStyle name="Comma  - Style2 2 3" xfId="9751"/>
    <cellStyle name="Comma  - Style2 2 4" xfId="9752"/>
    <cellStyle name="Comma  - Style2 2 5" xfId="9753"/>
    <cellStyle name="Comma  - Style2 2 6" xfId="9754"/>
    <cellStyle name="Comma  - Style2 2 7" xfId="9755"/>
    <cellStyle name="Comma  - Style2 2 8" xfId="9756"/>
    <cellStyle name="Comma  - Style2 2 9" xfId="9757"/>
    <cellStyle name="Comma  - Style2 3" xfId="9758"/>
    <cellStyle name="Comma  - Style2 4" xfId="9759"/>
    <cellStyle name="Comma  - Style2 5" xfId="9760"/>
    <cellStyle name="Comma  - Style2 6" xfId="9761"/>
    <cellStyle name="Comma  - Style2 7" xfId="9762"/>
    <cellStyle name="Comma  - Style2 8" xfId="9763"/>
    <cellStyle name="Comma  - Style2 9" xfId="9764"/>
    <cellStyle name="Comma  - Style3" xfId="9765"/>
    <cellStyle name="Comma  - Style3 10" xfId="9766"/>
    <cellStyle name="Comma  - Style3 11" xfId="9767"/>
    <cellStyle name="Comma  - Style3 2" xfId="9768"/>
    <cellStyle name="Comma  - Style3 2 2" xfId="9769"/>
    <cellStyle name="Comma  - Style3 2 3" xfId="9770"/>
    <cellStyle name="Comma  - Style3 2 4" xfId="9771"/>
    <cellStyle name="Comma  - Style3 2 5" xfId="9772"/>
    <cellStyle name="Comma  - Style3 2 6" xfId="9773"/>
    <cellStyle name="Comma  - Style3 2 7" xfId="9774"/>
    <cellStyle name="Comma  - Style3 2 8" xfId="9775"/>
    <cellStyle name="Comma  - Style3 2 9" xfId="9776"/>
    <cellStyle name="Comma  - Style3 3" xfId="9777"/>
    <cellStyle name="Comma  - Style3 4" xfId="9778"/>
    <cellStyle name="Comma  - Style3 5" xfId="9779"/>
    <cellStyle name="Comma  - Style3 6" xfId="9780"/>
    <cellStyle name="Comma  - Style3 7" xfId="9781"/>
    <cellStyle name="Comma  - Style3 8" xfId="9782"/>
    <cellStyle name="Comma  - Style3 9" xfId="9783"/>
    <cellStyle name="Comma  - Style4" xfId="9784"/>
    <cellStyle name="Comma  - Style4 10" xfId="9785"/>
    <cellStyle name="Comma  - Style4 11" xfId="9786"/>
    <cellStyle name="Comma  - Style4 2" xfId="9787"/>
    <cellStyle name="Comma  - Style4 2 2" xfId="9788"/>
    <cellStyle name="Comma  - Style4 2 3" xfId="9789"/>
    <cellStyle name="Comma  - Style4 2 4" xfId="9790"/>
    <cellStyle name="Comma  - Style4 2 5" xfId="9791"/>
    <cellStyle name="Comma  - Style4 2 6" xfId="9792"/>
    <cellStyle name="Comma  - Style4 2 7" xfId="9793"/>
    <cellStyle name="Comma  - Style4 2 8" xfId="9794"/>
    <cellStyle name="Comma  - Style4 2 9" xfId="9795"/>
    <cellStyle name="Comma  - Style4 3" xfId="9796"/>
    <cellStyle name="Comma  - Style4 4" xfId="9797"/>
    <cellStyle name="Comma  - Style4 5" xfId="9798"/>
    <cellStyle name="Comma  - Style4 6" xfId="9799"/>
    <cellStyle name="Comma  - Style4 7" xfId="9800"/>
    <cellStyle name="Comma  - Style4 8" xfId="9801"/>
    <cellStyle name="Comma  - Style4 9" xfId="9802"/>
    <cellStyle name="Comma  - Style5" xfId="9803"/>
    <cellStyle name="Comma  - Style5 10" xfId="9804"/>
    <cellStyle name="Comma  - Style5 11" xfId="9805"/>
    <cellStyle name="Comma  - Style5 2" xfId="9806"/>
    <cellStyle name="Comma  - Style5 2 2" xfId="9807"/>
    <cellStyle name="Comma  - Style5 2 3" xfId="9808"/>
    <cellStyle name="Comma  - Style5 2 4" xfId="9809"/>
    <cellStyle name="Comma  - Style5 2 5" xfId="9810"/>
    <cellStyle name="Comma  - Style5 2 6" xfId="9811"/>
    <cellStyle name="Comma  - Style5 2 7" xfId="9812"/>
    <cellStyle name="Comma  - Style5 2 8" xfId="9813"/>
    <cellStyle name="Comma  - Style5 2 9" xfId="9814"/>
    <cellStyle name="Comma  - Style5 3" xfId="9815"/>
    <cellStyle name="Comma  - Style5 4" xfId="9816"/>
    <cellStyle name="Comma  - Style5 5" xfId="9817"/>
    <cellStyle name="Comma  - Style5 6" xfId="9818"/>
    <cellStyle name="Comma  - Style5 7" xfId="9819"/>
    <cellStyle name="Comma  - Style5 8" xfId="9820"/>
    <cellStyle name="Comma  - Style5 9" xfId="9821"/>
    <cellStyle name="Comma  - Style6" xfId="9822"/>
    <cellStyle name="Comma  - Style6 10" xfId="9823"/>
    <cellStyle name="Comma  - Style6 11" xfId="9824"/>
    <cellStyle name="Comma  - Style6 2" xfId="9825"/>
    <cellStyle name="Comma  - Style6 2 2" xfId="9826"/>
    <cellStyle name="Comma  - Style6 2 3" xfId="9827"/>
    <cellStyle name="Comma  - Style6 2 4" xfId="9828"/>
    <cellStyle name="Comma  - Style6 2 5" xfId="9829"/>
    <cellStyle name="Comma  - Style6 2 6" xfId="9830"/>
    <cellStyle name="Comma  - Style6 2 7" xfId="9831"/>
    <cellStyle name="Comma  - Style6 2 8" xfId="9832"/>
    <cellStyle name="Comma  - Style6 2 9" xfId="9833"/>
    <cellStyle name="Comma  - Style6 3" xfId="9834"/>
    <cellStyle name="Comma  - Style6 4" xfId="9835"/>
    <cellStyle name="Comma  - Style6 5" xfId="9836"/>
    <cellStyle name="Comma  - Style6 6" xfId="9837"/>
    <cellStyle name="Comma  - Style6 7" xfId="9838"/>
    <cellStyle name="Comma  - Style6 8" xfId="9839"/>
    <cellStyle name="Comma  - Style6 9" xfId="9840"/>
    <cellStyle name="Comma  - Style7" xfId="9841"/>
    <cellStyle name="Comma  - Style7 10" xfId="9842"/>
    <cellStyle name="Comma  - Style7 11" xfId="9843"/>
    <cellStyle name="Comma  - Style7 2" xfId="9844"/>
    <cellStyle name="Comma  - Style7 2 2" xfId="9845"/>
    <cellStyle name="Comma  - Style7 2 3" xfId="9846"/>
    <cellStyle name="Comma  - Style7 2 4" xfId="9847"/>
    <cellStyle name="Comma  - Style7 2 5" xfId="9848"/>
    <cellStyle name="Comma  - Style7 2 6" xfId="9849"/>
    <cellStyle name="Comma  - Style7 2 7" xfId="9850"/>
    <cellStyle name="Comma  - Style7 2 8" xfId="9851"/>
    <cellStyle name="Comma  - Style7 2 9" xfId="9852"/>
    <cellStyle name="Comma  - Style7 3" xfId="9853"/>
    <cellStyle name="Comma  - Style7 4" xfId="9854"/>
    <cellStyle name="Comma  - Style7 5" xfId="9855"/>
    <cellStyle name="Comma  - Style7 6" xfId="9856"/>
    <cellStyle name="Comma  - Style7 7" xfId="9857"/>
    <cellStyle name="Comma  - Style7 8" xfId="9858"/>
    <cellStyle name="Comma  - Style7 9" xfId="9859"/>
    <cellStyle name="Comma  - Style8" xfId="9860"/>
    <cellStyle name="Comma  - Style8 10" xfId="9861"/>
    <cellStyle name="Comma  - Style8 11" xfId="9862"/>
    <cellStyle name="Comma  - Style8 2" xfId="9863"/>
    <cellStyle name="Comma  - Style8 2 2" xfId="9864"/>
    <cellStyle name="Comma  - Style8 2 3" xfId="9865"/>
    <cellStyle name="Comma  - Style8 2 4" xfId="9866"/>
    <cellStyle name="Comma  - Style8 2 5" xfId="9867"/>
    <cellStyle name="Comma  - Style8 2 6" xfId="9868"/>
    <cellStyle name="Comma  - Style8 2 7" xfId="9869"/>
    <cellStyle name="Comma  - Style8 2 8" xfId="9870"/>
    <cellStyle name="Comma  - Style8 2 9" xfId="9871"/>
    <cellStyle name="Comma  - Style8 3" xfId="9872"/>
    <cellStyle name="Comma  - Style8 4" xfId="9873"/>
    <cellStyle name="Comma  - Style8 5" xfId="9874"/>
    <cellStyle name="Comma  - Style8 6" xfId="9875"/>
    <cellStyle name="Comma  - Style8 7" xfId="9876"/>
    <cellStyle name="Comma  - Style8 8" xfId="9877"/>
    <cellStyle name="Comma  - Style8 9" xfId="9878"/>
    <cellStyle name="Comma (&quot;-&quot;)" xfId="9879"/>
    <cellStyle name="Comma (0)" xfId="9880"/>
    <cellStyle name="Comma [0] (&quot;-&quot;)" xfId="9881"/>
    <cellStyle name="Comma [0] 2" xfId="9882"/>
    <cellStyle name="Comma [0] 2 2" xfId="43024"/>
    <cellStyle name="Comma [0] 2 3" xfId="43023"/>
    <cellStyle name="Comma [0] 3" xfId="43025"/>
    <cellStyle name="Comma [00]" xfId="9883"/>
    <cellStyle name="Comma [1]" xfId="9884"/>
    <cellStyle name="Comma [2]" xfId="9885"/>
    <cellStyle name="Comma [3]" xfId="9886"/>
    <cellStyle name="Comma 0" xfId="9887"/>
    <cellStyle name="Comma 0*" xfId="9888"/>
    <cellStyle name="Comma 10" xfId="19"/>
    <cellStyle name="Comma 10 2" xfId="3"/>
    <cellStyle name="Comma 10 2 2" xfId="9889"/>
    <cellStyle name="Comma 10 2 3" xfId="9890"/>
    <cellStyle name="Comma 10 2 3 2" xfId="9891"/>
    <cellStyle name="Comma 10 2 3 2 2" xfId="9892"/>
    <cellStyle name="Comma 10 2 3 2 2 2" xfId="9893"/>
    <cellStyle name="Comma 10 2 3 2 2 2 2" xfId="9894"/>
    <cellStyle name="Comma 10 2 3 2 2 2 3" xfId="9895"/>
    <cellStyle name="Comma 10 2 3 2 2 3" xfId="9896"/>
    <cellStyle name="Comma 10 2 3 2 2 3 2" xfId="9897"/>
    <cellStyle name="Comma 10 2 3 2 2 3 3" xfId="9898"/>
    <cellStyle name="Comma 10 2 3 2 2 4" xfId="9899"/>
    <cellStyle name="Comma 10 2 3 2 2 5" xfId="9900"/>
    <cellStyle name="Comma 10 2 3 2 3" xfId="9901"/>
    <cellStyle name="Comma 10 2 3 2 3 2" xfId="9902"/>
    <cellStyle name="Comma 10 2 3 2 3 2 2" xfId="9903"/>
    <cellStyle name="Comma 10 2 3 2 3 2 3" xfId="9904"/>
    <cellStyle name="Comma 10 2 3 2 3 3" xfId="9905"/>
    <cellStyle name="Comma 10 2 3 2 3 3 2" xfId="9906"/>
    <cellStyle name="Comma 10 2 3 2 3 3 3" xfId="9907"/>
    <cellStyle name="Comma 10 2 3 2 3 4" xfId="9908"/>
    <cellStyle name="Comma 10 2 3 2 3 5" xfId="9909"/>
    <cellStyle name="Comma 10 2 3 2 4" xfId="9910"/>
    <cellStyle name="Comma 10 2 3 2 4 2" xfId="9911"/>
    <cellStyle name="Comma 10 2 3 2 4 3" xfId="9912"/>
    <cellStyle name="Comma 10 2 3 2 5" xfId="9913"/>
    <cellStyle name="Comma 10 2 3 2 5 2" xfId="9914"/>
    <cellStyle name="Comma 10 2 3 2 5 3" xfId="9915"/>
    <cellStyle name="Comma 10 2 3 2 6" xfId="9916"/>
    <cellStyle name="Comma 10 2 3 2 7" xfId="9917"/>
    <cellStyle name="Comma 10 2 3 3" xfId="9918"/>
    <cellStyle name="Comma 10 2 3 3 2" xfId="9919"/>
    <cellStyle name="Comma 10 2 3 3 2 2" xfId="9920"/>
    <cellStyle name="Comma 10 2 3 3 2 2 2" xfId="9921"/>
    <cellStyle name="Comma 10 2 3 3 2 2 3" xfId="9922"/>
    <cellStyle name="Comma 10 2 3 3 2 3" xfId="9923"/>
    <cellStyle name="Comma 10 2 3 3 2 3 2" xfId="9924"/>
    <cellStyle name="Comma 10 2 3 3 2 3 3" xfId="9925"/>
    <cellStyle name="Comma 10 2 3 3 2 4" xfId="9926"/>
    <cellStyle name="Comma 10 2 3 3 2 5" xfId="9927"/>
    <cellStyle name="Comma 10 2 3 3 3" xfId="9928"/>
    <cellStyle name="Comma 10 2 3 3 3 2" xfId="9929"/>
    <cellStyle name="Comma 10 2 3 3 3 2 2" xfId="9930"/>
    <cellStyle name="Comma 10 2 3 3 3 2 3" xfId="9931"/>
    <cellStyle name="Comma 10 2 3 3 3 3" xfId="9932"/>
    <cellStyle name="Comma 10 2 3 3 3 3 2" xfId="9933"/>
    <cellStyle name="Comma 10 2 3 3 3 3 3" xfId="9934"/>
    <cellStyle name="Comma 10 2 3 3 3 4" xfId="9935"/>
    <cellStyle name="Comma 10 2 3 3 3 5" xfId="9936"/>
    <cellStyle name="Comma 10 2 3 3 4" xfId="9937"/>
    <cellStyle name="Comma 10 2 3 3 4 2" xfId="9938"/>
    <cellStyle name="Comma 10 2 3 3 4 3" xfId="9939"/>
    <cellStyle name="Comma 10 2 3 3 5" xfId="9940"/>
    <cellStyle name="Comma 10 2 3 3 5 2" xfId="9941"/>
    <cellStyle name="Comma 10 2 3 3 5 3" xfId="9942"/>
    <cellStyle name="Comma 10 2 3 3 6" xfId="9943"/>
    <cellStyle name="Comma 10 2 3 3 7" xfId="9944"/>
    <cellStyle name="Comma 10 2 3 4" xfId="9945"/>
    <cellStyle name="Comma 10 2 3 4 2" xfId="9946"/>
    <cellStyle name="Comma 10 2 3 4 2 2" xfId="9947"/>
    <cellStyle name="Comma 10 2 3 4 2 3" xfId="9948"/>
    <cellStyle name="Comma 10 2 3 4 3" xfId="9949"/>
    <cellStyle name="Comma 10 2 3 4 3 2" xfId="9950"/>
    <cellStyle name="Comma 10 2 3 4 3 3" xfId="9951"/>
    <cellStyle name="Comma 10 2 3 4 4" xfId="9952"/>
    <cellStyle name="Comma 10 2 3 4 5" xfId="9953"/>
    <cellStyle name="Comma 10 2 3 5" xfId="9954"/>
    <cellStyle name="Comma 10 2 3 5 2" xfId="9955"/>
    <cellStyle name="Comma 10 2 3 5 2 2" xfId="9956"/>
    <cellStyle name="Comma 10 2 3 5 2 3" xfId="9957"/>
    <cellStyle name="Comma 10 2 3 5 3" xfId="9958"/>
    <cellStyle name="Comma 10 2 3 5 3 2" xfId="9959"/>
    <cellStyle name="Comma 10 2 3 5 3 3" xfId="9960"/>
    <cellStyle name="Comma 10 2 3 5 4" xfId="9961"/>
    <cellStyle name="Comma 10 2 3 5 5" xfId="9962"/>
    <cellStyle name="Comma 10 2 3 6" xfId="9963"/>
    <cellStyle name="Comma 10 2 3 6 2" xfId="9964"/>
    <cellStyle name="Comma 10 2 3 6 3" xfId="9965"/>
    <cellStyle name="Comma 10 2 3 7" xfId="9966"/>
    <cellStyle name="Comma 10 2 3 7 2" xfId="9967"/>
    <cellStyle name="Comma 10 2 3 7 3" xfId="9968"/>
    <cellStyle name="Comma 10 2 3 8" xfId="9969"/>
    <cellStyle name="Comma 10 2 3 9" xfId="9970"/>
    <cellStyle name="Comma 10 2 4" xfId="43027"/>
    <cellStyle name="Comma 10 3" xfId="9971"/>
    <cellStyle name="Comma 10 3 2" xfId="9972"/>
    <cellStyle name="Comma 10 3 3" xfId="43026"/>
    <cellStyle name="Comma 10 4" xfId="9973"/>
    <cellStyle name="Comma 10 4 2" xfId="9974"/>
    <cellStyle name="Comma 10 5" xfId="9975"/>
    <cellStyle name="Comma 10 6" xfId="9976"/>
    <cellStyle name="Comma 10_Dashboard - Inventory Metrics Aug 2012" xfId="9977"/>
    <cellStyle name="Comma 11" xfId="9978"/>
    <cellStyle name="Comma 11 2" xfId="9979"/>
    <cellStyle name="Comma 11 2 2" xfId="9980"/>
    <cellStyle name="Comma 11 2 2 2" xfId="9981"/>
    <cellStyle name="Comma 11 2 2 2 2" xfId="9982"/>
    <cellStyle name="Comma 11 2 2 2 2 2" xfId="9983"/>
    <cellStyle name="Comma 11 2 2 2 2 2 2" xfId="9984"/>
    <cellStyle name="Comma 11 2 2 2 2 2 3" xfId="9985"/>
    <cellStyle name="Comma 11 2 2 2 2 3" xfId="9986"/>
    <cellStyle name="Comma 11 2 2 2 2 3 2" xfId="9987"/>
    <cellStyle name="Comma 11 2 2 2 2 3 3" xfId="9988"/>
    <cellStyle name="Comma 11 2 2 2 2 4" xfId="9989"/>
    <cellStyle name="Comma 11 2 2 2 2 5" xfId="9990"/>
    <cellStyle name="Comma 11 2 2 2 3" xfId="9991"/>
    <cellStyle name="Comma 11 2 2 2 3 2" xfId="9992"/>
    <cellStyle name="Comma 11 2 2 2 3 2 2" xfId="9993"/>
    <cellStyle name="Comma 11 2 2 2 3 2 3" xfId="9994"/>
    <cellStyle name="Comma 11 2 2 2 3 3" xfId="9995"/>
    <cellStyle name="Comma 11 2 2 2 3 3 2" xfId="9996"/>
    <cellStyle name="Comma 11 2 2 2 3 3 3" xfId="9997"/>
    <cellStyle name="Comma 11 2 2 2 3 4" xfId="9998"/>
    <cellStyle name="Comma 11 2 2 2 3 5" xfId="9999"/>
    <cellStyle name="Comma 11 2 2 2 4" xfId="10000"/>
    <cellStyle name="Comma 11 2 2 2 4 2" xfId="10001"/>
    <cellStyle name="Comma 11 2 2 2 4 3" xfId="10002"/>
    <cellStyle name="Comma 11 2 2 2 5" xfId="10003"/>
    <cellStyle name="Comma 11 2 2 2 5 2" xfId="10004"/>
    <cellStyle name="Comma 11 2 2 2 5 3" xfId="10005"/>
    <cellStyle name="Comma 11 2 2 2 6" xfId="10006"/>
    <cellStyle name="Comma 11 2 2 2 7" xfId="10007"/>
    <cellStyle name="Comma 11 2 2 3" xfId="10008"/>
    <cellStyle name="Comma 11 2 2 3 2" xfId="10009"/>
    <cellStyle name="Comma 11 2 2 3 2 2" xfId="10010"/>
    <cellStyle name="Comma 11 2 2 3 2 2 2" xfId="10011"/>
    <cellStyle name="Comma 11 2 2 3 2 2 3" xfId="10012"/>
    <cellStyle name="Comma 11 2 2 3 2 3" xfId="10013"/>
    <cellStyle name="Comma 11 2 2 3 2 3 2" xfId="10014"/>
    <cellStyle name="Comma 11 2 2 3 2 3 3" xfId="10015"/>
    <cellStyle name="Comma 11 2 2 3 2 4" xfId="10016"/>
    <cellStyle name="Comma 11 2 2 3 2 5" xfId="10017"/>
    <cellStyle name="Comma 11 2 2 3 3" xfId="10018"/>
    <cellStyle name="Comma 11 2 2 3 3 2" xfId="10019"/>
    <cellStyle name="Comma 11 2 2 3 3 2 2" xfId="10020"/>
    <cellStyle name="Comma 11 2 2 3 3 2 3" xfId="10021"/>
    <cellStyle name="Comma 11 2 2 3 3 3" xfId="10022"/>
    <cellStyle name="Comma 11 2 2 3 3 3 2" xfId="10023"/>
    <cellStyle name="Comma 11 2 2 3 3 3 3" xfId="10024"/>
    <cellStyle name="Comma 11 2 2 3 3 4" xfId="10025"/>
    <cellStyle name="Comma 11 2 2 3 3 5" xfId="10026"/>
    <cellStyle name="Comma 11 2 2 3 4" xfId="10027"/>
    <cellStyle name="Comma 11 2 2 3 4 2" xfId="10028"/>
    <cellStyle name="Comma 11 2 2 3 4 3" xfId="10029"/>
    <cellStyle name="Comma 11 2 2 3 5" xfId="10030"/>
    <cellStyle name="Comma 11 2 2 3 5 2" xfId="10031"/>
    <cellStyle name="Comma 11 2 2 3 5 3" xfId="10032"/>
    <cellStyle name="Comma 11 2 2 3 6" xfId="10033"/>
    <cellStyle name="Comma 11 2 2 3 7" xfId="10034"/>
    <cellStyle name="Comma 11 2 2 4" xfId="10035"/>
    <cellStyle name="Comma 11 2 2 4 2" xfId="10036"/>
    <cellStyle name="Comma 11 2 2 4 2 2" xfId="10037"/>
    <cellStyle name="Comma 11 2 2 4 2 3" xfId="10038"/>
    <cellStyle name="Comma 11 2 2 4 3" xfId="10039"/>
    <cellStyle name="Comma 11 2 2 4 3 2" xfId="10040"/>
    <cellStyle name="Comma 11 2 2 4 3 3" xfId="10041"/>
    <cellStyle name="Comma 11 2 2 4 4" xfId="10042"/>
    <cellStyle name="Comma 11 2 2 4 5" xfId="10043"/>
    <cellStyle name="Comma 11 2 2 5" xfId="10044"/>
    <cellStyle name="Comma 11 2 2 5 2" xfId="10045"/>
    <cellStyle name="Comma 11 2 2 5 2 2" xfId="10046"/>
    <cellStyle name="Comma 11 2 2 5 2 3" xfId="10047"/>
    <cellStyle name="Comma 11 2 2 5 3" xfId="10048"/>
    <cellStyle name="Comma 11 2 2 5 3 2" xfId="10049"/>
    <cellStyle name="Comma 11 2 2 5 3 3" xfId="10050"/>
    <cellStyle name="Comma 11 2 2 5 4" xfId="10051"/>
    <cellStyle name="Comma 11 2 2 5 5" xfId="10052"/>
    <cellStyle name="Comma 11 2 2 6" xfId="10053"/>
    <cellStyle name="Comma 11 2 2 6 2" xfId="10054"/>
    <cellStyle name="Comma 11 2 2 6 3" xfId="10055"/>
    <cellStyle name="Comma 11 2 2 7" xfId="10056"/>
    <cellStyle name="Comma 11 2 2 7 2" xfId="10057"/>
    <cellStyle name="Comma 11 2 2 7 3" xfId="10058"/>
    <cellStyle name="Comma 11 2 2 8" xfId="10059"/>
    <cellStyle name="Comma 11 2 2 9" xfId="10060"/>
    <cellStyle name="Comma 11 2 3" xfId="10061"/>
    <cellStyle name="Comma 11 2 3 2" xfId="10062"/>
    <cellStyle name="Comma 11 2 3 2 2" xfId="10063"/>
    <cellStyle name="Comma 11 2 3 2 2 2" xfId="10064"/>
    <cellStyle name="Comma 11 2 3 2 2 2 2" xfId="10065"/>
    <cellStyle name="Comma 11 2 3 2 2 2 3" xfId="10066"/>
    <cellStyle name="Comma 11 2 3 2 2 3" xfId="10067"/>
    <cellStyle name="Comma 11 2 3 2 2 3 2" xfId="10068"/>
    <cellStyle name="Comma 11 2 3 2 2 3 3" xfId="10069"/>
    <cellStyle name="Comma 11 2 3 2 2 4" xfId="10070"/>
    <cellStyle name="Comma 11 2 3 2 2 5" xfId="10071"/>
    <cellStyle name="Comma 11 2 3 2 3" xfId="10072"/>
    <cellStyle name="Comma 11 2 3 2 3 2" xfId="10073"/>
    <cellStyle name="Comma 11 2 3 2 3 2 2" xfId="10074"/>
    <cellStyle name="Comma 11 2 3 2 3 2 3" xfId="10075"/>
    <cellStyle name="Comma 11 2 3 2 3 3" xfId="10076"/>
    <cellStyle name="Comma 11 2 3 2 3 3 2" xfId="10077"/>
    <cellStyle name="Comma 11 2 3 2 3 3 3" xfId="10078"/>
    <cellStyle name="Comma 11 2 3 2 3 4" xfId="10079"/>
    <cellStyle name="Comma 11 2 3 2 3 5" xfId="10080"/>
    <cellStyle name="Comma 11 2 3 2 4" xfId="10081"/>
    <cellStyle name="Comma 11 2 3 2 4 2" xfId="10082"/>
    <cellStyle name="Comma 11 2 3 2 4 3" xfId="10083"/>
    <cellStyle name="Comma 11 2 3 2 5" xfId="10084"/>
    <cellStyle name="Comma 11 2 3 2 5 2" xfId="10085"/>
    <cellStyle name="Comma 11 2 3 2 5 3" xfId="10086"/>
    <cellStyle name="Comma 11 2 3 2 6" xfId="10087"/>
    <cellStyle name="Comma 11 2 3 2 7" xfId="10088"/>
    <cellStyle name="Comma 11 2 3 3" xfId="10089"/>
    <cellStyle name="Comma 11 2 3 3 2" xfId="10090"/>
    <cellStyle name="Comma 11 2 3 3 2 2" xfId="10091"/>
    <cellStyle name="Comma 11 2 3 3 2 2 2" xfId="10092"/>
    <cellStyle name="Comma 11 2 3 3 2 2 3" xfId="10093"/>
    <cellStyle name="Comma 11 2 3 3 2 3" xfId="10094"/>
    <cellStyle name="Comma 11 2 3 3 2 3 2" xfId="10095"/>
    <cellStyle name="Comma 11 2 3 3 2 3 3" xfId="10096"/>
    <cellStyle name="Comma 11 2 3 3 2 4" xfId="10097"/>
    <cellStyle name="Comma 11 2 3 3 2 5" xfId="10098"/>
    <cellStyle name="Comma 11 2 3 3 3" xfId="10099"/>
    <cellStyle name="Comma 11 2 3 3 3 2" xfId="10100"/>
    <cellStyle name="Comma 11 2 3 3 3 2 2" xfId="10101"/>
    <cellStyle name="Comma 11 2 3 3 3 2 3" xfId="10102"/>
    <cellStyle name="Comma 11 2 3 3 3 3" xfId="10103"/>
    <cellStyle name="Comma 11 2 3 3 3 3 2" xfId="10104"/>
    <cellStyle name="Comma 11 2 3 3 3 3 3" xfId="10105"/>
    <cellStyle name="Comma 11 2 3 3 3 4" xfId="10106"/>
    <cellStyle name="Comma 11 2 3 3 3 5" xfId="10107"/>
    <cellStyle name="Comma 11 2 3 3 4" xfId="10108"/>
    <cellStyle name="Comma 11 2 3 3 4 2" xfId="10109"/>
    <cellStyle name="Comma 11 2 3 3 4 3" xfId="10110"/>
    <cellStyle name="Comma 11 2 3 3 5" xfId="10111"/>
    <cellStyle name="Comma 11 2 3 3 5 2" xfId="10112"/>
    <cellStyle name="Comma 11 2 3 3 5 3" xfId="10113"/>
    <cellStyle name="Comma 11 2 3 3 6" xfId="10114"/>
    <cellStyle name="Comma 11 2 3 3 7" xfId="10115"/>
    <cellStyle name="Comma 11 2 3 4" xfId="10116"/>
    <cellStyle name="Comma 11 2 3 4 2" xfId="10117"/>
    <cellStyle name="Comma 11 2 3 4 2 2" xfId="10118"/>
    <cellStyle name="Comma 11 2 3 4 2 3" xfId="10119"/>
    <cellStyle name="Comma 11 2 3 4 3" xfId="10120"/>
    <cellStyle name="Comma 11 2 3 4 3 2" xfId="10121"/>
    <cellStyle name="Comma 11 2 3 4 3 3" xfId="10122"/>
    <cellStyle name="Comma 11 2 3 4 4" xfId="10123"/>
    <cellStyle name="Comma 11 2 3 4 5" xfId="10124"/>
    <cellStyle name="Comma 11 2 3 5" xfId="10125"/>
    <cellStyle name="Comma 11 2 3 5 2" xfId="10126"/>
    <cellStyle name="Comma 11 2 3 5 2 2" xfId="10127"/>
    <cellStyle name="Comma 11 2 3 5 2 3" xfId="10128"/>
    <cellStyle name="Comma 11 2 3 5 3" xfId="10129"/>
    <cellStyle name="Comma 11 2 3 5 3 2" xfId="10130"/>
    <cellStyle name="Comma 11 2 3 5 3 3" xfId="10131"/>
    <cellStyle name="Comma 11 2 3 5 4" xfId="10132"/>
    <cellStyle name="Comma 11 2 3 5 5" xfId="10133"/>
    <cellStyle name="Comma 11 2 3 6" xfId="10134"/>
    <cellStyle name="Comma 11 2 3 6 2" xfId="10135"/>
    <cellStyle name="Comma 11 2 3 6 3" xfId="10136"/>
    <cellStyle name="Comma 11 2 3 7" xfId="10137"/>
    <cellStyle name="Comma 11 2 3 7 2" xfId="10138"/>
    <cellStyle name="Comma 11 2 3 7 3" xfId="10139"/>
    <cellStyle name="Comma 11 2 3 8" xfId="10140"/>
    <cellStyle name="Comma 11 2 3 9" xfId="10141"/>
    <cellStyle name="Comma 11 3" xfId="10142"/>
    <cellStyle name="Comma 11 3 2" xfId="10143"/>
    <cellStyle name="Comma 11 3 2 2" xfId="10144"/>
    <cellStyle name="Comma 11 3 2 2 2" xfId="10145"/>
    <cellStyle name="Comma 11 3 2 2 2 2" xfId="10146"/>
    <cellStyle name="Comma 11 3 2 2 2 3" xfId="10147"/>
    <cellStyle name="Comma 11 3 2 2 3" xfId="10148"/>
    <cellStyle name="Comma 11 3 2 2 3 2" xfId="10149"/>
    <cellStyle name="Comma 11 3 2 2 3 3" xfId="10150"/>
    <cellStyle name="Comma 11 3 2 2 4" xfId="10151"/>
    <cellStyle name="Comma 11 3 2 2 5" xfId="10152"/>
    <cellStyle name="Comma 11 3 2 3" xfId="10153"/>
    <cellStyle name="Comma 11 3 2 3 2" xfId="10154"/>
    <cellStyle name="Comma 11 3 2 3 2 2" xfId="10155"/>
    <cellStyle name="Comma 11 3 2 3 2 3" xfId="10156"/>
    <cellStyle name="Comma 11 3 2 3 3" xfId="10157"/>
    <cellStyle name="Comma 11 3 2 3 3 2" xfId="10158"/>
    <cellStyle name="Comma 11 3 2 3 3 3" xfId="10159"/>
    <cellStyle name="Comma 11 3 2 3 4" xfId="10160"/>
    <cellStyle name="Comma 11 3 2 3 5" xfId="10161"/>
    <cellStyle name="Comma 11 3 2 4" xfId="10162"/>
    <cellStyle name="Comma 11 3 2 4 2" xfId="10163"/>
    <cellStyle name="Comma 11 3 2 4 3" xfId="10164"/>
    <cellStyle name="Comma 11 3 2 5" xfId="10165"/>
    <cellStyle name="Comma 11 3 2 5 2" xfId="10166"/>
    <cellStyle name="Comma 11 3 2 5 3" xfId="10167"/>
    <cellStyle name="Comma 11 3 2 6" xfId="10168"/>
    <cellStyle name="Comma 11 3 2 7" xfId="10169"/>
    <cellStyle name="Comma 11 3 3" xfId="10170"/>
    <cellStyle name="Comma 11 3 3 2" xfId="10171"/>
    <cellStyle name="Comma 11 3 3 2 2" xfId="10172"/>
    <cellStyle name="Comma 11 3 3 2 2 2" xfId="10173"/>
    <cellStyle name="Comma 11 3 3 2 2 3" xfId="10174"/>
    <cellStyle name="Comma 11 3 3 2 3" xfId="10175"/>
    <cellStyle name="Comma 11 3 3 2 3 2" xfId="10176"/>
    <cellStyle name="Comma 11 3 3 2 3 3" xfId="10177"/>
    <cellStyle name="Comma 11 3 3 2 4" xfId="10178"/>
    <cellStyle name="Comma 11 3 3 2 5" xfId="10179"/>
    <cellStyle name="Comma 11 3 3 3" xfId="10180"/>
    <cellStyle name="Comma 11 3 3 3 2" xfId="10181"/>
    <cellStyle name="Comma 11 3 3 3 2 2" xfId="10182"/>
    <cellStyle name="Comma 11 3 3 3 2 3" xfId="10183"/>
    <cellStyle name="Comma 11 3 3 3 3" xfId="10184"/>
    <cellStyle name="Comma 11 3 3 3 3 2" xfId="10185"/>
    <cellStyle name="Comma 11 3 3 3 3 3" xfId="10186"/>
    <cellStyle name="Comma 11 3 3 3 4" xfId="10187"/>
    <cellStyle name="Comma 11 3 3 3 5" xfId="10188"/>
    <cellStyle name="Comma 11 3 3 4" xfId="10189"/>
    <cellStyle name="Comma 11 3 3 4 2" xfId="10190"/>
    <cellStyle name="Comma 11 3 3 4 3" xfId="10191"/>
    <cellStyle name="Comma 11 3 3 5" xfId="10192"/>
    <cellStyle name="Comma 11 3 3 5 2" xfId="10193"/>
    <cellStyle name="Comma 11 3 3 5 3" xfId="10194"/>
    <cellStyle name="Comma 11 3 3 6" xfId="10195"/>
    <cellStyle name="Comma 11 3 3 7" xfId="10196"/>
    <cellStyle name="Comma 11 3 4" xfId="10197"/>
    <cellStyle name="Comma 11 3 4 2" xfId="10198"/>
    <cellStyle name="Comma 11 3 4 2 2" xfId="10199"/>
    <cellStyle name="Comma 11 3 4 2 3" xfId="10200"/>
    <cellStyle name="Comma 11 3 4 3" xfId="10201"/>
    <cellStyle name="Comma 11 3 4 3 2" xfId="10202"/>
    <cellStyle name="Comma 11 3 4 3 3" xfId="10203"/>
    <cellStyle name="Comma 11 3 4 4" xfId="10204"/>
    <cellStyle name="Comma 11 3 4 5" xfId="10205"/>
    <cellStyle name="Comma 11 3 5" xfId="10206"/>
    <cellStyle name="Comma 11 3 5 2" xfId="10207"/>
    <cellStyle name="Comma 11 3 5 2 2" xfId="10208"/>
    <cellStyle name="Comma 11 3 5 2 3" xfId="10209"/>
    <cellStyle name="Comma 11 3 5 3" xfId="10210"/>
    <cellStyle name="Comma 11 3 5 3 2" xfId="10211"/>
    <cellStyle name="Comma 11 3 5 3 3" xfId="10212"/>
    <cellStyle name="Comma 11 3 5 4" xfId="10213"/>
    <cellStyle name="Comma 11 3 5 5" xfId="10214"/>
    <cellStyle name="Comma 11 3 6" xfId="10215"/>
    <cellStyle name="Comma 11 3 6 2" xfId="10216"/>
    <cellStyle name="Comma 11 3 6 3" xfId="10217"/>
    <cellStyle name="Comma 11 3 7" xfId="10218"/>
    <cellStyle name="Comma 11 3 7 2" xfId="10219"/>
    <cellStyle name="Comma 11 3 7 3" xfId="10220"/>
    <cellStyle name="Comma 11 3 8" xfId="10221"/>
    <cellStyle name="Comma 11 3 9" xfId="10222"/>
    <cellStyle name="Comma 11 4" xfId="10223"/>
    <cellStyle name="Comma 11 4 2" xfId="10224"/>
    <cellStyle name="Comma 11 4 2 2" xfId="10225"/>
    <cellStyle name="Comma 11 4 2 2 2" xfId="10226"/>
    <cellStyle name="Comma 11 4 2 2 2 2" xfId="10227"/>
    <cellStyle name="Comma 11 4 2 2 2 3" xfId="10228"/>
    <cellStyle name="Comma 11 4 2 2 3" xfId="10229"/>
    <cellStyle name="Comma 11 4 2 2 3 2" xfId="10230"/>
    <cellStyle name="Comma 11 4 2 2 3 3" xfId="10231"/>
    <cellStyle name="Comma 11 4 2 2 4" xfId="10232"/>
    <cellStyle name="Comma 11 4 2 2 5" xfId="10233"/>
    <cellStyle name="Comma 11 4 2 3" xfId="10234"/>
    <cellStyle name="Comma 11 4 2 3 2" xfId="10235"/>
    <cellStyle name="Comma 11 4 2 3 2 2" xfId="10236"/>
    <cellStyle name="Comma 11 4 2 3 2 3" xfId="10237"/>
    <cellStyle name="Comma 11 4 2 3 3" xfId="10238"/>
    <cellStyle name="Comma 11 4 2 3 3 2" xfId="10239"/>
    <cellStyle name="Comma 11 4 2 3 3 3" xfId="10240"/>
    <cellStyle name="Comma 11 4 2 3 4" xfId="10241"/>
    <cellStyle name="Comma 11 4 2 3 5" xfId="10242"/>
    <cellStyle name="Comma 11 4 2 4" xfId="10243"/>
    <cellStyle name="Comma 11 4 2 4 2" xfId="10244"/>
    <cellStyle name="Comma 11 4 2 4 3" xfId="10245"/>
    <cellStyle name="Comma 11 4 2 5" xfId="10246"/>
    <cellStyle name="Comma 11 4 2 5 2" xfId="10247"/>
    <cellStyle name="Comma 11 4 2 5 3" xfId="10248"/>
    <cellStyle name="Comma 11 4 2 6" xfId="10249"/>
    <cellStyle name="Comma 11 4 2 7" xfId="10250"/>
    <cellStyle name="Comma 11 4 3" xfId="10251"/>
    <cellStyle name="Comma 11 4 3 2" xfId="10252"/>
    <cellStyle name="Comma 11 4 3 2 2" xfId="10253"/>
    <cellStyle name="Comma 11 4 3 2 2 2" xfId="10254"/>
    <cellStyle name="Comma 11 4 3 2 2 3" xfId="10255"/>
    <cellStyle name="Comma 11 4 3 2 3" xfId="10256"/>
    <cellStyle name="Comma 11 4 3 2 3 2" xfId="10257"/>
    <cellStyle name="Comma 11 4 3 2 3 3" xfId="10258"/>
    <cellStyle name="Comma 11 4 3 2 4" xfId="10259"/>
    <cellStyle name="Comma 11 4 3 2 5" xfId="10260"/>
    <cellStyle name="Comma 11 4 3 3" xfId="10261"/>
    <cellStyle name="Comma 11 4 3 3 2" xfId="10262"/>
    <cellStyle name="Comma 11 4 3 3 2 2" xfId="10263"/>
    <cellStyle name="Comma 11 4 3 3 2 3" xfId="10264"/>
    <cellStyle name="Comma 11 4 3 3 3" xfId="10265"/>
    <cellStyle name="Comma 11 4 3 3 3 2" xfId="10266"/>
    <cellStyle name="Comma 11 4 3 3 3 3" xfId="10267"/>
    <cellStyle name="Comma 11 4 3 3 4" xfId="10268"/>
    <cellStyle name="Comma 11 4 3 3 5" xfId="10269"/>
    <cellStyle name="Comma 11 4 3 4" xfId="10270"/>
    <cellStyle name="Comma 11 4 3 4 2" xfId="10271"/>
    <cellStyle name="Comma 11 4 3 4 3" xfId="10272"/>
    <cellStyle name="Comma 11 4 3 5" xfId="10273"/>
    <cellStyle name="Comma 11 4 3 5 2" xfId="10274"/>
    <cellStyle name="Comma 11 4 3 5 3" xfId="10275"/>
    <cellStyle name="Comma 11 4 3 6" xfId="10276"/>
    <cellStyle name="Comma 11 4 3 7" xfId="10277"/>
    <cellStyle name="Comma 11 4 4" xfId="10278"/>
    <cellStyle name="Comma 11 4 4 2" xfId="10279"/>
    <cellStyle name="Comma 11 4 4 2 2" xfId="10280"/>
    <cellStyle name="Comma 11 4 4 2 3" xfId="10281"/>
    <cellStyle name="Comma 11 4 4 3" xfId="10282"/>
    <cellStyle name="Comma 11 4 4 3 2" xfId="10283"/>
    <cellStyle name="Comma 11 4 4 3 3" xfId="10284"/>
    <cellStyle name="Comma 11 4 4 4" xfId="10285"/>
    <cellStyle name="Comma 11 4 4 5" xfId="10286"/>
    <cellStyle name="Comma 11 4 5" xfId="10287"/>
    <cellStyle name="Comma 11 4 5 2" xfId="10288"/>
    <cellStyle name="Comma 11 4 5 2 2" xfId="10289"/>
    <cellStyle name="Comma 11 4 5 2 3" xfId="10290"/>
    <cellStyle name="Comma 11 4 5 3" xfId="10291"/>
    <cellStyle name="Comma 11 4 5 3 2" xfId="10292"/>
    <cellStyle name="Comma 11 4 5 3 3" xfId="10293"/>
    <cellStyle name="Comma 11 4 5 4" xfId="10294"/>
    <cellStyle name="Comma 11 4 5 5" xfId="10295"/>
    <cellStyle name="Comma 11 4 6" xfId="10296"/>
    <cellStyle name="Comma 11 4 6 2" xfId="10297"/>
    <cellStyle name="Comma 11 4 6 3" xfId="10298"/>
    <cellStyle name="Comma 11 4 7" xfId="10299"/>
    <cellStyle name="Comma 11 4 7 2" xfId="10300"/>
    <cellStyle name="Comma 11 4 7 3" xfId="10301"/>
    <cellStyle name="Comma 11 4 8" xfId="10302"/>
    <cellStyle name="Comma 11 4 9" xfId="10303"/>
    <cellStyle name="Comma 12" xfId="10304"/>
    <cellStyle name="Comma 12 2" xfId="10305"/>
    <cellStyle name="Comma 12 2 2" xfId="10306"/>
    <cellStyle name="Comma 12 2 3" xfId="10307"/>
    <cellStyle name="Comma 12 2 3 2" xfId="10308"/>
    <cellStyle name="Comma 12 2 3 2 2" xfId="10309"/>
    <cellStyle name="Comma 12 2 3 2 2 2" xfId="10310"/>
    <cellStyle name="Comma 12 2 3 2 2 2 2" xfId="10311"/>
    <cellStyle name="Comma 12 2 3 2 2 2 3" xfId="10312"/>
    <cellStyle name="Comma 12 2 3 2 2 3" xfId="10313"/>
    <cellStyle name="Comma 12 2 3 2 2 3 2" xfId="10314"/>
    <cellStyle name="Comma 12 2 3 2 2 3 3" xfId="10315"/>
    <cellStyle name="Comma 12 2 3 2 2 4" xfId="10316"/>
    <cellStyle name="Comma 12 2 3 2 2 5" xfId="10317"/>
    <cellStyle name="Comma 12 2 3 2 3" xfId="10318"/>
    <cellStyle name="Comma 12 2 3 2 3 2" xfId="10319"/>
    <cellStyle name="Comma 12 2 3 2 3 2 2" xfId="10320"/>
    <cellStyle name="Comma 12 2 3 2 3 2 3" xfId="10321"/>
    <cellStyle name="Comma 12 2 3 2 3 3" xfId="10322"/>
    <cellStyle name="Comma 12 2 3 2 3 3 2" xfId="10323"/>
    <cellStyle name="Comma 12 2 3 2 3 3 3" xfId="10324"/>
    <cellStyle name="Comma 12 2 3 2 3 4" xfId="10325"/>
    <cellStyle name="Comma 12 2 3 2 3 5" xfId="10326"/>
    <cellStyle name="Comma 12 2 3 2 4" xfId="10327"/>
    <cellStyle name="Comma 12 2 3 2 4 2" xfId="10328"/>
    <cellStyle name="Comma 12 2 3 2 4 3" xfId="10329"/>
    <cellStyle name="Comma 12 2 3 2 5" xfId="10330"/>
    <cellStyle name="Comma 12 2 3 2 5 2" xfId="10331"/>
    <cellStyle name="Comma 12 2 3 2 5 3" xfId="10332"/>
    <cellStyle name="Comma 12 2 3 2 6" xfId="10333"/>
    <cellStyle name="Comma 12 2 3 2 7" xfId="10334"/>
    <cellStyle name="Comma 12 2 3 3" xfId="10335"/>
    <cellStyle name="Comma 12 2 3 3 2" xfId="10336"/>
    <cellStyle name="Comma 12 2 3 3 2 2" xfId="10337"/>
    <cellStyle name="Comma 12 2 3 3 2 2 2" xfId="10338"/>
    <cellStyle name="Comma 12 2 3 3 2 2 3" xfId="10339"/>
    <cellStyle name="Comma 12 2 3 3 2 3" xfId="10340"/>
    <cellStyle name="Comma 12 2 3 3 2 3 2" xfId="10341"/>
    <cellStyle name="Comma 12 2 3 3 2 3 3" xfId="10342"/>
    <cellStyle name="Comma 12 2 3 3 2 4" xfId="10343"/>
    <cellStyle name="Comma 12 2 3 3 2 5" xfId="10344"/>
    <cellStyle name="Comma 12 2 3 3 3" xfId="10345"/>
    <cellStyle name="Comma 12 2 3 3 3 2" xfId="10346"/>
    <cellStyle name="Comma 12 2 3 3 3 2 2" xfId="10347"/>
    <cellStyle name="Comma 12 2 3 3 3 2 3" xfId="10348"/>
    <cellStyle name="Comma 12 2 3 3 3 3" xfId="10349"/>
    <cellStyle name="Comma 12 2 3 3 3 3 2" xfId="10350"/>
    <cellStyle name="Comma 12 2 3 3 3 3 3" xfId="10351"/>
    <cellStyle name="Comma 12 2 3 3 3 4" xfId="10352"/>
    <cellStyle name="Comma 12 2 3 3 3 5" xfId="10353"/>
    <cellStyle name="Comma 12 2 3 3 4" xfId="10354"/>
    <cellStyle name="Comma 12 2 3 3 4 2" xfId="10355"/>
    <cellStyle name="Comma 12 2 3 3 4 3" xfId="10356"/>
    <cellStyle name="Comma 12 2 3 3 5" xfId="10357"/>
    <cellStyle name="Comma 12 2 3 3 5 2" xfId="10358"/>
    <cellStyle name="Comma 12 2 3 3 5 3" xfId="10359"/>
    <cellStyle name="Comma 12 2 3 3 6" xfId="10360"/>
    <cellStyle name="Comma 12 2 3 3 7" xfId="10361"/>
    <cellStyle name="Comma 12 2 3 4" xfId="10362"/>
    <cellStyle name="Comma 12 2 3 4 2" xfId="10363"/>
    <cellStyle name="Comma 12 2 3 4 2 2" xfId="10364"/>
    <cellStyle name="Comma 12 2 3 4 2 3" xfId="10365"/>
    <cellStyle name="Comma 12 2 3 4 3" xfId="10366"/>
    <cellStyle name="Comma 12 2 3 4 3 2" xfId="10367"/>
    <cellStyle name="Comma 12 2 3 4 3 3" xfId="10368"/>
    <cellStyle name="Comma 12 2 3 4 4" xfId="10369"/>
    <cellStyle name="Comma 12 2 3 4 5" xfId="10370"/>
    <cellStyle name="Comma 12 2 3 5" xfId="10371"/>
    <cellStyle name="Comma 12 2 3 5 2" xfId="10372"/>
    <cellStyle name="Comma 12 2 3 5 2 2" xfId="10373"/>
    <cellStyle name="Comma 12 2 3 5 2 3" xfId="10374"/>
    <cellStyle name="Comma 12 2 3 5 3" xfId="10375"/>
    <cellStyle name="Comma 12 2 3 5 3 2" xfId="10376"/>
    <cellStyle name="Comma 12 2 3 5 3 3" xfId="10377"/>
    <cellStyle name="Comma 12 2 3 5 4" xfId="10378"/>
    <cellStyle name="Comma 12 2 3 5 5" xfId="10379"/>
    <cellStyle name="Comma 12 2 3 6" xfId="10380"/>
    <cellStyle name="Comma 12 2 3 6 2" xfId="10381"/>
    <cellStyle name="Comma 12 2 3 6 3" xfId="10382"/>
    <cellStyle name="Comma 12 2 3 7" xfId="10383"/>
    <cellStyle name="Comma 12 2 3 7 2" xfId="10384"/>
    <cellStyle name="Comma 12 2 3 7 3" xfId="10385"/>
    <cellStyle name="Comma 12 2 3 8" xfId="10386"/>
    <cellStyle name="Comma 12 2 3 9" xfId="10387"/>
    <cellStyle name="Comma 12 3" xfId="10388"/>
    <cellStyle name="Comma 12 3 2" xfId="10389"/>
    <cellStyle name="Comma 12 4" xfId="10390"/>
    <cellStyle name="Comma 13" xfId="10391"/>
    <cellStyle name="Comma 13 2" xfId="10392"/>
    <cellStyle name="Comma 13 2 2" xfId="10393"/>
    <cellStyle name="Comma 13 2 2 2" xfId="10394"/>
    <cellStyle name="Comma 13 2 2 2 2" xfId="10395"/>
    <cellStyle name="Comma 13 2 2 2 2 2" xfId="10396"/>
    <cellStyle name="Comma 13 2 2 2 2 2 2" xfId="10397"/>
    <cellStyle name="Comma 13 2 2 2 2 2 2 2" xfId="10398"/>
    <cellStyle name="Comma 13 2 2 2 2 2 2 3" xfId="10399"/>
    <cellStyle name="Comma 13 2 2 2 2 2 3" xfId="10400"/>
    <cellStyle name="Comma 13 2 2 2 2 2 3 2" xfId="10401"/>
    <cellStyle name="Comma 13 2 2 2 2 2 3 3" xfId="10402"/>
    <cellStyle name="Comma 13 2 2 2 2 2 4" xfId="10403"/>
    <cellStyle name="Comma 13 2 2 2 2 2 5" xfId="10404"/>
    <cellStyle name="Comma 13 2 2 2 2 3" xfId="10405"/>
    <cellStyle name="Comma 13 2 2 2 2 3 2" xfId="10406"/>
    <cellStyle name="Comma 13 2 2 2 2 3 2 2" xfId="10407"/>
    <cellStyle name="Comma 13 2 2 2 2 3 2 3" xfId="10408"/>
    <cellStyle name="Comma 13 2 2 2 2 3 3" xfId="10409"/>
    <cellStyle name="Comma 13 2 2 2 2 3 3 2" xfId="10410"/>
    <cellStyle name="Comma 13 2 2 2 2 3 3 3" xfId="10411"/>
    <cellStyle name="Comma 13 2 2 2 2 3 4" xfId="10412"/>
    <cellStyle name="Comma 13 2 2 2 2 3 5" xfId="10413"/>
    <cellStyle name="Comma 13 2 2 2 2 4" xfId="10414"/>
    <cellStyle name="Comma 13 2 2 2 2 4 2" xfId="10415"/>
    <cellStyle name="Comma 13 2 2 2 2 4 3" xfId="10416"/>
    <cellStyle name="Comma 13 2 2 2 2 5" xfId="10417"/>
    <cellStyle name="Comma 13 2 2 2 2 5 2" xfId="10418"/>
    <cellStyle name="Comma 13 2 2 2 2 5 3" xfId="10419"/>
    <cellStyle name="Comma 13 2 2 2 2 6" xfId="10420"/>
    <cellStyle name="Comma 13 2 2 2 2 7" xfId="10421"/>
    <cellStyle name="Comma 13 2 2 2 3" xfId="10422"/>
    <cellStyle name="Comma 13 2 2 2 3 2" xfId="10423"/>
    <cellStyle name="Comma 13 2 2 2 3 2 2" xfId="10424"/>
    <cellStyle name="Comma 13 2 2 2 3 2 2 2" xfId="10425"/>
    <cellStyle name="Comma 13 2 2 2 3 2 2 3" xfId="10426"/>
    <cellStyle name="Comma 13 2 2 2 3 2 3" xfId="10427"/>
    <cellStyle name="Comma 13 2 2 2 3 2 3 2" xfId="10428"/>
    <cellStyle name="Comma 13 2 2 2 3 2 3 3" xfId="10429"/>
    <cellStyle name="Comma 13 2 2 2 3 2 4" xfId="10430"/>
    <cellStyle name="Comma 13 2 2 2 3 2 5" xfId="10431"/>
    <cellStyle name="Comma 13 2 2 2 3 3" xfId="10432"/>
    <cellStyle name="Comma 13 2 2 2 3 3 2" xfId="10433"/>
    <cellStyle name="Comma 13 2 2 2 3 3 2 2" xfId="10434"/>
    <cellStyle name="Comma 13 2 2 2 3 3 2 3" xfId="10435"/>
    <cellStyle name="Comma 13 2 2 2 3 3 3" xfId="10436"/>
    <cellStyle name="Comma 13 2 2 2 3 3 3 2" xfId="10437"/>
    <cellStyle name="Comma 13 2 2 2 3 3 3 3" xfId="10438"/>
    <cellStyle name="Comma 13 2 2 2 3 3 4" xfId="10439"/>
    <cellStyle name="Comma 13 2 2 2 3 3 5" xfId="10440"/>
    <cellStyle name="Comma 13 2 2 2 3 4" xfId="10441"/>
    <cellStyle name="Comma 13 2 2 2 3 4 2" xfId="10442"/>
    <cellStyle name="Comma 13 2 2 2 3 4 3" xfId="10443"/>
    <cellStyle name="Comma 13 2 2 2 3 5" xfId="10444"/>
    <cellStyle name="Comma 13 2 2 2 3 5 2" xfId="10445"/>
    <cellStyle name="Comma 13 2 2 2 3 5 3" xfId="10446"/>
    <cellStyle name="Comma 13 2 2 2 3 6" xfId="10447"/>
    <cellStyle name="Comma 13 2 2 2 3 7" xfId="10448"/>
    <cellStyle name="Comma 13 2 2 2 4" xfId="10449"/>
    <cellStyle name="Comma 13 2 2 2 4 2" xfId="10450"/>
    <cellStyle name="Comma 13 2 2 2 4 2 2" xfId="10451"/>
    <cellStyle name="Comma 13 2 2 2 4 2 3" xfId="10452"/>
    <cellStyle name="Comma 13 2 2 2 4 3" xfId="10453"/>
    <cellStyle name="Comma 13 2 2 2 4 3 2" xfId="10454"/>
    <cellStyle name="Comma 13 2 2 2 4 3 3" xfId="10455"/>
    <cellStyle name="Comma 13 2 2 2 4 4" xfId="10456"/>
    <cellStyle name="Comma 13 2 2 2 4 5" xfId="10457"/>
    <cellStyle name="Comma 13 2 2 2 5" xfId="10458"/>
    <cellStyle name="Comma 13 2 2 2 5 2" xfId="10459"/>
    <cellStyle name="Comma 13 2 2 2 5 2 2" xfId="10460"/>
    <cellStyle name="Comma 13 2 2 2 5 2 3" xfId="10461"/>
    <cellStyle name="Comma 13 2 2 2 5 3" xfId="10462"/>
    <cellStyle name="Comma 13 2 2 2 5 3 2" xfId="10463"/>
    <cellStyle name="Comma 13 2 2 2 5 3 3" xfId="10464"/>
    <cellStyle name="Comma 13 2 2 2 5 4" xfId="10465"/>
    <cellStyle name="Comma 13 2 2 2 5 5" xfId="10466"/>
    <cellStyle name="Comma 13 2 2 2 6" xfId="10467"/>
    <cellStyle name="Comma 13 2 2 2 6 2" xfId="10468"/>
    <cellStyle name="Comma 13 2 2 2 6 3" xfId="10469"/>
    <cellStyle name="Comma 13 2 2 2 7" xfId="10470"/>
    <cellStyle name="Comma 13 2 2 2 7 2" xfId="10471"/>
    <cellStyle name="Comma 13 2 2 2 7 3" xfId="10472"/>
    <cellStyle name="Comma 13 2 2 2 8" xfId="10473"/>
    <cellStyle name="Comma 13 2 2 2 9" xfId="10474"/>
    <cellStyle name="Comma 13 2 3" xfId="10475"/>
    <cellStyle name="Comma 13 2 3 2" xfId="10476"/>
    <cellStyle name="Comma 13 2 3 2 2" xfId="10477"/>
    <cellStyle name="Comma 13 2 3 2 2 2" xfId="10478"/>
    <cellStyle name="Comma 13 2 3 2 2 2 2" xfId="10479"/>
    <cellStyle name="Comma 13 2 3 2 2 2 3" xfId="10480"/>
    <cellStyle name="Comma 13 2 3 2 2 3" xfId="10481"/>
    <cellStyle name="Comma 13 2 3 2 2 3 2" xfId="10482"/>
    <cellStyle name="Comma 13 2 3 2 2 3 3" xfId="10483"/>
    <cellStyle name="Comma 13 2 3 2 2 4" xfId="10484"/>
    <cellStyle name="Comma 13 2 3 2 2 5" xfId="10485"/>
    <cellStyle name="Comma 13 2 3 2 3" xfId="10486"/>
    <cellStyle name="Comma 13 2 3 2 3 2" xfId="10487"/>
    <cellStyle name="Comma 13 2 3 2 3 2 2" xfId="10488"/>
    <cellStyle name="Comma 13 2 3 2 3 2 3" xfId="10489"/>
    <cellStyle name="Comma 13 2 3 2 3 3" xfId="10490"/>
    <cellStyle name="Comma 13 2 3 2 3 3 2" xfId="10491"/>
    <cellStyle name="Comma 13 2 3 2 3 3 3" xfId="10492"/>
    <cellStyle name="Comma 13 2 3 2 3 4" xfId="10493"/>
    <cellStyle name="Comma 13 2 3 2 3 5" xfId="10494"/>
    <cellStyle name="Comma 13 2 3 2 4" xfId="10495"/>
    <cellStyle name="Comma 13 2 3 2 4 2" xfId="10496"/>
    <cellStyle name="Comma 13 2 3 2 4 3" xfId="10497"/>
    <cellStyle name="Comma 13 2 3 2 5" xfId="10498"/>
    <cellStyle name="Comma 13 2 3 2 5 2" xfId="10499"/>
    <cellStyle name="Comma 13 2 3 2 5 3" xfId="10500"/>
    <cellStyle name="Comma 13 2 3 2 6" xfId="10501"/>
    <cellStyle name="Comma 13 2 3 2 7" xfId="10502"/>
    <cellStyle name="Comma 13 2 3 3" xfId="10503"/>
    <cellStyle name="Comma 13 2 3 3 2" xfId="10504"/>
    <cellStyle name="Comma 13 2 3 3 2 2" xfId="10505"/>
    <cellStyle name="Comma 13 2 3 3 2 2 2" xfId="10506"/>
    <cellStyle name="Comma 13 2 3 3 2 2 3" xfId="10507"/>
    <cellStyle name="Comma 13 2 3 3 2 3" xfId="10508"/>
    <cellStyle name="Comma 13 2 3 3 2 3 2" xfId="10509"/>
    <cellStyle name="Comma 13 2 3 3 2 3 3" xfId="10510"/>
    <cellStyle name="Comma 13 2 3 3 2 4" xfId="10511"/>
    <cellStyle name="Comma 13 2 3 3 2 5" xfId="10512"/>
    <cellStyle name="Comma 13 2 3 3 3" xfId="10513"/>
    <cellStyle name="Comma 13 2 3 3 3 2" xfId="10514"/>
    <cellStyle name="Comma 13 2 3 3 3 2 2" xfId="10515"/>
    <cellStyle name="Comma 13 2 3 3 3 2 3" xfId="10516"/>
    <cellStyle name="Comma 13 2 3 3 3 3" xfId="10517"/>
    <cellStyle name="Comma 13 2 3 3 3 3 2" xfId="10518"/>
    <cellStyle name="Comma 13 2 3 3 3 3 3" xfId="10519"/>
    <cellStyle name="Comma 13 2 3 3 3 4" xfId="10520"/>
    <cellStyle name="Comma 13 2 3 3 3 5" xfId="10521"/>
    <cellStyle name="Comma 13 2 3 3 4" xfId="10522"/>
    <cellStyle name="Comma 13 2 3 3 4 2" xfId="10523"/>
    <cellStyle name="Comma 13 2 3 3 4 3" xfId="10524"/>
    <cellStyle name="Comma 13 2 3 3 5" xfId="10525"/>
    <cellStyle name="Comma 13 2 3 3 5 2" xfId="10526"/>
    <cellStyle name="Comma 13 2 3 3 5 3" xfId="10527"/>
    <cellStyle name="Comma 13 2 3 3 6" xfId="10528"/>
    <cellStyle name="Comma 13 2 3 3 7" xfId="10529"/>
    <cellStyle name="Comma 13 2 3 4" xfId="10530"/>
    <cellStyle name="Comma 13 2 3 4 2" xfId="10531"/>
    <cellStyle name="Comma 13 2 3 4 2 2" xfId="10532"/>
    <cellStyle name="Comma 13 2 3 4 2 3" xfId="10533"/>
    <cellStyle name="Comma 13 2 3 4 3" xfId="10534"/>
    <cellStyle name="Comma 13 2 3 4 3 2" xfId="10535"/>
    <cellStyle name="Comma 13 2 3 4 3 3" xfId="10536"/>
    <cellStyle name="Comma 13 2 3 4 4" xfId="10537"/>
    <cellStyle name="Comma 13 2 3 4 5" xfId="10538"/>
    <cellStyle name="Comma 13 2 3 5" xfId="10539"/>
    <cellStyle name="Comma 13 2 3 5 2" xfId="10540"/>
    <cellStyle name="Comma 13 2 3 5 2 2" xfId="10541"/>
    <cellStyle name="Comma 13 2 3 5 2 3" xfId="10542"/>
    <cellStyle name="Comma 13 2 3 5 3" xfId="10543"/>
    <cellStyle name="Comma 13 2 3 5 3 2" xfId="10544"/>
    <cellStyle name="Comma 13 2 3 5 3 3" xfId="10545"/>
    <cellStyle name="Comma 13 2 3 5 4" xfId="10546"/>
    <cellStyle name="Comma 13 2 3 5 5" xfId="10547"/>
    <cellStyle name="Comma 13 2 3 6" xfId="10548"/>
    <cellStyle name="Comma 13 2 3 6 2" xfId="10549"/>
    <cellStyle name="Comma 13 2 3 6 3" xfId="10550"/>
    <cellStyle name="Comma 13 2 3 7" xfId="10551"/>
    <cellStyle name="Comma 13 2 3 7 2" xfId="10552"/>
    <cellStyle name="Comma 13 2 3 7 3" xfId="10553"/>
    <cellStyle name="Comma 13 2 3 8" xfId="10554"/>
    <cellStyle name="Comma 13 2 3 9" xfId="10555"/>
    <cellStyle name="Comma 13 3" xfId="10556"/>
    <cellStyle name="Comma 13 3 2" xfId="10557"/>
    <cellStyle name="Comma 13 4" xfId="10558"/>
    <cellStyle name="Comma 14" xfId="10559"/>
    <cellStyle name="Comma 14 2" xfId="10560"/>
    <cellStyle name="Comma 14 2 2" xfId="10561"/>
    <cellStyle name="Comma 14 3" xfId="10562"/>
    <cellStyle name="Comma 14 3 2" xfId="10563"/>
    <cellStyle name="Comma 14 4" xfId="10564"/>
    <cellStyle name="Comma 14 5" xfId="10565"/>
    <cellStyle name="Comma 15" xfId="10566"/>
    <cellStyle name="Comma 15 2" xfId="10567"/>
    <cellStyle name="Comma 16" xfId="10568"/>
    <cellStyle name="Comma 16 2" xfId="10569"/>
    <cellStyle name="Comma 16 2 2" xfId="10570"/>
    <cellStyle name="Comma 16 3" xfId="10571"/>
    <cellStyle name="Comma 16 4" xfId="10572"/>
    <cellStyle name="Comma 17" xfId="10573"/>
    <cellStyle name="Comma 17 2" xfId="10574"/>
    <cellStyle name="Comma 17 2 2" xfId="10575"/>
    <cellStyle name="Comma 17 2 2 10" xfId="10576"/>
    <cellStyle name="Comma 17 2 2 2" xfId="10577"/>
    <cellStyle name="Comma 17 2 2 2 2" xfId="10578"/>
    <cellStyle name="Comma 17 2 2 2 2 2" xfId="10579"/>
    <cellStyle name="Comma 17 2 2 2 2 2 2" xfId="10580"/>
    <cellStyle name="Comma 17 2 2 2 2 2 2 2" xfId="10581"/>
    <cellStyle name="Comma 17 2 2 2 2 2 2 3" xfId="10582"/>
    <cellStyle name="Comma 17 2 2 2 2 2 3" xfId="10583"/>
    <cellStyle name="Comma 17 2 2 2 2 2 3 2" xfId="10584"/>
    <cellStyle name="Comma 17 2 2 2 2 2 3 3" xfId="10585"/>
    <cellStyle name="Comma 17 2 2 2 2 2 4" xfId="10586"/>
    <cellStyle name="Comma 17 2 2 2 2 2 5" xfId="10587"/>
    <cellStyle name="Comma 17 2 2 2 2 3" xfId="10588"/>
    <cellStyle name="Comma 17 2 2 2 2 3 2" xfId="10589"/>
    <cellStyle name="Comma 17 2 2 2 2 3 2 2" xfId="10590"/>
    <cellStyle name="Comma 17 2 2 2 2 3 2 3" xfId="10591"/>
    <cellStyle name="Comma 17 2 2 2 2 3 3" xfId="10592"/>
    <cellStyle name="Comma 17 2 2 2 2 3 3 2" xfId="10593"/>
    <cellStyle name="Comma 17 2 2 2 2 3 3 3" xfId="10594"/>
    <cellStyle name="Comma 17 2 2 2 2 3 4" xfId="10595"/>
    <cellStyle name="Comma 17 2 2 2 2 3 5" xfId="10596"/>
    <cellStyle name="Comma 17 2 2 2 2 4" xfId="10597"/>
    <cellStyle name="Comma 17 2 2 2 2 4 2" xfId="10598"/>
    <cellStyle name="Comma 17 2 2 2 2 4 3" xfId="10599"/>
    <cellStyle name="Comma 17 2 2 2 2 5" xfId="10600"/>
    <cellStyle name="Comma 17 2 2 2 2 5 2" xfId="10601"/>
    <cellStyle name="Comma 17 2 2 2 2 5 3" xfId="10602"/>
    <cellStyle name="Comma 17 2 2 2 2 6" xfId="10603"/>
    <cellStyle name="Comma 17 2 2 2 2 7" xfId="10604"/>
    <cellStyle name="Comma 17 2 2 2 3" xfId="10605"/>
    <cellStyle name="Comma 17 2 2 2 3 2" xfId="10606"/>
    <cellStyle name="Comma 17 2 2 2 3 2 2" xfId="10607"/>
    <cellStyle name="Comma 17 2 2 2 3 2 2 2" xfId="10608"/>
    <cellStyle name="Comma 17 2 2 2 3 2 2 3" xfId="10609"/>
    <cellStyle name="Comma 17 2 2 2 3 2 3" xfId="10610"/>
    <cellStyle name="Comma 17 2 2 2 3 2 3 2" xfId="10611"/>
    <cellStyle name="Comma 17 2 2 2 3 2 3 3" xfId="10612"/>
    <cellStyle name="Comma 17 2 2 2 3 2 4" xfId="10613"/>
    <cellStyle name="Comma 17 2 2 2 3 2 5" xfId="10614"/>
    <cellStyle name="Comma 17 2 2 2 3 3" xfId="10615"/>
    <cellStyle name="Comma 17 2 2 2 3 3 2" xfId="10616"/>
    <cellStyle name="Comma 17 2 2 2 3 3 2 2" xfId="10617"/>
    <cellStyle name="Comma 17 2 2 2 3 3 2 3" xfId="10618"/>
    <cellStyle name="Comma 17 2 2 2 3 3 3" xfId="10619"/>
    <cellStyle name="Comma 17 2 2 2 3 3 3 2" xfId="10620"/>
    <cellStyle name="Comma 17 2 2 2 3 3 3 3" xfId="10621"/>
    <cellStyle name="Comma 17 2 2 2 3 3 4" xfId="10622"/>
    <cellStyle name="Comma 17 2 2 2 3 3 5" xfId="10623"/>
    <cellStyle name="Comma 17 2 2 2 3 4" xfId="10624"/>
    <cellStyle name="Comma 17 2 2 2 3 4 2" xfId="10625"/>
    <cellStyle name="Comma 17 2 2 2 3 4 3" xfId="10626"/>
    <cellStyle name="Comma 17 2 2 2 3 5" xfId="10627"/>
    <cellStyle name="Comma 17 2 2 2 3 5 2" xfId="10628"/>
    <cellStyle name="Comma 17 2 2 2 3 5 3" xfId="10629"/>
    <cellStyle name="Comma 17 2 2 2 3 6" xfId="10630"/>
    <cellStyle name="Comma 17 2 2 2 3 7" xfId="10631"/>
    <cellStyle name="Comma 17 2 2 2 4" xfId="10632"/>
    <cellStyle name="Comma 17 2 2 2 4 2" xfId="10633"/>
    <cellStyle name="Comma 17 2 2 2 4 2 2" xfId="10634"/>
    <cellStyle name="Comma 17 2 2 2 4 2 3" xfId="10635"/>
    <cellStyle name="Comma 17 2 2 2 4 3" xfId="10636"/>
    <cellStyle name="Comma 17 2 2 2 4 3 2" xfId="10637"/>
    <cellStyle name="Comma 17 2 2 2 4 3 3" xfId="10638"/>
    <cellStyle name="Comma 17 2 2 2 4 4" xfId="10639"/>
    <cellStyle name="Comma 17 2 2 2 4 5" xfId="10640"/>
    <cellStyle name="Comma 17 2 2 2 5" xfId="10641"/>
    <cellStyle name="Comma 17 2 2 2 5 2" xfId="10642"/>
    <cellStyle name="Comma 17 2 2 2 5 2 2" xfId="10643"/>
    <cellStyle name="Comma 17 2 2 2 5 2 3" xfId="10644"/>
    <cellStyle name="Comma 17 2 2 2 5 3" xfId="10645"/>
    <cellStyle name="Comma 17 2 2 2 5 3 2" xfId="10646"/>
    <cellStyle name="Comma 17 2 2 2 5 3 3" xfId="10647"/>
    <cellStyle name="Comma 17 2 2 2 5 4" xfId="10648"/>
    <cellStyle name="Comma 17 2 2 2 5 5" xfId="10649"/>
    <cellStyle name="Comma 17 2 2 2 6" xfId="10650"/>
    <cellStyle name="Comma 17 2 2 2 6 2" xfId="10651"/>
    <cellStyle name="Comma 17 2 2 2 6 3" xfId="10652"/>
    <cellStyle name="Comma 17 2 2 2 7" xfId="10653"/>
    <cellStyle name="Comma 17 2 2 2 7 2" xfId="10654"/>
    <cellStyle name="Comma 17 2 2 2 7 3" xfId="10655"/>
    <cellStyle name="Comma 17 2 2 2 8" xfId="10656"/>
    <cellStyle name="Comma 17 2 2 2 9" xfId="10657"/>
    <cellStyle name="Comma 17 2 2 3" xfId="10658"/>
    <cellStyle name="Comma 17 2 2 3 2" xfId="10659"/>
    <cellStyle name="Comma 17 2 2 3 2 2" xfId="10660"/>
    <cellStyle name="Comma 17 2 2 3 2 2 2" xfId="10661"/>
    <cellStyle name="Comma 17 2 2 3 2 2 3" xfId="10662"/>
    <cellStyle name="Comma 17 2 2 3 2 3" xfId="10663"/>
    <cellStyle name="Comma 17 2 2 3 2 3 2" xfId="10664"/>
    <cellStyle name="Comma 17 2 2 3 2 3 3" xfId="10665"/>
    <cellStyle name="Comma 17 2 2 3 2 4" xfId="10666"/>
    <cellStyle name="Comma 17 2 2 3 2 5" xfId="10667"/>
    <cellStyle name="Comma 17 2 2 3 3" xfId="10668"/>
    <cellStyle name="Comma 17 2 2 3 3 2" xfId="10669"/>
    <cellStyle name="Comma 17 2 2 3 3 2 2" xfId="10670"/>
    <cellStyle name="Comma 17 2 2 3 3 2 3" xfId="10671"/>
    <cellStyle name="Comma 17 2 2 3 3 3" xfId="10672"/>
    <cellStyle name="Comma 17 2 2 3 3 3 2" xfId="10673"/>
    <cellStyle name="Comma 17 2 2 3 3 3 3" xfId="10674"/>
    <cellStyle name="Comma 17 2 2 3 3 4" xfId="10675"/>
    <cellStyle name="Comma 17 2 2 3 3 5" xfId="10676"/>
    <cellStyle name="Comma 17 2 2 3 4" xfId="10677"/>
    <cellStyle name="Comma 17 2 2 3 4 2" xfId="10678"/>
    <cellStyle name="Comma 17 2 2 3 4 3" xfId="10679"/>
    <cellStyle name="Comma 17 2 2 3 5" xfId="10680"/>
    <cellStyle name="Comma 17 2 2 3 5 2" xfId="10681"/>
    <cellStyle name="Comma 17 2 2 3 5 3" xfId="10682"/>
    <cellStyle name="Comma 17 2 2 3 6" xfId="10683"/>
    <cellStyle name="Comma 17 2 2 3 7" xfId="10684"/>
    <cellStyle name="Comma 17 2 2 4" xfId="10685"/>
    <cellStyle name="Comma 17 2 2 4 2" xfId="10686"/>
    <cellStyle name="Comma 17 2 2 4 2 2" xfId="10687"/>
    <cellStyle name="Comma 17 2 2 4 2 2 2" xfId="10688"/>
    <cellStyle name="Comma 17 2 2 4 2 2 3" xfId="10689"/>
    <cellStyle name="Comma 17 2 2 4 2 3" xfId="10690"/>
    <cellStyle name="Comma 17 2 2 4 2 3 2" xfId="10691"/>
    <cellStyle name="Comma 17 2 2 4 2 3 3" xfId="10692"/>
    <cellStyle name="Comma 17 2 2 4 2 4" xfId="10693"/>
    <cellStyle name="Comma 17 2 2 4 2 5" xfId="10694"/>
    <cellStyle name="Comma 17 2 2 4 3" xfId="10695"/>
    <cellStyle name="Comma 17 2 2 4 3 2" xfId="10696"/>
    <cellStyle name="Comma 17 2 2 4 3 2 2" xfId="10697"/>
    <cellStyle name="Comma 17 2 2 4 3 2 3" xfId="10698"/>
    <cellStyle name="Comma 17 2 2 4 3 3" xfId="10699"/>
    <cellStyle name="Comma 17 2 2 4 3 3 2" xfId="10700"/>
    <cellStyle name="Comma 17 2 2 4 3 3 3" xfId="10701"/>
    <cellStyle name="Comma 17 2 2 4 3 4" xfId="10702"/>
    <cellStyle name="Comma 17 2 2 4 3 5" xfId="10703"/>
    <cellStyle name="Comma 17 2 2 4 4" xfId="10704"/>
    <cellStyle name="Comma 17 2 2 4 4 2" xfId="10705"/>
    <cellStyle name="Comma 17 2 2 4 4 3" xfId="10706"/>
    <cellStyle name="Comma 17 2 2 4 5" xfId="10707"/>
    <cellStyle name="Comma 17 2 2 4 5 2" xfId="10708"/>
    <cellStyle name="Comma 17 2 2 4 5 3" xfId="10709"/>
    <cellStyle name="Comma 17 2 2 4 6" xfId="10710"/>
    <cellStyle name="Comma 17 2 2 4 7" xfId="10711"/>
    <cellStyle name="Comma 17 2 2 5" xfId="10712"/>
    <cellStyle name="Comma 17 2 2 5 2" xfId="10713"/>
    <cellStyle name="Comma 17 2 2 5 2 2" xfId="10714"/>
    <cellStyle name="Comma 17 2 2 5 2 3" xfId="10715"/>
    <cellStyle name="Comma 17 2 2 5 3" xfId="10716"/>
    <cellStyle name="Comma 17 2 2 5 3 2" xfId="10717"/>
    <cellStyle name="Comma 17 2 2 5 3 3" xfId="10718"/>
    <cellStyle name="Comma 17 2 2 5 4" xfId="10719"/>
    <cellStyle name="Comma 17 2 2 5 5" xfId="10720"/>
    <cellStyle name="Comma 17 2 2 6" xfId="10721"/>
    <cellStyle name="Comma 17 2 2 6 2" xfId="10722"/>
    <cellStyle name="Comma 17 2 2 6 2 2" xfId="10723"/>
    <cellStyle name="Comma 17 2 2 6 2 3" xfId="10724"/>
    <cellStyle name="Comma 17 2 2 6 3" xfId="10725"/>
    <cellStyle name="Comma 17 2 2 6 3 2" xfId="10726"/>
    <cellStyle name="Comma 17 2 2 6 3 3" xfId="10727"/>
    <cellStyle name="Comma 17 2 2 6 4" xfId="10728"/>
    <cellStyle name="Comma 17 2 2 6 5" xfId="10729"/>
    <cellStyle name="Comma 17 2 2 7" xfId="10730"/>
    <cellStyle name="Comma 17 2 2 7 2" xfId="10731"/>
    <cellStyle name="Comma 17 2 2 7 3" xfId="10732"/>
    <cellStyle name="Comma 17 2 2 8" xfId="10733"/>
    <cellStyle name="Comma 17 2 2 8 2" xfId="10734"/>
    <cellStyle name="Comma 17 2 2 8 3" xfId="10735"/>
    <cellStyle name="Comma 17 2 2 9" xfId="10736"/>
    <cellStyle name="Comma 17 2 3" xfId="10737"/>
    <cellStyle name="Comma 17 2 3 2" xfId="10738"/>
    <cellStyle name="Comma 17 2 3 2 2" xfId="10739"/>
    <cellStyle name="Comma 17 2 3 2 2 2" xfId="10740"/>
    <cellStyle name="Comma 17 2 3 2 2 2 2" xfId="10741"/>
    <cellStyle name="Comma 17 2 3 2 2 2 3" xfId="10742"/>
    <cellStyle name="Comma 17 2 3 2 2 3" xfId="10743"/>
    <cellStyle name="Comma 17 2 3 2 2 3 2" xfId="10744"/>
    <cellStyle name="Comma 17 2 3 2 2 3 3" xfId="10745"/>
    <cellStyle name="Comma 17 2 3 2 2 4" xfId="10746"/>
    <cellStyle name="Comma 17 2 3 2 2 5" xfId="10747"/>
    <cellStyle name="Comma 17 2 3 2 3" xfId="10748"/>
    <cellStyle name="Comma 17 2 3 2 3 2" xfId="10749"/>
    <cellStyle name="Comma 17 2 3 2 3 2 2" xfId="10750"/>
    <cellStyle name="Comma 17 2 3 2 3 2 3" xfId="10751"/>
    <cellStyle name="Comma 17 2 3 2 3 3" xfId="10752"/>
    <cellStyle name="Comma 17 2 3 2 3 3 2" xfId="10753"/>
    <cellStyle name="Comma 17 2 3 2 3 3 3" xfId="10754"/>
    <cellStyle name="Comma 17 2 3 2 3 4" xfId="10755"/>
    <cellStyle name="Comma 17 2 3 2 3 5" xfId="10756"/>
    <cellStyle name="Comma 17 2 3 2 4" xfId="10757"/>
    <cellStyle name="Comma 17 2 3 2 4 2" xfId="10758"/>
    <cellStyle name="Comma 17 2 3 2 4 3" xfId="10759"/>
    <cellStyle name="Comma 17 2 3 2 5" xfId="10760"/>
    <cellStyle name="Comma 17 2 3 2 5 2" xfId="10761"/>
    <cellStyle name="Comma 17 2 3 2 5 3" xfId="10762"/>
    <cellStyle name="Comma 17 2 3 2 6" xfId="10763"/>
    <cellStyle name="Comma 17 2 3 2 7" xfId="10764"/>
    <cellStyle name="Comma 17 2 3 3" xfId="10765"/>
    <cellStyle name="Comma 17 2 3 3 2" xfId="10766"/>
    <cellStyle name="Comma 17 2 3 3 2 2" xfId="10767"/>
    <cellStyle name="Comma 17 2 3 3 2 2 2" xfId="10768"/>
    <cellStyle name="Comma 17 2 3 3 2 2 3" xfId="10769"/>
    <cellStyle name="Comma 17 2 3 3 2 3" xfId="10770"/>
    <cellStyle name="Comma 17 2 3 3 2 3 2" xfId="10771"/>
    <cellStyle name="Comma 17 2 3 3 2 3 3" xfId="10772"/>
    <cellStyle name="Comma 17 2 3 3 2 4" xfId="10773"/>
    <cellStyle name="Comma 17 2 3 3 2 5" xfId="10774"/>
    <cellStyle name="Comma 17 2 3 3 3" xfId="10775"/>
    <cellStyle name="Comma 17 2 3 3 3 2" xfId="10776"/>
    <cellStyle name="Comma 17 2 3 3 3 2 2" xfId="10777"/>
    <cellStyle name="Comma 17 2 3 3 3 2 3" xfId="10778"/>
    <cellStyle name="Comma 17 2 3 3 3 3" xfId="10779"/>
    <cellStyle name="Comma 17 2 3 3 3 3 2" xfId="10780"/>
    <cellStyle name="Comma 17 2 3 3 3 3 3" xfId="10781"/>
    <cellStyle name="Comma 17 2 3 3 3 4" xfId="10782"/>
    <cellStyle name="Comma 17 2 3 3 3 5" xfId="10783"/>
    <cellStyle name="Comma 17 2 3 3 4" xfId="10784"/>
    <cellStyle name="Comma 17 2 3 3 4 2" xfId="10785"/>
    <cellStyle name="Comma 17 2 3 3 4 3" xfId="10786"/>
    <cellStyle name="Comma 17 2 3 3 5" xfId="10787"/>
    <cellStyle name="Comma 17 2 3 3 5 2" xfId="10788"/>
    <cellStyle name="Comma 17 2 3 3 5 3" xfId="10789"/>
    <cellStyle name="Comma 17 2 3 3 6" xfId="10790"/>
    <cellStyle name="Comma 17 2 3 3 7" xfId="10791"/>
    <cellStyle name="Comma 17 2 3 4" xfId="10792"/>
    <cellStyle name="Comma 17 2 3 4 2" xfId="10793"/>
    <cellStyle name="Comma 17 2 3 4 2 2" xfId="10794"/>
    <cellStyle name="Comma 17 2 3 4 2 3" xfId="10795"/>
    <cellStyle name="Comma 17 2 3 4 3" xfId="10796"/>
    <cellStyle name="Comma 17 2 3 4 3 2" xfId="10797"/>
    <cellStyle name="Comma 17 2 3 4 3 3" xfId="10798"/>
    <cellStyle name="Comma 17 2 3 4 4" xfId="10799"/>
    <cellStyle name="Comma 17 2 3 4 5" xfId="10800"/>
    <cellStyle name="Comma 17 2 3 5" xfId="10801"/>
    <cellStyle name="Comma 17 2 3 5 2" xfId="10802"/>
    <cellStyle name="Comma 17 2 3 5 2 2" xfId="10803"/>
    <cellStyle name="Comma 17 2 3 5 2 3" xfId="10804"/>
    <cellStyle name="Comma 17 2 3 5 3" xfId="10805"/>
    <cellStyle name="Comma 17 2 3 5 3 2" xfId="10806"/>
    <cellStyle name="Comma 17 2 3 5 3 3" xfId="10807"/>
    <cellStyle name="Comma 17 2 3 5 4" xfId="10808"/>
    <cellStyle name="Comma 17 2 3 5 5" xfId="10809"/>
    <cellStyle name="Comma 17 2 3 6" xfId="10810"/>
    <cellStyle name="Comma 17 2 3 6 2" xfId="10811"/>
    <cellStyle name="Comma 17 2 3 6 3" xfId="10812"/>
    <cellStyle name="Comma 17 2 3 7" xfId="10813"/>
    <cellStyle name="Comma 17 2 3 7 2" xfId="10814"/>
    <cellStyle name="Comma 17 2 3 7 3" xfId="10815"/>
    <cellStyle name="Comma 17 2 3 8" xfId="10816"/>
    <cellStyle name="Comma 17 2 3 9" xfId="10817"/>
    <cellStyle name="Comma 17 3" xfId="10818"/>
    <cellStyle name="Comma 17 3 10" xfId="10819"/>
    <cellStyle name="Comma 17 3 2" xfId="10820"/>
    <cellStyle name="Comma 17 3 2 2" xfId="10821"/>
    <cellStyle name="Comma 17 3 2 2 2" xfId="10822"/>
    <cellStyle name="Comma 17 3 2 2 2 2" xfId="10823"/>
    <cellStyle name="Comma 17 3 2 2 2 2 2" xfId="10824"/>
    <cellStyle name="Comma 17 3 2 2 2 2 3" xfId="10825"/>
    <cellStyle name="Comma 17 3 2 2 2 3" xfId="10826"/>
    <cellStyle name="Comma 17 3 2 2 2 3 2" xfId="10827"/>
    <cellStyle name="Comma 17 3 2 2 2 3 3" xfId="10828"/>
    <cellStyle name="Comma 17 3 2 2 2 4" xfId="10829"/>
    <cellStyle name="Comma 17 3 2 2 2 5" xfId="10830"/>
    <cellStyle name="Comma 17 3 2 2 3" xfId="10831"/>
    <cellStyle name="Comma 17 3 2 2 3 2" xfId="10832"/>
    <cellStyle name="Comma 17 3 2 2 3 2 2" xfId="10833"/>
    <cellStyle name="Comma 17 3 2 2 3 2 3" xfId="10834"/>
    <cellStyle name="Comma 17 3 2 2 3 3" xfId="10835"/>
    <cellStyle name="Comma 17 3 2 2 3 3 2" xfId="10836"/>
    <cellStyle name="Comma 17 3 2 2 3 3 3" xfId="10837"/>
    <cellStyle name="Comma 17 3 2 2 3 4" xfId="10838"/>
    <cellStyle name="Comma 17 3 2 2 3 5" xfId="10839"/>
    <cellStyle name="Comma 17 3 2 2 4" xfId="10840"/>
    <cellStyle name="Comma 17 3 2 2 4 2" xfId="10841"/>
    <cellStyle name="Comma 17 3 2 2 4 3" xfId="10842"/>
    <cellStyle name="Comma 17 3 2 2 5" xfId="10843"/>
    <cellStyle name="Comma 17 3 2 2 5 2" xfId="10844"/>
    <cellStyle name="Comma 17 3 2 2 5 3" xfId="10845"/>
    <cellStyle name="Comma 17 3 2 2 6" xfId="10846"/>
    <cellStyle name="Comma 17 3 2 2 7" xfId="10847"/>
    <cellStyle name="Comma 17 3 2 3" xfId="10848"/>
    <cellStyle name="Comma 17 3 2 3 2" xfId="10849"/>
    <cellStyle name="Comma 17 3 2 3 2 2" xfId="10850"/>
    <cellStyle name="Comma 17 3 2 3 2 2 2" xfId="10851"/>
    <cellStyle name="Comma 17 3 2 3 2 2 3" xfId="10852"/>
    <cellStyle name="Comma 17 3 2 3 2 3" xfId="10853"/>
    <cellStyle name="Comma 17 3 2 3 2 3 2" xfId="10854"/>
    <cellStyle name="Comma 17 3 2 3 2 3 3" xfId="10855"/>
    <cellStyle name="Comma 17 3 2 3 2 4" xfId="10856"/>
    <cellStyle name="Comma 17 3 2 3 2 5" xfId="10857"/>
    <cellStyle name="Comma 17 3 2 3 3" xfId="10858"/>
    <cellStyle name="Comma 17 3 2 3 3 2" xfId="10859"/>
    <cellStyle name="Comma 17 3 2 3 3 2 2" xfId="10860"/>
    <cellStyle name="Comma 17 3 2 3 3 2 3" xfId="10861"/>
    <cellStyle name="Comma 17 3 2 3 3 3" xfId="10862"/>
    <cellStyle name="Comma 17 3 2 3 3 3 2" xfId="10863"/>
    <cellStyle name="Comma 17 3 2 3 3 3 3" xfId="10864"/>
    <cellStyle name="Comma 17 3 2 3 3 4" xfId="10865"/>
    <cellStyle name="Comma 17 3 2 3 3 5" xfId="10866"/>
    <cellStyle name="Comma 17 3 2 3 4" xfId="10867"/>
    <cellStyle name="Comma 17 3 2 3 4 2" xfId="10868"/>
    <cellStyle name="Comma 17 3 2 3 4 3" xfId="10869"/>
    <cellStyle name="Comma 17 3 2 3 5" xfId="10870"/>
    <cellStyle name="Comma 17 3 2 3 5 2" xfId="10871"/>
    <cellStyle name="Comma 17 3 2 3 5 3" xfId="10872"/>
    <cellStyle name="Comma 17 3 2 3 6" xfId="10873"/>
    <cellStyle name="Comma 17 3 2 3 7" xfId="10874"/>
    <cellStyle name="Comma 17 3 2 4" xfId="10875"/>
    <cellStyle name="Comma 17 3 2 4 2" xfId="10876"/>
    <cellStyle name="Comma 17 3 2 4 2 2" xfId="10877"/>
    <cellStyle name="Comma 17 3 2 4 2 3" xfId="10878"/>
    <cellStyle name="Comma 17 3 2 4 3" xfId="10879"/>
    <cellStyle name="Comma 17 3 2 4 3 2" xfId="10880"/>
    <cellStyle name="Comma 17 3 2 4 3 3" xfId="10881"/>
    <cellStyle name="Comma 17 3 2 4 4" xfId="10882"/>
    <cellStyle name="Comma 17 3 2 4 5" xfId="10883"/>
    <cellStyle name="Comma 17 3 2 5" xfId="10884"/>
    <cellStyle name="Comma 17 3 2 5 2" xfId="10885"/>
    <cellStyle name="Comma 17 3 2 5 2 2" xfId="10886"/>
    <cellStyle name="Comma 17 3 2 5 2 3" xfId="10887"/>
    <cellStyle name="Comma 17 3 2 5 3" xfId="10888"/>
    <cellStyle name="Comma 17 3 2 5 3 2" xfId="10889"/>
    <cellStyle name="Comma 17 3 2 5 3 3" xfId="10890"/>
    <cellStyle name="Comma 17 3 2 5 4" xfId="10891"/>
    <cellStyle name="Comma 17 3 2 5 5" xfId="10892"/>
    <cellStyle name="Comma 17 3 2 6" xfId="10893"/>
    <cellStyle name="Comma 17 3 2 6 2" xfId="10894"/>
    <cellStyle name="Comma 17 3 2 6 3" xfId="10895"/>
    <cellStyle name="Comma 17 3 2 7" xfId="10896"/>
    <cellStyle name="Comma 17 3 2 7 2" xfId="10897"/>
    <cellStyle name="Comma 17 3 2 7 3" xfId="10898"/>
    <cellStyle name="Comma 17 3 2 8" xfId="10899"/>
    <cellStyle name="Comma 17 3 2 9" xfId="10900"/>
    <cellStyle name="Comma 17 3 3" xfId="10901"/>
    <cellStyle name="Comma 17 3 3 2" xfId="10902"/>
    <cellStyle name="Comma 17 3 3 2 2" xfId="10903"/>
    <cellStyle name="Comma 17 3 3 2 2 2" xfId="10904"/>
    <cellStyle name="Comma 17 3 3 2 2 3" xfId="10905"/>
    <cellStyle name="Comma 17 3 3 2 3" xfId="10906"/>
    <cellStyle name="Comma 17 3 3 2 3 2" xfId="10907"/>
    <cellStyle name="Comma 17 3 3 2 3 3" xfId="10908"/>
    <cellStyle name="Comma 17 3 3 2 4" xfId="10909"/>
    <cellStyle name="Comma 17 3 3 2 5" xfId="10910"/>
    <cellStyle name="Comma 17 3 3 3" xfId="10911"/>
    <cellStyle name="Comma 17 3 3 3 2" xfId="10912"/>
    <cellStyle name="Comma 17 3 3 3 2 2" xfId="10913"/>
    <cellStyle name="Comma 17 3 3 3 2 3" xfId="10914"/>
    <cellStyle name="Comma 17 3 3 3 3" xfId="10915"/>
    <cellStyle name="Comma 17 3 3 3 3 2" xfId="10916"/>
    <cellStyle name="Comma 17 3 3 3 3 3" xfId="10917"/>
    <cellStyle name="Comma 17 3 3 3 4" xfId="10918"/>
    <cellStyle name="Comma 17 3 3 3 5" xfId="10919"/>
    <cellStyle name="Comma 17 3 3 4" xfId="10920"/>
    <cellStyle name="Comma 17 3 3 4 2" xfId="10921"/>
    <cellStyle name="Comma 17 3 3 4 3" xfId="10922"/>
    <cellStyle name="Comma 17 3 3 5" xfId="10923"/>
    <cellStyle name="Comma 17 3 3 5 2" xfId="10924"/>
    <cellStyle name="Comma 17 3 3 5 3" xfId="10925"/>
    <cellStyle name="Comma 17 3 3 6" xfId="10926"/>
    <cellStyle name="Comma 17 3 3 7" xfId="10927"/>
    <cellStyle name="Comma 17 3 4" xfId="10928"/>
    <cellStyle name="Comma 17 3 4 2" xfId="10929"/>
    <cellStyle name="Comma 17 3 4 2 2" xfId="10930"/>
    <cellStyle name="Comma 17 3 4 2 2 2" xfId="10931"/>
    <cellStyle name="Comma 17 3 4 2 2 3" xfId="10932"/>
    <cellStyle name="Comma 17 3 4 2 3" xfId="10933"/>
    <cellStyle name="Comma 17 3 4 2 3 2" xfId="10934"/>
    <cellStyle name="Comma 17 3 4 2 3 3" xfId="10935"/>
    <cellStyle name="Comma 17 3 4 2 4" xfId="10936"/>
    <cellStyle name="Comma 17 3 4 2 5" xfId="10937"/>
    <cellStyle name="Comma 17 3 4 3" xfId="10938"/>
    <cellStyle name="Comma 17 3 4 3 2" xfId="10939"/>
    <cellStyle name="Comma 17 3 4 3 2 2" xfId="10940"/>
    <cellStyle name="Comma 17 3 4 3 2 3" xfId="10941"/>
    <cellStyle name="Comma 17 3 4 3 3" xfId="10942"/>
    <cellStyle name="Comma 17 3 4 3 3 2" xfId="10943"/>
    <cellStyle name="Comma 17 3 4 3 3 3" xfId="10944"/>
    <cellStyle name="Comma 17 3 4 3 4" xfId="10945"/>
    <cellStyle name="Comma 17 3 4 3 5" xfId="10946"/>
    <cellStyle name="Comma 17 3 4 4" xfId="10947"/>
    <cellStyle name="Comma 17 3 4 4 2" xfId="10948"/>
    <cellStyle name="Comma 17 3 4 4 3" xfId="10949"/>
    <cellStyle name="Comma 17 3 4 5" xfId="10950"/>
    <cellStyle name="Comma 17 3 4 5 2" xfId="10951"/>
    <cellStyle name="Comma 17 3 4 5 3" xfId="10952"/>
    <cellStyle name="Comma 17 3 4 6" xfId="10953"/>
    <cellStyle name="Comma 17 3 4 7" xfId="10954"/>
    <cellStyle name="Comma 17 3 5" xfId="10955"/>
    <cellStyle name="Comma 17 3 5 2" xfId="10956"/>
    <cellStyle name="Comma 17 3 5 2 2" xfId="10957"/>
    <cellStyle name="Comma 17 3 5 2 3" xfId="10958"/>
    <cellStyle name="Comma 17 3 5 3" xfId="10959"/>
    <cellStyle name="Comma 17 3 5 3 2" xfId="10960"/>
    <cellStyle name="Comma 17 3 5 3 3" xfId="10961"/>
    <cellStyle name="Comma 17 3 5 4" xfId="10962"/>
    <cellStyle name="Comma 17 3 5 5" xfId="10963"/>
    <cellStyle name="Comma 17 3 6" xfId="10964"/>
    <cellStyle name="Comma 17 3 6 2" xfId="10965"/>
    <cellStyle name="Comma 17 3 6 2 2" xfId="10966"/>
    <cellStyle name="Comma 17 3 6 2 3" xfId="10967"/>
    <cellStyle name="Comma 17 3 6 3" xfId="10968"/>
    <cellStyle name="Comma 17 3 6 3 2" xfId="10969"/>
    <cellStyle name="Comma 17 3 6 3 3" xfId="10970"/>
    <cellStyle name="Comma 17 3 6 4" xfId="10971"/>
    <cellStyle name="Comma 17 3 6 5" xfId="10972"/>
    <cellStyle name="Comma 17 3 7" xfId="10973"/>
    <cellStyle name="Comma 17 3 7 2" xfId="10974"/>
    <cellStyle name="Comma 17 3 7 3" xfId="10975"/>
    <cellStyle name="Comma 17 3 8" xfId="10976"/>
    <cellStyle name="Comma 17 3 8 2" xfId="10977"/>
    <cellStyle name="Comma 17 3 8 3" xfId="10978"/>
    <cellStyle name="Comma 17 3 9" xfId="10979"/>
    <cellStyle name="Comma 17 4" xfId="10980"/>
    <cellStyle name="Comma 17 4 2" xfId="10981"/>
    <cellStyle name="Comma 17 4 2 2" xfId="10982"/>
    <cellStyle name="Comma 17 4 2 2 2" xfId="10983"/>
    <cellStyle name="Comma 17 4 2 2 2 2" xfId="10984"/>
    <cellStyle name="Comma 17 4 2 2 2 3" xfId="10985"/>
    <cellStyle name="Comma 17 4 2 2 3" xfId="10986"/>
    <cellStyle name="Comma 17 4 2 2 3 2" xfId="10987"/>
    <cellStyle name="Comma 17 4 2 2 3 3" xfId="10988"/>
    <cellStyle name="Comma 17 4 2 2 4" xfId="10989"/>
    <cellStyle name="Comma 17 4 2 2 5" xfId="10990"/>
    <cellStyle name="Comma 17 4 2 3" xfId="10991"/>
    <cellStyle name="Comma 17 4 2 3 2" xfId="10992"/>
    <cellStyle name="Comma 17 4 2 3 2 2" xfId="10993"/>
    <cellStyle name="Comma 17 4 2 3 2 3" xfId="10994"/>
    <cellStyle name="Comma 17 4 2 3 3" xfId="10995"/>
    <cellStyle name="Comma 17 4 2 3 3 2" xfId="10996"/>
    <cellStyle name="Comma 17 4 2 3 3 3" xfId="10997"/>
    <cellStyle name="Comma 17 4 2 3 4" xfId="10998"/>
    <cellStyle name="Comma 17 4 2 3 5" xfId="10999"/>
    <cellStyle name="Comma 17 4 2 4" xfId="11000"/>
    <cellStyle name="Comma 17 4 2 4 2" xfId="11001"/>
    <cellStyle name="Comma 17 4 2 4 3" xfId="11002"/>
    <cellStyle name="Comma 17 4 2 5" xfId="11003"/>
    <cellStyle name="Comma 17 4 2 5 2" xfId="11004"/>
    <cellStyle name="Comma 17 4 2 5 3" xfId="11005"/>
    <cellStyle name="Comma 17 4 2 6" xfId="11006"/>
    <cellStyle name="Comma 17 4 2 7" xfId="11007"/>
    <cellStyle name="Comma 17 4 3" xfId="11008"/>
    <cellStyle name="Comma 17 4 3 2" xfId="11009"/>
    <cellStyle name="Comma 17 4 3 2 2" xfId="11010"/>
    <cellStyle name="Comma 17 4 3 2 2 2" xfId="11011"/>
    <cellStyle name="Comma 17 4 3 2 2 3" xfId="11012"/>
    <cellStyle name="Comma 17 4 3 2 3" xfId="11013"/>
    <cellStyle name="Comma 17 4 3 2 3 2" xfId="11014"/>
    <cellStyle name="Comma 17 4 3 2 3 3" xfId="11015"/>
    <cellStyle name="Comma 17 4 3 2 4" xfId="11016"/>
    <cellStyle name="Comma 17 4 3 2 5" xfId="11017"/>
    <cellStyle name="Comma 17 4 3 3" xfId="11018"/>
    <cellStyle name="Comma 17 4 3 3 2" xfId="11019"/>
    <cellStyle name="Comma 17 4 3 3 2 2" xfId="11020"/>
    <cellStyle name="Comma 17 4 3 3 2 3" xfId="11021"/>
    <cellStyle name="Comma 17 4 3 3 3" xfId="11022"/>
    <cellStyle name="Comma 17 4 3 3 3 2" xfId="11023"/>
    <cellStyle name="Comma 17 4 3 3 3 3" xfId="11024"/>
    <cellStyle name="Comma 17 4 3 3 4" xfId="11025"/>
    <cellStyle name="Comma 17 4 3 3 5" xfId="11026"/>
    <cellStyle name="Comma 17 4 3 4" xfId="11027"/>
    <cellStyle name="Comma 17 4 3 4 2" xfId="11028"/>
    <cellStyle name="Comma 17 4 3 4 3" xfId="11029"/>
    <cellStyle name="Comma 17 4 3 5" xfId="11030"/>
    <cellStyle name="Comma 17 4 3 5 2" xfId="11031"/>
    <cellStyle name="Comma 17 4 3 5 3" xfId="11032"/>
    <cellStyle name="Comma 17 4 3 6" xfId="11033"/>
    <cellStyle name="Comma 17 4 3 7" xfId="11034"/>
    <cellStyle name="Comma 17 4 4" xfId="11035"/>
    <cellStyle name="Comma 17 4 4 2" xfId="11036"/>
    <cellStyle name="Comma 17 4 4 2 2" xfId="11037"/>
    <cellStyle name="Comma 17 4 4 2 3" xfId="11038"/>
    <cellStyle name="Comma 17 4 4 3" xfId="11039"/>
    <cellStyle name="Comma 17 4 4 3 2" xfId="11040"/>
    <cellStyle name="Comma 17 4 4 3 3" xfId="11041"/>
    <cellStyle name="Comma 17 4 4 4" xfId="11042"/>
    <cellStyle name="Comma 17 4 4 5" xfId="11043"/>
    <cellStyle name="Comma 17 4 5" xfId="11044"/>
    <cellStyle name="Comma 17 4 5 2" xfId="11045"/>
    <cellStyle name="Comma 17 4 5 2 2" xfId="11046"/>
    <cellStyle name="Comma 17 4 5 2 3" xfId="11047"/>
    <cellStyle name="Comma 17 4 5 3" xfId="11048"/>
    <cellStyle name="Comma 17 4 5 3 2" xfId="11049"/>
    <cellStyle name="Comma 17 4 5 3 3" xfId="11050"/>
    <cellStyle name="Comma 17 4 5 4" xfId="11051"/>
    <cellStyle name="Comma 17 4 5 5" xfId="11052"/>
    <cellStyle name="Comma 17 4 6" xfId="11053"/>
    <cellStyle name="Comma 17 4 6 2" xfId="11054"/>
    <cellStyle name="Comma 17 4 6 3" xfId="11055"/>
    <cellStyle name="Comma 17 4 7" xfId="11056"/>
    <cellStyle name="Comma 17 4 7 2" xfId="11057"/>
    <cellStyle name="Comma 17 4 7 3" xfId="11058"/>
    <cellStyle name="Comma 17 4 8" xfId="11059"/>
    <cellStyle name="Comma 17 4 9" xfId="11060"/>
    <cellStyle name="Comma 17 5" xfId="43143"/>
    <cellStyle name="Comma 18" xfId="11061"/>
    <cellStyle name="Comma 18 2" xfId="11062"/>
    <cellStyle name="Comma 18 2 2" xfId="11063"/>
    <cellStyle name="Comma 18 2 2 2" xfId="11064"/>
    <cellStyle name="Comma 18 2 2 2 2" xfId="11065"/>
    <cellStyle name="Comma 18 2 2 2 2 2" xfId="11066"/>
    <cellStyle name="Comma 18 2 2 2 2 2 2" xfId="11067"/>
    <cellStyle name="Comma 18 2 2 2 2 2 2 2" xfId="11068"/>
    <cellStyle name="Comma 18 2 2 2 2 2 2 3" xfId="11069"/>
    <cellStyle name="Comma 18 2 2 2 2 2 3" xfId="11070"/>
    <cellStyle name="Comma 18 2 2 2 2 2 3 2" xfId="11071"/>
    <cellStyle name="Comma 18 2 2 2 2 2 3 3" xfId="11072"/>
    <cellStyle name="Comma 18 2 2 2 2 2 4" xfId="11073"/>
    <cellStyle name="Comma 18 2 2 2 2 2 5" xfId="11074"/>
    <cellStyle name="Comma 18 2 2 2 2 3" xfId="11075"/>
    <cellStyle name="Comma 18 2 2 2 2 3 2" xfId="11076"/>
    <cellStyle name="Comma 18 2 2 2 2 3 2 2" xfId="11077"/>
    <cellStyle name="Comma 18 2 2 2 2 3 2 3" xfId="11078"/>
    <cellStyle name="Comma 18 2 2 2 2 3 3" xfId="11079"/>
    <cellStyle name="Comma 18 2 2 2 2 3 3 2" xfId="11080"/>
    <cellStyle name="Comma 18 2 2 2 2 3 3 3" xfId="11081"/>
    <cellStyle name="Comma 18 2 2 2 2 3 4" xfId="11082"/>
    <cellStyle name="Comma 18 2 2 2 2 3 5" xfId="11083"/>
    <cellStyle name="Comma 18 2 2 2 2 4" xfId="11084"/>
    <cellStyle name="Comma 18 2 2 2 2 4 2" xfId="11085"/>
    <cellStyle name="Comma 18 2 2 2 2 4 3" xfId="11086"/>
    <cellStyle name="Comma 18 2 2 2 2 5" xfId="11087"/>
    <cellStyle name="Comma 18 2 2 2 2 5 2" xfId="11088"/>
    <cellStyle name="Comma 18 2 2 2 2 5 3" xfId="11089"/>
    <cellStyle name="Comma 18 2 2 2 2 6" xfId="11090"/>
    <cellStyle name="Comma 18 2 2 2 2 7" xfId="11091"/>
    <cellStyle name="Comma 18 2 2 2 3" xfId="11092"/>
    <cellStyle name="Comma 18 2 2 2 3 2" xfId="11093"/>
    <cellStyle name="Comma 18 2 2 2 3 2 2" xfId="11094"/>
    <cellStyle name="Comma 18 2 2 2 3 2 2 2" xfId="11095"/>
    <cellStyle name="Comma 18 2 2 2 3 2 2 3" xfId="11096"/>
    <cellStyle name="Comma 18 2 2 2 3 2 3" xfId="11097"/>
    <cellStyle name="Comma 18 2 2 2 3 2 3 2" xfId="11098"/>
    <cellStyle name="Comma 18 2 2 2 3 2 3 3" xfId="11099"/>
    <cellStyle name="Comma 18 2 2 2 3 2 4" xfId="11100"/>
    <cellStyle name="Comma 18 2 2 2 3 2 5" xfId="11101"/>
    <cellStyle name="Comma 18 2 2 2 3 3" xfId="11102"/>
    <cellStyle name="Comma 18 2 2 2 3 3 2" xfId="11103"/>
    <cellStyle name="Comma 18 2 2 2 3 3 2 2" xfId="11104"/>
    <cellStyle name="Comma 18 2 2 2 3 3 2 3" xfId="11105"/>
    <cellStyle name="Comma 18 2 2 2 3 3 3" xfId="11106"/>
    <cellStyle name="Comma 18 2 2 2 3 3 3 2" xfId="11107"/>
    <cellStyle name="Comma 18 2 2 2 3 3 3 3" xfId="11108"/>
    <cellStyle name="Comma 18 2 2 2 3 3 4" xfId="11109"/>
    <cellStyle name="Comma 18 2 2 2 3 3 5" xfId="11110"/>
    <cellStyle name="Comma 18 2 2 2 3 4" xfId="11111"/>
    <cellStyle name="Comma 18 2 2 2 3 4 2" xfId="11112"/>
    <cellStyle name="Comma 18 2 2 2 3 4 3" xfId="11113"/>
    <cellStyle name="Comma 18 2 2 2 3 5" xfId="11114"/>
    <cellStyle name="Comma 18 2 2 2 3 5 2" xfId="11115"/>
    <cellStyle name="Comma 18 2 2 2 3 5 3" xfId="11116"/>
    <cellStyle name="Comma 18 2 2 2 3 6" xfId="11117"/>
    <cellStyle name="Comma 18 2 2 2 3 7" xfId="11118"/>
    <cellStyle name="Comma 18 2 2 2 4" xfId="11119"/>
    <cellStyle name="Comma 18 2 2 2 4 2" xfId="11120"/>
    <cellStyle name="Comma 18 2 2 2 4 2 2" xfId="11121"/>
    <cellStyle name="Comma 18 2 2 2 4 2 3" xfId="11122"/>
    <cellStyle name="Comma 18 2 2 2 4 3" xfId="11123"/>
    <cellStyle name="Comma 18 2 2 2 4 3 2" xfId="11124"/>
    <cellStyle name="Comma 18 2 2 2 4 3 3" xfId="11125"/>
    <cellStyle name="Comma 18 2 2 2 4 4" xfId="11126"/>
    <cellStyle name="Comma 18 2 2 2 4 5" xfId="11127"/>
    <cellStyle name="Comma 18 2 2 2 5" xfId="11128"/>
    <cellStyle name="Comma 18 2 2 2 5 2" xfId="11129"/>
    <cellStyle name="Comma 18 2 2 2 5 2 2" xfId="11130"/>
    <cellStyle name="Comma 18 2 2 2 5 2 3" xfId="11131"/>
    <cellStyle name="Comma 18 2 2 2 5 3" xfId="11132"/>
    <cellStyle name="Comma 18 2 2 2 5 3 2" xfId="11133"/>
    <cellStyle name="Comma 18 2 2 2 5 3 3" xfId="11134"/>
    <cellStyle name="Comma 18 2 2 2 5 4" xfId="11135"/>
    <cellStyle name="Comma 18 2 2 2 5 5" xfId="11136"/>
    <cellStyle name="Comma 18 2 2 2 6" xfId="11137"/>
    <cellStyle name="Comma 18 2 2 2 6 2" xfId="11138"/>
    <cellStyle name="Comma 18 2 2 2 6 3" xfId="11139"/>
    <cellStyle name="Comma 18 2 2 2 7" xfId="11140"/>
    <cellStyle name="Comma 18 2 2 2 7 2" xfId="11141"/>
    <cellStyle name="Comma 18 2 2 2 7 3" xfId="11142"/>
    <cellStyle name="Comma 18 2 2 2 8" xfId="11143"/>
    <cellStyle name="Comma 18 2 2 2 9" xfId="11144"/>
    <cellStyle name="Comma 18 2 3" xfId="11145"/>
    <cellStyle name="Comma 18 2 3 2" xfId="11146"/>
    <cellStyle name="Comma 18 2 3 2 2" xfId="11147"/>
    <cellStyle name="Comma 18 2 3 2 2 2" xfId="11148"/>
    <cellStyle name="Comma 18 2 3 2 2 2 2" xfId="11149"/>
    <cellStyle name="Comma 18 2 3 2 2 2 3" xfId="11150"/>
    <cellStyle name="Comma 18 2 3 2 2 3" xfId="11151"/>
    <cellStyle name="Comma 18 2 3 2 2 3 2" xfId="11152"/>
    <cellStyle name="Comma 18 2 3 2 2 3 3" xfId="11153"/>
    <cellStyle name="Comma 18 2 3 2 2 4" xfId="11154"/>
    <cellStyle name="Comma 18 2 3 2 2 5" xfId="11155"/>
    <cellStyle name="Comma 18 2 3 2 3" xfId="11156"/>
    <cellStyle name="Comma 18 2 3 2 3 2" xfId="11157"/>
    <cellStyle name="Comma 18 2 3 2 3 2 2" xfId="11158"/>
    <cellStyle name="Comma 18 2 3 2 3 2 3" xfId="11159"/>
    <cellStyle name="Comma 18 2 3 2 3 3" xfId="11160"/>
    <cellStyle name="Comma 18 2 3 2 3 3 2" xfId="11161"/>
    <cellStyle name="Comma 18 2 3 2 3 3 3" xfId="11162"/>
    <cellStyle name="Comma 18 2 3 2 3 4" xfId="11163"/>
    <cellStyle name="Comma 18 2 3 2 3 5" xfId="11164"/>
    <cellStyle name="Comma 18 2 3 2 4" xfId="11165"/>
    <cellStyle name="Comma 18 2 3 2 4 2" xfId="11166"/>
    <cellStyle name="Comma 18 2 3 2 4 3" xfId="11167"/>
    <cellStyle name="Comma 18 2 3 2 5" xfId="11168"/>
    <cellStyle name="Comma 18 2 3 2 5 2" xfId="11169"/>
    <cellStyle name="Comma 18 2 3 2 5 3" xfId="11170"/>
    <cellStyle name="Comma 18 2 3 2 6" xfId="11171"/>
    <cellStyle name="Comma 18 2 3 2 7" xfId="11172"/>
    <cellStyle name="Comma 18 2 3 3" xfId="11173"/>
    <cellStyle name="Comma 18 2 3 3 2" xfId="11174"/>
    <cellStyle name="Comma 18 2 3 3 2 2" xfId="11175"/>
    <cellStyle name="Comma 18 2 3 3 2 2 2" xfId="11176"/>
    <cellStyle name="Comma 18 2 3 3 2 2 3" xfId="11177"/>
    <cellStyle name="Comma 18 2 3 3 2 3" xfId="11178"/>
    <cellStyle name="Comma 18 2 3 3 2 3 2" xfId="11179"/>
    <cellStyle name="Comma 18 2 3 3 2 3 3" xfId="11180"/>
    <cellStyle name="Comma 18 2 3 3 2 4" xfId="11181"/>
    <cellStyle name="Comma 18 2 3 3 2 5" xfId="11182"/>
    <cellStyle name="Comma 18 2 3 3 3" xfId="11183"/>
    <cellStyle name="Comma 18 2 3 3 3 2" xfId="11184"/>
    <cellStyle name="Comma 18 2 3 3 3 2 2" xfId="11185"/>
    <cellStyle name="Comma 18 2 3 3 3 2 3" xfId="11186"/>
    <cellStyle name="Comma 18 2 3 3 3 3" xfId="11187"/>
    <cellStyle name="Comma 18 2 3 3 3 3 2" xfId="11188"/>
    <cellStyle name="Comma 18 2 3 3 3 3 3" xfId="11189"/>
    <cellStyle name="Comma 18 2 3 3 3 4" xfId="11190"/>
    <cellStyle name="Comma 18 2 3 3 3 5" xfId="11191"/>
    <cellStyle name="Comma 18 2 3 3 4" xfId="11192"/>
    <cellStyle name="Comma 18 2 3 3 4 2" xfId="11193"/>
    <cellStyle name="Comma 18 2 3 3 4 3" xfId="11194"/>
    <cellStyle name="Comma 18 2 3 3 5" xfId="11195"/>
    <cellStyle name="Comma 18 2 3 3 5 2" xfId="11196"/>
    <cellStyle name="Comma 18 2 3 3 5 3" xfId="11197"/>
    <cellStyle name="Comma 18 2 3 3 6" xfId="11198"/>
    <cellStyle name="Comma 18 2 3 3 7" xfId="11199"/>
    <cellStyle name="Comma 18 2 3 4" xfId="11200"/>
    <cellStyle name="Comma 18 2 3 4 2" xfId="11201"/>
    <cellStyle name="Comma 18 2 3 4 2 2" xfId="11202"/>
    <cellStyle name="Comma 18 2 3 4 2 3" xfId="11203"/>
    <cellStyle name="Comma 18 2 3 4 3" xfId="11204"/>
    <cellStyle name="Comma 18 2 3 4 3 2" xfId="11205"/>
    <cellStyle name="Comma 18 2 3 4 3 3" xfId="11206"/>
    <cellStyle name="Comma 18 2 3 4 4" xfId="11207"/>
    <cellStyle name="Comma 18 2 3 4 5" xfId="11208"/>
    <cellStyle name="Comma 18 2 3 5" xfId="11209"/>
    <cellStyle name="Comma 18 2 3 5 2" xfId="11210"/>
    <cellStyle name="Comma 18 2 3 5 2 2" xfId="11211"/>
    <cellStyle name="Comma 18 2 3 5 2 3" xfId="11212"/>
    <cellStyle name="Comma 18 2 3 5 3" xfId="11213"/>
    <cellStyle name="Comma 18 2 3 5 3 2" xfId="11214"/>
    <cellStyle name="Comma 18 2 3 5 3 3" xfId="11215"/>
    <cellStyle name="Comma 18 2 3 5 4" xfId="11216"/>
    <cellStyle name="Comma 18 2 3 5 5" xfId="11217"/>
    <cellStyle name="Comma 18 2 3 6" xfId="11218"/>
    <cellStyle name="Comma 18 2 3 6 2" xfId="11219"/>
    <cellStyle name="Comma 18 2 3 6 3" xfId="11220"/>
    <cellStyle name="Comma 18 2 3 7" xfId="11221"/>
    <cellStyle name="Comma 18 2 3 7 2" xfId="11222"/>
    <cellStyle name="Comma 18 2 3 7 3" xfId="11223"/>
    <cellStyle name="Comma 18 2 3 8" xfId="11224"/>
    <cellStyle name="Comma 18 2 3 9" xfId="11225"/>
    <cellStyle name="Comma 18 3" xfId="11226"/>
    <cellStyle name="Comma 18 3 2" xfId="11227"/>
    <cellStyle name="Comma 18 3 2 2" xfId="11228"/>
    <cellStyle name="Comma 18 3 2 2 2" xfId="11229"/>
    <cellStyle name="Comma 18 3 2 2 2 2" xfId="11230"/>
    <cellStyle name="Comma 18 3 2 2 2 2 2" xfId="11231"/>
    <cellStyle name="Comma 18 3 2 2 2 2 3" xfId="11232"/>
    <cellStyle name="Comma 18 3 2 2 2 3" xfId="11233"/>
    <cellStyle name="Comma 18 3 2 2 2 3 2" xfId="11234"/>
    <cellStyle name="Comma 18 3 2 2 2 3 3" xfId="11235"/>
    <cellStyle name="Comma 18 3 2 2 2 4" xfId="11236"/>
    <cellStyle name="Comma 18 3 2 2 2 5" xfId="11237"/>
    <cellStyle name="Comma 18 3 2 2 3" xfId="11238"/>
    <cellStyle name="Comma 18 3 2 2 3 2" xfId="11239"/>
    <cellStyle name="Comma 18 3 2 2 3 2 2" xfId="11240"/>
    <cellStyle name="Comma 18 3 2 2 3 2 3" xfId="11241"/>
    <cellStyle name="Comma 18 3 2 2 3 3" xfId="11242"/>
    <cellStyle name="Comma 18 3 2 2 3 3 2" xfId="11243"/>
    <cellStyle name="Comma 18 3 2 2 3 3 3" xfId="11244"/>
    <cellStyle name="Comma 18 3 2 2 3 4" xfId="11245"/>
    <cellStyle name="Comma 18 3 2 2 3 5" xfId="11246"/>
    <cellStyle name="Comma 18 3 2 2 4" xfId="11247"/>
    <cellStyle name="Comma 18 3 2 2 4 2" xfId="11248"/>
    <cellStyle name="Comma 18 3 2 2 4 3" xfId="11249"/>
    <cellStyle name="Comma 18 3 2 2 5" xfId="11250"/>
    <cellStyle name="Comma 18 3 2 2 5 2" xfId="11251"/>
    <cellStyle name="Comma 18 3 2 2 5 3" xfId="11252"/>
    <cellStyle name="Comma 18 3 2 2 6" xfId="11253"/>
    <cellStyle name="Comma 18 3 2 2 7" xfId="11254"/>
    <cellStyle name="Comma 18 3 2 3" xfId="11255"/>
    <cellStyle name="Comma 18 3 2 3 2" xfId="11256"/>
    <cellStyle name="Comma 18 3 2 3 2 2" xfId="11257"/>
    <cellStyle name="Comma 18 3 2 3 2 2 2" xfId="11258"/>
    <cellStyle name="Comma 18 3 2 3 2 2 3" xfId="11259"/>
    <cellStyle name="Comma 18 3 2 3 2 3" xfId="11260"/>
    <cellStyle name="Comma 18 3 2 3 2 3 2" xfId="11261"/>
    <cellStyle name="Comma 18 3 2 3 2 3 3" xfId="11262"/>
    <cellStyle name="Comma 18 3 2 3 2 4" xfId="11263"/>
    <cellStyle name="Comma 18 3 2 3 2 5" xfId="11264"/>
    <cellStyle name="Comma 18 3 2 3 3" xfId="11265"/>
    <cellStyle name="Comma 18 3 2 3 3 2" xfId="11266"/>
    <cellStyle name="Comma 18 3 2 3 3 2 2" xfId="11267"/>
    <cellStyle name="Comma 18 3 2 3 3 2 3" xfId="11268"/>
    <cellStyle name="Comma 18 3 2 3 3 3" xfId="11269"/>
    <cellStyle name="Comma 18 3 2 3 3 3 2" xfId="11270"/>
    <cellStyle name="Comma 18 3 2 3 3 3 3" xfId="11271"/>
    <cellStyle name="Comma 18 3 2 3 3 4" xfId="11272"/>
    <cellStyle name="Comma 18 3 2 3 3 5" xfId="11273"/>
    <cellStyle name="Comma 18 3 2 3 4" xfId="11274"/>
    <cellStyle name="Comma 18 3 2 3 4 2" xfId="11275"/>
    <cellStyle name="Comma 18 3 2 3 4 3" xfId="11276"/>
    <cellStyle name="Comma 18 3 2 3 5" xfId="11277"/>
    <cellStyle name="Comma 18 3 2 3 5 2" xfId="11278"/>
    <cellStyle name="Comma 18 3 2 3 5 3" xfId="11279"/>
    <cellStyle name="Comma 18 3 2 3 6" xfId="11280"/>
    <cellStyle name="Comma 18 3 2 3 7" xfId="11281"/>
    <cellStyle name="Comma 18 3 2 4" xfId="11282"/>
    <cellStyle name="Comma 18 3 2 4 2" xfId="11283"/>
    <cellStyle name="Comma 18 3 2 4 2 2" xfId="11284"/>
    <cellStyle name="Comma 18 3 2 4 2 3" xfId="11285"/>
    <cellStyle name="Comma 18 3 2 4 3" xfId="11286"/>
    <cellStyle name="Comma 18 3 2 4 3 2" xfId="11287"/>
    <cellStyle name="Comma 18 3 2 4 3 3" xfId="11288"/>
    <cellStyle name="Comma 18 3 2 4 4" xfId="11289"/>
    <cellStyle name="Comma 18 3 2 4 5" xfId="11290"/>
    <cellStyle name="Comma 18 3 2 5" xfId="11291"/>
    <cellStyle name="Comma 18 3 2 5 2" xfId="11292"/>
    <cellStyle name="Comma 18 3 2 5 2 2" xfId="11293"/>
    <cellStyle name="Comma 18 3 2 5 2 3" xfId="11294"/>
    <cellStyle name="Comma 18 3 2 5 3" xfId="11295"/>
    <cellStyle name="Comma 18 3 2 5 3 2" xfId="11296"/>
    <cellStyle name="Comma 18 3 2 5 3 3" xfId="11297"/>
    <cellStyle name="Comma 18 3 2 5 4" xfId="11298"/>
    <cellStyle name="Comma 18 3 2 5 5" xfId="11299"/>
    <cellStyle name="Comma 18 3 2 6" xfId="11300"/>
    <cellStyle name="Comma 18 3 2 6 2" xfId="11301"/>
    <cellStyle name="Comma 18 3 2 6 3" xfId="11302"/>
    <cellStyle name="Comma 18 3 2 7" xfId="11303"/>
    <cellStyle name="Comma 18 3 2 7 2" xfId="11304"/>
    <cellStyle name="Comma 18 3 2 7 3" xfId="11305"/>
    <cellStyle name="Comma 18 3 2 8" xfId="11306"/>
    <cellStyle name="Comma 18 3 2 9" xfId="11307"/>
    <cellStyle name="Comma 18 4" xfId="11308"/>
    <cellStyle name="Comma 18 4 2" xfId="11309"/>
    <cellStyle name="Comma 18 4 2 2" xfId="11310"/>
    <cellStyle name="Comma 18 4 2 2 2" xfId="11311"/>
    <cellStyle name="Comma 18 4 2 2 2 2" xfId="11312"/>
    <cellStyle name="Comma 18 4 2 2 2 3" xfId="11313"/>
    <cellStyle name="Comma 18 4 2 2 3" xfId="11314"/>
    <cellStyle name="Comma 18 4 2 2 3 2" xfId="11315"/>
    <cellStyle name="Comma 18 4 2 2 3 3" xfId="11316"/>
    <cellStyle name="Comma 18 4 2 2 4" xfId="11317"/>
    <cellStyle name="Comma 18 4 2 2 5" xfId="11318"/>
    <cellStyle name="Comma 18 4 2 3" xfId="11319"/>
    <cellStyle name="Comma 18 4 2 3 2" xfId="11320"/>
    <cellStyle name="Comma 18 4 2 3 2 2" xfId="11321"/>
    <cellStyle name="Comma 18 4 2 3 2 3" xfId="11322"/>
    <cellStyle name="Comma 18 4 2 3 3" xfId="11323"/>
    <cellStyle name="Comma 18 4 2 3 3 2" xfId="11324"/>
    <cellStyle name="Comma 18 4 2 3 3 3" xfId="11325"/>
    <cellStyle name="Comma 18 4 2 3 4" xfId="11326"/>
    <cellStyle name="Comma 18 4 2 3 5" xfId="11327"/>
    <cellStyle name="Comma 18 4 2 4" xfId="11328"/>
    <cellStyle name="Comma 18 4 2 4 2" xfId="11329"/>
    <cellStyle name="Comma 18 4 2 4 3" xfId="11330"/>
    <cellStyle name="Comma 18 4 2 5" xfId="11331"/>
    <cellStyle name="Comma 18 4 2 5 2" xfId="11332"/>
    <cellStyle name="Comma 18 4 2 5 3" xfId="11333"/>
    <cellStyle name="Comma 18 4 2 6" xfId="11334"/>
    <cellStyle name="Comma 18 4 2 7" xfId="11335"/>
    <cellStyle name="Comma 18 4 3" xfId="11336"/>
    <cellStyle name="Comma 18 4 3 2" xfId="11337"/>
    <cellStyle name="Comma 18 4 3 2 2" xfId="11338"/>
    <cellStyle name="Comma 18 4 3 2 2 2" xfId="11339"/>
    <cellStyle name="Comma 18 4 3 2 2 3" xfId="11340"/>
    <cellStyle name="Comma 18 4 3 2 3" xfId="11341"/>
    <cellStyle name="Comma 18 4 3 2 3 2" xfId="11342"/>
    <cellStyle name="Comma 18 4 3 2 3 3" xfId="11343"/>
    <cellStyle name="Comma 18 4 3 2 4" xfId="11344"/>
    <cellStyle name="Comma 18 4 3 2 5" xfId="11345"/>
    <cellStyle name="Comma 18 4 3 3" xfId="11346"/>
    <cellStyle name="Comma 18 4 3 3 2" xfId="11347"/>
    <cellStyle name="Comma 18 4 3 3 2 2" xfId="11348"/>
    <cellStyle name="Comma 18 4 3 3 2 3" xfId="11349"/>
    <cellStyle name="Comma 18 4 3 3 3" xfId="11350"/>
    <cellStyle name="Comma 18 4 3 3 3 2" xfId="11351"/>
    <cellStyle name="Comma 18 4 3 3 3 3" xfId="11352"/>
    <cellStyle name="Comma 18 4 3 3 4" xfId="11353"/>
    <cellStyle name="Comma 18 4 3 3 5" xfId="11354"/>
    <cellStyle name="Comma 18 4 3 4" xfId="11355"/>
    <cellStyle name="Comma 18 4 3 4 2" xfId="11356"/>
    <cellStyle name="Comma 18 4 3 4 3" xfId="11357"/>
    <cellStyle name="Comma 18 4 3 5" xfId="11358"/>
    <cellStyle name="Comma 18 4 3 5 2" xfId="11359"/>
    <cellStyle name="Comma 18 4 3 5 3" xfId="11360"/>
    <cellStyle name="Comma 18 4 3 6" xfId="11361"/>
    <cellStyle name="Comma 18 4 3 7" xfId="11362"/>
    <cellStyle name="Comma 18 4 4" xfId="11363"/>
    <cellStyle name="Comma 18 4 4 2" xfId="11364"/>
    <cellStyle name="Comma 18 4 4 2 2" xfId="11365"/>
    <cellStyle name="Comma 18 4 4 2 3" xfId="11366"/>
    <cellStyle name="Comma 18 4 4 3" xfId="11367"/>
    <cellStyle name="Comma 18 4 4 3 2" xfId="11368"/>
    <cellStyle name="Comma 18 4 4 3 3" xfId="11369"/>
    <cellStyle name="Comma 18 4 4 4" xfId="11370"/>
    <cellStyle name="Comma 18 4 4 5" xfId="11371"/>
    <cellStyle name="Comma 18 4 5" xfId="11372"/>
    <cellStyle name="Comma 18 4 5 2" xfId="11373"/>
    <cellStyle name="Comma 18 4 5 2 2" xfId="11374"/>
    <cellStyle name="Comma 18 4 5 2 3" xfId="11375"/>
    <cellStyle name="Comma 18 4 5 3" xfId="11376"/>
    <cellStyle name="Comma 18 4 5 3 2" xfId="11377"/>
    <cellStyle name="Comma 18 4 5 3 3" xfId="11378"/>
    <cellStyle name="Comma 18 4 5 4" xfId="11379"/>
    <cellStyle name="Comma 18 4 5 5" xfId="11380"/>
    <cellStyle name="Comma 18 4 6" xfId="11381"/>
    <cellStyle name="Comma 18 4 6 2" xfId="11382"/>
    <cellStyle name="Comma 18 4 6 3" xfId="11383"/>
    <cellStyle name="Comma 18 4 7" xfId="11384"/>
    <cellStyle name="Comma 18 4 7 2" xfId="11385"/>
    <cellStyle name="Comma 18 4 7 3" xfId="11386"/>
    <cellStyle name="Comma 18 4 8" xfId="11387"/>
    <cellStyle name="Comma 18 4 9" xfId="11388"/>
    <cellStyle name="Comma 19" xfId="11389"/>
    <cellStyle name="Comma 19 2" xfId="11390"/>
    <cellStyle name="Comma 19 2 2" xfId="11391"/>
    <cellStyle name="Comma 19 2 2 2" xfId="11392"/>
    <cellStyle name="Comma 19 2 2 2 2" xfId="11393"/>
    <cellStyle name="Comma 19 2 2 2 2 2" xfId="11394"/>
    <cellStyle name="Comma 19 2 2 2 2 2 2" xfId="11395"/>
    <cellStyle name="Comma 19 2 2 2 2 2 2 2" xfId="11396"/>
    <cellStyle name="Comma 19 2 2 2 2 2 2 3" xfId="11397"/>
    <cellStyle name="Comma 19 2 2 2 2 2 3" xfId="11398"/>
    <cellStyle name="Comma 19 2 2 2 2 2 3 2" xfId="11399"/>
    <cellStyle name="Comma 19 2 2 2 2 2 3 3" xfId="11400"/>
    <cellStyle name="Comma 19 2 2 2 2 2 4" xfId="11401"/>
    <cellStyle name="Comma 19 2 2 2 2 2 5" xfId="11402"/>
    <cellStyle name="Comma 19 2 2 2 2 3" xfId="11403"/>
    <cellStyle name="Comma 19 2 2 2 2 3 2" xfId="11404"/>
    <cellStyle name="Comma 19 2 2 2 2 3 2 2" xfId="11405"/>
    <cellStyle name="Comma 19 2 2 2 2 3 2 3" xfId="11406"/>
    <cellStyle name="Comma 19 2 2 2 2 3 3" xfId="11407"/>
    <cellStyle name="Comma 19 2 2 2 2 3 3 2" xfId="11408"/>
    <cellStyle name="Comma 19 2 2 2 2 3 3 3" xfId="11409"/>
    <cellStyle name="Comma 19 2 2 2 2 3 4" xfId="11410"/>
    <cellStyle name="Comma 19 2 2 2 2 3 5" xfId="11411"/>
    <cellStyle name="Comma 19 2 2 2 2 4" xfId="11412"/>
    <cellStyle name="Comma 19 2 2 2 2 4 2" xfId="11413"/>
    <cellStyle name="Comma 19 2 2 2 2 4 3" xfId="11414"/>
    <cellStyle name="Comma 19 2 2 2 2 5" xfId="11415"/>
    <cellStyle name="Comma 19 2 2 2 2 5 2" xfId="11416"/>
    <cellStyle name="Comma 19 2 2 2 2 5 3" xfId="11417"/>
    <cellStyle name="Comma 19 2 2 2 2 6" xfId="11418"/>
    <cellStyle name="Comma 19 2 2 2 2 7" xfId="11419"/>
    <cellStyle name="Comma 19 2 2 2 3" xfId="11420"/>
    <cellStyle name="Comma 19 2 2 2 3 2" xfId="11421"/>
    <cellStyle name="Comma 19 2 2 2 3 2 2" xfId="11422"/>
    <cellStyle name="Comma 19 2 2 2 3 2 2 2" xfId="11423"/>
    <cellStyle name="Comma 19 2 2 2 3 2 2 3" xfId="11424"/>
    <cellStyle name="Comma 19 2 2 2 3 2 3" xfId="11425"/>
    <cellStyle name="Comma 19 2 2 2 3 2 3 2" xfId="11426"/>
    <cellStyle name="Comma 19 2 2 2 3 2 3 3" xfId="11427"/>
    <cellStyle name="Comma 19 2 2 2 3 2 4" xfId="11428"/>
    <cellStyle name="Comma 19 2 2 2 3 2 5" xfId="11429"/>
    <cellStyle name="Comma 19 2 2 2 3 3" xfId="11430"/>
    <cellStyle name="Comma 19 2 2 2 3 3 2" xfId="11431"/>
    <cellStyle name="Comma 19 2 2 2 3 3 2 2" xfId="11432"/>
    <cellStyle name="Comma 19 2 2 2 3 3 2 3" xfId="11433"/>
    <cellStyle name="Comma 19 2 2 2 3 3 3" xfId="11434"/>
    <cellStyle name="Comma 19 2 2 2 3 3 3 2" xfId="11435"/>
    <cellStyle name="Comma 19 2 2 2 3 3 3 3" xfId="11436"/>
    <cellStyle name="Comma 19 2 2 2 3 3 4" xfId="11437"/>
    <cellStyle name="Comma 19 2 2 2 3 3 5" xfId="11438"/>
    <cellStyle name="Comma 19 2 2 2 3 4" xfId="11439"/>
    <cellStyle name="Comma 19 2 2 2 3 4 2" xfId="11440"/>
    <cellStyle name="Comma 19 2 2 2 3 4 3" xfId="11441"/>
    <cellStyle name="Comma 19 2 2 2 3 5" xfId="11442"/>
    <cellStyle name="Comma 19 2 2 2 3 5 2" xfId="11443"/>
    <cellStyle name="Comma 19 2 2 2 3 5 3" xfId="11444"/>
    <cellStyle name="Comma 19 2 2 2 3 6" xfId="11445"/>
    <cellStyle name="Comma 19 2 2 2 3 7" xfId="11446"/>
    <cellStyle name="Comma 19 2 2 2 4" xfId="11447"/>
    <cellStyle name="Comma 19 2 2 2 4 2" xfId="11448"/>
    <cellStyle name="Comma 19 2 2 2 4 2 2" xfId="11449"/>
    <cellStyle name="Comma 19 2 2 2 4 2 3" xfId="11450"/>
    <cellStyle name="Comma 19 2 2 2 4 3" xfId="11451"/>
    <cellStyle name="Comma 19 2 2 2 4 3 2" xfId="11452"/>
    <cellStyle name="Comma 19 2 2 2 4 3 3" xfId="11453"/>
    <cellStyle name="Comma 19 2 2 2 4 4" xfId="11454"/>
    <cellStyle name="Comma 19 2 2 2 4 5" xfId="11455"/>
    <cellStyle name="Comma 19 2 2 2 5" xfId="11456"/>
    <cellStyle name="Comma 19 2 2 2 5 2" xfId="11457"/>
    <cellStyle name="Comma 19 2 2 2 5 2 2" xfId="11458"/>
    <cellStyle name="Comma 19 2 2 2 5 2 3" xfId="11459"/>
    <cellStyle name="Comma 19 2 2 2 5 3" xfId="11460"/>
    <cellStyle name="Comma 19 2 2 2 5 3 2" xfId="11461"/>
    <cellStyle name="Comma 19 2 2 2 5 3 3" xfId="11462"/>
    <cellStyle name="Comma 19 2 2 2 5 4" xfId="11463"/>
    <cellStyle name="Comma 19 2 2 2 5 5" xfId="11464"/>
    <cellStyle name="Comma 19 2 2 2 6" xfId="11465"/>
    <cellStyle name="Comma 19 2 2 2 6 2" xfId="11466"/>
    <cellStyle name="Comma 19 2 2 2 6 3" xfId="11467"/>
    <cellStyle name="Comma 19 2 2 2 7" xfId="11468"/>
    <cellStyle name="Comma 19 2 2 2 7 2" xfId="11469"/>
    <cellStyle name="Comma 19 2 2 2 7 3" xfId="11470"/>
    <cellStyle name="Comma 19 2 2 2 8" xfId="11471"/>
    <cellStyle name="Comma 19 2 2 2 9" xfId="11472"/>
    <cellStyle name="Comma 19 2 3" xfId="11473"/>
    <cellStyle name="Comma 19 2 3 2" xfId="11474"/>
    <cellStyle name="Comma 19 2 3 2 2" xfId="11475"/>
    <cellStyle name="Comma 19 2 3 2 2 2" xfId="11476"/>
    <cellStyle name="Comma 19 2 3 2 2 2 2" xfId="11477"/>
    <cellStyle name="Comma 19 2 3 2 2 2 3" xfId="11478"/>
    <cellStyle name="Comma 19 2 3 2 2 3" xfId="11479"/>
    <cellStyle name="Comma 19 2 3 2 2 3 2" xfId="11480"/>
    <cellStyle name="Comma 19 2 3 2 2 3 3" xfId="11481"/>
    <cellStyle name="Comma 19 2 3 2 2 4" xfId="11482"/>
    <cellStyle name="Comma 19 2 3 2 2 5" xfId="11483"/>
    <cellStyle name="Comma 19 2 3 2 3" xfId="11484"/>
    <cellStyle name="Comma 19 2 3 2 3 2" xfId="11485"/>
    <cellStyle name="Comma 19 2 3 2 3 2 2" xfId="11486"/>
    <cellStyle name="Comma 19 2 3 2 3 2 3" xfId="11487"/>
    <cellStyle name="Comma 19 2 3 2 3 3" xfId="11488"/>
    <cellStyle name="Comma 19 2 3 2 3 3 2" xfId="11489"/>
    <cellStyle name="Comma 19 2 3 2 3 3 3" xfId="11490"/>
    <cellStyle name="Comma 19 2 3 2 3 4" xfId="11491"/>
    <cellStyle name="Comma 19 2 3 2 3 5" xfId="11492"/>
    <cellStyle name="Comma 19 2 3 2 4" xfId="11493"/>
    <cellStyle name="Comma 19 2 3 2 4 2" xfId="11494"/>
    <cellStyle name="Comma 19 2 3 2 4 3" xfId="11495"/>
    <cellStyle name="Comma 19 2 3 2 5" xfId="11496"/>
    <cellStyle name="Comma 19 2 3 2 5 2" xfId="11497"/>
    <cellStyle name="Comma 19 2 3 2 5 3" xfId="11498"/>
    <cellStyle name="Comma 19 2 3 2 6" xfId="11499"/>
    <cellStyle name="Comma 19 2 3 2 7" xfId="11500"/>
    <cellStyle name="Comma 19 2 3 3" xfId="11501"/>
    <cellStyle name="Comma 19 2 3 3 2" xfId="11502"/>
    <cellStyle name="Comma 19 2 3 3 2 2" xfId="11503"/>
    <cellStyle name="Comma 19 2 3 3 2 2 2" xfId="11504"/>
    <cellStyle name="Comma 19 2 3 3 2 2 3" xfId="11505"/>
    <cellStyle name="Comma 19 2 3 3 2 3" xfId="11506"/>
    <cellStyle name="Comma 19 2 3 3 2 3 2" xfId="11507"/>
    <cellStyle name="Comma 19 2 3 3 2 3 3" xfId="11508"/>
    <cellStyle name="Comma 19 2 3 3 2 4" xfId="11509"/>
    <cellStyle name="Comma 19 2 3 3 2 5" xfId="11510"/>
    <cellStyle name="Comma 19 2 3 3 3" xfId="11511"/>
    <cellStyle name="Comma 19 2 3 3 3 2" xfId="11512"/>
    <cellStyle name="Comma 19 2 3 3 3 2 2" xfId="11513"/>
    <cellStyle name="Comma 19 2 3 3 3 2 3" xfId="11514"/>
    <cellStyle name="Comma 19 2 3 3 3 3" xfId="11515"/>
    <cellStyle name="Comma 19 2 3 3 3 3 2" xfId="11516"/>
    <cellStyle name="Comma 19 2 3 3 3 3 3" xfId="11517"/>
    <cellStyle name="Comma 19 2 3 3 3 4" xfId="11518"/>
    <cellStyle name="Comma 19 2 3 3 3 5" xfId="11519"/>
    <cellStyle name="Comma 19 2 3 3 4" xfId="11520"/>
    <cellStyle name="Comma 19 2 3 3 4 2" xfId="11521"/>
    <cellStyle name="Comma 19 2 3 3 4 3" xfId="11522"/>
    <cellStyle name="Comma 19 2 3 3 5" xfId="11523"/>
    <cellStyle name="Comma 19 2 3 3 5 2" xfId="11524"/>
    <cellStyle name="Comma 19 2 3 3 5 3" xfId="11525"/>
    <cellStyle name="Comma 19 2 3 3 6" xfId="11526"/>
    <cellStyle name="Comma 19 2 3 3 7" xfId="11527"/>
    <cellStyle name="Comma 19 2 3 4" xfId="11528"/>
    <cellStyle name="Comma 19 2 3 4 2" xfId="11529"/>
    <cellStyle name="Comma 19 2 3 4 2 2" xfId="11530"/>
    <cellStyle name="Comma 19 2 3 4 2 3" xfId="11531"/>
    <cellStyle name="Comma 19 2 3 4 3" xfId="11532"/>
    <cellStyle name="Comma 19 2 3 4 3 2" xfId="11533"/>
    <cellStyle name="Comma 19 2 3 4 3 3" xfId="11534"/>
    <cellStyle name="Comma 19 2 3 4 4" xfId="11535"/>
    <cellStyle name="Comma 19 2 3 4 5" xfId="11536"/>
    <cellStyle name="Comma 19 2 3 5" xfId="11537"/>
    <cellStyle name="Comma 19 2 3 5 2" xfId="11538"/>
    <cellStyle name="Comma 19 2 3 5 2 2" xfId="11539"/>
    <cellStyle name="Comma 19 2 3 5 2 3" xfId="11540"/>
    <cellStyle name="Comma 19 2 3 5 3" xfId="11541"/>
    <cellStyle name="Comma 19 2 3 5 3 2" xfId="11542"/>
    <cellStyle name="Comma 19 2 3 5 3 3" xfId="11543"/>
    <cellStyle name="Comma 19 2 3 5 4" xfId="11544"/>
    <cellStyle name="Comma 19 2 3 5 5" xfId="11545"/>
    <cellStyle name="Comma 19 2 3 6" xfId="11546"/>
    <cellStyle name="Comma 19 2 3 6 2" xfId="11547"/>
    <cellStyle name="Comma 19 2 3 6 3" xfId="11548"/>
    <cellStyle name="Comma 19 2 3 7" xfId="11549"/>
    <cellStyle name="Comma 19 2 3 7 2" xfId="11550"/>
    <cellStyle name="Comma 19 2 3 7 3" xfId="11551"/>
    <cellStyle name="Comma 19 2 3 8" xfId="11552"/>
    <cellStyle name="Comma 19 2 3 9" xfId="11553"/>
    <cellStyle name="Comma 19 3" xfId="11554"/>
    <cellStyle name="Comma 19 3 2" xfId="11555"/>
    <cellStyle name="Comma 19 3 2 2" xfId="11556"/>
    <cellStyle name="Comma 19 3 2 2 2" xfId="11557"/>
    <cellStyle name="Comma 19 3 2 2 2 2" xfId="11558"/>
    <cellStyle name="Comma 19 3 2 2 2 2 2" xfId="11559"/>
    <cellStyle name="Comma 19 3 2 2 2 2 3" xfId="11560"/>
    <cellStyle name="Comma 19 3 2 2 2 3" xfId="11561"/>
    <cellStyle name="Comma 19 3 2 2 2 3 2" xfId="11562"/>
    <cellStyle name="Comma 19 3 2 2 2 3 3" xfId="11563"/>
    <cellStyle name="Comma 19 3 2 2 2 4" xfId="11564"/>
    <cellStyle name="Comma 19 3 2 2 2 5" xfId="11565"/>
    <cellStyle name="Comma 19 3 2 2 3" xfId="11566"/>
    <cellStyle name="Comma 19 3 2 2 3 2" xfId="11567"/>
    <cellStyle name="Comma 19 3 2 2 3 2 2" xfId="11568"/>
    <cellStyle name="Comma 19 3 2 2 3 2 3" xfId="11569"/>
    <cellStyle name="Comma 19 3 2 2 3 3" xfId="11570"/>
    <cellStyle name="Comma 19 3 2 2 3 3 2" xfId="11571"/>
    <cellStyle name="Comma 19 3 2 2 3 3 3" xfId="11572"/>
    <cellStyle name="Comma 19 3 2 2 3 4" xfId="11573"/>
    <cellStyle name="Comma 19 3 2 2 3 5" xfId="11574"/>
    <cellStyle name="Comma 19 3 2 2 4" xfId="11575"/>
    <cellStyle name="Comma 19 3 2 2 4 2" xfId="11576"/>
    <cellStyle name="Comma 19 3 2 2 4 3" xfId="11577"/>
    <cellStyle name="Comma 19 3 2 2 5" xfId="11578"/>
    <cellStyle name="Comma 19 3 2 2 5 2" xfId="11579"/>
    <cellStyle name="Comma 19 3 2 2 5 3" xfId="11580"/>
    <cellStyle name="Comma 19 3 2 2 6" xfId="11581"/>
    <cellStyle name="Comma 19 3 2 2 7" xfId="11582"/>
    <cellStyle name="Comma 19 3 2 3" xfId="11583"/>
    <cellStyle name="Comma 19 3 2 3 2" xfId="11584"/>
    <cellStyle name="Comma 19 3 2 3 2 2" xfId="11585"/>
    <cellStyle name="Comma 19 3 2 3 2 2 2" xfId="11586"/>
    <cellStyle name="Comma 19 3 2 3 2 2 3" xfId="11587"/>
    <cellStyle name="Comma 19 3 2 3 2 3" xfId="11588"/>
    <cellStyle name="Comma 19 3 2 3 2 3 2" xfId="11589"/>
    <cellStyle name="Comma 19 3 2 3 2 3 3" xfId="11590"/>
    <cellStyle name="Comma 19 3 2 3 2 4" xfId="11591"/>
    <cellStyle name="Comma 19 3 2 3 2 5" xfId="11592"/>
    <cellStyle name="Comma 19 3 2 3 3" xfId="11593"/>
    <cellStyle name="Comma 19 3 2 3 3 2" xfId="11594"/>
    <cellStyle name="Comma 19 3 2 3 3 2 2" xfId="11595"/>
    <cellStyle name="Comma 19 3 2 3 3 2 3" xfId="11596"/>
    <cellStyle name="Comma 19 3 2 3 3 3" xfId="11597"/>
    <cellStyle name="Comma 19 3 2 3 3 3 2" xfId="11598"/>
    <cellStyle name="Comma 19 3 2 3 3 3 3" xfId="11599"/>
    <cellStyle name="Comma 19 3 2 3 3 4" xfId="11600"/>
    <cellStyle name="Comma 19 3 2 3 3 5" xfId="11601"/>
    <cellStyle name="Comma 19 3 2 3 4" xfId="11602"/>
    <cellStyle name="Comma 19 3 2 3 4 2" xfId="11603"/>
    <cellStyle name="Comma 19 3 2 3 4 3" xfId="11604"/>
    <cellStyle name="Comma 19 3 2 3 5" xfId="11605"/>
    <cellStyle name="Comma 19 3 2 3 5 2" xfId="11606"/>
    <cellStyle name="Comma 19 3 2 3 5 3" xfId="11607"/>
    <cellStyle name="Comma 19 3 2 3 6" xfId="11608"/>
    <cellStyle name="Comma 19 3 2 3 7" xfId="11609"/>
    <cellStyle name="Comma 19 3 2 4" xfId="11610"/>
    <cellStyle name="Comma 19 3 2 4 2" xfId="11611"/>
    <cellStyle name="Comma 19 3 2 4 2 2" xfId="11612"/>
    <cellStyle name="Comma 19 3 2 4 2 3" xfId="11613"/>
    <cellStyle name="Comma 19 3 2 4 3" xfId="11614"/>
    <cellStyle name="Comma 19 3 2 4 3 2" xfId="11615"/>
    <cellStyle name="Comma 19 3 2 4 3 3" xfId="11616"/>
    <cellStyle name="Comma 19 3 2 4 4" xfId="11617"/>
    <cellStyle name="Comma 19 3 2 4 5" xfId="11618"/>
    <cellStyle name="Comma 19 3 2 5" xfId="11619"/>
    <cellStyle name="Comma 19 3 2 5 2" xfId="11620"/>
    <cellStyle name="Comma 19 3 2 5 2 2" xfId="11621"/>
    <cellStyle name="Comma 19 3 2 5 2 3" xfId="11622"/>
    <cellStyle name="Comma 19 3 2 5 3" xfId="11623"/>
    <cellStyle name="Comma 19 3 2 5 3 2" xfId="11624"/>
    <cellStyle name="Comma 19 3 2 5 3 3" xfId="11625"/>
    <cellStyle name="Comma 19 3 2 5 4" xfId="11626"/>
    <cellStyle name="Comma 19 3 2 5 5" xfId="11627"/>
    <cellStyle name="Comma 19 3 2 6" xfId="11628"/>
    <cellStyle name="Comma 19 3 2 6 2" xfId="11629"/>
    <cellStyle name="Comma 19 3 2 6 3" xfId="11630"/>
    <cellStyle name="Comma 19 3 2 7" xfId="11631"/>
    <cellStyle name="Comma 19 3 2 7 2" xfId="11632"/>
    <cellStyle name="Comma 19 3 2 7 3" xfId="11633"/>
    <cellStyle name="Comma 19 3 2 8" xfId="11634"/>
    <cellStyle name="Comma 19 3 2 9" xfId="11635"/>
    <cellStyle name="Comma 19 4" xfId="11636"/>
    <cellStyle name="Comma 19 4 2" xfId="11637"/>
    <cellStyle name="Comma 19 4 2 2" xfId="11638"/>
    <cellStyle name="Comma 19 4 2 2 2" xfId="11639"/>
    <cellStyle name="Comma 19 4 2 2 2 2" xfId="11640"/>
    <cellStyle name="Comma 19 4 2 2 2 3" xfId="11641"/>
    <cellStyle name="Comma 19 4 2 2 3" xfId="11642"/>
    <cellStyle name="Comma 19 4 2 2 3 2" xfId="11643"/>
    <cellStyle name="Comma 19 4 2 2 3 3" xfId="11644"/>
    <cellStyle name="Comma 19 4 2 2 4" xfId="11645"/>
    <cellStyle name="Comma 19 4 2 2 5" xfId="11646"/>
    <cellStyle name="Comma 19 4 2 3" xfId="11647"/>
    <cellStyle name="Comma 19 4 2 3 2" xfId="11648"/>
    <cellStyle name="Comma 19 4 2 3 2 2" xfId="11649"/>
    <cellStyle name="Comma 19 4 2 3 2 3" xfId="11650"/>
    <cellStyle name="Comma 19 4 2 3 3" xfId="11651"/>
    <cellStyle name="Comma 19 4 2 3 3 2" xfId="11652"/>
    <cellStyle name="Comma 19 4 2 3 3 3" xfId="11653"/>
    <cellStyle name="Comma 19 4 2 3 4" xfId="11654"/>
    <cellStyle name="Comma 19 4 2 3 5" xfId="11655"/>
    <cellStyle name="Comma 19 4 2 4" xfId="11656"/>
    <cellStyle name="Comma 19 4 2 4 2" xfId="11657"/>
    <cellStyle name="Comma 19 4 2 4 3" xfId="11658"/>
    <cellStyle name="Comma 19 4 2 5" xfId="11659"/>
    <cellStyle name="Comma 19 4 2 5 2" xfId="11660"/>
    <cellStyle name="Comma 19 4 2 5 3" xfId="11661"/>
    <cellStyle name="Comma 19 4 2 6" xfId="11662"/>
    <cellStyle name="Comma 19 4 2 7" xfId="11663"/>
    <cellStyle name="Comma 19 4 3" xfId="11664"/>
    <cellStyle name="Comma 19 4 3 2" xfId="11665"/>
    <cellStyle name="Comma 19 4 3 2 2" xfId="11666"/>
    <cellStyle name="Comma 19 4 3 2 2 2" xfId="11667"/>
    <cellStyle name="Comma 19 4 3 2 2 3" xfId="11668"/>
    <cellStyle name="Comma 19 4 3 2 3" xfId="11669"/>
    <cellStyle name="Comma 19 4 3 2 3 2" xfId="11670"/>
    <cellStyle name="Comma 19 4 3 2 3 3" xfId="11671"/>
    <cellStyle name="Comma 19 4 3 2 4" xfId="11672"/>
    <cellStyle name="Comma 19 4 3 2 5" xfId="11673"/>
    <cellStyle name="Comma 19 4 3 3" xfId="11674"/>
    <cellStyle name="Comma 19 4 3 3 2" xfId="11675"/>
    <cellStyle name="Comma 19 4 3 3 2 2" xfId="11676"/>
    <cellStyle name="Comma 19 4 3 3 2 3" xfId="11677"/>
    <cellStyle name="Comma 19 4 3 3 3" xfId="11678"/>
    <cellStyle name="Comma 19 4 3 3 3 2" xfId="11679"/>
    <cellStyle name="Comma 19 4 3 3 3 3" xfId="11680"/>
    <cellStyle name="Comma 19 4 3 3 4" xfId="11681"/>
    <cellStyle name="Comma 19 4 3 3 5" xfId="11682"/>
    <cellStyle name="Comma 19 4 3 4" xfId="11683"/>
    <cellStyle name="Comma 19 4 3 4 2" xfId="11684"/>
    <cellStyle name="Comma 19 4 3 4 3" xfId="11685"/>
    <cellStyle name="Comma 19 4 3 5" xfId="11686"/>
    <cellStyle name="Comma 19 4 3 5 2" xfId="11687"/>
    <cellStyle name="Comma 19 4 3 5 3" xfId="11688"/>
    <cellStyle name="Comma 19 4 3 6" xfId="11689"/>
    <cellStyle name="Comma 19 4 3 7" xfId="11690"/>
    <cellStyle name="Comma 19 4 4" xfId="11691"/>
    <cellStyle name="Comma 19 4 4 2" xfId="11692"/>
    <cellStyle name="Comma 19 4 4 2 2" xfId="11693"/>
    <cellStyle name="Comma 19 4 4 2 3" xfId="11694"/>
    <cellStyle name="Comma 19 4 4 3" xfId="11695"/>
    <cellStyle name="Comma 19 4 4 3 2" xfId="11696"/>
    <cellStyle name="Comma 19 4 4 3 3" xfId="11697"/>
    <cellStyle name="Comma 19 4 4 4" xfId="11698"/>
    <cellStyle name="Comma 19 4 4 5" xfId="11699"/>
    <cellStyle name="Comma 19 4 5" xfId="11700"/>
    <cellStyle name="Comma 19 4 5 2" xfId="11701"/>
    <cellStyle name="Comma 19 4 5 2 2" xfId="11702"/>
    <cellStyle name="Comma 19 4 5 2 3" xfId="11703"/>
    <cellStyle name="Comma 19 4 5 3" xfId="11704"/>
    <cellStyle name="Comma 19 4 5 3 2" xfId="11705"/>
    <cellStyle name="Comma 19 4 5 3 3" xfId="11706"/>
    <cellStyle name="Comma 19 4 5 4" xfId="11707"/>
    <cellStyle name="Comma 19 4 5 5" xfId="11708"/>
    <cellStyle name="Comma 19 4 6" xfId="11709"/>
    <cellStyle name="Comma 19 4 6 2" xfId="11710"/>
    <cellStyle name="Comma 19 4 6 3" xfId="11711"/>
    <cellStyle name="Comma 19 4 7" xfId="11712"/>
    <cellStyle name="Comma 19 4 7 2" xfId="11713"/>
    <cellStyle name="Comma 19 4 7 3" xfId="11714"/>
    <cellStyle name="Comma 19 4 8" xfId="11715"/>
    <cellStyle name="Comma 19 4 9" xfId="11716"/>
    <cellStyle name="Comma 2" xfId="11717"/>
    <cellStyle name="Comma 2 10" xfId="11718"/>
    <cellStyle name="Comma 2 11" xfId="11719"/>
    <cellStyle name="Comma 2 12" xfId="11720"/>
    <cellStyle name="Comma 2 13" xfId="11721"/>
    <cellStyle name="Comma 2 14" xfId="11722"/>
    <cellStyle name="Comma 2 15" xfId="11723"/>
    <cellStyle name="Comma 2 16" xfId="11724"/>
    <cellStyle name="Comma 2 17" xfId="11725"/>
    <cellStyle name="Comma 2 18" xfId="11726"/>
    <cellStyle name="Comma 2 19" xfId="11727"/>
    <cellStyle name="Comma 2 2" xfId="11728"/>
    <cellStyle name="Comma 2 2 10" xfId="11729"/>
    <cellStyle name="Comma 2 2 11" xfId="11730"/>
    <cellStyle name="Comma 2 2 12" xfId="11731"/>
    <cellStyle name="Comma 2 2 13" xfId="11732"/>
    <cellStyle name="Comma 2 2 14" xfId="11733"/>
    <cellStyle name="Comma 2 2 15" xfId="11734"/>
    <cellStyle name="Comma 2 2 16" xfId="11735"/>
    <cellStyle name="Comma 2 2 17" xfId="11736"/>
    <cellStyle name="Comma 2 2 18" xfId="11737"/>
    <cellStyle name="Comma 2 2 19" xfId="11738"/>
    <cellStyle name="Comma 2 2 19 2" xfId="11739"/>
    <cellStyle name="Comma 2 2 2" xfId="16"/>
    <cellStyle name="Comma 2 2 2 10" xfId="11740"/>
    <cellStyle name="Comma 2 2 2 11" xfId="11741"/>
    <cellStyle name="Comma 2 2 2 12" xfId="11742"/>
    <cellStyle name="Comma 2 2 2 13" xfId="11743"/>
    <cellStyle name="Comma 2 2 2 14" xfId="11744"/>
    <cellStyle name="Comma 2 2 2 15" xfId="11745"/>
    <cellStyle name="Comma 2 2 2 16" xfId="11746"/>
    <cellStyle name="Comma 2 2 2 17" xfId="11747"/>
    <cellStyle name="Comma 2 2 2 18" xfId="11748"/>
    <cellStyle name="Comma 2 2 2 2" xfId="11749"/>
    <cellStyle name="Comma 2 2 2 3" xfId="11750"/>
    <cellStyle name="Comma 2 2 2 4" xfId="11751"/>
    <cellStyle name="Comma 2 2 2 5" xfId="11752"/>
    <cellStyle name="Comma 2 2 2 6" xfId="11753"/>
    <cellStyle name="Comma 2 2 2 7" xfId="11754"/>
    <cellStyle name="Comma 2 2 2 8" xfId="11755"/>
    <cellStyle name="Comma 2 2 2 9" xfId="11756"/>
    <cellStyle name="Comma 2 2 20" xfId="11757"/>
    <cellStyle name="Comma 2 2 3" xfId="11758"/>
    <cellStyle name="Comma 2 2 4" xfId="11759"/>
    <cellStyle name="Comma 2 2 5" xfId="11760"/>
    <cellStyle name="Comma 2 2 6" xfId="11761"/>
    <cellStyle name="Comma 2 2 7" xfId="11762"/>
    <cellStyle name="Comma 2 2 8" xfId="11763"/>
    <cellStyle name="Comma 2 2 9" xfId="11764"/>
    <cellStyle name="Comma 2 2_Dashboard - Inventory Metrics Aug 2012" xfId="11765"/>
    <cellStyle name="Comma 2 20" xfId="11766"/>
    <cellStyle name="Comma 2 21" xfId="11767"/>
    <cellStyle name="Comma 2 22" xfId="11768"/>
    <cellStyle name="Comma 2 23" xfId="11769"/>
    <cellStyle name="Comma 2 24" xfId="11770"/>
    <cellStyle name="Comma 2 25" xfId="11771"/>
    <cellStyle name="Comma 2 26" xfId="11772"/>
    <cellStyle name="Comma 2 27" xfId="11773"/>
    <cellStyle name="Comma 2 3" xfId="11774"/>
    <cellStyle name="Comma 2 3 2" xfId="11775"/>
    <cellStyle name="Comma 2 3 2 2" xfId="43030"/>
    <cellStyle name="Comma 2 3 3" xfId="43029"/>
    <cellStyle name="Comma 2 4" xfId="11776"/>
    <cellStyle name="Comma 2 4 2" xfId="11777"/>
    <cellStyle name="Comma 2 4 3" xfId="43031"/>
    <cellStyle name="Comma 2 5" xfId="11778"/>
    <cellStyle name="Comma 2 5 2" xfId="11779"/>
    <cellStyle name="Comma 2 5 2 2" xfId="11780"/>
    <cellStyle name="Comma 2 6" xfId="11781"/>
    <cellStyle name="Comma 2 6 2" xfId="43028"/>
    <cellStyle name="Comma 2 7" xfId="11782"/>
    <cellStyle name="Comma 2 8" xfId="11783"/>
    <cellStyle name="Comma 2 9" xfId="11784"/>
    <cellStyle name="Comma 2*" xfId="11785"/>
    <cellStyle name="Comma 2_April  1, 2010 CT valuation final DB approved" xfId="11786"/>
    <cellStyle name="Comma 20" xfId="11787"/>
    <cellStyle name="Comma 20 2" xfId="11788"/>
    <cellStyle name="Comma 20 3" xfId="11789"/>
    <cellStyle name="Comma 21" xfId="11790"/>
    <cellStyle name="Comma 21 2" xfId="11791"/>
    <cellStyle name="Comma 21 2 2" xfId="11792"/>
    <cellStyle name="Comma 21 2 2 2" xfId="11793"/>
    <cellStyle name="Comma 21 2 2 2 2" xfId="11794"/>
    <cellStyle name="Comma 21 2 2 2 2 2" xfId="11795"/>
    <cellStyle name="Comma 21 2 2 2 2 2 2" xfId="11796"/>
    <cellStyle name="Comma 21 2 2 2 2 2 2 2" xfId="11797"/>
    <cellStyle name="Comma 21 2 2 2 2 2 2 3" xfId="11798"/>
    <cellStyle name="Comma 21 2 2 2 2 2 3" xfId="11799"/>
    <cellStyle name="Comma 21 2 2 2 2 2 3 2" xfId="11800"/>
    <cellStyle name="Comma 21 2 2 2 2 2 3 3" xfId="11801"/>
    <cellStyle name="Comma 21 2 2 2 2 2 4" xfId="11802"/>
    <cellStyle name="Comma 21 2 2 2 2 2 5" xfId="11803"/>
    <cellStyle name="Comma 21 2 2 2 2 3" xfId="11804"/>
    <cellStyle name="Comma 21 2 2 2 2 3 2" xfId="11805"/>
    <cellStyle name="Comma 21 2 2 2 2 3 2 2" xfId="11806"/>
    <cellStyle name="Comma 21 2 2 2 2 3 2 3" xfId="11807"/>
    <cellStyle name="Comma 21 2 2 2 2 3 3" xfId="11808"/>
    <cellStyle name="Comma 21 2 2 2 2 3 3 2" xfId="11809"/>
    <cellStyle name="Comma 21 2 2 2 2 3 3 3" xfId="11810"/>
    <cellStyle name="Comma 21 2 2 2 2 3 4" xfId="11811"/>
    <cellStyle name="Comma 21 2 2 2 2 3 5" xfId="11812"/>
    <cellStyle name="Comma 21 2 2 2 2 4" xfId="11813"/>
    <cellStyle name="Comma 21 2 2 2 2 4 2" xfId="11814"/>
    <cellStyle name="Comma 21 2 2 2 2 4 3" xfId="11815"/>
    <cellStyle name="Comma 21 2 2 2 2 5" xfId="11816"/>
    <cellStyle name="Comma 21 2 2 2 2 5 2" xfId="11817"/>
    <cellStyle name="Comma 21 2 2 2 2 5 3" xfId="11818"/>
    <cellStyle name="Comma 21 2 2 2 2 6" xfId="11819"/>
    <cellStyle name="Comma 21 2 2 2 2 7" xfId="11820"/>
    <cellStyle name="Comma 21 2 2 2 3" xfId="11821"/>
    <cellStyle name="Comma 21 2 2 2 3 2" xfId="11822"/>
    <cellStyle name="Comma 21 2 2 2 3 2 2" xfId="11823"/>
    <cellStyle name="Comma 21 2 2 2 3 2 2 2" xfId="11824"/>
    <cellStyle name="Comma 21 2 2 2 3 2 2 3" xfId="11825"/>
    <cellStyle name="Comma 21 2 2 2 3 2 3" xfId="11826"/>
    <cellStyle name="Comma 21 2 2 2 3 2 3 2" xfId="11827"/>
    <cellStyle name="Comma 21 2 2 2 3 2 3 3" xfId="11828"/>
    <cellStyle name="Comma 21 2 2 2 3 2 4" xfId="11829"/>
    <cellStyle name="Comma 21 2 2 2 3 2 5" xfId="11830"/>
    <cellStyle name="Comma 21 2 2 2 3 3" xfId="11831"/>
    <cellStyle name="Comma 21 2 2 2 3 3 2" xfId="11832"/>
    <cellStyle name="Comma 21 2 2 2 3 3 2 2" xfId="11833"/>
    <cellStyle name="Comma 21 2 2 2 3 3 2 3" xfId="11834"/>
    <cellStyle name="Comma 21 2 2 2 3 3 3" xfId="11835"/>
    <cellStyle name="Comma 21 2 2 2 3 3 3 2" xfId="11836"/>
    <cellStyle name="Comma 21 2 2 2 3 3 3 3" xfId="11837"/>
    <cellStyle name="Comma 21 2 2 2 3 3 4" xfId="11838"/>
    <cellStyle name="Comma 21 2 2 2 3 3 5" xfId="11839"/>
    <cellStyle name="Comma 21 2 2 2 3 4" xfId="11840"/>
    <cellStyle name="Comma 21 2 2 2 3 4 2" xfId="11841"/>
    <cellStyle name="Comma 21 2 2 2 3 4 3" xfId="11842"/>
    <cellStyle name="Comma 21 2 2 2 3 5" xfId="11843"/>
    <cellStyle name="Comma 21 2 2 2 3 5 2" xfId="11844"/>
    <cellStyle name="Comma 21 2 2 2 3 5 3" xfId="11845"/>
    <cellStyle name="Comma 21 2 2 2 3 6" xfId="11846"/>
    <cellStyle name="Comma 21 2 2 2 3 7" xfId="11847"/>
    <cellStyle name="Comma 21 2 2 2 4" xfId="11848"/>
    <cellStyle name="Comma 21 2 2 2 4 2" xfId="11849"/>
    <cellStyle name="Comma 21 2 2 2 4 2 2" xfId="11850"/>
    <cellStyle name="Comma 21 2 2 2 4 2 3" xfId="11851"/>
    <cellStyle name="Comma 21 2 2 2 4 3" xfId="11852"/>
    <cellStyle name="Comma 21 2 2 2 4 3 2" xfId="11853"/>
    <cellStyle name="Comma 21 2 2 2 4 3 3" xfId="11854"/>
    <cellStyle name="Comma 21 2 2 2 4 4" xfId="11855"/>
    <cellStyle name="Comma 21 2 2 2 4 5" xfId="11856"/>
    <cellStyle name="Comma 21 2 2 2 5" xfId="11857"/>
    <cellStyle name="Comma 21 2 2 2 5 2" xfId="11858"/>
    <cellStyle name="Comma 21 2 2 2 5 2 2" xfId="11859"/>
    <cellStyle name="Comma 21 2 2 2 5 2 3" xfId="11860"/>
    <cellStyle name="Comma 21 2 2 2 5 3" xfId="11861"/>
    <cellStyle name="Comma 21 2 2 2 5 3 2" xfId="11862"/>
    <cellStyle name="Comma 21 2 2 2 5 3 3" xfId="11863"/>
    <cellStyle name="Comma 21 2 2 2 5 4" xfId="11864"/>
    <cellStyle name="Comma 21 2 2 2 5 5" xfId="11865"/>
    <cellStyle name="Comma 21 2 2 2 6" xfId="11866"/>
    <cellStyle name="Comma 21 2 2 2 6 2" xfId="11867"/>
    <cellStyle name="Comma 21 2 2 2 6 3" xfId="11868"/>
    <cellStyle name="Comma 21 2 2 2 7" xfId="11869"/>
    <cellStyle name="Comma 21 2 2 2 7 2" xfId="11870"/>
    <cellStyle name="Comma 21 2 2 2 7 3" xfId="11871"/>
    <cellStyle name="Comma 21 2 2 2 8" xfId="11872"/>
    <cellStyle name="Comma 21 2 2 2 9" xfId="11873"/>
    <cellStyle name="Comma 21 2 3" xfId="11874"/>
    <cellStyle name="Comma 21 2 3 2" xfId="11875"/>
    <cellStyle name="Comma 21 2 3 2 2" xfId="11876"/>
    <cellStyle name="Comma 21 2 3 2 2 2" xfId="11877"/>
    <cellStyle name="Comma 21 2 3 2 2 2 2" xfId="11878"/>
    <cellStyle name="Comma 21 2 3 2 2 2 3" xfId="11879"/>
    <cellStyle name="Comma 21 2 3 2 2 3" xfId="11880"/>
    <cellStyle name="Comma 21 2 3 2 2 3 2" xfId="11881"/>
    <cellStyle name="Comma 21 2 3 2 2 3 3" xfId="11882"/>
    <cellStyle name="Comma 21 2 3 2 2 4" xfId="11883"/>
    <cellStyle name="Comma 21 2 3 2 2 5" xfId="11884"/>
    <cellStyle name="Comma 21 2 3 2 3" xfId="11885"/>
    <cellStyle name="Comma 21 2 3 2 3 2" xfId="11886"/>
    <cellStyle name="Comma 21 2 3 2 3 2 2" xfId="11887"/>
    <cellStyle name="Comma 21 2 3 2 3 2 3" xfId="11888"/>
    <cellStyle name="Comma 21 2 3 2 3 3" xfId="11889"/>
    <cellStyle name="Comma 21 2 3 2 3 3 2" xfId="11890"/>
    <cellStyle name="Comma 21 2 3 2 3 3 3" xfId="11891"/>
    <cellStyle name="Comma 21 2 3 2 3 4" xfId="11892"/>
    <cellStyle name="Comma 21 2 3 2 3 5" xfId="11893"/>
    <cellStyle name="Comma 21 2 3 2 4" xfId="11894"/>
    <cellStyle name="Comma 21 2 3 2 4 2" xfId="11895"/>
    <cellStyle name="Comma 21 2 3 2 4 3" xfId="11896"/>
    <cellStyle name="Comma 21 2 3 2 5" xfId="11897"/>
    <cellStyle name="Comma 21 2 3 2 5 2" xfId="11898"/>
    <cellStyle name="Comma 21 2 3 2 5 3" xfId="11899"/>
    <cellStyle name="Comma 21 2 3 2 6" xfId="11900"/>
    <cellStyle name="Comma 21 2 3 2 7" xfId="11901"/>
    <cellStyle name="Comma 21 2 3 3" xfId="11902"/>
    <cellStyle name="Comma 21 2 3 3 2" xfId="11903"/>
    <cellStyle name="Comma 21 2 3 3 2 2" xfId="11904"/>
    <cellStyle name="Comma 21 2 3 3 2 2 2" xfId="11905"/>
    <cellStyle name="Comma 21 2 3 3 2 2 3" xfId="11906"/>
    <cellStyle name="Comma 21 2 3 3 2 3" xfId="11907"/>
    <cellStyle name="Comma 21 2 3 3 2 3 2" xfId="11908"/>
    <cellStyle name="Comma 21 2 3 3 2 3 3" xfId="11909"/>
    <cellStyle name="Comma 21 2 3 3 2 4" xfId="11910"/>
    <cellStyle name="Comma 21 2 3 3 2 5" xfId="11911"/>
    <cellStyle name="Comma 21 2 3 3 3" xfId="11912"/>
    <cellStyle name="Comma 21 2 3 3 3 2" xfId="11913"/>
    <cellStyle name="Comma 21 2 3 3 3 2 2" xfId="11914"/>
    <cellStyle name="Comma 21 2 3 3 3 2 3" xfId="11915"/>
    <cellStyle name="Comma 21 2 3 3 3 3" xfId="11916"/>
    <cellStyle name="Comma 21 2 3 3 3 3 2" xfId="11917"/>
    <cellStyle name="Comma 21 2 3 3 3 3 3" xfId="11918"/>
    <cellStyle name="Comma 21 2 3 3 3 4" xfId="11919"/>
    <cellStyle name="Comma 21 2 3 3 3 5" xfId="11920"/>
    <cellStyle name="Comma 21 2 3 3 4" xfId="11921"/>
    <cellStyle name="Comma 21 2 3 3 4 2" xfId="11922"/>
    <cellStyle name="Comma 21 2 3 3 4 3" xfId="11923"/>
    <cellStyle name="Comma 21 2 3 3 5" xfId="11924"/>
    <cellStyle name="Comma 21 2 3 3 5 2" xfId="11925"/>
    <cellStyle name="Comma 21 2 3 3 5 3" xfId="11926"/>
    <cellStyle name="Comma 21 2 3 3 6" xfId="11927"/>
    <cellStyle name="Comma 21 2 3 3 7" xfId="11928"/>
    <cellStyle name="Comma 21 2 3 4" xfId="11929"/>
    <cellStyle name="Comma 21 2 3 4 2" xfId="11930"/>
    <cellStyle name="Comma 21 2 3 4 2 2" xfId="11931"/>
    <cellStyle name="Comma 21 2 3 4 2 3" xfId="11932"/>
    <cellStyle name="Comma 21 2 3 4 3" xfId="11933"/>
    <cellStyle name="Comma 21 2 3 4 3 2" xfId="11934"/>
    <cellStyle name="Comma 21 2 3 4 3 3" xfId="11935"/>
    <cellStyle name="Comma 21 2 3 4 4" xfId="11936"/>
    <cellStyle name="Comma 21 2 3 4 5" xfId="11937"/>
    <cellStyle name="Comma 21 2 3 5" xfId="11938"/>
    <cellStyle name="Comma 21 2 3 5 2" xfId="11939"/>
    <cellStyle name="Comma 21 2 3 5 2 2" xfId="11940"/>
    <cellStyle name="Comma 21 2 3 5 2 3" xfId="11941"/>
    <cellStyle name="Comma 21 2 3 5 3" xfId="11942"/>
    <cellStyle name="Comma 21 2 3 5 3 2" xfId="11943"/>
    <cellStyle name="Comma 21 2 3 5 3 3" xfId="11944"/>
    <cellStyle name="Comma 21 2 3 5 4" xfId="11945"/>
    <cellStyle name="Comma 21 2 3 5 5" xfId="11946"/>
    <cellStyle name="Comma 21 2 3 6" xfId="11947"/>
    <cellStyle name="Comma 21 2 3 6 2" xfId="11948"/>
    <cellStyle name="Comma 21 2 3 6 3" xfId="11949"/>
    <cellStyle name="Comma 21 2 3 7" xfId="11950"/>
    <cellStyle name="Comma 21 2 3 7 2" xfId="11951"/>
    <cellStyle name="Comma 21 2 3 7 3" xfId="11952"/>
    <cellStyle name="Comma 21 2 3 8" xfId="11953"/>
    <cellStyle name="Comma 21 2 3 9" xfId="11954"/>
    <cellStyle name="Comma 21 3" xfId="11955"/>
    <cellStyle name="Comma 21 3 2" xfId="11956"/>
    <cellStyle name="Comma 21 3 2 10" xfId="11957"/>
    <cellStyle name="Comma 21 3 2 2" xfId="11958"/>
    <cellStyle name="Comma 21 3 2 2 2" xfId="11959"/>
    <cellStyle name="Comma 21 3 2 2 2 2" xfId="11960"/>
    <cellStyle name="Comma 21 3 2 2 2 2 2" xfId="11961"/>
    <cellStyle name="Comma 21 3 2 2 2 2 2 2" xfId="11962"/>
    <cellStyle name="Comma 21 3 2 2 2 2 2 3" xfId="11963"/>
    <cellStyle name="Comma 21 3 2 2 2 2 3" xfId="11964"/>
    <cellStyle name="Comma 21 3 2 2 2 2 3 2" xfId="11965"/>
    <cellStyle name="Comma 21 3 2 2 2 2 3 3" xfId="11966"/>
    <cellStyle name="Comma 21 3 2 2 2 2 4" xfId="11967"/>
    <cellStyle name="Comma 21 3 2 2 2 2 5" xfId="11968"/>
    <cellStyle name="Comma 21 3 2 2 2 3" xfId="11969"/>
    <cellStyle name="Comma 21 3 2 2 2 3 2" xfId="11970"/>
    <cellStyle name="Comma 21 3 2 2 2 3 2 2" xfId="11971"/>
    <cellStyle name="Comma 21 3 2 2 2 3 2 3" xfId="11972"/>
    <cellStyle name="Comma 21 3 2 2 2 3 3" xfId="11973"/>
    <cellStyle name="Comma 21 3 2 2 2 3 3 2" xfId="11974"/>
    <cellStyle name="Comma 21 3 2 2 2 3 3 3" xfId="11975"/>
    <cellStyle name="Comma 21 3 2 2 2 3 4" xfId="11976"/>
    <cellStyle name="Comma 21 3 2 2 2 3 5" xfId="11977"/>
    <cellStyle name="Comma 21 3 2 2 2 4" xfId="11978"/>
    <cellStyle name="Comma 21 3 2 2 2 4 2" xfId="11979"/>
    <cellStyle name="Comma 21 3 2 2 2 4 3" xfId="11980"/>
    <cellStyle name="Comma 21 3 2 2 2 5" xfId="11981"/>
    <cellStyle name="Comma 21 3 2 2 2 5 2" xfId="11982"/>
    <cellStyle name="Comma 21 3 2 2 2 5 3" xfId="11983"/>
    <cellStyle name="Comma 21 3 2 2 2 6" xfId="11984"/>
    <cellStyle name="Comma 21 3 2 2 2 7" xfId="11985"/>
    <cellStyle name="Comma 21 3 2 2 3" xfId="11986"/>
    <cellStyle name="Comma 21 3 2 2 3 2" xfId="11987"/>
    <cellStyle name="Comma 21 3 2 2 3 2 2" xfId="11988"/>
    <cellStyle name="Comma 21 3 2 2 3 2 2 2" xfId="11989"/>
    <cellStyle name="Comma 21 3 2 2 3 2 2 3" xfId="11990"/>
    <cellStyle name="Comma 21 3 2 2 3 2 3" xfId="11991"/>
    <cellStyle name="Comma 21 3 2 2 3 2 3 2" xfId="11992"/>
    <cellStyle name="Comma 21 3 2 2 3 2 3 3" xfId="11993"/>
    <cellStyle name="Comma 21 3 2 2 3 2 4" xfId="11994"/>
    <cellStyle name="Comma 21 3 2 2 3 2 5" xfId="11995"/>
    <cellStyle name="Comma 21 3 2 2 3 3" xfId="11996"/>
    <cellStyle name="Comma 21 3 2 2 3 3 2" xfId="11997"/>
    <cellStyle name="Comma 21 3 2 2 3 3 2 2" xfId="11998"/>
    <cellStyle name="Comma 21 3 2 2 3 3 2 3" xfId="11999"/>
    <cellStyle name="Comma 21 3 2 2 3 3 3" xfId="12000"/>
    <cellStyle name="Comma 21 3 2 2 3 3 3 2" xfId="12001"/>
    <cellStyle name="Comma 21 3 2 2 3 3 3 3" xfId="12002"/>
    <cellStyle name="Comma 21 3 2 2 3 3 4" xfId="12003"/>
    <cellStyle name="Comma 21 3 2 2 3 3 5" xfId="12004"/>
    <cellStyle name="Comma 21 3 2 2 3 4" xfId="12005"/>
    <cellStyle name="Comma 21 3 2 2 3 4 2" xfId="12006"/>
    <cellStyle name="Comma 21 3 2 2 3 4 3" xfId="12007"/>
    <cellStyle name="Comma 21 3 2 2 3 5" xfId="12008"/>
    <cellStyle name="Comma 21 3 2 2 3 5 2" xfId="12009"/>
    <cellStyle name="Comma 21 3 2 2 3 5 3" xfId="12010"/>
    <cellStyle name="Comma 21 3 2 2 3 6" xfId="12011"/>
    <cellStyle name="Comma 21 3 2 2 3 7" xfId="12012"/>
    <cellStyle name="Comma 21 3 2 2 4" xfId="12013"/>
    <cellStyle name="Comma 21 3 2 2 4 2" xfId="12014"/>
    <cellStyle name="Comma 21 3 2 2 4 2 2" xfId="12015"/>
    <cellStyle name="Comma 21 3 2 2 4 2 3" xfId="12016"/>
    <cellStyle name="Comma 21 3 2 2 4 3" xfId="12017"/>
    <cellStyle name="Comma 21 3 2 2 4 3 2" xfId="12018"/>
    <cellStyle name="Comma 21 3 2 2 4 3 3" xfId="12019"/>
    <cellStyle name="Comma 21 3 2 2 4 4" xfId="12020"/>
    <cellStyle name="Comma 21 3 2 2 4 5" xfId="12021"/>
    <cellStyle name="Comma 21 3 2 2 5" xfId="12022"/>
    <cellStyle name="Comma 21 3 2 2 5 2" xfId="12023"/>
    <cellStyle name="Comma 21 3 2 2 5 2 2" xfId="12024"/>
    <cellStyle name="Comma 21 3 2 2 5 2 3" xfId="12025"/>
    <cellStyle name="Comma 21 3 2 2 5 3" xfId="12026"/>
    <cellStyle name="Comma 21 3 2 2 5 3 2" xfId="12027"/>
    <cellStyle name="Comma 21 3 2 2 5 3 3" xfId="12028"/>
    <cellStyle name="Comma 21 3 2 2 5 4" xfId="12029"/>
    <cellStyle name="Comma 21 3 2 2 5 5" xfId="12030"/>
    <cellStyle name="Comma 21 3 2 2 6" xfId="12031"/>
    <cellStyle name="Comma 21 3 2 2 6 2" xfId="12032"/>
    <cellStyle name="Comma 21 3 2 2 6 3" xfId="12033"/>
    <cellStyle name="Comma 21 3 2 2 7" xfId="12034"/>
    <cellStyle name="Comma 21 3 2 2 7 2" xfId="12035"/>
    <cellStyle name="Comma 21 3 2 2 7 3" xfId="12036"/>
    <cellStyle name="Comma 21 3 2 2 8" xfId="12037"/>
    <cellStyle name="Comma 21 3 2 2 9" xfId="12038"/>
    <cellStyle name="Comma 21 3 2 3" xfId="12039"/>
    <cellStyle name="Comma 21 3 2 3 2" xfId="12040"/>
    <cellStyle name="Comma 21 3 2 3 2 2" xfId="12041"/>
    <cellStyle name="Comma 21 3 2 3 2 2 2" xfId="12042"/>
    <cellStyle name="Comma 21 3 2 3 2 2 3" xfId="12043"/>
    <cellStyle name="Comma 21 3 2 3 2 3" xfId="12044"/>
    <cellStyle name="Comma 21 3 2 3 2 3 2" xfId="12045"/>
    <cellStyle name="Comma 21 3 2 3 2 3 3" xfId="12046"/>
    <cellStyle name="Comma 21 3 2 3 2 4" xfId="12047"/>
    <cellStyle name="Comma 21 3 2 3 2 5" xfId="12048"/>
    <cellStyle name="Comma 21 3 2 3 3" xfId="12049"/>
    <cellStyle name="Comma 21 3 2 3 3 2" xfId="12050"/>
    <cellStyle name="Comma 21 3 2 3 3 2 2" xfId="12051"/>
    <cellStyle name="Comma 21 3 2 3 3 2 3" xfId="12052"/>
    <cellStyle name="Comma 21 3 2 3 3 3" xfId="12053"/>
    <cellStyle name="Comma 21 3 2 3 3 3 2" xfId="12054"/>
    <cellStyle name="Comma 21 3 2 3 3 3 3" xfId="12055"/>
    <cellStyle name="Comma 21 3 2 3 3 4" xfId="12056"/>
    <cellStyle name="Comma 21 3 2 3 3 5" xfId="12057"/>
    <cellStyle name="Comma 21 3 2 3 4" xfId="12058"/>
    <cellStyle name="Comma 21 3 2 3 4 2" xfId="12059"/>
    <cellStyle name="Comma 21 3 2 3 4 3" xfId="12060"/>
    <cellStyle name="Comma 21 3 2 3 5" xfId="12061"/>
    <cellStyle name="Comma 21 3 2 3 5 2" xfId="12062"/>
    <cellStyle name="Comma 21 3 2 3 5 3" xfId="12063"/>
    <cellStyle name="Comma 21 3 2 3 6" xfId="12064"/>
    <cellStyle name="Comma 21 3 2 3 7" xfId="12065"/>
    <cellStyle name="Comma 21 3 2 4" xfId="12066"/>
    <cellStyle name="Comma 21 3 2 4 2" xfId="12067"/>
    <cellStyle name="Comma 21 3 2 4 2 2" xfId="12068"/>
    <cellStyle name="Comma 21 3 2 4 2 2 2" xfId="12069"/>
    <cellStyle name="Comma 21 3 2 4 2 2 3" xfId="12070"/>
    <cellStyle name="Comma 21 3 2 4 2 3" xfId="12071"/>
    <cellStyle name="Comma 21 3 2 4 2 3 2" xfId="12072"/>
    <cellStyle name="Comma 21 3 2 4 2 3 3" xfId="12073"/>
    <cellStyle name="Comma 21 3 2 4 2 4" xfId="12074"/>
    <cellStyle name="Comma 21 3 2 4 2 5" xfId="12075"/>
    <cellStyle name="Comma 21 3 2 4 3" xfId="12076"/>
    <cellStyle name="Comma 21 3 2 4 3 2" xfId="12077"/>
    <cellStyle name="Comma 21 3 2 4 3 2 2" xfId="12078"/>
    <cellStyle name="Comma 21 3 2 4 3 2 3" xfId="12079"/>
    <cellStyle name="Comma 21 3 2 4 3 3" xfId="12080"/>
    <cellStyle name="Comma 21 3 2 4 3 3 2" xfId="12081"/>
    <cellStyle name="Comma 21 3 2 4 3 3 3" xfId="12082"/>
    <cellStyle name="Comma 21 3 2 4 3 4" xfId="12083"/>
    <cellStyle name="Comma 21 3 2 4 3 5" xfId="12084"/>
    <cellStyle name="Comma 21 3 2 4 4" xfId="12085"/>
    <cellStyle name="Comma 21 3 2 4 4 2" xfId="12086"/>
    <cellStyle name="Comma 21 3 2 4 4 3" xfId="12087"/>
    <cellStyle name="Comma 21 3 2 4 5" xfId="12088"/>
    <cellStyle name="Comma 21 3 2 4 5 2" xfId="12089"/>
    <cellStyle name="Comma 21 3 2 4 5 3" xfId="12090"/>
    <cellStyle name="Comma 21 3 2 4 6" xfId="12091"/>
    <cellStyle name="Comma 21 3 2 4 7" xfId="12092"/>
    <cellStyle name="Comma 21 3 2 5" xfId="12093"/>
    <cellStyle name="Comma 21 3 2 5 2" xfId="12094"/>
    <cellStyle name="Comma 21 3 2 5 2 2" xfId="12095"/>
    <cellStyle name="Comma 21 3 2 5 2 3" xfId="12096"/>
    <cellStyle name="Comma 21 3 2 5 3" xfId="12097"/>
    <cellStyle name="Comma 21 3 2 5 3 2" xfId="12098"/>
    <cellStyle name="Comma 21 3 2 5 3 3" xfId="12099"/>
    <cellStyle name="Comma 21 3 2 5 4" xfId="12100"/>
    <cellStyle name="Comma 21 3 2 5 5" xfId="12101"/>
    <cellStyle name="Comma 21 3 2 6" xfId="12102"/>
    <cellStyle name="Comma 21 3 2 6 2" xfId="12103"/>
    <cellStyle name="Comma 21 3 2 6 2 2" xfId="12104"/>
    <cellStyle name="Comma 21 3 2 6 2 3" xfId="12105"/>
    <cellStyle name="Comma 21 3 2 6 3" xfId="12106"/>
    <cellStyle name="Comma 21 3 2 6 3 2" xfId="12107"/>
    <cellStyle name="Comma 21 3 2 6 3 3" xfId="12108"/>
    <cellStyle name="Comma 21 3 2 6 4" xfId="12109"/>
    <cellStyle name="Comma 21 3 2 6 5" xfId="12110"/>
    <cellStyle name="Comma 21 3 2 7" xfId="12111"/>
    <cellStyle name="Comma 21 3 2 7 2" xfId="12112"/>
    <cellStyle name="Comma 21 3 2 7 3" xfId="12113"/>
    <cellStyle name="Comma 21 3 2 8" xfId="12114"/>
    <cellStyle name="Comma 21 3 2 8 2" xfId="12115"/>
    <cellStyle name="Comma 21 3 2 8 3" xfId="12116"/>
    <cellStyle name="Comma 21 3 2 9" xfId="12117"/>
    <cellStyle name="Comma 21 3 3" xfId="12118"/>
    <cellStyle name="Comma 21 3 3 2" xfId="12119"/>
    <cellStyle name="Comma 21 3 3 2 2" xfId="12120"/>
    <cellStyle name="Comma 21 3 3 2 2 2" xfId="12121"/>
    <cellStyle name="Comma 21 3 3 2 2 2 2" xfId="12122"/>
    <cellStyle name="Comma 21 3 3 2 2 2 3" xfId="12123"/>
    <cellStyle name="Comma 21 3 3 2 2 3" xfId="12124"/>
    <cellStyle name="Comma 21 3 3 2 2 3 2" xfId="12125"/>
    <cellStyle name="Comma 21 3 3 2 2 3 3" xfId="12126"/>
    <cellStyle name="Comma 21 3 3 2 2 4" xfId="12127"/>
    <cellStyle name="Comma 21 3 3 2 2 5" xfId="12128"/>
    <cellStyle name="Comma 21 3 3 2 3" xfId="12129"/>
    <cellStyle name="Comma 21 3 3 2 3 2" xfId="12130"/>
    <cellStyle name="Comma 21 3 3 2 3 2 2" xfId="12131"/>
    <cellStyle name="Comma 21 3 3 2 3 2 3" xfId="12132"/>
    <cellStyle name="Comma 21 3 3 2 3 3" xfId="12133"/>
    <cellStyle name="Comma 21 3 3 2 3 3 2" xfId="12134"/>
    <cellStyle name="Comma 21 3 3 2 3 3 3" xfId="12135"/>
    <cellStyle name="Comma 21 3 3 2 3 4" xfId="12136"/>
    <cellStyle name="Comma 21 3 3 2 3 5" xfId="12137"/>
    <cellStyle name="Comma 21 3 3 2 4" xfId="12138"/>
    <cellStyle name="Comma 21 3 3 2 4 2" xfId="12139"/>
    <cellStyle name="Comma 21 3 3 2 4 3" xfId="12140"/>
    <cellStyle name="Comma 21 3 3 2 5" xfId="12141"/>
    <cellStyle name="Comma 21 3 3 2 5 2" xfId="12142"/>
    <cellStyle name="Comma 21 3 3 2 5 3" xfId="12143"/>
    <cellStyle name="Comma 21 3 3 2 6" xfId="12144"/>
    <cellStyle name="Comma 21 3 3 2 7" xfId="12145"/>
    <cellStyle name="Comma 21 3 3 3" xfId="12146"/>
    <cellStyle name="Comma 21 3 3 3 2" xfId="12147"/>
    <cellStyle name="Comma 21 3 3 3 2 2" xfId="12148"/>
    <cellStyle name="Comma 21 3 3 3 2 2 2" xfId="12149"/>
    <cellStyle name="Comma 21 3 3 3 2 2 3" xfId="12150"/>
    <cellStyle name="Comma 21 3 3 3 2 3" xfId="12151"/>
    <cellStyle name="Comma 21 3 3 3 2 3 2" xfId="12152"/>
    <cellStyle name="Comma 21 3 3 3 2 3 3" xfId="12153"/>
    <cellStyle name="Comma 21 3 3 3 2 4" xfId="12154"/>
    <cellStyle name="Comma 21 3 3 3 2 5" xfId="12155"/>
    <cellStyle name="Comma 21 3 3 3 3" xfId="12156"/>
    <cellStyle name="Comma 21 3 3 3 3 2" xfId="12157"/>
    <cellStyle name="Comma 21 3 3 3 3 2 2" xfId="12158"/>
    <cellStyle name="Comma 21 3 3 3 3 2 3" xfId="12159"/>
    <cellStyle name="Comma 21 3 3 3 3 3" xfId="12160"/>
    <cellStyle name="Comma 21 3 3 3 3 3 2" xfId="12161"/>
    <cellStyle name="Comma 21 3 3 3 3 3 3" xfId="12162"/>
    <cellStyle name="Comma 21 3 3 3 3 4" xfId="12163"/>
    <cellStyle name="Comma 21 3 3 3 3 5" xfId="12164"/>
    <cellStyle name="Comma 21 3 3 3 4" xfId="12165"/>
    <cellStyle name="Comma 21 3 3 3 4 2" xfId="12166"/>
    <cellStyle name="Comma 21 3 3 3 4 3" xfId="12167"/>
    <cellStyle name="Comma 21 3 3 3 5" xfId="12168"/>
    <cellStyle name="Comma 21 3 3 3 5 2" xfId="12169"/>
    <cellStyle name="Comma 21 3 3 3 5 3" xfId="12170"/>
    <cellStyle name="Comma 21 3 3 3 6" xfId="12171"/>
    <cellStyle name="Comma 21 3 3 3 7" xfId="12172"/>
    <cellStyle name="Comma 21 3 3 4" xfId="12173"/>
    <cellStyle name="Comma 21 3 3 4 2" xfId="12174"/>
    <cellStyle name="Comma 21 3 3 4 2 2" xfId="12175"/>
    <cellStyle name="Comma 21 3 3 4 2 3" xfId="12176"/>
    <cellStyle name="Comma 21 3 3 4 3" xfId="12177"/>
    <cellStyle name="Comma 21 3 3 4 3 2" xfId="12178"/>
    <cellStyle name="Comma 21 3 3 4 3 3" xfId="12179"/>
    <cellStyle name="Comma 21 3 3 4 4" xfId="12180"/>
    <cellStyle name="Comma 21 3 3 4 5" xfId="12181"/>
    <cellStyle name="Comma 21 3 3 5" xfId="12182"/>
    <cellStyle name="Comma 21 3 3 5 2" xfId="12183"/>
    <cellStyle name="Comma 21 3 3 5 2 2" xfId="12184"/>
    <cellStyle name="Comma 21 3 3 5 2 3" xfId="12185"/>
    <cellStyle name="Comma 21 3 3 5 3" xfId="12186"/>
    <cellStyle name="Comma 21 3 3 5 3 2" xfId="12187"/>
    <cellStyle name="Comma 21 3 3 5 3 3" xfId="12188"/>
    <cellStyle name="Comma 21 3 3 5 4" xfId="12189"/>
    <cellStyle name="Comma 21 3 3 5 5" xfId="12190"/>
    <cellStyle name="Comma 21 3 3 6" xfId="12191"/>
    <cellStyle name="Comma 21 3 3 6 2" xfId="12192"/>
    <cellStyle name="Comma 21 3 3 6 3" xfId="12193"/>
    <cellStyle name="Comma 21 3 3 7" xfId="12194"/>
    <cellStyle name="Comma 21 3 3 7 2" xfId="12195"/>
    <cellStyle name="Comma 21 3 3 7 3" xfId="12196"/>
    <cellStyle name="Comma 21 3 3 8" xfId="12197"/>
    <cellStyle name="Comma 21 3 3 9" xfId="12198"/>
    <cellStyle name="Comma 21 4" xfId="12199"/>
    <cellStyle name="Comma 21 4 10" xfId="12200"/>
    <cellStyle name="Comma 21 4 11" xfId="12201"/>
    <cellStyle name="Comma 21 4 2" xfId="12202"/>
    <cellStyle name="Comma 21 4 2 10" xfId="12203"/>
    <cellStyle name="Comma 21 4 2 2" xfId="12204"/>
    <cellStyle name="Comma 21 4 2 2 2" xfId="12205"/>
    <cellStyle name="Comma 21 4 2 2 2 2" xfId="12206"/>
    <cellStyle name="Comma 21 4 2 2 2 2 2" xfId="12207"/>
    <cellStyle name="Comma 21 4 2 2 2 2 2 2" xfId="12208"/>
    <cellStyle name="Comma 21 4 2 2 2 2 2 3" xfId="12209"/>
    <cellStyle name="Comma 21 4 2 2 2 2 3" xfId="12210"/>
    <cellStyle name="Comma 21 4 2 2 2 2 3 2" xfId="12211"/>
    <cellStyle name="Comma 21 4 2 2 2 2 3 3" xfId="12212"/>
    <cellStyle name="Comma 21 4 2 2 2 2 4" xfId="12213"/>
    <cellStyle name="Comma 21 4 2 2 2 2 5" xfId="12214"/>
    <cellStyle name="Comma 21 4 2 2 2 3" xfId="12215"/>
    <cellStyle name="Comma 21 4 2 2 2 3 2" xfId="12216"/>
    <cellStyle name="Comma 21 4 2 2 2 3 2 2" xfId="12217"/>
    <cellStyle name="Comma 21 4 2 2 2 3 2 3" xfId="12218"/>
    <cellStyle name="Comma 21 4 2 2 2 3 3" xfId="12219"/>
    <cellStyle name="Comma 21 4 2 2 2 3 3 2" xfId="12220"/>
    <cellStyle name="Comma 21 4 2 2 2 3 3 3" xfId="12221"/>
    <cellStyle name="Comma 21 4 2 2 2 3 4" xfId="12222"/>
    <cellStyle name="Comma 21 4 2 2 2 3 5" xfId="12223"/>
    <cellStyle name="Comma 21 4 2 2 2 4" xfId="12224"/>
    <cellStyle name="Comma 21 4 2 2 2 4 2" xfId="12225"/>
    <cellStyle name="Comma 21 4 2 2 2 4 3" xfId="12226"/>
    <cellStyle name="Comma 21 4 2 2 2 5" xfId="12227"/>
    <cellStyle name="Comma 21 4 2 2 2 5 2" xfId="12228"/>
    <cellStyle name="Comma 21 4 2 2 2 5 3" xfId="12229"/>
    <cellStyle name="Comma 21 4 2 2 2 6" xfId="12230"/>
    <cellStyle name="Comma 21 4 2 2 2 7" xfId="12231"/>
    <cellStyle name="Comma 21 4 2 2 3" xfId="12232"/>
    <cellStyle name="Comma 21 4 2 2 3 2" xfId="12233"/>
    <cellStyle name="Comma 21 4 2 2 3 2 2" xfId="12234"/>
    <cellStyle name="Comma 21 4 2 2 3 2 2 2" xfId="12235"/>
    <cellStyle name="Comma 21 4 2 2 3 2 2 3" xfId="12236"/>
    <cellStyle name="Comma 21 4 2 2 3 2 3" xfId="12237"/>
    <cellStyle name="Comma 21 4 2 2 3 2 3 2" xfId="12238"/>
    <cellStyle name="Comma 21 4 2 2 3 2 3 3" xfId="12239"/>
    <cellStyle name="Comma 21 4 2 2 3 2 4" xfId="12240"/>
    <cellStyle name="Comma 21 4 2 2 3 2 5" xfId="12241"/>
    <cellStyle name="Comma 21 4 2 2 3 3" xfId="12242"/>
    <cellStyle name="Comma 21 4 2 2 3 3 2" xfId="12243"/>
    <cellStyle name="Comma 21 4 2 2 3 3 2 2" xfId="12244"/>
    <cellStyle name="Comma 21 4 2 2 3 3 2 3" xfId="12245"/>
    <cellStyle name="Comma 21 4 2 2 3 3 3" xfId="12246"/>
    <cellStyle name="Comma 21 4 2 2 3 3 3 2" xfId="12247"/>
    <cellStyle name="Comma 21 4 2 2 3 3 3 3" xfId="12248"/>
    <cellStyle name="Comma 21 4 2 2 3 3 4" xfId="12249"/>
    <cellStyle name="Comma 21 4 2 2 3 3 5" xfId="12250"/>
    <cellStyle name="Comma 21 4 2 2 3 4" xfId="12251"/>
    <cellStyle name="Comma 21 4 2 2 3 4 2" xfId="12252"/>
    <cellStyle name="Comma 21 4 2 2 3 4 3" xfId="12253"/>
    <cellStyle name="Comma 21 4 2 2 3 5" xfId="12254"/>
    <cellStyle name="Comma 21 4 2 2 3 5 2" xfId="12255"/>
    <cellStyle name="Comma 21 4 2 2 3 5 3" xfId="12256"/>
    <cellStyle name="Comma 21 4 2 2 3 6" xfId="12257"/>
    <cellStyle name="Comma 21 4 2 2 3 7" xfId="12258"/>
    <cellStyle name="Comma 21 4 2 2 4" xfId="12259"/>
    <cellStyle name="Comma 21 4 2 2 4 2" xfId="12260"/>
    <cellStyle name="Comma 21 4 2 2 4 2 2" xfId="12261"/>
    <cellStyle name="Comma 21 4 2 2 4 2 3" xfId="12262"/>
    <cellStyle name="Comma 21 4 2 2 4 3" xfId="12263"/>
    <cellStyle name="Comma 21 4 2 2 4 3 2" xfId="12264"/>
    <cellStyle name="Comma 21 4 2 2 4 3 3" xfId="12265"/>
    <cellStyle name="Comma 21 4 2 2 4 4" xfId="12266"/>
    <cellStyle name="Comma 21 4 2 2 4 5" xfId="12267"/>
    <cellStyle name="Comma 21 4 2 2 5" xfId="12268"/>
    <cellStyle name="Comma 21 4 2 2 5 2" xfId="12269"/>
    <cellStyle name="Comma 21 4 2 2 5 2 2" xfId="12270"/>
    <cellStyle name="Comma 21 4 2 2 5 2 3" xfId="12271"/>
    <cellStyle name="Comma 21 4 2 2 5 3" xfId="12272"/>
    <cellStyle name="Comma 21 4 2 2 5 3 2" xfId="12273"/>
    <cellStyle name="Comma 21 4 2 2 5 3 3" xfId="12274"/>
    <cellStyle name="Comma 21 4 2 2 5 4" xfId="12275"/>
    <cellStyle name="Comma 21 4 2 2 5 5" xfId="12276"/>
    <cellStyle name="Comma 21 4 2 2 6" xfId="12277"/>
    <cellStyle name="Comma 21 4 2 2 6 2" xfId="12278"/>
    <cellStyle name="Comma 21 4 2 2 6 3" xfId="12279"/>
    <cellStyle name="Comma 21 4 2 2 7" xfId="12280"/>
    <cellStyle name="Comma 21 4 2 2 7 2" xfId="12281"/>
    <cellStyle name="Comma 21 4 2 2 7 3" xfId="12282"/>
    <cellStyle name="Comma 21 4 2 2 8" xfId="12283"/>
    <cellStyle name="Comma 21 4 2 2 9" xfId="12284"/>
    <cellStyle name="Comma 21 4 2 3" xfId="12285"/>
    <cellStyle name="Comma 21 4 2 3 2" xfId="12286"/>
    <cellStyle name="Comma 21 4 2 3 2 2" xfId="12287"/>
    <cellStyle name="Comma 21 4 2 3 2 2 2" xfId="12288"/>
    <cellStyle name="Comma 21 4 2 3 2 2 3" xfId="12289"/>
    <cellStyle name="Comma 21 4 2 3 2 3" xfId="12290"/>
    <cellStyle name="Comma 21 4 2 3 2 3 2" xfId="12291"/>
    <cellStyle name="Comma 21 4 2 3 2 3 3" xfId="12292"/>
    <cellStyle name="Comma 21 4 2 3 2 4" xfId="12293"/>
    <cellStyle name="Comma 21 4 2 3 2 5" xfId="12294"/>
    <cellStyle name="Comma 21 4 2 3 3" xfId="12295"/>
    <cellStyle name="Comma 21 4 2 3 3 2" xfId="12296"/>
    <cellStyle name="Comma 21 4 2 3 3 2 2" xfId="12297"/>
    <cellStyle name="Comma 21 4 2 3 3 2 3" xfId="12298"/>
    <cellStyle name="Comma 21 4 2 3 3 3" xfId="12299"/>
    <cellStyle name="Comma 21 4 2 3 3 3 2" xfId="12300"/>
    <cellStyle name="Comma 21 4 2 3 3 3 3" xfId="12301"/>
    <cellStyle name="Comma 21 4 2 3 3 4" xfId="12302"/>
    <cellStyle name="Comma 21 4 2 3 3 5" xfId="12303"/>
    <cellStyle name="Comma 21 4 2 3 4" xfId="12304"/>
    <cellStyle name="Comma 21 4 2 3 4 2" xfId="12305"/>
    <cellStyle name="Comma 21 4 2 3 4 3" xfId="12306"/>
    <cellStyle name="Comma 21 4 2 3 5" xfId="12307"/>
    <cellStyle name="Comma 21 4 2 3 5 2" xfId="12308"/>
    <cellStyle name="Comma 21 4 2 3 5 3" xfId="12309"/>
    <cellStyle name="Comma 21 4 2 3 6" xfId="12310"/>
    <cellStyle name="Comma 21 4 2 3 7" xfId="12311"/>
    <cellStyle name="Comma 21 4 2 4" xfId="12312"/>
    <cellStyle name="Comma 21 4 2 4 2" xfId="12313"/>
    <cellStyle name="Comma 21 4 2 4 2 2" xfId="12314"/>
    <cellStyle name="Comma 21 4 2 4 2 2 2" xfId="12315"/>
    <cellStyle name="Comma 21 4 2 4 2 2 3" xfId="12316"/>
    <cellStyle name="Comma 21 4 2 4 2 3" xfId="12317"/>
    <cellStyle name="Comma 21 4 2 4 2 3 2" xfId="12318"/>
    <cellStyle name="Comma 21 4 2 4 2 3 3" xfId="12319"/>
    <cellStyle name="Comma 21 4 2 4 2 4" xfId="12320"/>
    <cellStyle name="Comma 21 4 2 4 2 5" xfId="12321"/>
    <cellStyle name="Comma 21 4 2 4 3" xfId="12322"/>
    <cellStyle name="Comma 21 4 2 4 3 2" xfId="12323"/>
    <cellStyle name="Comma 21 4 2 4 3 2 2" xfId="12324"/>
    <cellStyle name="Comma 21 4 2 4 3 2 3" xfId="12325"/>
    <cellStyle name="Comma 21 4 2 4 3 3" xfId="12326"/>
    <cellStyle name="Comma 21 4 2 4 3 3 2" xfId="12327"/>
    <cellStyle name="Comma 21 4 2 4 3 3 3" xfId="12328"/>
    <cellStyle name="Comma 21 4 2 4 3 4" xfId="12329"/>
    <cellStyle name="Comma 21 4 2 4 3 5" xfId="12330"/>
    <cellStyle name="Comma 21 4 2 4 4" xfId="12331"/>
    <cellStyle name="Comma 21 4 2 4 4 2" xfId="12332"/>
    <cellStyle name="Comma 21 4 2 4 4 3" xfId="12333"/>
    <cellStyle name="Comma 21 4 2 4 5" xfId="12334"/>
    <cellStyle name="Comma 21 4 2 4 5 2" xfId="12335"/>
    <cellStyle name="Comma 21 4 2 4 5 3" xfId="12336"/>
    <cellStyle name="Comma 21 4 2 4 6" xfId="12337"/>
    <cellStyle name="Comma 21 4 2 4 7" xfId="12338"/>
    <cellStyle name="Comma 21 4 2 5" xfId="12339"/>
    <cellStyle name="Comma 21 4 2 5 2" xfId="12340"/>
    <cellStyle name="Comma 21 4 2 5 2 2" xfId="12341"/>
    <cellStyle name="Comma 21 4 2 5 2 3" xfId="12342"/>
    <cellStyle name="Comma 21 4 2 5 3" xfId="12343"/>
    <cellStyle name="Comma 21 4 2 5 3 2" xfId="12344"/>
    <cellStyle name="Comma 21 4 2 5 3 3" xfId="12345"/>
    <cellStyle name="Comma 21 4 2 5 4" xfId="12346"/>
    <cellStyle name="Comma 21 4 2 5 5" xfId="12347"/>
    <cellStyle name="Comma 21 4 2 6" xfId="12348"/>
    <cellStyle name="Comma 21 4 2 6 2" xfId="12349"/>
    <cellStyle name="Comma 21 4 2 6 2 2" xfId="12350"/>
    <cellStyle name="Comma 21 4 2 6 2 3" xfId="12351"/>
    <cellStyle name="Comma 21 4 2 6 3" xfId="12352"/>
    <cellStyle name="Comma 21 4 2 6 3 2" xfId="12353"/>
    <cellStyle name="Comma 21 4 2 6 3 3" xfId="12354"/>
    <cellStyle name="Comma 21 4 2 6 4" xfId="12355"/>
    <cellStyle name="Comma 21 4 2 6 5" xfId="12356"/>
    <cellStyle name="Comma 21 4 2 7" xfId="12357"/>
    <cellStyle name="Comma 21 4 2 7 2" xfId="12358"/>
    <cellStyle name="Comma 21 4 2 7 3" xfId="12359"/>
    <cellStyle name="Comma 21 4 2 8" xfId="12360"/>
    <cellStyle name="Comma 21 4 2 8 2" xfId="12361"/>
    <cellStyle name="Comma 21 4 2 8 3" xfId="12362"/>
    <cellStyle name="Comma 21 4 2 9" xfId="12363"/>
    <cellStyle name="Comma 21 4 3" xfId="12364"/>
    <cellStyle name="Comma 21 4 3 2" xfId="12365"/>
    <cellStyle name="Comma 21 4 3 2 2" xfId="12366"/>
    <cellStyle name="Comma 21 4 3 2 2 2" xfId="12367"/>
    <cellStyle name="Comma 21 4 3 2 2 2 2" xfId="12368"/>
    <cellStyle name="Comma 21 4 3 2 2 2 3" xfId="12369"/>
    <cellStyle name="Comma 21 4 3 2 2 3" xfId="12370"/>
    <cellStyle name="Comma 21 4 3 2 2 3 2" xfId="12371"/>
    <cellStyle name="Comma 21 4 3 2 2 3 3" xfId="12372"/>
    <cellStyle name="Comma 21 4 3 2 2 4" xfId="12373"/>
    <cellStyle name="Comma 21 4 3 2 2 5" xfId="12374"/>
    <cellStyle name="Comma 21 4 3 2 3" xfId="12375"/>
    <cellStyle name="Comma 21 4 3 2 3 2" xfId="12376"/>
    <cellStyle name="Comma 21 4 3 2 3 2 2" xfId="12377"/>
    <cellStyle name="Comma 21 4 3 2 3 2 3" xfId="12378"/>
    <cellStyle name="Comma 21 4 3 2 3 3" xfId="12379"/>
    <cellStyle name="Comma 21 4 3 2 3 3 2" xfId="12380"/>
    <cellStyle name="Comma 21 4 3 2 3 3 3" xfId="12381"/>
    <cellStyle name="Comma 21 4 3 2 3 4" xfId="12382"/>
    <cellStyle name="Comma 21 4 3 2 3 5" xfId="12383"/>
    <cellStyle name="Comma 21 4 3 2 4" xfId="12384"/>
    <cellStyle name="Comma 21 4 3 2 4 2" xfId="12385"/>
    <cellStyle name="Comma 21 4 3 2 4 3" xfId="12386"/>
    <cellStyle name="Comma 21 4 3 2 5" xfId="12387"/>
    <cellStyle name="Comma 21 4 3 2 5 2" xfId="12388"/>
    <cellStyle name="Comma 21 4 3 2 5 3" xfId="12389"/>
    <cellStyle name="Comma 21 4 3 2 6" xfId="12390"/>
    <cellStyle name="Comma 21 4 3 2 7" xfId="12391"/>
    <cellStyle name="Comma 21 4 3 3" xfId="12392"/>
    <cellStyle name="Comma 21 4 3 3 2" xfId="12393"/>
    <cellStyle name="Comma 21 4 3 3 2 2" xfId="12394"/>
    <cellStyle name="Comma 21 4 3 3 2 2 2" xfId="12395"/>
    <cellStyle name="Comma 21 4 3 3 2 2 3" xfId="12396"/>
    <cellStyle name="Comma 21 4 3 3 2 3" xfId="12397"/>
    <cellStyle name="Comma 21 4 3 3 2 3 2" xfId="12398"/>
    <cellStyle name="Comma 21 4 3 3 2 3 3" xfId="12399"/>
    <cellStyle name="Comma 21 4 3 3 2 4" xfId="12400"/>
    <cellStyle name="Comma 21 4 3 3 2 5" xfId="12401"/>
    <cellStyle name="Comma 21 4 3 3 3" xfId="12402"/>
    <cellStyle name="Comma 21 4 3 3 3 2" xfId="12403"/>
    <cellStyle name="Comma 21 4 3 3 3 2 2" xfId="12404"/>
    <cellStyle name="Comma 21 4 3 3 3 2 3" xfId="12405"/>
    <cellStyle name="Comma 21 4 3 3 3 3" xfId="12406"/>
    <cellStyle name="Comma 21 4 3 3 3 3 2" xfId="12407"/>
    <cellStyle name="Comma 21 4 3 3 3 3 3" xfId="12408"/>
    <cellStyle name="Comma 21 4 3 3 3 4" xfId="12409"/>
    <cellStyle name="Comma 21 4 3 3 3 5" xfId="12410"/>
    <cellStyle name="Comma 21 4 3 3 4" xfId="12411"/>
    <cellStyle name="Comma 21 4 3 3 4 2" xfId="12412"/>
    <cellStyle name="Comma 21 4 3 3 4 3" xfId="12413"/>
    <cellStyle name="Comma 21 4 3 3 5" xfId="12414"/>
    <cellStyle name="Comma 21 4 3 3 5 2" xfId="12415"/>
    <cellStyle name="Comma 21 4 3 3 5 3" xfId="12416"/>
    <cellStyle name="Comma 21 4 3 3 6" xfId="12417"/>
    <cellStyle name="Comma 21 4 3 3 7" xfId="12418"/>
    <cellStyle name="Comma 21 4 3 4" xfId="12419"/>
    <cellStyle name="Comma 21 4 3 4 2" xfId="12420"/>
    <cellStyle name="Comma 21 4 3 4 2 2" xfId="12421"/>
    <cellStyle name="Comma 21 4 3 4 2 3" xfId="12422"/>
    <cellStyle name="Comma 21 4 3 4 3" xfId="12423"/>
    <cellStyle name="Comma 21 4 3 4 3 2" xfId="12424"/>
    <cellStyle name="Comma 21 4 3 4 3 3" xfId="12425"/>
    <cellStyle name="Comma 21 4 3 4 4" xfId="12426"/>
    <cellStyle name="Comma 21 4 3 4 5" xfId="12427"/>
    <cellStyle name="Comma 21 4 3 5" xfId="12428"/>
    <cellStyle name="Comma 21 4 3 5 2" xfId="12429"/>
    <cellStyle name="Comma 21 4 3 5 2 2" xfId="12430"/>
    <cellStyle name="Comma 21 4 3 5 2 3" xfId="12431"/>
    <cellStyle name="Comma 21 4 3 5 3" xfId="12432"/>
    <cellStyle name="Comma 21 4 3 5 3 2" xfId="12433"/>
    <cellStyle name="Comma 21 4 3 5 3 3" xfId="12434"/>
    <cellStyle name="Comma 21 4 3 5 4" xfId="12435"/>
    <cellStyle name="Comma 21 4 3 5 5" xfId="12436"/>
    <cellStyle name="Comma 21 4 3 6" xfId="12437"/>
    <cellStyle name="Comma 21 4 3 6 2" xfId="12438"/>
    <cellStyle name="Comma 21 4 3 6 3" xfId="12439"/>
    <cellStyle name="Comma 21 4 3 7" xfId="12440"/>
    <cellStyle name="Comma 21 4 3 7 2" xfId="12441"/>
    <cellStyle name="Comma 21 4 3 7 3" xfId="12442"/>
    <cellStyle name="Comma 21 4 3 8" xfId="12443"/>
    <cellStyle name="Comma 21 4 3 9" xfId="12444"/>
    <cellStyle name="Comma 21 4 4" xfId="12445"/>
    <cellStyle name="Comma 21 4 4 2" xfId="12446"/>
    <cellStyle name="Comma 21 4 4 2 2" xfId="12447"/>
    <cellStyle name="Comma 21 4 4 2 2 2" xfId="12448"/>
    <cellStyle name="Comma 21 4 4 2 2 3" xfId="12449"/>
    <cellStyle name="Comma 21 4 4 2 3" xfId="12450"/>
    <cellStyle name="Comma 21 4 4 2 3 2" xfId="12451"/>
    <cellStyle name="Comma 21 4 4 2 3 3" xfId="12452"/>
    <cellStyle name="Comma 21 4 4 2 4" xfId="12453"/>
    <cellStyle name="Comma 21 4 4 2 5" xfId="12454"/>
    <cellStyle name="Comma 21 4 4 3" xfId="12455"/>
    <cellStyle name="Comma 21 4 4 3 2" xfId="12456"/>
    <cellStyle name="Comma 21 4 4 3 2 2" xfId="12457"/>
    <cellStyle name="Comma 21 4 4 3 2 3" xfId="12458"/>
    <cellStyle name="Comma 21 4 4 3 3" xfId="12459"/>
    <cellStyle name="Comma 21 4 4 3 3 2" xfId="12460"/>
    <cellStyle name="Comma 21 4 4 3 3 3" xfId="12461"/>
    <cellStyle name="Comma 21 4 4 3 4" xfId="12462"/>
    <cellStyle name="Comma 21 4 4 3 5" xfId="12463"/>
    <cellStyle name="Comma 21 4 4 4" xfId="12464"/>
    <cellStyle name="Comma 21 4 4 4 2" xfId="12465"/>
    <cellStyle name="Comma 21 4 4 4 3" xfId="12466"/>
    <cellStyle name="Comma 21 4 4 5" xfId="12467"/>
    <cellStyle name="Comma 21 4 4 5 2" xfId="12468"/>
    <cellStyle name="Comma 21 4 4 5 3" xfId="12469"/>
    <cellStyle name="Comma 21 4 4 6" xfId="12470"/>
    <cellStyle name="Comma 21 4 4 7" xfId="12471"/>
    <cellStyle name="Comma 21 4 5" xfId="12472"/>
    <cellStyle name="Comma 21 4 5 2" xfId="12473"/>
    <cellStyle name="Comma 21 4 5 2 2" xfId="12474"/>
    <cellStyle name="Comma 21 4 5 2 2 2" xfId="12475"/>
    <cellStyle name="Comma 21 4 5 2 2 3" xfId="12476"/>
    <cellStyle name="Comma 21 4 5 2 3" xfId="12477"/>
    <cellStyle name="Comma 21 4 5 2 3 2" xfId="12478"/>
    <cellStyle name="Comma 21 4 5 2 3 3" xfId="12479"/>
    <cellStyle name="Comma 21 4 5 2 4" xfId="12480"/>
    <cellStyle name="Comma 21 4 5 2 5" xfId="12481"/>
    <cellStyle name="Comma 21 4 5 3" xfId="12482"/>
    <cellStyle name="Comma 21 4 5 3 2" xfId="12483"/>
    <cellStyle name="Comma 21 4 5 3 2 2" xfId="12484"/>
    <cellStyle name="Comma 21 4 5 3 2 3" xfId="12485"/>
    <cellStyle name="Comma 21 4 5 3 3" xfId="12486"/>
    <cellStyle name="Comma 21 4 5 3 3 2" xfId="12487"/>
    <cellStyle name="Comma 21 4 5 3 3 3" xfId="12488"/>
    <cellStyle name="Comma 21 4 5 3 4" xfId="12489"/>
    <cellStyle name="Comma 21 4 5 3 5" xfId="12490"/>
    <cellStyle name="Comma 21 4 5 4" xfId="12491"/>
    <cellStyle name="Comma 21 4 5 4 2" xfId="12492"/>
    <cellStyle name="Comma 21 4 5 4 3" xfId="12493"/>
    <cellStyle name="Comma 21 4 5 5" xfId="12494"/>
    <cellStyle name="Comma 21 4 5 5 2" xfId="12495"/>
    <cellStyle name="Comma 21 4 5 5 3" xfId="12496"/>
    <cellStyle name="Comma 21 4 5 6" xfId="12497"/>
    <cellStyle name="Comma 21 4 5 7" xfId="12498"/>
    <cellStyle name="Comma 21 4 6" xfId="12499"/>
    <cellStyle name="Comma 21 4 6 2" xfId="12500"/>
    <cellStyle name="Comma 21 4 6 2 2" xfId="12501"/>
    <cellStyle name="Comma 21 4 6 2 3" xfId="12502"/>
    <cellStyle name="Comma 21 4 6 3" xfId="12503"/>
    <cellStyle name="Comma 21 4 6 3 2" xfId="12504"/>
    <cellStyle name="Comma 21 4 6 3 3" xfId="12505"/>
    <cellStyle name="Comma 21 4 6 4" xfId="12506"/>
    <cellStyle name="Comma 21 4 6 5" xfId="12507"/>
    <cellStyle name="Comma 21 4 7" xfId="12508"/>
    <cellStyle name="Comma 21 4 7 2" xfId="12509"/>
    <cellStyle name="Comma 21 4 7 2 2" xfId="12510"/>
    <cellStyle name="Comma 21 4 7 2 3" xfId="12511"/>
    <cellStyle name="Comma 21 4 7 3" xfId="12512"/>
    <cellStyle name="Comma 21 4 7 3 2" xfId="12513"/>
    <cellStyle name="Comma 21 4 7 3 3" xfId="12514"/>
    <cellStyle name="Comma 21 4 7 4" xfId="12515"/>
    <cellStyle name="Comma 21 4 7 5" xfId="12516"/>
    <cellStyle name="Comma 21 4 8" xfId="12517"/>
    <cellStyle name="Comma 21 4 8 2" xfId="12518"/>
    <cellStyle name="Comma 21 4 8 3" xfId="12519"/>
    <cellStyle name="Comma 21 4 9" xfId="12520"/>
    <cellStyle name="Comma 21 4 9 2" xfId="12521"/>
    <cellStyle name="Comma 21 4 9 3" xfId="12522"/>
    <cellStyle name="Comma 21 5" xfId="12523"/>
    <cellStyle name="Comma 21 5 10" xfId="12524"/>
    <cellStyle name="Comma 21 5 10 2" xfId="12525"/>
    <cellStyle name="Comma 21 5 10 3" xfId="12526"/>
    <cellStyle name="Comma 21 5 11" xfId="12527"/>
    <cellStyle name="Comma 21 5 12" xfId="12528"/>
    <cellStyle name="Comma 21 5 2" xfId="12529"/>
    <cellStyle name="Comma 21 5 2 10" xfId="12530"/>
    <cellStyle name="Comma 21 5 2 11" xfId="12531"/>
    <cellStyle name="Comma 21 5 2 2" xfId="12532"/>
    <cellStyle name="Comma 21 5 2 2 10" xfId="12533"/>
    <cellStyle name="Comma 21 5 2 2 2" xfId="12534"/>
    <cellStyle name="Comma 21 5 2 2 2 2" xfId="12535"/>
    <cellStyle name="Comma 21 5 2 2 2 2 2" xfId="12536"/>
    <cellStyle name="Comma 21 5 2 2 2 2 2 2" xfId="12537"/>
    <cellStyle name="Comma 21 5 2 2 2 2 2 2 2" xfId="12538"/>
    <cellStyle name="Comma 21 5 2 2 2 2 2 2 3" xfId="12539"/>
    <cellStyle name="Comma 21 5 2 2 2 2 2 3" xfId="12540"/>
    <cellStyle name="Comma 21 5 2 2 2 2 2 3 2" xfId="12541"/>
    <cellStyle name="Comma 21 5 2 2 2 2 2 3 3" xfId="12542"/>
    <cellStyle name="Comma 21 5 2 2 2 2 2 4" xfId="12543"/>
    <cellStyle name="Comma 21 5 2 2 2 2 2 5" xfId="12544"/>
    <cellStyle name="Comma 21 5 2 2 2 2 3" xfId="12545"/>
    <cellStyle name="Comma 21 5 2 2 2 2 3 2" xfId="12546"/>
    <cellStyle name="Comma 21 5 2 2 2 2 3 2 2" xfId="12547"/>
    <cellStyle name="Comma 21 5 2 2 2 2 3 2 3" xfId="12548"/>
    <cellStyle name="Comma 21 5 2 2 2 2 3 3" xfId="12549"/>
    <cellStyle name="Comma 21 5 2 2 2 2 3 3 2" xfId="12550"/>
    <cellStyle name="Comma 21 5 2 2 2 2 3 3 3" xfId="12551"/>
    <cellStyle name="Comma 21 5 2 2 2 2 3 4" xfId="12552"/>
    <cellStyle name="Comma 21 5 2 2 2 2 3 5" xfId="12553"/>
    <cellStyle name="Comma 21 5 2 2 2 2 4" xfId="12554"/>
    <cellStyle name="Comma 21 5 2 2 2 2 4 2" xfId="12555"/>
    <cellStyle name="Comma 21 5 2 2 2 2 4 3" xfId="12556"/>
    <cellStyle name="Comma 21 5 2 2 2 2 5" xfId="12557"/>
    <cellStyle name="Comma 21 5 2 2 2 2 5 2" xfId="12558"/>
    <cellStyle name="Comma 21 5 2 2 2 2 5 3" xfId="12559"/>
    <cellStyle name="Comma 21 5 2 2 2 2 6" xfId="12560"/>
    <cellStyle name="Comma 21 5 2 2 2 2 7" xfId="12561"/>
    <cellStyle name="Comma 21 5 2 2 2 3" xfId="12562"/>
    <cellStyle name="Comma 21 5 2 2 2 3 2" xfId="12563"/>
    <cellStyle name="Comma 21 5 2 2 2 3 2 2" xfId="12564"/>
    <cellStyle name="Comma 21 5 2 2 2 3 2 2 2" xfId="12565"/>
    <cellStyle name="Comma 21 5 2 2 2 3 2 2 3" xfId="12566"/>
    <cellStyle name="Comma 21 5 2 2 2 3 2 3" xfId="12567"/>
    <cellStyle name="Comma 21 5 2 2 2 3 2 3 2" xfId="12568"/>
    <cellStyle name="Comma 21 5 2 2 2 3 2 3 3" xfId="12569"/>
    <cellStyle name="Comma 21 5 2 2 2 3 2 4" xfId="12570"/>
    <cellStyle name="Comma 21 5 2 2 2 3 2 5" xfId="12571"/>
    <cellStyle name="Comma 21 5 2 2 2 3 3" xfId="12572"/>
    <cellStyle name="Comma 21 5 2 2 2 3 3 2" xfId="12573"/>
    <cellStyle name="Comma 21 5 2 2 2 3 3 2 2" xfId="12574"/>
    <cellStyle name="Comma 21 5 2 2 2 3 3 2 3" xfId="12575"/>
    <cellStyle name="Comma 21 5 2 2 2 3 3 3" xfId="12576"/>
    <cellStyle name="Comma 21 5 2 2 2 3 3 3 2" xfId="12577"/>
    <cellStyle name="Comma 21 5 2 2 2 3 3 3 3" xfId="12578"/>
    <cellStyle name="Comma 21 5 2 2 2 3 3 4" xfId="12579"/>
    <cellStyle name="Comma 21 5 2 2 2 3 3 5" xfId="12580"/>
    <cellStyle name="Comma 21 5 2 2 2 3 4" xfId="12581"/>
    <cellStyle name="Comma 21 5 2 2 2 3 4 2" xfId="12582"/>
    <cellStyle name="Comma 21 5 2 2 2 3 4 3" xfId="12583"/>
    <cellStyle name="Comma 21 5 2 2 2 3 5" xfId="12584"/>
    <cellStyle name="Comma 21 5 2 2 2 3 5 2" xfId="12585"/>
    <cellStyle name="Comma 21 5 2 2 2 3 5 3" xfId="12586"/>
    <cellStyle name="Comma 21 5 2 2 2 3 6" xfId="12587"/>
    <cellStyle name="Comma 21 5 2 2 2 3 7" xfId="12588"/>
    <cellStyle name="Comma 21 5 2 2 2 4" xfId="12589"/>
    <cellStyle name="Comma 21 5 2 2 2 4 2" xfId="12590"/>
    <cellStyle name="Comma 21 5 2 2 2 4 2 2" xfId="12591"/>
    <cellStyle name="Comma 21 5 2 2 2 4 2 3" xfId="12592"/>
    <cellStyle name="Comma 21 5 2 2 2 4 3" xfId="12593"/>
    <cellStyle name="Comma 21 5 2 2 2 4 3 2" xfId="12594"/>
    <cellStyle name="Comma 21 5 2 2 2 4 3 3" xfId="12595"/>
    <cellStyle name="Comma 21 5 2 2 2 4 4" xfId="12596"/>
    <cellStyle name="Comma 21 5 2 2 2 4 5" xfId="12597"/>
    <cellStyle name="Comma 21 5 2 2 2 5" xfId="12598"/>
    <cellStyle name="Comma 21 5 2 2 2 5 2" xfId="12599"/>
    <cellStyle name="Comma 21 5 2 2 2 5 2 2" xfId="12600"/>
    <cellStyle name="Comma 21 5 2 2 2 5 2 3" xfId="12601"/>
    <cellStyle name="Comma 21 5 2 2 2 5 3" xfId="12602"/>
    <cellStyle name="Comma 21 5 2 2 2 5 3 2" xfId="12603"/>
    <cellStyle name="Comma 21 5 2 2 2 5 3 3" xfId="12604"/>
    <cellStyle name="Comma 21 5 2 2 2 5 4" xfId="12605"/>
    <cellStyle name="Comma 21 5 2 2 2 5 5" xfId="12606"/>
    <cellStyle name="Comma 21 5 2 2 2 6" xfId="12607"/>
    <cellStyle name="Comma 21 5 2 2 2 6 2" xfId="12608"/>
    <cellStyle name="Comma 21 5 2 2 2 6 3" xfId="12609"/>
    <cellStyle name="Comma 21 5 2 2 2 7" xfId="12610"/>
    <cellStyle name="Comma 21 5 2 2 2 7 2" xfId="12611"/>
    <cellStyle name="Comma 21 5 2 2 2 7 3" xfId="12612"/>
    <cellStyle name="Comma 21 5 2 2 2 8" xfId="12613"/>
    <cellStyle name="Comma 21 5 2 2 2 9" xfId="12614"/>
    <cellStyle name="Comma 21 5 2 2 3" xfId="12615"/>
    <cellStyle name="Comma 21 5 2 2 3 2" xfId="12616"/>
    <cellStyle name="Comma 21 5 2 2 3 2 2" xfId="12617"/>
    <cellStyle name="Comma 21 5 2 2 3 2 2 2" xfId="12618"/>
    <cellStyle name="Comma 21 5 2 2 3 2 2 3" xfId="12619"/>
    <cellStyle name="Comma 21 5 2 2 3 2 3" xfId="12620"/>
    <cellStyle name="Comma 21 5 2 2 3 2 3 2" xfId="12621"/>
    <cellStyle name="Comma 21 5 2 2 3 2 3 3" xfId="12622"/>
    <cellStyle name="Comma 21 5 2 2 3 2 4" xfId="12623"/>
    <cellStyle name="Comma 21 5 2 2 3 2 5" xfId="12624"/>
    <cellStyle name="Comma 21 5 2 2 3 3" xfId="12625"/>
    <cellStyle name="Comma 21 5 2 2 3 3 2" xfId="12626"/>
    <cellStyle name="Comma 21 5 2 2 3 3 2 2" xfId="12627"/>
    <cellStyle name="Comma 21 5 2 2 3 3 2 3" xfId="12628"/>
    <cellStyle name="Comma 21 5 2 2 3 3 3" xfId="12629"/>
    <cellStyle name="Comma 21 5 2 2 3 3 3 2" xfId="12630"/>
    <cellStyle name="Comma 21 5 2 2 3 3 3 3" xfId="12631"/>
    <cellStyle name="Comma 21 5 2 2 3 3 4" xfId="12632"/>
    <cellStyle name="Comma 21 5 2 2 3 3 5" xfId="12633"/>
    <cellStyle name="Comma 21 5 2 2 3 4" xfId="12634"/>
    <cellStyle name="Comma 21 5 2 2 3 4 2" xfId="12635"/>
    <cellStyle name="Comma 21 5 2 2 3 4 3" xfId="12636"/>
    <cellStyle name="Comma 21 5 2 2 3 5" xfId="12637"/>
    <cellStyle name="Comma 21 5 2 2 3 5 2" xfId="12638"/>
    <cellStyle name="Comma 21 5 2 2 3 5 3" xfId="12639"/>
    <cellStyle name="Comma 21 5 2 2 3 6" xfId="12640"/>
    <cellStyle name="Comma 21 5 2 2 3 7" xfId="12641"/>
    <cellStyle name="Comma 21 5 2 2 4" xfId="12642"/>
    <cellStyle name="Comma 21 5 2 2 4 2" xfId="12643"/>
    <cellStyle name="Comma 21 5 2 2 4 2 2" xfId="12644"/>
    <cellStyle name="Comma 21 5 2 2 4 2 2 2" xfId="12645"/>
    <cellStyle name="Comma 21 5 2 2 4 2 2 3" xfId="12646"/>
    <cellStyle name="Comma 21 5 2 2 4 2 3" xfId="12647"/>
    <cellStyle name="Comma 21 5 2 2 4 2 3 2" xfId="12648"/>
    <cellStyle name="Comma 21 5 2 2 4 2 3 3" xfId="12649"/>
    <cellStyle name="Comma 21 5 2 2 4 2 4" xfId="12650"/>
    <cellStyle name="Comma 21 5 2 2 4 2 5" xfId="12651"/>
    <cellStyle name="Comma 21 5 2 2 4 3" xfId="12652"/>
    <cellStyle name="Comma 21 5 2 2 4 3 2" xfId="12653"/>
    <cellStyle name="Comma 21 5 2 2 4 3 2 2" xfId="12654"/>
    <cellStyle name="Comma 21 5 2 2 4 3 2 3" xfId="12655"/>
    <cellStyle name="Comma 21 5 2 2 4 3 3" xfId="12656"/>
    <cellStyle name="Comma 21 5 2 2 4 3 3 2" xfId="12657"/>
    <cellStyle name="Comma 21 5 2 2 4 3 3 3" xfId="12658"/>
    <cellStyle name="Comma 21 5 2 2 4 3 4" xfId="12659"/>
    <cellStyle name="Comma 21 5 2 2 4 3 5" xfId="12660"/>
    <cellStyle name="Comma 21 5 2 2 4 4" xfId="12661"/>
    <cellStyle name="Comma 21 5 2 2 4 4 2" xfId="12662"/>
    <cellStyle name="Comma 21 5 2 2 4 4 3" xfId="12663"/>
    <cellStyle name="Comma 21 5 2 2 4 5" xfId="12664"/>
    <cellStyle name="Comma 21 5 2 2 4 5 2" xfId="12665"/>
    <cellStyle name="Comma 21 5 2 2 4 5 3" xfId="12666"/>
    <cellStyle name="Comma 21 5 2 2 4 6" xfId="12667"/>
    <cellStyle name="Comma 21 5 2 2 4 7" xfId="12668"/>
    <cellStyle name="Comma 21 5 2 2 5" xfId="12669"/>
    <cellStyle name="Comma 21 5 2 2 5 2" xfId="12670"/>
    <cellStyle name="Comma 21 5 2 2 5 2 2" xfId="12671"/>
    <cellStyle name="Comma 21 5 2 2 5 2 3" xfId="12672"/>
    <cellStyle name="Comma 21 5 2 2 5 3" xfId="12673"/>
    <cellStyle name="Comma 21 5 2 2 5 3 2" xfId="12674"/>
    <cellStyle name="Comma 21 5 2 2 5 3 3" xfId="12675"/>
    <cellStyle name="Comma 21 5 2 2 5 4" xfId="12676"/>
    <cellStyle name="Comma 21 5 2 2 5 5" xfId="12677"/>
    <cellStyle name="Comma 21 5 2 2 6" xfId="12678"/>
    <cellStyle name="Comma 21 5 2 2 6 2" xfId="12679"/>
    <cellStyle name="Comma 21 5 2 2 6 2 2" xfId="12680"/>
    <cellStyle name="Comma 21 5 2 2 6 2 3" xfId="12681"/>
    <cellStyle name="Comma 21 5 2 2 6 3" xfId="12682"/>
    <cellStyle name="Comma 21 5 2 2 6 3 2" xfId="12683"/>
    <cellStyle name="Comma 21 5 2 2 6 3 3" xfId="12684"/>
    <cellStyle name="Comma 21 5 2 2 6 4" xfId="12685"/>
    <cellStyle name="Comma 21 5 2 2 6 5" xfId="12686"/>
    <cellStyle name="Comma 21 5 2 2 7" xfId="12687"/>
    <cellStyle name="Comma 21 5 2 2 7 2" xfId="12688"/>
    <cellStyle name="Comma 21 5 2 2 7 3" xfId="12689"/>
    <cellStyle name="Comma 21 5 2 2 8" xfId="12690"/>
    <cellStyle name="Comma 21 5 2 2 8 2" xfId="12691"/>
    <cellStyle name="Comma 21 5 2 2 8 3" xfId="12692"/>
    <cellStyle name="Comma 21 5 2 2 9" xfId="12693"/>
    <cellStyle name="Comma 21 5 2 3" xfId="12694"/>
    <cellStyle name="Comma 21 5 2 3 2" xfId="12695"/>
    <cellStyle name="Comma 21 5 2 3 2 2" xfId="12696"/>
    <cellStyle name="Comma 21 5 2 3 2 2 2" xfId="12697"/>
    <cellStyle name="Comma 21 5 2 3 2 2 2 2" xfId="12698"/>
    <cellStyle name="Comma 21 5 2 3 2 2 2 3" xfId="12699"/>
    <cellStyle name="Comma 21 5 2 3 2 2 3" xfId="12700"/>
    <cellStyle name="Comma 21 5 2 3 2 2 3 2" xfId="12701"/>
    <cellStyle name="Comma 21 5 2 3 2 2 3 3" xfId="12702"/>
    <cellStyle name="Comma 21 5 2 3 2 2 4" xfId="12703"/>
    <cellStyle name="Comma 21 5 2 3 2 2 5" xfId="12704"/>
    <cellStyle name="Comma 21 5 2 3 2 3" xfId="12705"/>
    <cellStyle name="Comma 21 5 2 3 2 3 2" xfId="12706"/>
    <cellStyle name="Comma 21 5 2 3 2 3 2 2" xfId="12707"/>
    <cellStyle name="Comma 21 5 2 3 2 3 2 3" xfId="12708"/>
    <cellStyle name="Comma 21 5 2 3 2 3 3" xfId="12709"/>
    <cellStyle name="Comma 21 5 2 3 2 3 3 2" xfId="12710"/>
    <cellStyle name="Comma 21 5 2 3 2 3 3 3" xfId="12711"/>
    <cellStyle name="Comma 21 5 2 3 2 3 4" xfId="12712"/>
    <cellStyle name="Comma 21 5 2 3 2 3 5" xfId="12713"/>
    <cellStyle name="Comma 21 5 2 3 2 4" xfId="12714"/>
    <cellStyle name="Comma 21 5 2 3 2 4 2" xfId="12715"/>
    <cellStyle name="Comma 21 5 2 3 2 4 3" xfId="12716"/>
    <cellStyle name="Comma 21 5 2 3 2 5" xfId="12717"/>
    <cellStyle name="Comma 21 5 2 3 2 5 2" xfId="12718"/>
    <cellStyle name="Comma 21 5 2 3 2 5 3" xfId="12719"/>
    <cellStyle name="Comma 21 5 2 3 2 6" xfId="12720"/>
    <cellStyle name="Comma 21 5 2 3 2 7" xfId="12721"/>
    <cellStyle name="Comma 21 5 2 3 3" xfId="12722"/>
    <cellStyle name="Comma 21 5 2 3 3 2" xfId="12723"/>
    <cellStyle name="Comma 21 5 2 3 3 2 2" xfId="12724"/>
    <cellStyle name="Comma 21 5 2 3 3 2 2 2" xfId="12725"/>
    <cellStyle name="Comma 21 5 2 3 3 2 2 3" xfId="12726"/>
    <cellStyle name="Comma 21 5 2 3 3 2 3" xfId="12727"/>
    <cellStyle name="Comma 21 5 2 3 3 2 3 2" xfId="12728"/>
    <cellStyle name="Comma 21 5 2 3 3 2 3 3" xfId="12729"/>
    <cellStyle name="Comma 21 5 2 3 3 2 4" xfId="12730"/>
    <cellStyle name="Comma 21 5 2 3 3 2 5" xfId="12731"/>
    <cellStyle name="Comma 21 5 2 3 3 3" xfId="12732"/>
    <cellStyle name="Comma 21 5 2 3 3 3 2" xfId="12733"/>
    <cellStyle name="Comma 21 5 2 3 3 3 2 2" xfId="12734"/>
    <cellStyle name="Comma 21 5 2 3 3 3 2 3" xfId="12735"/>
    <cellStyle name="Comma 21 5 2 3 3 3 3" xfId="12736"/>
    <cellStyle name="Comma 21 5 2 3 3 3 3 2" xfId="12737"/>
    <cellStyle name="Comma 21 5 2 3 3 3 3 3" xfId="12738"/>
    <cellStyle name="Comma 21 5 2 3 3 3 4" xfId="12739"/>
    <cellStyle name="Comma 21 5 2 3 3 3 5" xfId="12740"/>
    <cellStyle name="Comma 21 5 2 3 3 4" xfId="12741"/>
    <cellStyle name="Comma 21 5 2 3 3 4 2" xfId="12742"/>
    <cellStyle name="Comma 21 5 2 3 3 4 3" xfId="12743"/>
    <cellStyle name="Comma 21 5 2 3 3 5" xfId="12744"/>
    <cellStyle name="Comma 21 5 2 3 3 5 2" xfId="12745"/>
    <cellStyle name="Comma 21 5 2 3 3 5 3" xfId="12746"/>
    <cellStyle name="Comma 21 5 2 3 3 6" xfId="12747"/>
    <cellStyle name="Comma 21 5 2 3 3 7" xfId="12748"/>
    <cellStyle name="Comma 21 5 2 3 4" xfId="12749"/>
    <cellStyle name="Comma 21 5 2 3 4 2" xfId="12750"/>
    <cellStyle name="Comma 21 5 2 3 4 2 2" xfId="12751"/>
    <cellStyle name="Comma 21 5 2 3 4 2 3" xfId="12752"/>
    <cellStyle name="Comma 21 5 2 3 4 3" xfId="12753"/>
    <cellStyle name="Comma 21 5 2 3 4 3 2" xfId="12754"/>
    <cellStyle name="Comma 21 5 2 3 4 3 3" xfId="12755"/>
    <cellStyle name="Comma 21 5 2 3 4 4" xfId="12756"/>
    <cellStyle name="Comma 21 5 2 3 4 5" xfId="12757"/>
    <cellStyle name="Comma 21 5 2 3 5" xfId="12758"/>
    <cellStyle name="Comma 21 5 2 3 5 2" xfId="12759"/>
    <cellStyle name="Comma 21 5 2 3 5 2 2" xfId="12760"/>
    <cellStyle name="Comma 21 5 2 3 5 2 3" xfId="12761"/>
    <cellStyle name="Comma 21 5 2 3 5 3" xfId="12762"/>
    <cellStyle name="Comma 21 5 2 3 5 3 2" xfId="12763"/>
    <cellStyle name="Comma 21 5 2 3 5 3 3" xfId="12764"/>
    <cellStyle name="Comma 21 5 2 3 5 4" xfId="12765"/>
    <cellStyle name="Comma 21 5 2 3 5 5" xfId="12766"/>
    <cellStyle name="Comma 21 5 2 3 6" xfId="12767"/>
    <cellStyle name="Comma 21 5 2 3 6 2" xfId="12768"/>
    <cellStyle name="Comma 21 5 2 3 6 3" xfId="12769"/>
    <cellStyle name="Comma 21 5 2 3 7" xfId="12770"/>
    <cellStyle name="Comma 21 5 2 3 7 2" xfId="12771"/>
    <cellStyle name="Comma 21 5 2 3 7 3" xfId="12772"/>
    <cellStyle name="Comma 21 5 2 3 8" xfId="12773"/>
    <cellStyle name="Comma 21 5 2 3 9" xfId="12774"/>
    <cellStyle name="Comma 21 5 2 4" xfId="12775"/>
    <cellStyle name="Comma 21 5 2 4 2" xfId="12776"/>
    <cellStyle name="Comma 21 5 2 4 2 2" xfId="12777"/>
    <cellStyle name="Comma 21 5 2 4 2 2 2" xfId="12778"/>
    <cellStyle name="Comma 21 5 2 4 2 2 3" xfId="12779"/>
    <cellStyle name="Comma 21 5 2 4 2 3" xfId="12780"/>
    <cellStyle name="Comma 21 5 2 4 2 3 2" xfId="12781"/>
    <cellStyle name="Comma 21 5 2 4 2 3 3" xfId="12782"/>
    <cellStyle name="Comma 21 5 2 4 2 4" xfId="12783"/>
    <cellStyle name="Comma 21 5 2 4 2 5" xfId="12784"/>
    <cellStyle name="Comma 21 5 2 4 3" xfId="12785"/>
    <cellStyle name="Comma 21 5 2 4 3 2" xfId="12786"/>
    <cellStyle name="Comma 21 5 2 4 3 2 2" xfId="12787"/>
    <cellStyle name="Comma 21 5 2 4 3 2 3" xfId="12788"/>
    <cellStyle name="Comma 21 5 2 4 3 3" xfId="12789"/>
    <cellStyle name="Comma 21 5 2 4 3 3 2" xfId="12790"/>
    <cellStyle name="Comma 21 5 2 4 3 3 3" xfId="12791"/>
    <cellStyle name="Comma 21 5 2 4 3 4" xfId="12792"/>
    <cellStyle name="Comma 21 5 2 4 3 5" xfId="12793"/>
    <cellStyle name="Comma 21 5 2 4 4" xfId="12794"/>
    <cellStyle name="Comma 21 5 2 4 4 2" xfId="12795"/>
    <cellStyle name="Comma 21 5 2 4 4 3" xfId="12796"/>
    <cellStyle name="Comma 21 5 2 4 5" xfId="12797"/>
    <cellStyle name="Comma 21 5 2 4 5 2" xfId="12798"/>
    <cellStyle name="Comma 21 5 2 4 5 3" xfId="12799"/>
    <cellStyle name="Comma 21 5 2 4 6" xfId="12800"/>
    <cellStyle name="Comma 21 5 2 4 7" xfId="12801"/>
    <cellStyle name="Comma 21 5 2 5" xfId="12802"/>
    <cellStyle name="Comma 21 5 2 5 2" xfId="12803"/>
    <cellStyle name="Comma 21 5 2 5 2 2" xfId="12804"/>
    <cellStyle name="Comma 21 5 2 5 2 2 2" xfId="12805"/>
    <cellStyle name="Comma 21 5 2 5 2 2 3" xfId="12806"/>
    <cellStyle name="Comma 21 5 2 5 2 3" xfId="12807"/>
    <cellStyle name="Comma 21 5 2 5 2 3 2" xfId="12808"/>
    <cellStyle name="Comma 21 5 2 5 2 3 3" xfId="12809"/>
    <cellStyle name="Comma 21 5 2 5 2 4" xfId="12810"/>
    <cellStyle name="Comma 21 5 2 5 2 5" xfId="12811"/>
    <cellStyle name="Comma 21 5 2 5 3" xfId="12812"/>
    <cellStyle name="Comma 21 5 2 5 3 2" xfId="12813"/>
    <cellStyle name="Comma 21 5 2 5 3 2 2" xfId="12814"/>
    <cellStyle name="Comma 21 5 2 5 3 2 3" xfId="12815"/>
    <cellStyle name="Comma 21 5 2 5 3 3" xfId="12816"/>
    <cellStyle name="Comma 21 5 2 5 3 3 2" xfId="12817"/>
    <cellStyle name="Comma 21 5 2 5 3 3 3" xfId="12818"/>
    <cellStyle name="Comma 21 5 2 5 3 4" xfId="12819"/>
    <cellStyle name="Comma 21 5 2 5 3 5" xfId="12820"/>
    <cellStyle name="Comma 21 5 2 5 4" xfId="12821"/>
    <cellStyle name="Comma 21 5 2 5 4 2" xfId="12822"/>
    <cellStyle name="Comma 21 5 2 5 4 3" xfId="12823"/>
    <cellStyle name="Comma 21 5 2 5 5" xfId="12824"/>
    <cellStyle name="Comma 21 5 2 5 5 2" xfId="12825"/>
    <cellStyle name="Comma 21 5 2 5 5 3" xfId="12826"/>
    <cellStyle name="Comma 21 5 2 5 6" xfId="12827"/>
    <cellStyle name="Comma 21 5 2 5 7" xfId="12828"/>
    <cellStyle name="Comma 21 5 2 6" xfId="12829"/>
    <cellStyle name="Comma 21 5 2 6 2" xfId="12830"/>
    <cellStyle name="Comma 21 5 2 6 2 2" xfId="12831"/>
    <cellStyle name="Comma 21 5 2 6 2 3" xfId="12832"/>
    <cellStyle name="Comma 21 5 2 6 3" xfId="12833"/>
    <cellStyle name="Comma 21 5 2 6 3 2" xfId="12834"/>
    <cellStyle name="Comma 21 5 2 6 3 3" xfId="12835"/>
    <cellStyle name="Comma 21 5 2 6 4" xfId="12836"/>
    <cellStyle name="Comma 21 5 2 6 5" xfId="12837"/>
    <cellStyle name="Comma 21 5 2 7" xfId="12838"/>
    <cellStyle name="Comma 21 5 2 7 2" xfId="12839"/>
    <cellStyle name="Comma 21 5 2 7 2 2" xfId="12840"/>
    <cellStyle name="Comma 21 5 2 7 2 3" xfId="12841"/>
    <cellStyle name="Comma 21 5 2 7 3" xfId="12842"/>
    <cellStyle name="Comma 21 5 2 7 3 2" xfId="12843"/>
    <cellStyle name="Comma 21 5 2 7 3 3" xfId="12844"/>
    <cellStyle name="Comma 21 5 2 7 4" xfId="12845"/>
    <cellStyle name="Comma 21 5 2 7 5" xfId="12846"/>
    <cellStyle name="Comma 21 5 2 8" xfId="12847"/>
    <cellStyle name="Comma 21 5 2 8 2" xfId="12848"/>
    <cellStyle name="Comma 21 5 2 8 3" xfId="12849"/>
    <cellStyle name="Comma 21 5 2 9" xfId="12850"/>
    <cellStyle name="Comma 21 5 2 9 2" xfId="12851"/>
    <cellStyle name="Comma 21 5 2 9 3" xfId="12852"/>
    <cellStyle name="Comma 21 5 3" xfId="12853"/>
    <cellStyle name="Comma 21 5 3 10" xfId="12854"/>
    <cellStyle name="Comma 21 5 3 2" xfId="12855"/>
    <cellStyle name="Comma 21 5 3 2 2" xfId="12856"/>
    <cellStyle name="Comma 21 5 3 2 2 2" xfId="12857"/>
    <cellStyle name="Comma 21 5 3 2 2 2 2" xfId="12858"/>
    <cellStyle name="Comma 21 5 3 2 2 2 2 2" xfId="12859"/>
    <cellStyle name="Comma 21 5 3 2 2 2 2 3" xfId="12860"/>
    <cellStyle name="Comma 21 5 3 2 2 2 3" xfId="12861"/>
    <cellStyle name="Comma 21 5 3 2 2 2 3 2" xfId="12862"/>
    <cellStyle name="Comma 21 5 3 2 2 2 3 3" xfId="12863"/>
    <cellStyle name="Comma 21 5 3 2 2 2 4" xfId="12864"/>
    <cellStyle name="Comma 21 5 3 2 2 2 5" xfId="12865"/>
    <cellStyle name="Comma 21 5 3 2 2 3" xfId="12866"/>
    <cellStyle name="Comma 21 5 3 2 2 3 2" xfId="12867"/>
    <cellStyle name="Comma 21 5 3 2 2 3 2 2" xfId="12868"/>
    <cellStyle name="Comma 21 5 3 2 2 3 2 3" xfId="12869"/>
    <cellStyle name="Comma 21 5 3 2 2 3 3" xfId="12870"/>
    <cellStyle name="Comma 21 5 3 2 2 3 3 2" xfId="12871"/>
    <cellStyle name="Comma 21 5 3 2 2 3 3 3" xfId="12872"/>
    <cellStyle name="Comma 21 5 3 2 2 3 4" xfId="12873"/>
    <cellStyle name="Comma 21 5 3 2 2 3 5" xfId="12874"/>
    <cellStyle name="Comma 21 5 3 2 2 4" xfId="12875"/>
    <cellStyle name="Comma 21 5 3 2 2 4 2" xfId="12876"/>
    <cellStyle name="Comma 21 5 3 2 2 4 3" xfId="12877"/>
    <cellStyle name="Comma 21 5 3 2 2 5" xfId="12878"/>
    <cellStyle name="Comma 21 5 3 2 2 5 2" xfId="12879"/>
    <cellStyle name="Comma 21 5 3 2 2 5 3" xfId="12880"/>
    <cellStyle name="Comma 21 5 3 2 2 6" xfId="12881"/>
    <cellStyle name="Comma 21 5 3 2 2 7" xfId="12882"/>
    <cellStyle name="Comma 21 5 3 2 3" xfId="12883"/>
    <cellStyle name="Comma 21 5 3 2 3 2" xfId="12884"/>
    <cellStyle name="Comma 21 5 3 2 3 2 2" xfId="12885"/>
    <cellStyle name="Comma 21 5 3 2 3 2 2 2" xfId="12886"/>
    <cellStyle name="Comma 21 5 3 2 3 2 2 3" xfId="12887"/>
    <cellStyle name="Comma 21 5 3 2 3 2 3" xfId="12888"/>
    <cellStyle name="Comma 21 5 3 2 3 2 3 2" xfId="12889"/>
    <cellStyle name="Comma 21 5 3 2 3 2 3 3" xfId="12890"/>
    <cellStyle name="Comma 21 5 3 2 3 2 4" xfId="12891"/>
    <cellStyle name="Comma 21 5 3 2 3 2 5" xfId="12892"/>
    <cellStyle name="Comma 21 5 3 2 3 3" xfId="12893"/>
    <cellStyle name="Comma 21 5 3 2 3 3 2" xfId="12894"/>
    <cellStyle name="Comma 21 5 3 2 3 3 2 2" xfId="12895"/>
    <cellStyle name="Comma 21 5 3 2 3 3 2 3" xfId="12896"/>
    <cellStyle name="Comma 21 5 3 2 3 3 3" xfId="12897"/>
    <cellStyle name="Comma 21 5 3 2 3 3 3 2" xfId="12898"/>
    <cellStyle name="Comma 21 5 3 2 3 3 3 3" xfId="12899"/>
    <cellStyle name="Comma 21 5 3 2 3 3 4" xfId="12900"/>
    <cellStyle name="Comma 21 5 3 2 3 3 5" xfId="12901"/>
    <cellStyle name="Comma 21 5 3 2 3 4" xfId="12902"/>
    <cellStyle name="Comma 21 5 3 2 3 4 2" xfId="12903"/>
    <cellStyle name="Comma 21 5 3 2 3 4 3" xfId="12904"/>
    <cellStyle name="Comma 21 5 3 2 3 5" xfId="12905"/>
    <cellStyle name="Comma 21 5 3 2 3 5 2" xfId="12906"/>
    <cellStyle name="Comma 21 5 3 2 3 5 3" xfId="12907"/>
    <cellStyle name="Comma 21 5 3 2 3 6" xfId="12908"/>
    <cellStyle name="Comma 21 5 3 2 3 7" xfId="12909"/>
    <cellStyle name="Comma 21 5 3 2 4" xfId="12910"/>
    <cellStyle name="Comma 21 5 3 2 4 2" xfId="12911"/>
    <cellStyle name="Comma 21 5 3 2 4 2 2" xfId="12912"/>
    <cellStyle name="Comma 21 5 3 2 4 2 3" xfId="12913"/>
    <cellStyle name="Comma 21 5 3 2 4 3" xfId="12914"/>
    <cellStyle name="Comma 21 5 3 2 4 3 2" xfId="12915"/>
    <cellStyle name="Comma 21 5 3 2 4 3 3" xfId="12916"/>
    <cellStyle name="Comma 21 5 3 2 4 4" xfId="12917"/>
    <cellStyle name="Comma 21 5 3 2 4 5" xfId="12918"/>
    <cellStyle name="Comma 21 5 3 2 5" xfId="12919"/>
    <cellStyle name="Comma 21 5 3 2 5 2" xfId="12920"/>
    <cellStyle name="Comma 21 5 3 2 5 2 2" xfId="12921"/>
    <cellStyle name="Comma 21 5 3 2 5 2 3" xfId="12922"/>
    <cellStyle name="Comma 21 5 3 2 5 3" xfId="12923"/>
    <cellStyle name="Comma 21 5 3 2 5 3 2" xfId="12924"/>
    <cellStyle name="Comma 21 5 3 2 5 3 3" xfId="12925"/>
    <cellStyle name="Comma 21 5 3 2 5 4" xfId="12926"/>
    <cellStyle name="Comma 21 5 3 2 5 5" xfId="12927"/>
    <cellStyle name="Comma 21 5 3 2 6" xfId="12928"/>
    <cellStyle name="Comma 21 5 3 2 6 2" xfId="12929"/>
    <cellStyle name="Comma 21 5 3 2 6 3" xfId="12930"/>
    <cellStyle name="Comma 21 5 3 2 7" xfId="12931"/>
    <cellStyle name="Comma 21 5 3 2 7 2" xfId="12932"/>
    <cellStyle name="Comma 21 5 3 2 7 3" xfId="12933"/>
    <cellStyle name="Comma 21 5 3 2 8" xfId="12934"/>
    <cellStyle name="Comma 21 5 3 2 9" xfId="12935"/>
    <cellStyle name="Comma 21 5 3 3" xfId="12936"/>
    <cellStyle name="Comma 21 5 3 3 2" xfId="12937"/>
    <cellStyle name="Comma 21 5 3 3 2 2" xfId="12938"/>
    <cellStyle name="Comma 21 5 3 3 2 2 2" xfId="12939"/>
    <cellStyle name="Comma 21 5 3 3 2 2 3" xfId="12940"/>
    <cellStyle name="Comma 21 5 3 3 2 3" xfId="12941"/>
    <cellStyle name="Comma 21 5 3 3 2 3 2" xfId="12942"/>
    <cellStyle name="Comma 21 5 3 3 2 3 3" xfId="12943"/>
    <cellStyle name="Comma 21 5 3 3 2 4" xfId="12944"/>
    <cellStyle name="Comma 21 5 3 3 2 5" xfId="12945"/>
    <cellStyle name="Comma 21 5 3 3 3" xfId="12946"/>
    <cellStyle name="Comma 21 5 3 3 3 2" xfId="12947"/>
    <cellStyle name="Comma 21 5 3 3 3 2 2" xfId="12948"/>
    <cellStyle name="Comma 21 5 3 3 3 2 3" xfId="12949"/>
    <cellStyle name="Comma 21 5 3 3 3 3" xfId="12950"/>
    <cellStyle name="Comma 21 5 3 3 3 3 2" xfId="12951"/>
    <cellStyle name="Comma 21 5 3 3 3 3 3" xfId="12952"/>
    <cellStyle name="Comma 21 5 3 3 3 4" xfId="12953"/>
    <cellStyle name="Comma 21 5 3 3 3 5" xfId="12954"/>
    <cellStyle name="Comma 21 5 3 3 4" xfId="12955"/>
    <cellStyle name="Comma 21 5 3 3 4 2" xfId="12956"/>
    <cellStyle name="Comma 21 5 3 3 4 3" xfId="12957"/>
    <cellStyle name="Comma 21 5 3 3 5" xfId="12958"/>
    <cellStyle name="Comma 21 5 3 3 5 2" xfId="12959"/>
    <cellStyle name="Comma 21 5 3 3 5 3" xfId="12960"/>
    <cellStyle name="Comma 21 5 3 3 6" xfId="12961"/>
    <cellStyle name="Comma 21 5 3 3 7" xfId="12962"/>
    <cellStyle name="Comma 21 5 3 4" xfId="12963"/>
    <cellStyle name="Comma 21 5 3 4 2" xfId="12964"/>
    <cellStyle name="Comma 21 5 3 4 2 2" xfId="12965"/>
    <cellStyle name="Comma 21 5 3 4 2 2 2" xfId="12966"/>
    <cellStyle name="Comma 21 5 3 4 2 2 3" xfId="12967"/>
    <cellStyle name="Comma 21 5 3 4 2 3" xfId="12968"/>
    <cellStyle name="Comma 21 5 3 4 2 3 2" xfId="12969"/>
    <cellStyle name="Comma 21 5 3 4 2 3 3" xfId="12970"/>
    <cellStyle name="Comma 21 5 3 4 2 4" xfId="12971"/>
    <cellStyle name="Comma 21 5 3 4 2 5" xfId="12972"/>
    <cellStyle name="Comma 21 5 3 4 3" xfId="12973"/>
    <cellStyle name="Comma 21 5 3 4 3 2" xfId="12974"/>
    <cellStyle name="Comma 21 5 3 4 3 2 2" xfId="12975"/>
    <cellStyle name="Comma 21 5 3 4 3 2 3" xfId="12976"/>
    <cellStyle name="Comma 21 5 3 4 3 3" xfId="12977"/>
    <cellStyle name="Comma 21 5 3 4 3 3 2" xfId="12978"/>
    <cellStyle name="Comma 21 5 3 4 3 3 3" xfId="12979"/>
    <cellStyle name="Comma 21 5 3 4 3 4" xfId="12980"/>
    <cellStyle name="Comma 21 5 3 4 3 5" xfId="12981"/>
    <cellStyle name="Comma 21 5 3 4 4" xfId="12982"/>
    <cellStyle name="Comma 21 5 3 4 4 2" xfId="12983"/>
    <cellStyle name="Comma 21 5 3 4 4 3" xfId="12984"/>
    <cellStyle name="Comma 21 5 3 4 5" xfId="12985"/>
    <cellStyle name="Comma 21 5 3 4 5 2" xfId="12986"/>
    <cellStyle name="Comma 21 5 3 4 5 3" xfId="12987"/>
    <cellStyle name="Comma 21 5 3 4 6" xfId="12988"/>
    <cellStyle name="Comma 21 5 3 4 7" xfId="12989"/>
    <cellStyle name="Comma 21 5 3 5" xfId="12990"/>
    <cellStyle name="Comma 21 5 3 5 2" xfId="12991"/>
    <cellStyle name="Comma 21 5 3 5 2 2" xfId="12992"/>
    <cellStyle name="Comma 21 5 3 5 2 3" xfId="12993"/>
    <cellStyle name="Comma 21 5 3 5 3" xfId="12994"/>
    <cellStyle name="Comma 21 5 3 5 3 2" xfId="12995"/>
    <cellStyle name="Comma 21 5 3 5 3 3" xfId="12996"/>
    <cellStyle name="Comma 21 5 3 5 4" xfId="12997"/>
    <cellStyle name="Comma 21 5 3 5 5" xfId="12998"/>
    <cellStyle name="Comma 21 5 3 6" xfId="12999"/>
    <cellStyle name="Comma 21 5 3 6 2" xfId="13000"/>
    <cellStyle name="Comma 21 5 3 6 2 2" xfId="13001"/>
    <cellStyle name="Comma 21 5 3 6 2 3" xfId="13002"/>
    <cellStyle name="Comma 21 5 3 6 3" xfId="13003"/>
    <cellStyle name="Comma 21 5 3 6 3 2" xfId="13004"/>
    <cellStyle name="Comma 21 5 3 6 3 3" xfId="13005"/>
    <cellStyle name="Comma 21 5 3 6 4" xfId="13006"/>
    <cellStyle name="Comma 21 5 3 6 5" xfId="13007"/>
    <cellStyle name="Comma 21 5 3 7" xfId="13008"/>
    <cellStyle name="Comma 21 5 3 7 2" xfId="13009"/>
    <cellStyle name="Comma 21 5 3 7 3" xfId="13010"/>
    <cellStyle name="Comma 21 5 3 8" xfId="13011"/>
    <cellStyle name="Comma 21 5 3 8 2" xfId="13012"/>
    <cellStyle name="Comma 21 5 3 8 3" xfId="13013"/>
    <cellStyle name="Comma 21 5 3 9" xfId="13014"/>
    <cellStyle name="Comma 21 5 4" xfId="13015"/>
    <cellStyle name="Comma 21 5 4 2" xfId="13016"/>
    <cellStyle name="Comma 21 5 4 2 2" xfId="13017"/>
    <cellStyle name="Comma 21 5 4 2 2 2" xfId="13018"/>
    <cellStyle name="Comma 21 5 4 2 2 2 2" xfId="13019"/>
    <cellStyle name="Comma 21 5 4 2 2 2 3" xfId="13020"/>
    <cellStyle name="Comma 21 5 4 2 2 3" xfId="13021"/>
    <cellStyle name="Comma 21 5 4 2 2 3 2" xfId="13022"/>
    <cellStyle name="Comma 21 5 4 2 2 3 3" xfId="13023"/>
    <cellStyle name="Comma 21 5 4 2 2 4" xfId="13024"/>
    <cellStyle name="Comma 21 5 4 2 2 5" xfId="13025"/>
    <cellStyle name="Comma 21 5 4 2 3" xfId="13026"/>
    <cellStyle name="Comma 21 5 4 2 3 2" xfId="13027"/>
    <cellStyle name="Comma 21 5 4 2 3 2 2" xfId="13028"/>
    <cellStyle name="Comma 21 5 4 2 3 2 3" xfId="13029"/>
    <cellStyle name="Comma 21 5 4 2 3 3" xfId="13030"/>
    <cellStyle name="Comma 21 5 4 2 3 3 2" xfId="13031"/>
    <cellStyle name="Comma 21 5 4 2 3 3 3" xfId="13032"/>
    <cellStyle name="Comma 21 5 4 2 3 4" xfId="13033"/>
    <cellStyle name="Comma 21 5 4 2 3 5" xfId="13034"/>
    <cellStyle name="Comma 21 5 4 2 4" xfId="13035"/>
    <cellStyle name="Comma 21 5 4 2 4 2" xfId="13036"/>
    <cellStyle name="Comma 21 5 4 2 4 3" xfId="13037"/>
    <cellStyle name="Comma 21 5 4 2 5" xfId="13038"/>
    <cellStyle name="Comma 21 5 4 2 5 2" xfId="13039"/>
    <cellStyle name="Comma 21 5 4 2 5 3" xfId="13040"/>
    <cellStyle name="Comma 21 5 4 2 6" xfId="13041"/>
    <cellStyle name="Comma 21 5 4 2 7" xfId="13042"/>
    <cellStyle name="Comma 21 5 4 3" xfId="13043"/>
    <cellStyle name="Comma 21 5 4 3 2" xfId="13044"/>
    <cellStyle name="Comma 21 5 4 3 2 2" xfId="13045"/>
    <cellStyle name="Comma 21 5 4 3 2 2 2" xfId="13046"/>
    <cellStyle name="Comma 21 5 4 3 2 2 3" xfId="13047"/>
    <cellStyle name="Comma 21 5 4 3 2 3" xfId="13048"/>
    <cellStyle name="Comma 21 5 4 3 2 3 2" xfId="13049"/>
    <cellStyle name="Comma 21 5 4 3 2 3 3" xfId="13050"/>
    <cellStyle name="Comma 21 5 4 3 2 4" xfId="13051"/>
    <cellStyle name="Comma 21 5 4 3 2 5" xfId="13052"/>
    <cellStyle name="Comma 21 5 4 3 3" xfId="13053"/>
    <cellStyle name="Comma 21 5 4 3 3 2" xfId="13054"/>
    <cellStyle name="Comma 21 5 4 3 3 2 2" xfId="13055"/>
    <cellStyle name="Comma 21 5 4 3 3 2 3" xfId="13056"/>
    <cellStyle name="Comma 21 5 4 3 3 3" xfId="13057"/>
    <cellStyle name="Comma 21 5 4 3 3 3 2" xfId="13058"/>
    <cellStyle name="Comma 21 5 4 3 3 3 3" xfId="13059"/>
    <cellStyle name="Comma 21 5 4 3 3 4" xfId="13060"/>
    <cellStyle name="Comma 21 5 4 3 3 5" xfId="13061"/>
    <cellStyle name="Comma 21 5 4 3 4" xfId="13062"/>
    <cellStyle name="Comma 21 5 4 3 4 2" xfId="13063"/>
    <cellStyle name="Comma 21 5 4 3 4 3" xfId="13064"/>
    <cellStyle name="Comma 21 5 4 3 5" xfId="13065"/>
    <cellStyle name="Comma 21 5 4 3 5 2" xfId="13066"/>
    <cellStyle name="Comma 21 5 4 3 5 3" xfId="13067"/>
    <cellStyle name="Comma 21 5 4 3 6" xfId="13068"/>
    <cellStyle name="Comma 21 5 4 3 7" xfId="13069"/>
    <cellStyle name="Comma 21 5 4 4" xfId="13070"/>
    <cellStyle name="Comma 21 5 4 4 2" xfId="13071"/>
    <cellStyle name="Comma 21 5 4 4 2 2" xfId="13072"/>
    <cellStyle name="Comma 21 5 4 4 2 3" xfId="13073"/>
    <cellStyle name="Comma 21 5 4 4 3" xfId="13074"/>
    <cellStyle name="Comma 21 5 4 4 3 2" xfId="13075"/>
    <cellStyle name="Comma 21 5 4 4 3 3" xfId="13076"/>
    <cellStyle name="Comma 21 5 4 4 4" xfId="13077"/>
    <cellStyle name="Comma 21 5 4 4 5" xfId="13078"/>
    <cellStyle name="Comma 21 5 4 5" xfId="13079"/>
    <cellStyle name="Comma 21 5 4 5 2" xfId="13080"/>
    <cellStyle name="Comma 21 5 4 5 2 2" xfId="13081"/>
    <cellStyle name="Comma 21 5 4 5 2 3" xfId="13082"/>
    <cellStyle name="Comma 21 5 4 5 3" xfId="13083"/>
    <cellStyle name="Comma 21 5 4 5 3 2" xfId="13084"/>
    <cellStyle name="Comma 21 5 4 5 3 3" xfId="13085"/>
    <cellStyle name="Comma 21 5 4 5 4" xfId="13086"/>
    <cellStyle name="Comma 21 5 4 5 5" xfId="13087"/>
    <cellStyle name="Comma 21 5 4 6" xfId="13088"/>
    <cellStyle name="Comma 21 5 4 6 2" xfId="13089"/>
    <cellStyle name="Comma 21 5 4 6 3" xfId="13090"/>
    <cellStyle name="Comma 21 5 4 7" xfId="13091"/>
    <cellStyle name="Comma 21 5 4 7 2" xfId="13092"/>
    <cellStyle name="Comma 21 5 4 7 3" xfId="13093"/>
    <cellStyle name="Comma 21 5 4 8" xfId="13094"/>
    <cellStyle name="Comma 21 5 4 9" xfId="13095"/>
    <cellStyle name="Comma 21 5 5" xfId="13096"/>
    <cellStyle name="Comma 21 5 5 2" xfId="13097"/>
    <cellStyle name="Comma 21 5 5 2 2" xfId="13098"/>
    <cellStyle name="Comma 21 5 5 2 2 2" xfId="13099"/>
    <cellStyle name="Comma 21 5 5 2 2 3" xfId="13100"/>
    <cellStyle name="Comma 21 5 5 2 3" xfId="13101"/>
    <cellStyle name="Comma 21 5 5 2 3 2" xfId="13102"/>
    <cellStyle name="Comma 21 5 5 2 3 3" xfId="13103"/>
    <cellStyle name="Comma 21 5 5 2 4" xfId="13104"/>
    <cellStyle name="Comma 21 5 5 2 5" xfId="13105"/>
    <cellStyle name="Comma 21 5 5 3" xfId="13106"/>
    <cellStyle name="Comma 21 5 5 3 2" xfId="13107"/>
    <cellStyle name="Comma 21 5 5 3 2 2" xfId="13108"/>
    <cellStyle name="Comma 21 5 5 3 2 3" xfId="13109"/>
    <cellStyle name="Comma 21 5 5 3 3" xfId="13110"/>
    <cellStyle name="Comma 21 5 5 3 3 2" xfId="13111"/>
    <cellStyle name="Comma 21 5 5 3 3 3" xfId="13112"/>
    <cellStyle name="Comma 21 5 5 3 4" xfId="13113"/>
    <cellStyle name="Comma 21 5 5 3 5" xfId="13114"/>
    <cellStyle name="Comma 21 5 5 4" xfId="13115"/>
    <cellStyle name="Comma 21 5 5 4 2" xfId="13116"/>
    <cellStyle name="Comma 21 5 5 4 3" xfId="13117"/>
    <cellStyle name="Comma 21 5 5 5" xfId="13118"/>
    <cellStyle name="Comma 21 5 5 5 2" xfId="13119"/>
    <cellStyle name="Comma 21 5 5 5 3" xfId="13120"/>
    <cellStyle name="Comma 21 5 5 6" xfId="13121"/>
    <cellStyle name="Comma 21 5 5 7" xfId="13122"/>
    <cellStyle name="Comma 21 5 6" xfId="13123"/>
    <cellStyle name="Comma 21 5 6 2" xfId="13124"/>
    <cellStyle name="Comma 21 5 6 2 2" xfId="13125"/>
    <cellStyle name="Comma 21 5 6 2 2 2" xfId="13126"/>
    <cellStyle name="Comma 21 5 6 2 2 3" xfId="13127"/>
    <cellStyle name="Comma 21 5 6 2 3" xfId="13128"/>
    <cellStyle name="Comma 21 5 6 2 3 2" xfId="13129"/>
    <cellStyle name="Comma 21 5 6 2 3 3" xfId="13130"/>
    <cellStyle name="Comma 21 5 6 2 4" xfId="13131"/>
    <cellStyle name="Comma 21 5 6 2 5" xfId="13132"/>
    <cellStyle name="Comma 21 5 6 3" xfId="13133"/>
    <cellStyle name="Comma 21 5 6 3 2" xfId="13134"/>
    <cellStyle name="Comma 21 5 6 3 2 2" xfId="13135"/>
    <cellStyle name="Comma 21 5 6 3 2 3" xfId="13136"/>
    <cellStyle name="Comma 21 5 6 3 3" xfId="13137"/>
    <cellStyle name="Comma 21 5 6 3 3 2" xfId="13138"/>
    <cellStyle name="Comma 21 5 6 3 3 3" xfId="13139"/>
    <cellStyle name="Comma 21 5 6 3 4" xfId="13140"/>
    <cellStyle name="Comma 21 5 6 3 5" xfId="13141"/>
    <cellStyle name="Comma 21 5 6 4" xfId="13142"/>
    <cellStyle name="Comma 21 5 6 4 2" xfId="13143"/>
    <cellStyle name="Comma 21 5 6 4 3" xfId="13144"/>
    <cellStyle name="Comma 21 5 6 5" xfId="13145"/>
    <cellStyle name="Comma 21 5 6 5 2" xfId="13146"/>
    <cellStyle name="Comma 21 5 6 5 3" xfId="13147"/>
    <cellStyle name="Comma 21 5 6 6" xfId="13148"/>
    <cellStyle name="Comma 21 5 6 7" xfId="13149"/>
    <cellStyle name="Comma 21 5 7" xfId="13150"/>
    <cellStyle name="Comma 21 5 7 2" xfId="13151"/>
    <cellStyle name="Comma 21 5 7 2 2" xfId="13152"/>
    <cellStyle name="Comma 21 5 7 2 3" xfId="13153"/>
    <cellStyle name="Comma 21 5 7 3" xfId="13154"/>
    <cellStyle name="Comma 21 5 7 3 2" xfId="13155"/>
    <cellStyle name="Comma 21 5 7 3 3" xfId="13156"/>
    <cellStyle name="Comma 21 5 7 4" xfId="13157"/>
    <cellStyle name="Comma 21 5 7 5" xfId="13158"/>
    <cellStyle name="Comma 21 5 8" xfId="13159"/>
    <cellStyle name="Comma 21 5 8 2" xfId="13160"/>
    <cellStyle name="Comma 21 5 8 2 2" xfId="13161"/>
    <cellStyle name="Comma 21 5 8 2 3" xfId="13162"/>
    <cellStyle name="Comma 21 5 8 3" xfId="13163"/>
    <cellStyle name="Comma 21 5 8 3 2" xfId="13164"/>
    <cellStyle name="Comma 21 5 8 3 3" xfId="13165"/>
    <cellStyle name="Comma 21 5 8 4" xfId="13166"/>
    <cellStyle name="Comma 21 5 8 5" xfId="13167"/>
    <cellStyle name="Comma 21 5 9" xfId="13168"/>
    <cellStyle name="Comma 21 5 9 2" xfId="13169"/>
    <cellStyle name="Comma 21 5 9 3" xfId="13170"/>
    <cellStyle name="Comma 21 6" xfId="13171"/>
    <cellStyle name="Comma 21 6 10" xfId="13172"/>
    <cellStyle name="Comma 21 6 2" xfId="13173"/>
    <cellStyle name="Comma 21 6 2 2" xfId="13174"/>
    <cellStyle name="Comma 21 6 2 2 2" xfId="13175"/>
    <cellStyle name="Comma 21 6 2 2 2 2" xfId="13176"/>
    <cellStyle name="Comma 21 6 2 2 2 2 2" xfId="13177"/>
    <cellStyle name="Comma 21 6 2 2 2 2 3" xfId="13178"/>
    <cellStyle name="Comma 21 6 2 2 2 3" xfId="13179"/>
    <cellStyle name="Comma 21 6 2 2 2 3 2" xfId="13180"/>
    <cellStyle name="Comma 21 6 2 2 2 3 3" xfId="13181"/>
    <cellStyle name="Comma 21 6 2 2 2 4" xfId="13182"/>
    <cellStyle name="Comma 21 6 2 2 2 5" xfId="13183"/>
    <cellStyle name="Comma 21 6 2 2 3" xfId="13184"/>
    <cellStyle name="Comma 21 6 2 2 3 2" xfId="13185"/>
    <cellStyle name="Comma 21 6 2 2 3 2 2" xfId="13186"/>
    <cellStyle name="Comma 21 6 2 2 3 2 3" xfId="13187"/>
    <cellStyle name="Comma 21 6 2 2 3 3" xfId="13188"/>
    <cellStyle name="Comma 21 6 2 2 3 3 2" xfId="13189"/>
    <cellStyle name="Comma 21 6 2 2 3 3 3" xfId="13190"/>
    <cellStyle name="Comma 21 6 2 2 3 4" xfId="13191"/>
    <cellStyle name="Comma 21 6 2 2 3 5" xfId="13192"/>
    <cellStyle name="Comma 21 6 2 2 4" xfId="13193"/>
    <cellStyle name="Comma 21 6 2 2 4 2" xfId="13194"/>
    <cellStyle name="Comma 21 6 2 2 4 3" xfId="13195"/>
    <cellStyle name="Comma 21 6 2 2 5" xfId="13196"/>
    <cellStyle name="Comma 21 6 2 2 5 2" xfId="13197"/>
    <cellStyle name="Comma 21 6 2 2 5 3" xfId="13198"/>
    <cellStyle name="Comma 21 6 2 2 6" xfId="13199"/>
    <cellStyle name="Comma 21 6 2 2 7" xfId="13200"/>
    <cellStyle name="Comma 21 6 2 3" xfId="13201"/>
    <cellStyle name="Comma 21 6 2 3 2" xfId="13202"/>
    <cellStyle name="Comma 21 6 2 3 2 2" xfId="13203"/>
    <cellStyle name="Comma 21 6 2 3 2 2 2" xfId="13204"/>
    <cellStyle name="Comma 21 6 2 3 2 2 3" xfId="13205"/>
    <cellStyle name="Comma 21 6 2 3 2 3" xfId="13206"/>
    <cellStyle name="Comma 21 6 2 3 2 3 2" xfId="13207"/>
    <cellStyle name="Comma 21 6 2 3 2 3 3" xfId="13208"/>
    <cellStyle name="Comma 21 6 2 3 2 4" xfId="13209"/>
    <cellStyle name="Comma 21 6 2 3 2 5" xfId="13210"/>
    <cellStyle name="Comma 21 6 2 3 3" xfId="13211"/>
    <cellStyle name="Comma 21 6 2 3 3 2" xfId="13212"/>
    <cellStyle name="Comma 21 6 2 3 3 2 2" xfId="13213"/>
    <cellStyle name="Comma 21 6 2 3 3 2 3" xfId="13214"/>
    <cellStyle name="Comma 21 6 2 3 3 3" xfId="13215"/>
    <cellStyle name="Comma 21 6 2 3 3 3 2" xfId="13216"/>
    <cellStyle name="Comma 21 6 2 3 3 3 3" xfId="13217"/>
    <cellStyle name="Comma 21 6 2 3 3 4" xfId="13218"/>
    <cellStyle name="Comma 21 6 2 3 3 5" xfId="13219"/>
    <cellStyle name="Comma 21 6 2 3 4" xfId="13220"/>
    <cellStyle name="Comma 21 6 2 3 4 2" xfId="13221"/>
    <cellStyle name="Comma 21 6 2 3 4 3" xfId="13222"/>
    <cellStyle name="Comma 21 6 2 3 5" xfId="13223"/>
    <cellStyle name="Comma 21 6 2 3 5 2" xfId="13224"/>
    <cellStyle name="Comma 21 6 2 3 5 3" xfId="13225"/>
    <cellStyle name="Comma 21 6 2 3 6" xfId="13226"/>
    <cellStyle name="Comma 21 6 2 3 7" xfId="13227"/>
    <cellStyle name="Comma 21 6 2 4" xfId="13228"/>
    <cellStyle name="Comma 21 6 2 4 2" xfId="13229"/>
    <cellStyle name="Comma 21 6 2 4 2 2" xfId="13230"/>
    <cellStyle name="Comma 21 6 2 4 2 3" xfId="13231"/>
    <cellStyle name="Comma 21 6 2 4 3" xfId="13232"/>
    <cellStyle name="Comma 21 6 2 4 3 2" xfId="13233"/>
    <cellStyle name="Comma 21 6 2 4 3 3" xfId="13234"/>
    <cellStyle name="Comma 21 6 2 4 4" xfId="13235"/>
    <cellStyle name="Comma 21 6 2 4 5" xfId="13236"/>
    <cellStyle name="Comma 21 6 2 5" xfId="13237"/>
    <cellStyle name="Comma 21 6 2 5 2" xfId="13238"/>
    <cellStyle name="Comma 21 6 2 5 2 2" xfId="13239"/>
    <cellStyle name="Comma 21 6 2 5 2 3" xfId="13240"/>
    <cellStyle name="Comma 21 6 2 5 3" xfId="13241"/>
    <cellStyle name="Comma 21 6 2 5 3 2" xfId="13242"/>
    <cellStyle name="Comma 21 6 2 5 3 3" xfId="13243"/>
    <cellStyle name="Comma 21 6 2 5 4" xfId="13244"/>
    <cellStyle name="Comma 21 6 2 5 5" xfId="13245"/>
    <cellStyle name="Comma 21 6 2 6" xfId="13246"/>
    <cellStyle name="Comma 21 6 2 6 2" xfId="13247"/>
    <cellStyle name="Comma 21 6 2 6 3" xfId="13248"/>
    <cellStyle name="Comma 21 6 2 7" xfId="13249"/>
    <cellStyle name="Comma 21 6 2 7 2" xfId="13250"/>
    <cellStyle name="Comma 21 6 2 7 3" xfId="13251"/>
    <cellStyle name="Comma 21 6 2 8" xfId="13252"/>
    <cellStyle name="Comma 21 6 2 9" xfId="13253"/>
    <cellStyle name="Comma 21 6 3" xfId="13254"/>
    <cellStyle name="Comma 21 6 3 2" xfId="13255"/>
    <cellStyle name="Comma 21 6 3 2 2" xfId="13256"/>
    <cellStyle name="Comma 21 6 3 2 2 2" xfId="13257"/>
    <cellStyle name="Comma 21 6 3 2 2 3" xfId="13258"/>
    <cellStyle name="Comma 21 6 3 2 3" xfId="13259"/>
    <cellStyle name="Comma 21 6 3 2 3 2" xfId="13260"/>
    <cellStyle name="Comma 21 6 3 2 3 3" xfId="13261"/>
    <cellStyle name="Comma 21 6 3 2 4" xfId="13262"/>
    <cellStyle name="Comma 21 6 3 2 5" xfId="13263"/>
    <cellStyle name="Comma 21 6 3 3" xfId="13264"/>
    <cellStyle name="Comma 21 6 3 3 2" xfId="13265"/>
    <cellStyle name="Comma 21 6 3 3 2 2" xfId="13266"/>
    <cellStyle name="Comma 21 6 3 3 2 3" xfId="13267"/>
    <cellStyle name="Comma 21 6 3 3 3" xfId="13268"/>
    <cellStyle name="Comma 21 6 3 3 3 2" xfId="13269"/>
    <cellStyle name="Comma 21 6 3 3 3 3" xfId="13270"/>
    <cellStyle name="Comma 21 6 3 3 4" xfId="13271"/>
    <cellStyle name="Comma 21 6 3 3 5" xfId="13272"/>
    <cellStyle name="Comma 21 6 3 4" xfId="13273"/>
    <cellStyle name="Comma 21 6 3 4 2" xfId="13274"/>
    <cellStyle name="Comma 21 6 3 4 3" xfId="13275"/>
    <cellStyle name="Comma 21 6 3 5" xfId="13276"/>
    <cellStyle name="Comma 21 6 3 5 2" xfId="13277"/>
    <cellStyle name="Comma 21 6 3 5 3" xfId="13278"/>
    <cellStyle name="Comma 21 6 3 6" xfId="13279"/>
    <cellStyle name="Comma 21 6 3 7" xfId="13280"/>
    <cellStyle name="Comma 21 6 4" xfId="13281"/>
    <cellStyle name="Comma 21 6 4 2" xfId="13282"/>
    <cellStyle name="Comma 21 6 4 2 2" xfId="13283"/>
    <cellStyle name="Comma 21 6 4 2 2 2" xfId="13284"/>
    <cellStyle name="Comma 21 6 4 2 2 3" xfId="13285"/>
    <cellStyle name="Comma 21 6 4 2 3" xfId="13286"/>
    <cellStyle name="Comma 21 6 4 2 3 2" xfId="13287"/>
    <cellStyle name="Comma 21 6 4 2 3 3" xfId="13288"/>
    <cellStyle name="Comma 21 6 4 2 4" xfId="13289"/>
    <cellStyle name="Comma 21 6 4 2 5" xfId="13290"/>
    <cellStyle name="Comma 21 6 4 3" xfId="13291"/>
    <cellStyle name="Comma 21 6 4 3 2" xfId="13292"/>
    <cellStyle name="Comma 21 6 4 3 2 2" xfId="13293"/>
    <cellStyle name="Comma 21 6 4 3 2 3" xfId="13294"/>
    <cellStyle name="Comma 21 6 4 3 3" xfId="13295"/>
    <cellStyle name="Comma 21 6 4 3 3 2" xfId="13296"/>
    <cellStyle name="Comma 21 6 4 3 3 3" xfId="13297"/>
    <cellStyle name="Comma 21 6 4 3 4" xfId="13298"/>
    <cellStyle name="Comma 21 6 4 3 5" xfId="13299"/>
    <cellStyle name="Comma 21 6 4 4" xfId="13300"/>
    <cellStyle name="Comma 21 6 4 4 2" xfId="13301"/>
    <cellStyle name="Comma 21 6 4 4 3" xfId="13302"/>
    <cellStyle name="Comma 21 6 4 5" xfId="13303"/>
    <cellStyle name="Comma 21 6 4 5 2" xfId="13304"/>
    <cellStyle name="Comma 21 6 4 5 3" xfId="13305"/>
    <cellStyle name="Comma 21 6 4 6" xfId="13306"/>
    <cellStyle name="Comma 21 6 4 7" xfId="13307"/>
    <cellStyle name="Comma 21 6 5" xfId="13308"/>
    <cellStyle name="Comma 21 6 5 2" xfId="13309"/>
    <cellStyle name="Comma 21 6 5 2 2" xfId="13310"/>
    <cellStyle name="Comma 21 6 5 2 3" xfId="13311"/>
    <cellStyle name="Comma 21 6 5 3" xfId="13312"/>
    <cellStyle name="Comma 21 6 5 3 2" xfId="13313"/>
    <cellStyle name="Comma 21 6 5 3 3" xfId="13314"/>
    <cellStyle name="Comma 21 6 5 4" xfId="13315"/>
    <cellStyle name="Comma 21 6 5 5" xfId="13316"/>
    <cellStyle name="Comma 21 6 6" xfId="13317"/>
    <cellStyle name="Comma 21 6 6 2" xfId="13318"/>
    <cellStyle name="Comma 21 6 6 2 2" xfId="13319"/>
    <cellStyle name="Comma 21 6 6 2 3" xfId="13320"/>
    <cellStyle name="Comma 21 6 6 3" xfId="13321"/>
    <cellStyle name="Comma 21 6 6 3 2" xfId="13322"/>
    <cellStyle name="Comma 21 6 6 3 3" xfId="13323"/>
    <cellStyle name="Comma 21 6 6 4" xfId="13324"/>
    <cellStyle name="Comma 21 6 6 5" xfId="13325"/>
    <cellStyle name="Comma 21 6 7" xfId="13326"/>
    <cellStyle name="Comma 21 6 7 2" xfId="13327"/>
    <cellStyle name="Comma 21 6 7 3" xfId="13328"/>
    <cellStyle name="Comma 21 6 8" xfId="13329"/>
    <cellStyle name="Comma 21 6 8 2" xfId="13330"/>
    <cellStyle name="Comma 21 6 8 3" xfId="13331"/>
    <cellStyle name="Comma 21 6 9" xfId="13332"/>
    <cellStyle name="Comma 21 7" xfId="13333"/>
    <cellStyle name="Comma 21 7 2" xfId="13334"/>
    <cellStyle name="Comma 21 7 2 2" xfId="13335"/>
    <cellStyle name="Comma 21 7 2 2 2" xfId="13336"/>
    <cellStyle name="Comma 21 7 2 2 2 2" xfId="13337"/>
    <cellStyle name="Comma 21 7 2 2 2 3" xfId="13338"/>
    <cellStyle name="Comma 21 7 2 2 3" xfId="13339"/>
    <cellStyle name="Comma 21 7 2 2 3 2" xfId="13340"/>
    <cellStyle name="Comma 21 7 2 2 3 3" xfId="13341"/>
    <cellStyle name="Comma 21 7 2 2 4" xfId="13342"/>
    <cellStyle name="Comma 21 7 2 2 5" xfId="13343"/>
    <cellStyle name="Comma 21 7 2 3" xfId="13344"/>
    <cellStyle name="Comma 21 7 2 3 2" xfId="13345"/>
    <cellStyle name="Comma 21 7 2 3 2 2" xfId="13346"/>
    <cellStyle name="Comma 21 7 2 3 2 3" xfId="13347"/>
    <cellStyle name="Comma 21 7 2 3 3" xfId="13348"/>
    <cellStyle name="Comma 21 7 2 3 3 2" xfId="13349"/>
    <cellStyle name="Comma 21 7 2 3 3 3" xfId="13350"/>
    <cellStyle name="Comma 21 7 2 3 4" xfId="13351"/>
    <cellStyle name="Comma 21 7 2 3 5" xfId="13352"/>
    <cellStyle name="Comma 21 7 2 4" xfId="13353"/>
    <cellStyle name="Comma 21 7 2 4 2" xfId="13354"/>
    <cellStyle name="Comma 21 7 2 4 3" xfId="13355"/>
    <cellStyle name="Comma 21 7 2 5" xfId="13356"/>
    <cellStyle name="Comma 21 7 2 5 2" xfId="13357"/>
    <cellStyle name="Comma 21 7 2 5 3" xfId="13358"/>
    <cellStyle name="Comma 21 7 2 6" xfId="13359"/>
    <cellStyle name="Comma 21 7 2 7" xfId="13360"/>
    <cellStyle name="Comma 21 7 3" xfId="13361"/>
    <cellStyle name="Comma 21 7 3 2" xfId="13362"/>
    <cellStyle name="Comma 21 7 3 2 2" xfId="13363"/>
    <cellStyle name="Comma 21 7 3 2 2 2" xfId="13364"/>
    <cellStyle name="Comma 21 7 3 2 2 3" xfId="13365"/>
    <cellStyle name="Comma 21 7 3 2 3" xfId="13366"/>
    <cellStyle name="Comma 21 7 3 2 3 2" xfId="13367"/>
    <cellStyle name="Comma 21 7 3 2 3 3" xfId="13368"/>
    <cellStyle name="Comma 21 7 3 2 4" xfId="13369"/>
    <cellStyle name="Comma 21 7 3 2 5" xfId="13370"/>
    <cellStyle name="Comma 21 7 3 3" xfId="13371"/>
    <cellStyle name="Comma 21 7 3 3 2" xfId="13372"/>
    <cellStyle name="Comma 21 7 3 3 2 2" xfId="13373"/>
    <cellStyle name="Comma 21 7 3 3 2 3" xfId="13374"/>
    <cellStyle name="Comma 21 7 3 3 3" xfId="13375"/>
    <cellStyle name="Comma 21 7 3 3 3 2" xfId="13376"/>
    <cellStyle name="Comma 21 7 3 3 3 3" xfId="13377"/>
    <cellStyle name="Comma 21 7 3 3 4" xfId="13378"/>
    <cellStyle name="Comma 21 7 3 3 5" xfId="13379"/>
    <cellStyle name="Comma 21 7 3 4" xfId="13380"/>
    <cellStyle name="Comma 21 7 3 4 2" xfId="13381"/>
    <cellStyle name="Comma 21 7 3 4 3" xfId="13382"/>
    <cellStyle name="Comma 21 7 3 5" xfId="13383"/>
    <cellStyle name="Comma 21 7 3 5 2" xfId="13384"/>
    <cellStyle name="Comma 21 7 3 5 3" xfId="13385"/>
    <cellStyle name="Comma 21 7 3 6" xfId="13386"/>
    <cellStyle name="Comma 21 7 3 7" xfId="13387"/>
    <cellStyle name="Comma 21 7 4" xfId="13388"/>
    <cellStyle name="Comma 21 7 4 2" xfId="13389"/>
    <cellStyle name="Comma 21 7 4 2 2" xfId="13390"/>
    <cellStyle name="Comma 21 7 4 2 3" xfId="13391"/>
    <cellStyle name="Comma 21 7 4 3" xfId="13392"/>
    <cellStyle name="Comma 21 7 4 3 2" xfId="13393"/>
    <cellStyle name="Comma 21 7 4 3 3" xfId="13394"/>
    <cellStyle name="Comma 21 7 4 4" xfId="13395"/>
    <cellStyle name="Comma 21 7 4 5" xfId="13396"/>
    <cellStyle name="Comma 21 7 5" xfId="13397"/>
    <cellStyle name="Comma 21 7 5 2" xfId="13398"/>
    <cellStyle name="Comma 21 7 5 2 2" xfId="13399"/>
    <cellStyle name="Comma 21 7 5 2 3" xfId="13400"/>
    <cellStyle name="Comma 21 7 5 3" xfId="13401"/>
    <cellStyle name="Comma 21 7 5 3 2" xfId="13402"/>
    <cellStyle name="Comma 21 7 5 3 3" xfId="13403"/>
    <cellStyle name="Comma 21 7 5 4" xfId="13404"/>
    <cellStyle name="Comma 21 7 5 5" xfId="13405"/>
    <cellStyle name="Comma 21 7 6" xfId="13406"/>
    <cellStyle name="Comma 21 7 6 2" xfId="13407"/>
    <cellStyle name="Comma 21 7 6 3" xfId="13408"/>
    <cellStyle name="Comma 21 7 7" xfId="13409"/>
    <cellStyle name="Comma 21 7 7 2" xfId="13410"/>
    <cellStyle name="Comma 21 7 7 3" xfId="13411"/>
    <cellStyle name="Comma 21 7 8" xfId="13412"/>
    <cellStyle name="Comma 21 7 9" xfId="13413"/>
    <cellStyle name="Comma 22" xfId="13414"/>
    <cellStyle name="Comma 22 2" xfId="13415"/>
    <cellStyle name="Comma 22 3" xfId="13416"/>
    <cellStyle name="Comma 23" xfId="13417"/>
    <cellStyle name="Comma 23 2" xfId="13418"/>
    <cellStyle name="Comma 23 2 2" xfId="13419"/>
    <cellStyle name="Comma 23 3" xfId="13420"/>
    <cellStyle name="Comma 24" xfId="13421"/>
    <cellStyle name="Comma 24 2" xfId="13422"/>
    <cellStyle name="Comma 25" xfId="13423"/>
    <cellStyle name="Comma 25 2" xfId="13424"/>
    <cellStyle name="Comma 26" xfId="13425"/>
    <cellStyle name="Comma 26 2" xfId="13426"/>
    <cellStyle name="Comma 27" xfId="13427"/>
    <cellStyle name="Comma 27 2" xfId="13428"/>
    <cellStyle name="Comma 28" xfId="13429"/>
    <cellStyle name="Comma 28 2" xfId="13430"/>
    <cellStyle name="Comma 28 3" xfId="13431"/>
    <cellStyle name="Comma 28 4" xfId="13432"/>
    <cellStyle name="Comma 29" xfId="13433"/>
    <cellStyle name="Comma 29 2" xfId="13434"/>
    <cellStyle name="Comma 29 2 10" xfId="13435"/>
    <cellStyle name="Comma 29 2 11" xfId="13436"/>
    <cellStyle name="Comma 29 2 2" xfId="7"/>
    <cellStyle name="Comma 29 2 2 2" xfId="13437"/>
    <cellStyle name="Comma 29 2 2 2 2" xfId="13438"/>
    <cellStyle name="Comma 29 2 2 2 2 2" xfId="13439"/>
    <cellStyle name="Comma 29 2 2 2 2 2 2" xfId="13440"/>
    <cellStyle name="Comma 29 2 2 2 2 2 3" xfId="13441"/>
    <cellStyle name="Comma 29 2 2 2 2 3" xfId="13442"/>
    <cellStyle name="Comma 29 2 2 2 2 3 2" xfId="13443"/>
    <cellStyle name="Comma 29 2 2 2 2 3 3" xfId="13444"/>
    <cellStyle name="Comma 29 2 2 2 2 4" xfId="13445"/>
    <cellStyle name="Comma 29 2 2 2 2 5" xfId="13446"/>
    <cellStyle name="Comma 29 2 2 2 3" xfId="13447"/>
    <cellStyle name="Comma 29 2 2 2 3 2" xfId="13448"/>
    <cellStyle name="Comma 29 2 2 2 3 2 2" xfId="13449"/>
    <cellStyle name="Comma 29 2 2 2 3 2 3" xfId="13450"/>
    <cellStyle name="Comma 29 2 2 2 3 3" xfId="13451"/>
    <cellStyle name="Comma 29 2 2 2 3 3 2" xfId="13452"/>
    <cellStyle name="Comma 29 2 2 2 3 3 3" xfId="13453"/>
    <cellStyle name="Comma 29 2 2 2 3 4" xfId="13454"/>
    <cellStyle name="Comma 29 2 2 2 3 5" xfId="13455"/>
    <cellStyle name="Comma 29 2 2 2 4" xfId="13456"/>
    <cellStyle name="Comma 29 2 2 2 4 2" xfId="13457"/>
    <cellStyle name="Comma 29 2 2 2 4 3" xfId="13458"/>
    <cellStyle name="Comma 29 2 2 2 5" xfId="13459"/>
    <cellStyle name="Comma 29 2 2 2 5 2" xfId="13460"/>
    <cellStyle name="Comma 29 2 2 2 5 3" xfId="13461"/>
    <cellStyle name="Comma 29 2 2 2 6" xfId="13462"/>
    <cellStyle name="Comma 29 2 2 2 7" xfId="13463"/>
    <cellStyle name="Comma 29 2 2 3" xfId="13464"/>
    <cellStyle name="Comma 29 2 2 3 2" xfId="13465"/>
    <cellStyle name="Comma 29 2 2 3 2 2" xfId="13466"/>
    <cellStyle name="Comma 29 2 2 3 2 2 2" xfId="13467"/>
    <cellStyle name="Comma 29 2 2 3 2 2 3" xfId="13468"/>
    <cellStyle name="Comma 29 2 2 3 2 3" xfId="13469"/>
    <cellStyle name="Comma 29 2 2 3 2 3 2" xfId="13470"/>
    <cellStyle name="Comma 29 2 2 3 2 3 3" xfId="13471"/>
    <cellStyle name="Comma 29 2 2 3 2 4" xfId="13472"/>
    <cellStyle name="Comma 29 2 2 3 2 5" xfId="13473"/>
    <cellStyle name="Comma 29 2 2 3 3" xfId="13474"/>
    <cellStyle name="Comma 29 2 2 3 3 2" xfId="13475"/>
    <cellStyle name="Comma 29 2 2 3 3 2 2" xfId="13476"/>
    <cellStyle name="Comma 29 2 2 3 3 2 3" xfId="13477"/>
    <cellStyle name="Comma 29 2 2 3 3 3" xfId="13478"/>
    <cellStyle name="Comma 29 2 2 3 3 3 2" xfId="13479"/>
    <cellStyle name="Comma 29 2 2 3 3 3 3" xfId="13480"/>
    <cellStyle name="Comma 29 2 2 3 3 4" xfId="13481"/>
    <cellStyle name="Comma 29 2 2 3 3 5" xfId="13482"/>
    <cellStyle name="Comma 29 2 2 3 4" xfId="13483"/>
    <cellStyle name="Comma 29 2 2 3 4 2" xfId="13484"/>
    <cellStyle name="Comma 29 2 2 3 4 3" xfId="13485"/>
    <cellStyle name="Comma 29 2 2 3 5" xfId="13486"/>
    <cellStyle name="Comma 29 2 2 3 5 2" xfId="13487"/>
    <cellStyle name="Comma 29 2 2 3 5 3" xfId="13488"/>
    <cellStyle name="Comma 29 2 2 3 6" xfId="13489"/>
    <cellStyle name="Comma 29 2 2 3 7" xfId="13490"/>
    <cellStyle name="Comma 29 2 2 4" xfId="13491"/>
    <cellStyle name="Comma 29 2 2 4 2" xfId="13492"/>
    <cellStyle name="Comma 29 2 2 4 2 2" xfId="13493"/>
    <cellStyle name="Comma 29 2 2 4 2 3" xfId="13494"/>
    <cellStyle name="Comma 29 2 2 4 3" xfId="13495"/>
    <cellStyle name="Comma 29 2 2 4 3 2" xfId="13496"/>
    <cellStyle name="Comma 29 2 2 4 3 3" xfId="13497"/>
    <cellStyle name="Comma 29 2 2 4 4" xfId="13498"/>
    <cellStyle name="Comma 29 2 2 4 5" xfId="13499"/>
    <cellStyle name="Comma 29 2 2 5" xfId="13500"/>
    <cellStyle name="Comma 29 2 2 5 2" xfId="13501"/>
    <cellStyle name="Comma 29 2 2 5 2 2" xfId="13502"/>
    <cellStyle name="Comma 29 2 2 5 2 3" xfId="13503"/>
    <cellStyle name="Comma 29 2 2 5 3" xfId="13504"/>
    <cellStyle name="Comma 29 2 2 5 3 2" xfId="13505"/>
    <cellStyle name="Comma 29 2 2 5 3 3" xfId="13506"/>
    <cellStyle name="Comma 29 2 2 5 4" xfId="13507"/>
    <cellStyle name="Comma 29 2 2 5 5" xfId="13508"/>
    <cellStyle name="Comma 29 2 2 6" xfId="13509"/>
    <cellStyle name="Comma 29 2 2 6 2" xfId="13510"/>
    <cellStyle name="Comma 29 2 2 6 3" xfId="13511"/>
    <cellStyle name="Comma 29 2 2 7" xfId="13512"/>
    <cellStyle name="Comma 29 2 2 7 2" xfId="13513"/>
    <cellStyle name="Comma 29 2 2 7 3" xfId="13514"/>
    <cellStyle name="Comma 29 2 2 8" xfId="13515"/>
    <cellStyle name="Comma 29 2 2 9" xfId="13516"/>
    <cellStyle name="Comma 29 2 3" xfId="13517"/>
    <cellStyle name="Comma 29 2 3 2" xfId="13518"/>
    <cellStyle name="Comma 29 2 3 2 2" xfId="13519"/>
    <cellStyle name="Comma 29 2 3 2 2 2" xfId="13520"/>
    <cellStyle name="Comma 29 2 3 2 2 2 2" xfId="13521"/>
    <cellStyle name="Comma 29 2 3 2 2 2 3" xfId="13522"/>
    <cellStyle name="Comma 29 2 3 2 2 3" xfId="13523"/>
    <cellStyle name="Comma 29 2 3 2 2 3 2" xfId="13524"/>
    <cellStyle name="Comma 29 2 3 2 2 3 3" xfId="13525"/>
    <cellStyle name="Comma 29 2 3 2 2 4" xfId="13526"/>
    <cellStyle name="Comma 29 2 3 2 2 5" xfId="13527"/>
    <cellStyle name="Comma 29 2 3 2 3" xfId="13528"/>
    <cellStyle name="Comma 29 2 3 2 3 2" xfId="13529"/>
    <cellStyle name="Comma 29 2 3 2 3 2 2" xfId="13530"/>
    <cellStyle name="Comma 29 2 3 2 3 2 3" xfId="13531"/>
    <cellStyle name="Comma 29 2 3 2 3 3" xfId="13532"/>
    <cellStyle name="Comma 29 2 3 2 3 3 2" xfId="13533"/>
    <cellStyle name="Comma 29 2 3 2 3 3 3" xfId="13534"/>
    <cellStyle name="Comma 29 2 3 2 3 4" xfId="13535"/>
    <cellStyle name="Comma 29 2 3 2 3 5" xfId="13536"/>
    <cellStyle name="Comma 29 2 3 2 4" xfId="13537"/>
    <cellStyle name="Comma 29 2 3 2 4 2" xfId="13538"/>
    <cellStyle name="Comma 29 2 3 2 4 3" xfId="13539"/>
    <cellStyle name="Comma 29 2 3 2 5" xfId="13540"/>
    <cellStyle name="Comma 29 2 3 2 5 2" xfId="13541"/>
    <cellStyle name="Comma 29 2 3 2 5 3" xfId="13542"/>
    <cellStyle name="Comma 29 2 3 2 6" xfId="13543"/>
    <cellStyle name="Comma 29 2 3 2 7" xfId="13544"/>
    <cellStyle name="Comma 29 2 3 3" xfId="13545"/>
    <cellStyle name="Comma 29 2 3 3 2" xfId="13546"/>
    <cellStyle name="Comma 29 2 3 3 2 2" xfId="13547"/>
    <cellStyle name="Comma 29 2 3 3 2 2 2" xfId="13548"/>
    <cellStyle name="Comma 29 2 3 3 2 2 3" xfId="13549"/>
    <cellStyle name="Comma 29 2 3 3 2 3" xfId="13550"/>
    <cellStyle name="Comma 29 2 3 3 2 3 2" xfId="13551"/>
    <cellStyle name="Comma 29 2 3 3 2 3 3" xfId="13552"/>
    <cellStyle name="Comma 29 2 3 3 2 4" xfId="13553"/>
    <cellStyle name="Comma 29 2 3 3 2 5" xfId="13554"/>
    <cellStyle name="Comma 29 2 3 3 3" xfId="13555"/>
    <cellStyle name="Comma 29 2 3 3 3 2" xfId="13556"/>
    <cellStyle name="Comma 29 2 3 3 3 2 2" xfId="13557"/>
    <cellStyle name="Comma 29 2 3 3 3 2 3" xfId="13558"/>
    <cellStyle name="Comma 29 2 3 3 3 3" xfId="13559"/>
    <cellStyle name="Comma 29 2 3 3 3 3 2" xfId="13560"/>
    <cellStyle name="Comma 29 2 3 3 3 3 3" xfId="13561"/>
    <cellStyle name="Comma 29 2 3 3 3 4" xfId="13562"/>
    <cellStyle name="Comma 29 2 3 3 3 5" xfId="13563"/>
    <cellStyle name="Comma 29 2 3 3 4" xfId="13564"/>
    <cellStyle name="Comma 29 2 3 3 4 2" xfId="13565"/>
    <cellStyle name="Comma 29 2 3 3 4 3" xfId="13566"/>
    <cellStyle name="Comma 29 2 3 3 5" xfId="13567"/>
    <cellStyle name="Comma 29 2 3 3 5 2" xfId="13568"/>
    <cellStyle name="Comma 29 2 3 3 5 3" xfId="13569"/>
    <cellStyle name="Comma 29 2 3 3 6" xfId="13570"/>
    <cellStyle name="Comma 29 2 3 3 7" xfId="13571"/>
    <cellStyle name="Comma 29 2 3 4" xfId="13572"/>
    <cellStyle name="Comma 29 2 3 4 2" xfId="13573"/>
    <cellStyle name="Comma 29 2 3 4 2 2" xfId="13574"/>
    <cellStyle name="Comma 29 2 3 4 2 3" xfId="13575"/>
    <cellStyle name="Comma 29 2 3 4 3" xfId="13576"/>
    <cellStyle name="Comma 29 2 3 4 3 2" xfId="13577"/>
    <cellStyle name="Comma 29 2 3 4 3 3" xfId="13578"/>
    <cellStyle name="Comma 29 2 3 4 4" xfId="13579"/>
    <cellStyle name="Comma 29 2 3 4 5" xfId="13580"/>
    <cellStyle name="Comma 29 2 3 5" xfId="13581"/>
    <cellStyle name="Comma 29 2 3 5 2" xfId="13582"/>
    <cellStyle name="Comma 29 2 3 5 2 2" xfId="13583"/>
    <cellStyle name="Comma 29 2 3 5 2 3" xfId="13584"/>
    <cellStyle name="Comma 29 2 3 5 3" xfId="13585"/>
    <cellStyle name="Comma 29 2 3 5 3 2" xfId="13586"/>
    <cellStyle name="Comma 29 2 3 5 3 3" xfId="13587"/>
    <cellStyle name="Comma 29 2 3 5 4" xfId="13588"/>
    <cellStyle name="Comma 29 2 3 5 5" xfId="13589"/>
    <cellStyle name="Comma 29 2 3 6" xfId="13590"/>
    <cellStyle name="Comma 29 2 3 6 2" xfId="13591"/>
    <cellStyle name="Comma 29 2 3 6 3" xfId="13592"/>
    <cellStyle name="Comma 29 2 3 7" xfId="13593"/>
    <cellStyle name="Comma 29 2 3 7 2" xfId="13594"/>
    <cellStyle name="Comma 29 2 3 7 3" xfId="13595"/>
    <cellStyle name="Comma 29 2 3 8" xfId="13596"/>
    <cellStyle name="Comma 29 2 3 9" xfId="13597"/>
    <cellStyle name="Comma 29 2 4" xfId="13598"/>
    <cellStyle name="Comma 29 2 4 2" xfId="13599"/>
    <cellStyle name="Comma 29 2 4 2 2" xfId="13600"/>
    <cellStyle name="Comma 29 2 4 2 2 2" xfId="13601"/>
    <cellStyle name="Comma 29 2 4 2 2 3" xfId="13602"/>
    <cellStyle name="Comma 29 2 4 2 3" xfId="13603"/>
    <cellStyle name="Comma 29 2 4 2 3 2" xfId="13604"/>
    <cellStyle name="Comma 29 2 4 2 3 3" xfId="13605"/>
    <cellStyle name="Comma 29 2 4 2 4" xfId="13606"/>
    <cellStyle name="Comma 29 2 4 2 5" xfId="13607"/>
    <cellStyle name="Comma 29 2 4 3" xfId="13608"/>
    <cellStyle name="Comma 29 2 4 3 2" xfId="13609"/>
    <cellStyle name="Comma 29 2 4 3 2 2" xfId="13610"/>
    <cellStyle name="Comma 29 2 4 3 2 3" xfId="13611"/>
    <cellStyle name="Comma 29 2 4 3 3" xfId="13612"/>
    <cellStyle name="Comma 29 2 4 3 3 2" xfId="13613"/>
    <cellStyle name="Comma 29 2 4 3 3 3" xfId="13614"/>
    <cellStyle name="Comma 29 2 4 3 4" xfId="13615"/>
    <cellStyle name="Comma 29 2 4 3 5" xfId="13616"/>
    <cellStyle name="Comma 29 2 4 4" xfId="13617"/>
    <cellStyle name="Comma 29 2 4 4 2" xfId="13618"/>
    <cellStyle name="Comma 29 2 4 4 3" xfId="13619"/>
    <cellStyle name="Comma 29 2 4 5" xfId="13620"/>
    <cellStyle name="Comma 29 2 4 5 2" xfId="13621"/>
    <cellStyle name="Comma 29 2 4 5 3" xfId="13622"/>
    <cellStyle name="Comma 29 2 4 6" xfId="13623"/>
    <cellStyle name="Comma 29 2 4 7" xfId="13624"/>
    <cellStyle name="Comma 29 2 5" xfId="13625"/>
    <cellStyle name="Comma 29 2 5 2" xfId="13626"/>
    <cellStyle name="Comma 29 2 5 2 2" xfId="13627"/>
    <cellStyle name="Comma 29 2 5 2 2 2" xfId="13628"/>
    <cellStyle name="Comma 29 2 5 2 2 3" xfId="13629"/>
    <cellStyle name="Comma 29 2 5 2 3" xfId="13630"/>
    <cellStyle name="Comma 29 2 5 2 3 2" xfId="13631"/>
    <cellStyle name="Comma 29 2 5 2 3 3" xfId="13632"/>
    <cellStyle name="Comma 29 2 5 2 4" xfId="13633"/>
    <cellStyle name="Comma 29 2 5 2 5" xfId="13634"/>
    <cellStyle name="Comma 29 2 5 3" xfId="13635"/>
    <cellStyle name="Comma 29 2 5 3 2" xfId="13636"/>
    <cellStyle name="Comma 29 2 5 3 2 2" xfId="13637"/>
    <cellStyle name="Comma 29 2 5 3 2 3" xfId="13638"/>
    <cellStyle name="Comma 29 2 5 3 3" xfId="13639"/>
    <cellStyle name="Comma 29 2 5 3 3 2" xfId="13640"/>
    <cellStyle name="Comma 29 2 5 3 3 3" xfId="13641"/>
    <cellStyle name="Comma 29 2 5 3 4" xfId="13642"/>
    <cellStyle name="Comma 29 2 5 3 5" xfId="13643"/>
    <cellStyle name="Comma 29 2 5 4" xfId="13644"/>
    <cellStyle name="Comma 29 2 5 4 2" xfId="13645"/>
    <cellStyle name="Comma 29 2 5 4 3" xfId="13646"/>
    <cellStyle name="Comma 29 2 5 5" xfId="13647"/>
    <cellStyle name="Comma 29 2 5 5 2" xfId="13648"/>
    <cellStyle name="Comma 29 2 5 5 3" xfId="13649"/>
    <cellStyle name="Comma 29 2 5 6" xfId="13650"/>
    <cellStyle name="Comma 29 2 5 7" xfId="13651"/>
    <cellStyle name="Comma 29 2 6" xfId="13652"/>
    <cellStyle name="Comma 29 2 6 2" xfId="13653"/>
    <cellStyle name="Comma 29 2 6 2 2" xfId="13654"/>
    <cellStyle name="Comma 29 2 6 2 3" xfId="13655"/>
    <cellStyle name="Comma 29 2 6 3" xfId="13656"/>
    <cellStyle name="Comma 29 2 6 3 2" xfId="13657"/>
    <cellStyle name="Comma 29 2 6 3 3" xfId="13658"/>
    <cellStyle name="Comma 29 2 6 4" xfId="13659"/>
    <cellStyle name="Comma 29 2 6 5" xfId="13660"/>
    <cellStyle name="Comma 29 2 7" xfId="13661"/>
    <cellStyle name="Comma 29 2 7 2" xfId="13662"/>
    <cellStyle name="Comma 29 2 7 2 2" xfId="13663"/>
    <cellStyle name="Comma 29 2 7 2 3" xfId="13664"/>
    <cellStyle name="Comma 29 2 7 3" xfId="13665"/>
    <cellStyle name="Comma 29 2 7 3 2" xfId="13666"/>
    <cellStyle name="Comma 29 2 7 3 3" xfId="13667"/>
    <cellStyle name="Comma 29 2 7 4" xfId="13668"/>
    <cellStyle name="Comma 29 2 7 5" xfId="13669"/>
    <cellStyle name="Comma 29 2 8" xfId="13670"/>
    <cellStyle name="Comma 29 2 8 2" xfId="13671"/>
    <cellStyle name="Comma 29 2 8 3" xfId="13672"/>
    <cellStyle name="Comma 29 2 9" xfId="13673"/>
    <cellStyle name="Comma 29 2 9 2" xfId="13674"/>
    <cellStyle name="Comma 29 2 9 3" xfId="13675"/>
    <cellStyle name="Comma 29 3" xfId="13676"/>
    <cellStyle name="Comma 29 3 2" xfId="13677"/>
    <cellStyle name="Comma 29 3 2 2" xfId="13678"/>
    <cellStyle name="Comma 29 3 2 2 2" xfId="13679"/>
    <cellStyle name="Comma 29 3 2 2 2 2" xfId="13680"/>
    <cellStyle name="Comma 29 3 2 2 2 3" xfId="13681"/>
    <cellStyle name="Comma 29 3 2 2 3" xfId="13682"/>
    <cellStyle name="Comma 29 3 2 2 3 2" xfId="13683"/>
    <cellStyle name="Comma 29 3 2 2 3 3" xfId="13684"/>
    <cellStyle name="Comma 29 3 2 2 4" xfId="13685"/>
    <cellStyle name="Comma 29 3 2 2 5" xfId="13686"/>
    <cellStyle name="Comma 29 3 2 3" xfId="13687"/>
    <cellStyle name="Comma 29 3 2 3 2" xfId="13688"/>
    <cellStyle name="Comma 29 3 2 3 2 2" xfId="13689"/>
    <cellStyle name="Comma 29 3 2 3 2 3" xfId="13690"/>
    <cellStyle name="Comma 29 3 2 3 3" xfId="13691"/>
    <cellStyle name="Comma 29 3 2 3 3 2" xfId="13692"/>
    <cellStyle name="Comma 29 3 2 3 3 3" xfId="13693"/>
    <cellStyle name="Comma 29 3 2 3 4" xfId="13694"/>
    <cellStyle name="Comma 29 3 2 3 5" xfId="13695"/>
    <cellStyle name="Comma 29 3 2 4" xfId="13696"/>
    <cellStyle name="Comma 29 3 2 4 2" xfId="13697"/>
    <cellStyle name="Comma 29 3 2 4 3" xfId="13698"/>
    <cellStyle name="Comma 29 3 2 5" xfId="13699"/>
    <cellStyle name="Comma 29 3 2 5 2" xfId="13700"/>
    <cellStyle name="Comma 29 3 2 5 3" xfId="13701"/>
    <cellStyle name="Comma 29 3 2 6" xfId="13702"/>
    <cellStyle name="Comma 29 3 2 7" xfId="13703"/>
    <cellStyle name="Comma 29 3 3" xfId="13704"/>
    <cellStyle name="Comma 29 3 3 2" xfId="13705"/>
    <cellStyle name="Comma 29 3 3 2 2" xfId="13706"/>
    <cellStyle name="Comma 29 3 3 2 2 2" xfId="13707"/>
    <cellStyle name="Comma 29 3 3 2 2 3" xfId="13708"/>
    <cellStyle name="Comma 29 3 3 2 3" xfId="13709"/>
    <cellStyle name="Comma 29 3 3 2 3 2" xfId="13710"/>
    <cellStyle name="Comma 29 3 3 2 3 3" xfId="13711"/>
    <cellStyle name="Comma 29 3 3 2 4" xfId="13712"/>
    <cellStyle name="Comma 29 3 3 2 5" xfId="13713"/>
    <cellStyle name="Comma 29 3 3 3" xfId="13714"/>
    <cellStyle name="Comma 29 3 3 3 2" xfId="13715"/>
    <cellStyle name="Comma 29 3 3 3 2 2" xfId="13716"/>
    <cellStyle name="Comma 29 3 3 3 2 3" xfId="13717"/>
    <cellStyle name="Comma 29 3 3 3 3" xfId="13718"/>
    <cellStyle name="Comma 29 3 3 3 3 2" xfId="13719"/>
    <cellStyle name="Comma 29 3 3 3 3 3" xfId="13720"/>
    <cellStyle name="Comma 29 3 3 3 4" xfId="13721"/>
    <cellStyle name="Comma 29 3 3 3 5" xfId="13722"/>
    <cellStyle name="Comma 29 3 3 4" xfId="13723"/>
    <cellStyle name="Comma 29 3 3 4 2" xfId="13724"/>
    <cellStyle name="Comma 29 3 3 4 3" xfId="13725"/>
    <cellStyle name="Comma 29 3 3 5" xfId="13726"/>
    <cellStyle name="Comma 29 3 3 5 2" xfId="13727"/>
    <cellStyle name="Comma 29 3 3 5 3" xfId="13728"/>
    <cellStyle name="Comma 29 3 3 6" xfId="13729"/>
    <cellStyle name="Comma 29 3 3 7" xfId="13730"/>
    <cellStyle name="Comma 29 3 4" xfId="13731"/>
    <cellStyle name="Comma 29 3 4 2" xfId="13732"/>
    <cellStyle name="Comma 29 3 4 2 2" xfId="13733"/>
    <cellStyle name="Comma 29 3 4 2 3" xfId="13734"/>
    <cellStyle name="Comma 29 3 4 3" xfId="13735"/>
    <cellStyle name="Comma 29 3 4 3 2" xfId="13736"/>
    <cellStyle name="Comma 29 3 4 3 3" xfId="13737"/>
    <cellStyle name="Comma 29 3 4 4" xfId="13738"/>
    <cellStyle name="Comma 29 3 4 5" xfId="13739"/>
    <cellStyle name="Comma 29 3 5" xfId="13740"/>
    <cellStyle name="Comma 29 3 5 2" xfId="13741"/>
    <cellStyle name="Comma 29 3 5 2 2" xfId="13742"/>
    <cellStyle name="Comma 29 3 5 2 3" xfId="13743"/>
    <cellStyle name="Comma 29 3 5 3" xfId="13744"/>
    <cellStyle name="Comma 29 3 5 3 2" xfId="13745"/>
    <cellStyle name="Comma 29 3 5 3 3" xfId="13746"/>
    <cellStyle name="Comma 29 3 5 4" xfId="13747"/>
    <cellStyle name="Comma 29 3 5 5" xfId="13748"/>
    <cellStyle name="Comma 29 3 6" xfId="13749"/>
    <cellStyle name="Comma 29 3 6 2" xfId="13750"/>
    <cellStyle name="Comma 29 3 6 3" xfId="13751"/>
    <cellStyle name="Comma 29 3 7" xfId="13752"/>
    <cellStyle name="Comma 29 3 7 2" xfId="13753"/>
    <cellStyle name="Comma 29 3 7 3" xfId="13754"/>
    <cellStyle name="Comma 29 3 8" xfId="13755"/>
    <cellStyle name="Comma 29 3 9" xfId="13756"/>
    <cellStyle name="Comma 29 4" xfId="13757"/>
    <cellStyle name="Comma 29 4 2" xfId="13758"/>
    <cellStyle name="Comma 29 4 3" xfId="13759"/>
    <cellStyle name="Comma 29 5" xfId="13760"/>
    <cellStyle name="Comma 29 5 2" xfId="13761"/>
    <cellStyle name="Comma 29 5 3" xfId="13762"/>
    <cellStyle name="Comma 29 6" xfId="13763"/>
    <cellStyle name="Comma 29 7" xfId="13764"/>
    <cellStyle name="Comma 3" xfId="13765"/>
    <cellStyle name="Comma 3 10" xfId="13766"/>
    <cellStyle name="Comma 3 11" xfId="13767"/>
    <cellStyle name="Comma 3 12" xfId="13768"/>
    <cellStyle name="Comma 3 13" xfId="13769"/>
    <cellStyle name="Comma 3 14" xfId="13770"/>
    <cellStyle name="Comma 3 15" xfId="13771"/>
    <cellStyle name="Comma 3 16" xfId="13772"/>
    <cellStyle name="Comma 3 17" xfId="13773"/>
    <cellStyle name="Comma 3 18" xfId="13774"/>
    <cellStyle name="Comma 3 19" xfId="13775"/>
    <cellStyle name="Comma 3 2" xfId="13776"/>
    <cellStyle name="Comma 3 2 2" xfId="13777"/>
    <cellStyle name="Comma 3 2 2 2" xfId="13778"/>
    <cellStyle name="Comma 3 2 3" xfId="13779"/>
    <cellStyle name="Comma 3 2 4" xfId="42889"/>
    <cellStyle name="Comma 3 20" xfId="13780"/>
    <cellStyle name="Comma 3 21" xfId="13781"/>
    <cellStyle name="Comma 3 22" xfId="13782"/>
    <cellStyle name="Comma 3 23" xfId="13783"/>
    <cellStyle name="Comma 3 24" xfId="13784"/>
    <cellStyle name="Comma 3 25" xfId="13785"/>
    <cellStyle name="Comma 3 26" xfId="13786"/>
    <cellStyle name="Comma 3 27" xfId="13787"/>
    <cellStyle name="Comma 3 28" xfId="42861"/>
    <cellStyle name="Comma 3 3" xfId="13788"/>
    <cellStyle name="Comma 3 3 2" xfId="13789"/>
    <cellStyle name="Comma 3 3 2 2" xfId="13790"/>
    <cellStyle name="Comma 3 3 3" xfId="13791"/>
    <cellStyle name="Comma 3 4" xfId="13792"/>
    <cellStyle name="Comma 3 5" xfId="13793"/>
    <cellStyle name="Comma 3 5 2" xfId="13794"/>
    <cellStyle name="Comma 3 6" xfId="13795"/>
    <cellStyle name="Comma 3 7" xfId="13796"/>
    <cellStyle name="Comma 3 8" xfId="13797"/>
    <cellStyle name="Comma 3 9" xfId="13798"/>
    <cellStyle name="Comma 3*" xfId="13799"/>
    <cellStyle name="Comma 30" xfId="13800"/>
    <cellStyle name="Comma 30 2" xfId="13801"/>
    <cellStyle name="Comma 30 2 2" xfId="13802"/>
    <cellStyle name="Comma 30 2 2 2" xfId="13803"/>
    <cellStyle name="Comma 30 2 2 2 2" xfId="13804"/>
    <cellStyle name="Comma 30 2 2 2 3" xfId="13805"/>
    <cellStyle name="Comma 30 2 2 3" xfId="13806"/>
    <cellStyle name="Comma 30 2 2 3 2" xfId="13807"/>
    <cellStyle name="Comma 30 2 2 3 3" xfId="13808"/>
    <cellStyle name="Comma 30 2 2 4" xfId="13809"/>
    <cellStyle name="Comma 30 2 2 5" xfId="13810"/>
    <cellStyle name="Comma 30 2 3" xfId="13811"/>
    <cellStyle name="Comma 30 2 3 2" xfId="13812"/>
    <cellStyle name="Comma 30 2 3 2 2" xfId="13813"/>
    <cellStyle name="Comma 30 2 3 2 3" xfId="13814"/>
    <cellStyle name="Comma 30 2 3 3" xfId="13815"/>
    <cellStyle name="Comma 30 2 3 3 2" xfId="13816"/>
    <cellStyle name="Comma 30 2 3 3 3" xfId="13817"/>
    <cellStyle name="Comma 30 2 3 4" xfId="13818"/>
    <cellStyle name="Comma 30 2 3 5" xfId="13819"/>
    <cellStyle name="Comma 30 2 4" xfId="13820"/>
    <cellStyle name="Comma 30 2 4 2" xfId="13821"/>
    <cellStyle name="Comma 30 2 4 3" xfId="13822"/>
    <cellStyle name="Comma 30 2 5" xfId="13823"/>
    <cellStyle name="Comma 30 2 5 2" xfId="13824"/>
    <cellStyle name="Comma 30 2 5 3" xfId="13825"/>
    <cellStyle name="Comma 30 2 6" xfId="13826"/>
    <cellStyle name="Comma 30 2 7" xfId="13827"/>
    <cellStyle name="Comma 30 3" xfId="13828"/>
    <cellStyle name="Comma 30 4" xfId="13829"/>
    <cellStyle name="Comma 31" xfId="13830"/>
    <cellStyle name="Comma 31 2" xfId="13831"/>
    <cellStyle name="Comma 31 2 2" xfId="13832"/>
    <cellStyle name="Comma 31 2 2 2" xfId="13833"/>
    <cellStyle name="Comma 31 2 2 2 2" xfId="13834"/>
    <cellStyle name="Comma 31 2 2 2 3" xfId="13835"/>
    <cellStyle name="Comma 31 2 2 3" xfId="13836"/>
    <cellStyle name="Comma 31 2 2 3 2" xfId="13837"/>
    <cellStyle name="Comma 31 2 2 3 3" xfId="13838"/>
    <cellStyle name="Comma 31 2 2 4" xfId="13839"/>
    <cellStyle name="Comma 31 2 2 5" xfId="13840"/>
    <cellStyle name="Comma 31 2 3" xfId="13841"/>
    <cellStyle name="Comma 31 2 3 2" xfId="13842"/>
    <cellStyle name="Comma 31 2 3 2 2" xfId="13843"/>
    <cellStyle name="Comma 31 2 3 2 3" xfId="13844"/>
    <cellStyle name="Comma 31 2 3 3" xfId="13845"/>
    <cellStyle name="Comma 31 2 3 3 2" xfId="13846"/>
    <cellStyle name="Comma 31 2 3 3 3" xfId="13847"/>
    <cellStyle name="Comma 31 2 3 4" xfId="13848"/>
    <cellStyle name="Comma 31 2 3 5" xfId="13849"/>
    <cellStyle name="Comma 31 2 4" xfId="13850"/>
    <cellStyle name="Comma 31 2 4 2" xfId="13851"/>
    <cellStyle name="Comma 31 2 4 3" xfId="13852"/>
    <cellStyle name="Comma 31 2 5" xfId="13853"/>
    <cellStyle name="Comma 31 2 5 2" xfId="13854"/>
    <cellStyle name="Comma 31 2 5 3" xfId="13855"/>
    <cellStyle name="Comma 31 2 6" xfId="13856"/>
    <cellStyle name="Comma 31 2 7" xfId="13857"/>
    <cellStyle name="Comma 31 3" xfId="13858"/>
    <cellStyle name="Comma 31 3 2" xfId="13859"/>
    <cellStyle name="Comma 31 3 2 2" xfId="13860"/>
    <cellStyle name="Comma 31 3 2 2 2" xfId="13861"/>
    <cellStyle name="Comma 31 3 2 2 3" xfId="13862"/>
    <cellStyle name="Comma 31 3 2 3" xfId="13863"/>
    <cellStyle name="Comma 31 3 2 3 2" xfId="13864"/>
    <cellStyle name="Comma 31 3 2 3 3" xfId="13865"/>
    <cellStyle name="Comma 31 3 2 4" xfId="13866"/>
    <cellStyle name="Comma 31 3 2 5" xfId="13867"/>
    <cellStyle name="Comma 31 3 3" xfId="13868"/>
    <cellStyle name="Comma 31 3 3 2" xfId="13869"/>
    <cellStyle name="Comma 31 3 3 2 2" xfId="13870"/>
    <cellStyle name="Comma 31 3 3 2 3" xfId="13871"/>
    <cellStyle name="Comma 31 3 3 3" xfId="13872"/>
    <cellStyle name="Comma 31 3 3 3 2" xfId="13873"/>
    <cellStyle name="Comma 31 3 3 3 3" xfId="13874"/>
    <cellStyle name="Comma 31 3 3 4" xfId="13875"/>
    <cellStyle name="Comma 31 3 3 5" xfId="13876"/>
    <cellStyle name="Comma 31 3 4" xfId="13877"/>
    <cellStyle name="Comma 31 3 4 2" xfId="13878"/>
    <cellStyle name="Comma 31 3 4 3" xfId="13879"/>
    <cellStyle name="Comma 31 3 5" xfId="13880"/>
    <cellStyle name="Comma 31 3 5 2" xfId="13881"/>
    <cellStyle name="Comma 31 3 5 3" xfId="13882"/>
    <cellStyle name="Comma 31 3 6" xfId="13883"/>
    <cellStyle name="Comma 31 3 7" xfId="13884"/>
    <cellStyle name="Comma 31 4" xfId="13885"/>
    <cellStyle name="Comma 31 4 2" xfId="13886"/>
    <cellStyle name="Comma 31 4 2 2" xfId="13887"/>
    <cellStyle name="Comma 31 4 2 3" xfId="13888"/>
    <cellStyle name="Comma 31 4 3" xfId="13889"/>
    <cellStyle name="Comma 31 4 3 2" xfId="13890"/>
    <cellStyle name="Comma 31 4 3 3" xfId="13891"/>
    <cellStyle name="Comma 31 4 4" xfId="13892"/>
    <cellStyle name="Comma 31 4 5" xfId="13893"/>
    <cellStyle name="Comma 31 5" xfId="13894"/>
    <cellStyle name="Comma 31 5 2" xfId="13895"/>
    <cellStyle name="Comma 31 5 2 2" xfId="13896"/>
    <cellStyle name="Comma 31 5 2 3" xfId="13897"/>
    <cellStyle name="Comma 31 5 3" xfId="13898"/>
    <cellStyle name="Comma 31 5 3 2" xfId="13899"/>
    <cellStyle name="Comma 31 5 3 3" xfId="13900"/>
    <cellStyle name="Comma 31 5 4" xfId="13901"/>
    <cellStyle name="Comma 31 5 5" xfId="13902"/>
    <cellStyle name="Comma 31 6" xfId="13903"/>
    <cellStyle name="Comma 31 6 2" xfId="13904"/>
    <cellStyle name="Comma 31 6 3" xfId="13905"/>
    <cellStyle name="Comma 31 7" xfId="13906"/>
    <cellStyle name="Comma 31 7 2" xfId="13907"/>
    <cellStyle name="Comma 31 7 3" xfId="13908"/>
    <cellStyle name="Comma 31 8" xfId="13909"/>
    <cellStyle name="Comma 31 9" xfId="13910"/>
    <cellStyle name="Comma 32" xfId="13911"/>
    <cellStyle name="Comma 32 2" xfId="13912"/>
    <cellStyle name="Comma 33" xfId="13913"/>
    <cellStyle name="Comma 33 2" xfId="13914"/>
    <cellStyle name="Comma 34" xfId="13915"/>
    <cellStyle name="Comma 34 2" xfId="13916"/>
    <cellStyle name="Comma 34 2 2" xfId="13917"/>
    <cellStyle name="Comma 34 2 2 2" xfId="13918"/>
    <cellStyle name="Comma 34 2 2 2 2" xfId="13919"/>
    <cellStyle name="Comma 34 2 2 2 3" xfId="13920"/>
    <cellStyle name="Comma 34 2 2 3" xfId="13921"/>
    <cellStyle name="Comma 34 2 2 3 2" xfId="13922"/>
    <cellStyle name="Comma 34 2 2 3 3" xfId="13923"/>
    <cellStyle name="Comma 34 2 2 4" xfId="13924"/>
    <cellStyle name="Comma 34 2 2 5" xfId="13925"/>
    <cellStyle name="Comma 34 2 3" xfId="13926"/>
    <cellStyle name="Comma 34 2 3 2" xfId="13927"/>
    <cellStyle name="Comma 34 2 3 2 2" xfId="13928"/>
    <cellStyle name="Comma 34 2 3 2 3" xfId="13929"/>
    <cellStyle name="Comma 34 2 3 3" xfId="13930"/>
    <cellStyle name="Comma 34 2 3 3 2" xfId="13931"/>
    <cellStyle name="Comma 34 2 3 3 3" xfId="13932"/>
    <cellStyle name="Comma 34 2 3 4" xfId="13933"/>
    <cellStyle name="Comma 34 2 3 5" xfId="13934"/>
    <cellStyle name="Comma 34 2 4" xfId="13935"/>
    <cellStyle name="Comma 34 2 4 2" xfId="13936"/>
    <cellStyle name="Comma 34 2 4 3" xfId="13937"/>
    <cellStyle name="Comma 34 2 5" xfId="13938"/>
    <cellStyle name="Comma 34 2 5 2" xfId="13939"/>
    <cellStyle name="Comma 34 2 5 3" xfId="13940"/>
    <cellStyle name="Comma 34 2 6" xfId="13941"/>
    <cellStyle name="Comma 34 2 7" xfId="13942"/>
    <cellStyle name="Comma 34 3" xfId="13943"/>
    <cellStyle name="Comma 34 3 2" xfId="13944"/>
    <cellStyle name="Comma 34 3 2 2" xfId="13945"/>
    <cellStyle name="Comma 34 3 2 2 2" xfId="13946"/>
    <cellStyle name="Comma 34 3 2 2 3" xfId="13947"/>
    <cellStyle name="Comma 34 3 2 3" xfId="13948"/>
    <cellStyle name="Comma 34 3 2 3 2" xfId="13949"/>
    <cellStyle name="Comma 34 3 2 3 3" xfId="13950"/>
    <cellStyle name="Comma 34 3 2 4" xfId="13951"/>
    <cellStyle name="Comma 34 3 2 5" xfId="13952"/>
    <cellStyle name="Comma 34 3 3" xfId="13953"/>
    <cellStyle name="Comma 34 3 3 2" xfId="13954"/>
    <cellStyle name="Comma 34 3 3 2 2" xfId="13955"/>
    <cellStyle name="Comma 34 3 3 2 3" xfId="13956"/>
    <cellStyle name="Comma 34 3 3 3" xfId="13957"/>
    <cellStyle name="Comma 34 3 3 3 2" xfId="13958"/>
    <cellStyle name="Comma 34 3 3 3 3" xfId="13959"/>
    <cellStyle name="Comma 34 3 3 4" xfId="13960"/>
    <cellStyle name="Comma 34 3 3 5" xfId="13961"/>
    <cellStyle name="Comma 34 3 4" xfId="13962"/>
    <cellStyle name="Comma 34 3 4 2" xfId="13963"/>
    <cellStyle name="Comma 34 3 4 3" xfId="13964"/>
    <cellStyle name="Comma 34 3 5" xfId="13965"/>
    <cellStyle name="Comma 34 3 5 2" xfId="13966"/>
    <cellStyle name="Comma 34 3 5 3" xfId="13967"/>
    <cellStyle name="Comma 34 3 6" xfId="13968"/>
    <cellStyle name="Comma 34 3 7" xfId="13969"/>
    <cellStyle name="Comma 34 4" xfId="13970"/>
    <cellStyle name="Comma 34 4 2" xfId="13971"/>
    <cellStyle name="Comma 34 4 2 2" xfId="13972"/>
    <cellStyle name="Comma 34 4 2 3" xfId="13973"/>
    <cellStyle name="Comma 34 4 3" xfId="13974"/>
    <cellStyle name="Comma 34 4 3 2" xfId="13975"/>
    <cellStyle name="Comma 34 4 3 3" xfId="13976"/>
    <cellStyle name="Comma 34 4 4" xfId="13977"/>
    <cellStyle name="Comma 34 4 5" xfId="13978"/>
    <cellStyle name="Comma 34 5" xfId="13979"/>
    <cellStyle name="Comma 34 5 2" xfId="13980"/>
    <cellStyle name="Comma 34 5 2 2" xfId="13981"/>
    <cellStyle name="Comma 34 5 2 3" xfId="13982"/>
    <cellStyle name="Comma 34 5 3" xfId="13983"/>
    <cellStyle name="Comma 34 5 3 2" xfId="13984"/>
    <cellStyle name="Comma 34 5 3 3" xfId="13985"/>
    <cellStyle name="Comma 34 5 4" xfId="13986"/>
    <cellStyle name="Comma 34 5 5" xfId="13987"/>
    <cellStyle name="Comma 34 6" xfId="13988"/>
    <cellStyle name="Comma 34 6 2" xfId="13989"/>
    <cellStyle name="Comma 34 6 3" xfId="13990"/>
    <cellStyle name="Comma 34 7" xfId="13991"/>
    <cellStyle name="Comma 34 7 2" xfId="13992"/>
    <cellStyle name="Comma 34 7 3" xfId="13993"/>
    <cellStyle name="Comma 34 8" xfId="13994"/>
    <cellStyle name="Comma 34 9" xfId="13995"/>
    <cellStyle name="Comma 35" xfId="13996"/>
    <cellStyle name="Comma 35 2" xfId="13997"/>
    <cellStyle name="Comma 35 2 2" xfId="13998"/>
    <cellStyle name="Comma 35 2 2 2" xfId="13999"/>
    <cellStyle name="Comma 35 2 2 2 2" xfId="14000"/>
    <cellStyle name="Comma 35 2 2 2 3" xfId="14001"/>
    <cellStyle name="Comma 35 2 2 3" xfId="14002"/>
    <cellStyle name="Comma 35 2 2 3 2" xfId="14003"/>
    <cellStyle name="Comma 35 2 2 3 3" xfId="14004"/>
    <cellStyle name="Comma 35 2 2 4" xfId="14005"/>
    <cellStyle name="Comma 35 2 2 5" xfId="14006"/>
    <cellStyle name="Comma 35 2 3" xfId="14007"/>
    <cellStyle name="Comma 35 2 3 2" xfId="14008"/>
    <cellStyle name="Comma 35 2 3 2 2" xfId="14009"/>
    <cellStyle name="Comma 35 2 3 2 3" xfId="14010"/>
    <cellStyle name="Comma 35 2 3 3" xfId="14011"/>
    <cellStyle name="Comma 35 2 3 3 2" xfId="14012"/>
    <cellStyle name="Comma 35 2 3 3 3" xfId="14013"/>
    <cellStyle name="Comma 35 2 3 4" xfId="14014"/>
    <cellStyle name="Comma 35 2 3 5" xfId="14015"/>
    <cellStyle name="Comma 35 2 4" xfId="14016"/>
    <cellStyle name="Comma 35 2 4 2" xfId="14017"/>
    <cellStyle name="Comma 35 2 4 3" xfId="14018"/>
    <cellStyle name="Comma 35 2 5" xfId="14019"/>
    <cellStyle name="Comma 35 2 5 2" xfId="14020"/>
    <cellStyle name="Comma 35 2 5 3" xfId="14021"/>
    <cellStyle name="Comma 35 2 6" xfId="14022"/>
    <cellStyle name="Comma 35 2 7" xfId="14023"/>
    <cellStyle name="Comma 36" xfId="14024"/>
    <cellStyle name="Comma 36 2" xfId="14025"/>
    <cellStyle name="Comma 36 2 2" xfId="14026"/>
    <cellStyle name="Comma 36 2 2 2" xfId="14027"/>
    <cellStyle name="Comma 36 2 2 2 2" xfId="14028"/>
    <cellStyle name="Comma 36 2 2 2 3" xfId="14029"/>
    <cellStyle name="Comma 36 2 2 3" xfId="14030"/>
    <cellStyle name="Comma 36 2 2 3 2" xfId="14031"/>
    <cellStyle name="Comma 36 2 2 3 3" xfId="14032"/>
    <cellStyle name="Comma 36 2 2 4" xfId="14033"/>
    <cellStyle name="Comma 36 2 2 5" xfId="14034"/>
    <cellStyle name="Comma 36 2 3" xfId="14035"/>
    <cellStyle name="Comma 36 2 3 2" xfId="14036"/>
    <cellStyle name="Comma 36 2 3 2 2" xfId="14037"/>
    <cellStyle name="Comma 36 2 3 2 3" xfId="14038"/>
    <cellStyle name="Comma 36 2 3 3" xfId="14039"/>
    <cellStyle name="Comma 36 2 3 3 2" xfId="14040"/>
    <cellStyle name="Comma 36 2 3 3 3" xfId="14041"/>
    <cellStyle name="Comma 36 2 3 4" xfId="14042"/>
    <cellStyle name="Comma 36 2 3 5" xfId="14043"/>
    <cellStyle name="Comma 36 2 4" xfId="14044"/>
    <cellStyle name="Comma 36 2 4 2" xfId="14045"/>
    <cellStyle name="Comma 36 2 4 3" xfId="14046"/>
    <cellStyle name="Comma 36 2 5" xfId="14047"/>
    <cellStyle name="Comma 36 2 5 2" xfId="14048"/>
    <cellStyle name="Comma 36 2 5 3" xfId="14049"/>
    <cellStyle name="Comma 36 2 6" xfId="14050"/>
    <cellStyle name="Comma 36 2 7" xfId="14051"/>
    <cellStyle name="Comma 37" xfId="14052"/>
    <cellStyle name="Comma 38" xfId="14053"/>
    <cellStyle name="Comma 39" xfId="14054"/>
    <cellStyle name="Comma 4" xfId="14055"/>
    <cellStyle name="Comma 4 10" xfId="14056"/>
    <cellStyle name="Comma 4 11" xfId="14057"/>
    <cellStyle name="Comma 4 12" xfId="14058"/>
    <cellStyle name="Comma 4 13" xfId="14059"/>
    <cellStyle name="Comma 4 14" xfId="14060"/>
    <cellStyle name="Comma 4 15" xfId="14061"/>
    <cellStyle name="Comma 4 16" xfId="14062"/>
    <cellStyle name="Comma 4 17" xfId="14063"/>
    <cellStyle name="Comma 4 18" xfId="14064"/>
    <cellStyle name="Comma 4 19" xfId="14065"/>
    <cellStyle name="Comma 4 2" xfId="14066"/>
    <cellStyle name="Comma 4 2 10" xfId="43032"/>
    <cellStyle name="Comma 4 2 2" xfId="14067"/>
    <cellStyle name="Comma 4 2 3" xfId="14068"/>
    <cellStyle name="Comma 4 2 4" xfId="14069"/>
    <cellStyle name="Comma 4 2 5" xfId="14070"/>
    <cellStyle name="Comma 4 2 6" xfId="14071"/>
    <cellStyle name="Comma 4 2 7" xfId="14072"/>
    <cellStyle name="Comma 4 2 8" xfId="14073"/>
    <cellStyle name="Comma 4 2 9" xfId="14074"/>
    <cellStyle name="Comma 4 20" xfId="14075"/>
    <cellStyle name="Comma 4 21" xfId="14076"/>
    <cellStyle name="Comma 4 22" xfId="14077"/>
    <cellStyle name="Comma 4 23" xfId="14078"/>
    <cellStyle name="Comma 4 24" xfId="14079"/>
    <cellStyle name="Comma 4 25" xfId="14080"/>
    <cellStyle name="Comma 4 26" xfId="14081"/>
    <cellStyle name="Comma 4 3" xfId="14082"/>
    <cellStyle name="Comma 4 3 2" xfId="43033"/>
    <cellStyle name="Comma 4 4" xfId="14083"/>
    <cellStyle name="Comma 4 5" xfId="14084"/>
    <cellStyle name="Comma 4 6" xfId="14085"/>
    <cellStyle name="Comma 4 7" xfId="14086"/>
    <cellStyle name="Comma 4 8" xfId="14087"/>
    <cellStyle name="Comma 4 9" xfId="14088"/>
    <cellStyle name="Comma 40" xfId="14089"/>
    <cellStyle name="Comma 41" xfId="14090"/>
    <cellStyle name="Comma 41 10" xfId="14091"/>
    <cellStyle name="Comma 41 2" xfId="14092"/>
    <cellStyle name="Comma 41 3" xfId="14093"/>
    <cellStyle name="Comma 41 3 2" xfId="14094"/>
    <cellStyle name="Comma 41 3 2 2" xfId="14095"/>
    <cellStyle name="Comma 41 3 2 2 2" xfId="14096"/>
    <cellStyle name="Comma 41 3 2 2 3" xfId="14097"/>
    <cellStyle name="Comma 41 3 2 3" xfId="14098"/>
    <cellStyle name="Comma 41 3 2 3 2" xfId="14099"/>
    <cellStyle name="Comma 41 3 2 3 3" xfId="14100"/>
    <cellStyle name="Comma 41 3 2 4" xfId="14101"/>
    <cellStyle name="Comma 41 3 2 5" xfId="14102"/>
    <cellStyle name="Comma 41 3 3" xfId="14103"/>
    <cellStyle name="Comma 41 3 3 2" xfId="14104"/>
    <cellStyle name="Comma 41 3 3 2 2" xfId="14105"/>
    <cellStyle name="Comma 41 3 3 2 3" xfId="14106"/>
    <cellStyle name="Comma 41 3 3 3" xfId="14107"/>
    <cellStyle name="Comma 41 3 3 3 2" xfId="14108"/>
    <cellStyle name="Comma 41 3 3 3 3" xfId="14109"/>
    <cellStyle name="Comma 41 3 3 4" xfId="14110"/>
    <cellStyle name="Comma 41 3 3 5" xfId="14111"/>
    <cellStyle name="Comma 41 3 4" xfId="14112"/>
    <cellStyle name="Comma 41 3 4 2" xfId="14113"/>
    <cellStyle name="Comma 41 3 4 3" xfId="14114"/>
    <cellStyle name="Comma 41 3 5" xfId="14115"/>
    <cellStyle name="Comma 41 3 5 2" xfId="14116"/>
    <cellStyle name="Comma 41 3 5 3" xfId="14117"/>
    <cellStyle name="Comma 41 3 6" xfId="14118"/>
    <cellStyle name="Comma 41 3 7" xfId="14119"/>
    <cellStyle name="Comma 41 4" xfId="14120"/>
    <cellStyle name="Comma 41 4 2" xfId="14121"/>
    <cellStyle name="Comma 41 4 2 2" xfId="14122"/>
    <cellStyle name="Comma 41 4 2 2 2" xfId="14123"/>
    <cellStyle name="Comma 41 4 2 2 3" xfId="14124"/>
    <cellStyle name="Comma 41 4 2 3" xfId="14125"/>
    <cellStyle name="Comma 41 4 2 3 2" xfId="14126"/>
    <cellStyle name="Comma 41 4 2 3 3" xfId="14127"/>
    <cellStyle name="Comma 41 4 2 4" xfId="14128"/>
    <cellStyle name="Comma 41 4 2 5" xfId="14129"/>
    <cellStyle name="Comma 41 4 3" xfId="14130"/>
    <cellStyle name="Comma 41 4 3 2" xfId="14131"/>
    <cellStyle name="Comma 41 4 3 2 2" xfId="14132"/>
    <cellStyle name="Comma 41 4 3 2 3" xfId="14133"/>
    <cellStyle name="Comma 41 4 3 3" xfId="14134"/>
    <cellStyle name="Comma 41 4 3 3 2" xfId="14135"/>
    <cellStyle name="Comma 41 4 3 3 3" xfId="14136"/>
    <cellStyle name="Comma 41 4 3 4" xfId="14137"/>
    <cellStyle name="Comma 41 4 3 5" xfId="14138"/>
    <cellStyle name="Comma 41 4 4" xfId="14139"/>
    <cellStyle name="Comma 41 4 4 2" xfId="14140"/>
    <cellStyle name="Comma 41 4 4 3" xfId="14141"/>
    <cellStyle name="Comma 41 4 5" xfId="14142"/>
    <cellStyle name="Comma 41 4 5 2" xfId="14143"/>
    <cellStyle name="Comma 41 4 5 3" xfId="14144"/>
    <cellStyle name="Comma 41 4 6" xfId="14145"/>
    <cellStyle name="Comma 41 4 7" xfId="14146"/>
    <cellStyle name="Comma 41 5" xfId="14147"/>
    <cellStyle name="Comma 41 5 2" xfId="14148"/>
    <cellStyle name="Comma 41 5 2 2" xfId="14149"/>
    <cellStyle name="Comma 41 5 2 3" xfId="14150"/>
    <cellStyle name="Comma 41 5 3" xfId="14151"/>
    <cellStyle name="Comma 41 5 3 2" xfId="14152"/>
    <cellStyle name="Comma 41 5 3 3" xfId="14153"/>
    <cellStyle name="Comma 41 5 4" xfId="14154"/>
    <cellStyle name="Comma 41 5 5" xfId="14155"/>
    <cellStyle name="Comma 41 6" xfId="14156"/>
    <cellStyle name="Comma 41 6 2" xfId="14157"/>
    <cellStyle name="Comma 41 6 2 2" xfId="14158"/>
    <cellStyle name="Comma 41 6 2 3" xfId="14159"/>
    <cellStyle name="Comma 41 6 3" xfId="14160"/>
    <cellStyle name="Comma 41 6 3 2" xfId="14161"/>
    <cellStyle name="Comma 41 6 3 3" xfId="14162"/>
    <cellStyle name="Comma 41 6 4" xfId="14163"/>
    <cellStyle name="Comma 41 6 5" xfId="14164"/>
    <cellStyle name="Comma 41 7" xfId="14165"/>
    <cellStyle name="Comma 41 7 2" xfId="14166"/>
    <cellStyle name="Comma 41 7 3" xfId="14167"/>
    <cellStyle name="Comma 41 8" xfId="14168"/>
    <cellStyle name="Comma 41 8 2" xfId="14169"/>
    <cellStyle name="Comma 41 8 3" xfId="14170"/>
    <cellStyle name="Comma 41 9" xfId="14171"/>
    <cellStyle name="Comma 42" xfId="14172"/>
    <cellStyle name="Comma 43" xfId="14173"/>
    <cellStyle name="Comma 44" xfId="14174"/>
    <cellStyle name="Comma 45" xfId="14175"/>
    <cellStyle name="Comma 45 2" xfId="14176"/>
    <cellStyle name="Comma 45 2 2" xfId="14177"/>
    <cellStyle name="Comma 45 2 2 2" xfId="14178"/>
    <cellStyle name="Comma 45 2 2 2 2" xfId="14179"/>
    <cellStyle name="Comma 45 2 2 2 3" xfId="14180"/>
    <cellStyle name="Comma 45 2 2 3" xfId="14181"/>
    <cellStyle name="Comma 45 2 2 3 2" xfId="14182"/>
    <cellStyle name="Comma 45 2 2 3 3" xfId="14183"/>
    <cellStyle name="Comma 45 2 2 4" xfId="14184"/>
    <cellStyle name="Comma 45 2 2 5" xfId="14185"/>
    <cellStyle name="Comma 45 2 3" xfId="14186"/>
    <cellStyle name="Comma 45 2 3 2" xfId="14187"/>
    <cellStyle name="Comma 45 2 3 2 2" xfId="14188"/>
    <cellStyle name="Comma 45 2 3 2 3" xfId="14189"/>
    <cellStyle name="Comma 45 2 3 3" xfId="14190"/>
    <cellStyle name="Comma 45 2 3 3 2" xfId="14191"/>
    <cellStyle name="Comma 45 2 3 3 3" xfId="14192"/>
    <cellStyle name="Comma 45 2 3 4" xfId="14193"/>
    <cellStyle name="Comma 45 2 3 5" xfId="14194"/>
    <cellStyle name="Comma 45 2 4" xfId="14195"/>
    <cellStyle name="Comma 45 2 4 2" xfId="14196"/>
    <cellStyle name="Comma 45 2 4 3" xfId="14197"/>
    <cellStyle name="Comma 45 2 5" xfId="14198"/>
    <cellStyle name="Comma 45 2 5 2" xfId="14199"/>
    <cellStyle name="Comma 45 2 5 3" xfId="14200"/>
    <cellStyle name="Comma 45 2 6" xfId="14201"/>
    <cellStyle name="Comma 45 2 7" xfId="14202"/>
    <cellStyle name="Comma 45 3" xfId="14203"/>
    <cellStyle name="Comma 45 3 2" xfId="14204"/>
    <cellStyle name="Comma 45 3 2 2" xfId="14205"/>
    <cellStyle name="Comma 45 3 2 2 2" xfId="14206"/>
    <cellStyle name="Comma 45 3 2 2 3" xfId="14207"/>
    <cellStyle name="Comma 45 3 2 3" xfId="14208"/>
    <cellStyle name="Comma 45 3 2 3 2" xfId="14209"/>
    <cellStyle name="Comma 45 3 2 3 3" xfId="14210"/>
    <cellStyle name="Comma 45 3 2 4" xfId="14211"/>
    <cellStyle name="Comma 45 3 2 5" xfId="14212"/>
    <cellStyle name="Comma 45 3 3" xfId="14213"/>
    <cellStyle name="Comma 45 3 3 2" xfId="14214"/>
    <cellStyle name="Comma 45 3 3 2 2" xfId="14215"/>
    <cellStyle name="Comma 45 3 3 2 3" xfId="14216"/>
    <cellStyle name="Comma 45 3 3 3" xfId="14217"/>
    <cellStyle name="Comma 45 3 3 3 2" xfId="14218"/>
    <cellStyle name="Comma 45 3 3 3 3" xfId="14219"/>
    <cellStyle name="Comma 45 3 3 4" xfId="14220"/>
    <cellStyle name="Comma 45 3 3 5" xfId="14221"/>
    <cellStyle name="Comma 45 3 4" xfId="14222"/>
    <cellStyle name="Comma 45 3 4 2" xfId="14223"/>
    <cellStyle name="Comma 45 3 4 3" xfId="14224"/>
    <cellStyle name="Comma 45 3 5" xfId="14225"/>
    <cellStyle name="Comma 45 3 5 2" xfId="14226"/>
    <cellStyle name="Comma 45 3 5 3" xfId="14227"/>
    <cellStyle name="Comma 45 3 6" xfId="14228"/>
    <cellStyle name="Comma 45 3 7" xfId="14229"/>
    <cellStyle name="Comma 45 4" xfId="14230"/>
    <cellStyle name="Comma 45 4 2" xfId="14231"/>
    <cellStyle name="Comma 45 4 2 2" xfId="14232"/>
    <cellStyle name="Comma 45 4 2 3" xfId="14233"/>
    <cellStyle name="Comma 45 4 3" xfId="14234"/>
    <cellStyle name="Comma 45 4 3 2" xfId="14235"/>
    <cellStyle name="Comma 45 4 3 3" xfId="14236"/>
    <cellStyle name="Comma 45 4 4" xfId="14237"/>
    <cellStyle name="Comma 45 4 5" xfId="14238"/>
    <cellStyle name="Comma 45 5" xfId="14239"/>
    <cellStyle name="Comma 45 5 2" xfId="14240"/>
    <cellStyle name="Comma 45 5 2 2" xfId="14241"/>
    <cellStyle name="Comma 45 5 2 3" xfId="14242"/>
    <cellStyle name="Comma 45 5 3" xfId="14243"/>
    <cellStyle name="Comma 45 5 3 2" xfId="14244"/>
    <cellStyle name="Comma 45 5 3 3" xfId="14245"/>
    <cellStyle name="Comma 45 5 4" xfId="14246"/>
    <cellStyle name="Comma 45 5 5" xfId="14247"/>
    <cellStyle name="Comma 45 6" xfId="14248"/>
    <cellStyle name="Comma 45 6 2" xfId="14249"/>
    <cellStyle name="Comma 45 6 3" xfId="14250"/>
    <cellStyle name="Comma 45 7" xfId="14251"/>
    <cellStyle name="Comma 45 7 2" xfId="14252"/>
    <cellStyle name="Comma 45 7 3" xfId="14253"/>
    <cellStyle name="Comma 45 8" xfId="14254"/>
    <cellStyle name="Comma 45 9" xfId="14255"/>
    <cellStyle name="Comma 46" xfId="14256"/>
    <cellStyle name="Comma 46 2" xfId="14257"/>
    <cellStyle name="Comma 46 2 2" xfId="14258"/>
    <cellStyle name="Comma 46 2 2 2" xfId="14259"/>
    <cellStyle name="Comma 46 2 2 2 2" xfId="14260"/>
    <cellStyle name="Comma 46 2 2 2 3" xfId="14261"/>
    <cellStyle name="Comma 46 2 2 3" xfId="14262"/>
    <cellStyle name="Comma 46 2 2 3 2" xfId="14263"/>
    <cellStyle name="Comma 46 2 2 3 3" xfId="14264"/>
    <cellStyle name="Comma 46 2 2 4" xfId="14265"/>
    <cellStyle name="Comma 46 2 2 5" xfId="14266"/>
    <cellStyle name="Comma 46 2 3" xfId="14267"/>
    <cellStyle name="Comma 46 2 3 2" xfId="14268"/>
    <cellStyle name="Comma 46 2 3 2 2" xfId="14269"/>
    <cellStyle name="Comma 46 2 3 2 3" xfId="14270"/>
    <cellStyle name="Comma 46 2 3 3" xfId="14271"/>
    <cellStyle name="Comma 46 2 3 3 2" xfId="14272"/>
    <cellStyle name="Comma 46 2 3 3 3" xfId="14273"/>
    <cellStyle name="Comma 46 2 3 4" xfId="14274"/>
    <cellStyle name="Comma 46 2 3 5" xfId="14275"/>
    <cellStyle name="Comma 46 2 4" xfId="14276"/>
    <cellStyle name="Comma 46 2 4 2" xfId="14277"/>
    <cellStyle name="Comma 46 2 4 3" xfId="14278"/>
    <cellStyle name="Comma 46 2 5" xfId="14279"/>
    <cellStyle name="Comma 46 2 5 2" xfId="14280"/>
    <cellStyle name="Comma 46 2 5 3" xfId="14281"/>
    <cellStyle name="Comma 46 2 6" xfId="14282"/>
    <cellStyle name="Comma 46 2 7" xfId="14283"/>
    <cellStyle name="Comma 46 3" xfId="14284"/>
    <cellStyle name="Comma 46 3 2" xfId="14285"/>
    <cellStyle name="Comma 46 3 2 2" xfId="14286"/>
    <cellStyle name="Comma 46 3 2 2 2" xfId="14287"/>
    <cellStyle name="Comma 46 3 2 2 3" xfId="14288"/>
    <cellStyle name="Comma 46 3 2 3" xfId="14289"/>
    <cellStyle name="Comma 46 3 2 3 2" xfId="14290"/>
    <cellStyle name="Comma 46 3 2 3 3" xfId="14291"/>
    <cellStyle name="Comma 46 3 2 4" xfId="14292"/>
    <cellStyle name="Comma 46 3 2 5" xfId="14293"/>
    <cellStyle name="Comma 46 3 3" xfId="14294"/>
    <cellStyle name="Comma 46 3 3 2" xfId="14295"/>
    <cellStyle name="Comma 46 3 3 2 2" xfId="14296"/>
    <cellStyle name="Comma 46 3 3 2 3" xfId="14297"/>
    <cellStyle name="Comma 46 3 3 3" xfId="14298"/>
    <cellStyle name="Comma 46 3 3 3 2" xfId="14299"/>
    <cellStyle name="Comma 46 3 3 3 3" xfId="14300"/>
    <cellStyle name="Comma 46 3 3 4" xfId="14301"/>
    <cellStyle name="Comma 46 3 3 5" xfId="14302"/>
    <cellStyle name="Comma 46 3 4" xfId="14303"/>
    <cellStyle name="Comma 46 3 4 2" xfId="14304"/>
    <cellStyle name="Comma 46 3 4 3" xfId="14305"/>
    <cellStyle name="Comma 46 3 5" xfId="14306"/>
    <cellStyle name="Comma 46 3 5 2" xfId="14307"/>
    <cellStyle name="Comma 46 3 5 3" xfId="14308"/>
    <cellStyle name="Comma 46 3 6" xfId="14309"/>
    <cellStyle name="Comma 46 3 7" xfId="14310"/>
    <cellStyle name="Comma 46 4" xfId="14311"/>
    <cellStyle name="Comma 46 4 2" xfId="14312"/>
    <cellStyle name="Comma 46 4 2 2" xfId="14313"/>
    <cellStyle name="Comma 46 4 2 3" xfId="14314"/>
    <cellStyle name="Comma 46 4 3" xfId="14315"/>
    <cellStyle name="Comma 46 4 3 2" xfId="14316"/>
    <cellStyle name="Comma 46 4 3 3" xfId="14317"/>
    <cellStyle name="Comma 46 4 4" xfId="14318"/>
    <cellStyle name="Comma 46 4 5" xfId="14319"/>
    <cellStyle name="Comma 46 5" xfId="14320"/>
    <cellStyle name="Comma 46 5 2" xfId="14321"/>
    <cellStyle name="Comma 46 5 2 2" xfId="14322"/>
    <cellStyle name="Comma 46 5 2 3" xfId="14323"/>
    <cellStyle name="Comma 46 5 3" xfId="14324"/>
    <cellStyle name="Comma 46 5 3 2" xfId="14325"/>
    <cellStyle name="Comma 46 5 3 3" xfId="14326"/>
    <cellStyle name="Comma 46 5 4" xfId="14327"/>
    <cellStyle name="Comma 46 5 5" xfId="14328"/>
    <cellStyle name="Comma 46 6" xfId="14329"/>
    <cellStyle name="Comma 46 6 2" xfId="14330"/>
    <cellStyle name="Comma 46 6 3" xfId="14331"/>
    <cellStyle name="Comma 46 7" xfId="14332"/>
    <cellStyle name="Comma 46 7 2" xfId="14333"/>
    <cellStyle name="Comma 46 7 3" xfId="14334"/>
    <cellStyle name="Comma 46 8" xfId="14335"/>
    <cellStyle name="Comma 46 9" xfId="14336"/>
    <cellStyle name="Comma 47" xfId="14337"/>
    <cellStyle name="Comma 47 2" xfId="14338"/>
    <cellStyle name="Comma 47 2 2" xfId="14339"/>
    <cellStyle name="Comma 47 2 2 2" xfId="14340"/>
    <cellStyle name="Comma 47 2 2 2 2" xfId="14341"/>
    <cellStyle name="Comma 47 2 2 2 3" xfId="14342"/>
    <cellStyle name="Comma 47 2 2 3" xfId="14343"/>
    <cellStyle name="Comma 47 2 2 3 2" xfId="14344"/>
    <cellStyle name="Comma 47 2 2 3 3" xfId="14345"/>
    <cellStyle name="Comma 47 2 2 4" xfId="14346"/>
    <cellStyle name="Comma 47 2 2 5" xfId="14347"/>
    <cellStyle name="Comma 47 2 3" xfId="14348"/>
    <cellStyle name="Comma 47 2 3 2" xfId="14349"/>
    <cellStyle name="Comma 47 2 3 2 2" xfId="14350"/>
    <cellStyle name="Comma 47 2 3 2 3" xfId="14351"/>
    <cellStyle name="Comma 47 2 3 3" xfId="14352"/>
    <cellStyle name="Comma 47 2 3 3 2" xfId="14353"/>
    <cellStyle name="Comma 47 2 3 3 3" xfId="14354"/>
    <cellStyle name="Comma 47 2 3 4" xfId="14355"/>
    <cellStyle name="Comma 47 2 3 5" xfId="14356"/>
    <cellStyle name="Comma 47 2 4" xfId="14357"/>
    <cellStyle name="Comma 47 2 4 2" xfId="14358"/>
    <cellStyle name="Comma 47 2 4 3" xfId="14359"/>
    <cellStyle name="Comma 47 2 5" xfId="14360"/>
    <cellStyle name="Comma 47 2 5 2" xfId="14361"/>
    <cellStyle name="Comma 47 2 5 3" xfId="14362"/>
    <cellStyle name="Comma 47 2 6" xfId="14363"/>
    <cellStyle name="Comma 47 2 7" xfId="14364"/>
    <cellStyle name="Comma 47 3" xfId="14365"/>
    <cellStyle name="Comma 47 3 2" xfId="14366"/>
    <cellStyle name="Comma 47 3 2 2" xfId="14367"/>
    <cellStyle name="Comma 47 3 2 2 2" xfId="14368"/>
    <cellStyle name="Comma 47 3 2 2 3" xfId="14369"/>
    <cellStyle name="Comma 47 3 2 3" xfId="14370"/>
    <cellStyle name="Comma 47 3 2 3 2" xfId="14371"/>
    <cellStyle name="Comma 47 3 2 3 3" xfId="14372"/>
    <cellStyle name="Comma 47 3 2 4" xfId="14373"/>
    <cellStyle name="Comma 47 3 2 5" xfId="14374"/>
    <cellStyle name="Comma 47 3 3" xfId="14375"/>
    <cellStyle name="Comma 47 3 3 2" xfId="14376"/>
    <cellStyle name="Comma 47 3 3 2 2" xfId="14377"/>
    <cellStyle name="Comma 47 3 3 2 3" xfId="14378"/>
    <cellStyle name="Comma 47 3 3 3" xfId="14379"/>
    <cellStyle name="Comma 47 3 3 3 2" xfId="14380"/>
    <cellStyle name="Comma 47 3 3 3 3" xfId="14381"/>
    <cellStyle name="Comma 47 3 3 4" xfId="14382"/>
    <cellStyle name="Comma 47 3 3 5" xfId="14383"/>
    <cellStyle name="Comma 47 3 4" xfId="14384"/>
    <cellStyle name="Comma 47 3 4 2" xfId="14385"/>
    <cellStyle name="Comma 47 3 4 3" xfId="14386"/>
    <cellStyle name="Comma 47 3 5" xfId="14387"/>
    <cellStyle name="Comma 47 3 5 2" xfId="14388"/>
    <cellStyle name="Comma 47 3 5 3" xfId="14389"/>
    <cellStyle name="Comma 47 3 6" xfId="14390"/>
    <cellStyle name="Comma 47 3 7" xfId="14391"/>
    <cellStyle name="Comma 47 4" xfId="14392"/>
    <cellStyle name="Comma 47 4 2" xfId="14393"/>
    <cellStyle name="Comma 47 4 2 2" xfId="14394"/>
    <cellStyle name="Comma 47 4 2 3" xfId="14395"/>
    <cellStyle name="Comma 47 4 3" xfId="14396"/>
    <cellStyle name="Comma 47 4 3 2" xfId="14397"/>
    <cellStyle name="Comma 47 4 3 3" xfId="14398"/>
    <cellStyle name="Comma 47 4 4" xfId="14399"/>
    <cellStyle name="Comma 47 4 5" xfId="14400"/>
    <cellStyle name="Comma 47 5" xfId="14401"/>
    <cellStyle name="Comma 47 5 2" xfId="14402"/>
    <cellStyle name="Comma 47 5 2 2" xfId="14403"/>
    <cellStyle name="Comma 47 5 2 3" xfId="14404"/>
    <cellStyle name="Comma 47 5 3" xfId="14405"/>
    <cellStyle name="Comma 47 5 3 2" xfId="14406"/>
    <cellStyle name="Comma 47 5 3 3" xfId="14407"/>
    <cellStyle name="Comma 47 5 4" xfId="14408"/>
    <cellStyle name="Comma 47 5 5" xfId="14409"/>
    <cellStyle name="Comma 47 6" xfId="14410"/>
    <cellStyle name="Comma 47 6 2" xfId="14411"/>
    <cellStyle name="Comma 47 6 3" xfId="14412"/>
    <cellStyle name="Comma 47 7" xfId="14413"/>
    <cellStyle name="Comma 47 7 2" xfId="14414"/>
    <cellStyle name="Comma 47 7 3" xfId="14415"/>
    <cellStyle name="Comma 47 8" xfId="14416"/>
    <cellStyle name="Comma 47 9" xfId="14417"/>
    <cellStyle name="Comma 48" xfId="14418"/>
    <cellStyle name="Comma 48 2" xfId="14419"/>
    <cellStyle name="Comma 48 2 2" xfId="14420"/>
    <cellStyle name="Comma 48 2 2 2" xfId="14421"/>
    <cellStyle name="Comma 48 2 2 2 2" xfId="14422"/>
    <cellStyle name="Comma 48 2 2 2 3" xfId="14423"/>
    <cellStyle name="Comma 48 2 2 3" xfId="14424"/>
    <cellStyle name="Comma 48 2 2 3 2" xfId="14425"/>
    <cellStyle name="Comma 48 2 2 3 3" xfId="14426"/>
    <cellStyle name="Comma 48 2 2 4" xfId="14427"/>
    <cellStyle name="Comma 48 2 2 5" xfId="14428"/>
    <cellStyle name="Comma 48 2 3" xfId="14429"/>
    <cellStyle name="Comma 48 2 3 2" xfId="14430"/>
    <cellStyle name="Comma 48 2 3 2 2" xfId="14431"/>
    <cellStyle name="Comma 48 2 3 2 3" xfId="14432"/>
    <cellStyle name="Comma 48 2 3 3" xfId="14433"/>
    <cellStyle name="Comma 48 2 3 3 2" xfId="14434"/>
    <cellStyle name="Comma 48 2 3 3 3" xfId="14435"/>
    <cellStyle name="Comma 48 2 3 4" xfId="14436"/>
    <cellStyle name="Comma 48 2 3 5" xfId="14437"/>
    <cellStyle name="Comma 48 2 4" xfId="14438"/>
    <cellStyle name="Comma 48 2 4 2" xfId="14439"/>
    <cellStyle name="Comma 48 2 4 3" xfId="14440"/>
    <cellStyle name="Comma 48 2 5" xfId="14441"/>
    <cellStyle name="Comma 48 2 5 2" xfId="14442"/>
    <cellStyle name="Comma 48 2 5 3" xfId="14443"/>
    <cellStyle name="Comma 48 2 6" xfId="14444"/>
    <cellStyle name="Comma 48 2 7" xfId="14445"/>
    <cellStyle name="Comma 48 3" xfId="14446"/>
    <cellStyle name="Comma 48 3 2" xfId="14447"/>
    <cellStyle name="Comma 48 3 2 2" xfId="14448"/>
    <cellStyle name="Comma 48 3 2 2 2" xfId="14449"/>
    <cellStyle name="Comma 48 3 2 2 3" xfId="14450"/>
    <cellStyle name="Comma 48 3 2 3" xfId="14451"/>
    <cellStyle name="Comma 48 3 2 3 2" xfId="14452"/>
    <cellStyle name="Comma 48 3 2 3 3" xfId="14453"/>
    <cellStyle name="Comma 48 3 2 4" xfId="14454"/>
    <cellStyle name="Comma 48 3 2 5" xfId="14455"/>
    <cellStyle name="Comma 48 3 3" xfId="14456"/>
    <cellStyle name="Comma 48 3 3 2" xfId="14457"/>
    <cellStyle name="Comma 48 3 3 2 2" xfId="14458"/>
    <cellStyle name="Comma 48 3 3 2 3" xfId="14459"/>
    <cellStyle name="Comma 48 3 3 3" xfId="14460"/>
    <cellStyle name="Comma 48 3 3 3 2" xfId="14461"/>
    <cellStyle name="Comma 48 3 3 3 3" xfId="14462"/>
    <cellStyle name="Comma 48 3 3 4" xfId="14463"/>
    <cellStyle name="Comma 48 3 3 5" xfId="14464"/>
    <cellStyle name="Comma 48 3 4" xfId="14465"/>
    <cellStyle name="Comma 48 3 4 2" xfId="14466"/>
    <cellStyle name="Comma 48 3 4 3" xfId="14467"/>
    <cellStyle name="Comma 48 3 5" xfId="14468"/>
    <cellStyle name="Comma 48 3 5 2" xfId="14469"/>
    <cellStyle name="Comma 48 3 5 3" xfId="14470"/>
    <cellStyle name="Comma 48 3 6" xfId="14471"/>
    <cellStyle name="Comma 48 3 7" xfId="14472"/>
    <cellStyle name="Comma 48 4" xfId="14473"/>
    <cellStyle name="Comma 48 4 2" xfId="14474"/>
    <cellStyle name="Comma 48 4 2 2" xfId="14475"/>
    <cellStyle name="Comma 48 4 2 3" xfId="14476"/>
    <cellStyle name="Comma 48 4 3" xfId="14477"/>
    <cellStyle name="Comma 48 4 3 2" xfId="14478"/>
    <cellStyle name="Comma 48 4 3 3" xfId="14479"/>
    <cellStyle name="Comma 48 4 4" xfId="14480"/>
    <cellStyle name="Comma 48 4 5" xfId="14481"/>
    <cellStyle name="Comma 48 5" xfId="14482"/>
    <cellStyle name="Comma 48 5 2" xfId="14483"/>
    <cellStyle name="Comma 48 5 2 2" xfId="14484"/>
    <cellStyle name="Comma 48 5 2 3" xfId="14485"/>
    <cellStyle name="Comma 48 5 3" xfId="14486"/>
    <cellStyle name="Comma 48 5 3 2" xfId="14487"/>
    <cellStyle name="Comma 48 5 3 3" xfId="14488"/>
    <cellStyle name="Comma 48 5 4" xfId="14489"/>
    <cellStyle name="Comma 48 5 5" xfId="14490"/>
    <cellStyle name="Comma 48 6" xfId="14491"/>
    <cellStyle name="Comma 48 6 2" xfId="14492"/>
    <cellStyle name="Comma 48 6 3" xfId="14493"/>
    <cellStyle name="Comma 48 7" xfId="14494"/>
    <cellStyle name="Comma 48 7 2" xfId="14495"/>
    <cellStyle name="Comma 48 7 3" xfId="14496"/>
    <cellStyle name="Comma 48 8" xfId="14497"/>
    <cellStyle name="Comma 48 9" xfId="14498"/>
    <cellStyle name="Comma 49" xfId="14499"/>
    <cellStyle name="Comma 5" xfId="14500"/>
    <cellStyle name="Comma 5 10" xfId="14501"/>
    <cellStyle name="Comma 5 11" xfId="14502"/>
    <cellStyle name="Comma 5 12" xfId="14503"/>
    <cellStyle name="Comma 5 13" xfId="14504"/>
    <cellStyle name="Comma 5 14" xfId="14505"/>
    <cellStyle name="Comma 5 15" xfId="14506"/>
    <cellStyle name="Comma 5 16" xfId="14507"/>
    <cellStyle name="Comma 5 17" xfId="14508"/>
    <cellStyle name="Comma 5 18" xfId="14509"/>
    <cellStyle name="Comma 5 19" xfId="14510"/>
    <cellStyle name="Comma 5 2" xfId="14511"/>
    <cellStyle name="Comma 5 2 2" xfId="14512"/>
    <cellStyle name="Comma 5 2 3" xfId="14513"/>
    <cellStyle name="Comma 5 2 4" xfId="14514"/>
    <cellStyle name="Comma 5 2 5" xfId="14515"/>
    <cellStyle name="Comma 5 2 6" xfId="14516"/>
    <cellStyle name="Comma 5 2 7" xfId="14517"/>
    <cellStyle name="Comma 5 2 8" xfId="14518"/>
    <cellStyle name="Comma 5 2 9" xfId="14519"/>
    <cellStyle name="Comma 5 20" xfId="14520"/>
    <cellStyle name="Comma 5 21" xfId="14521"/>
    <cellStyle name="Comma 5 22" xfId="14522"/>
    <cellStyle name="Comma 5 23" xfId="14523"/>
    <cellStyle name="Comma 5 24" xfId="14524"/>
    <cellStyle name="Comma 5 25" xfId="14525"/>
    <cellStyle name="Comma 5 26" xfId="14526"/>
    <cellStyle name="Comma 5 27" xfId="14527"/>
    <cellStyle name="Comma 5 28" xfId="42893"/>
    <cellStyle name="Comma 5 3" xfId="14528"/>
    <cellStyle name="Comma 5 3 2" xfId="14529"/>
    <cellStyle name="Comma 5 4" xfId="14530"/>
    <cellStyle name="Comma 5 5" xfId="14531"/>
    <cellStyle name="Comma 5 6" xfId="14532"/>
    <cellStyle name="Comma 5 7" xfId="14533"/>
    <cellStyle name="Comma 5 8" xfId="14534"/>
    <cellStyle name="Comma 5 9" xfId="14535"/>
    <cellStyle name="Comma 5_Dashboard - Inventory Metrics Aug 2012" xfId="14536"/>
    <cellStyle name="Comma 50" xfId="14537"/>
    <cellStyle name="Comma 50 2" xfId="14538"/>
    <cellStyle name="Comma 50 2 2" xfId="14539"/>
    <cellStyle name="Comma 50 2 2 2" xfId="14540"/>
    <cellStyle name="Comma 50 2 2 2 2" xfId="14541"/>
    <cellStyle name="Comma 50 2 2 2 3" xfId="14542"/>
    <cellStyle name="Comma 50 2 2 3" xfId="14543"/>
    <cellStyle name="Comma 50 2 2 3 2" xfId="14544"/>
    <cellStyle name="Comma 50 2 2 3 3" xfId="14545"/>
    <cellStyle name="Comma 50 2 2 4" xfId="14546"/>
    <cellStyle name="Comma 50 2 2 5" xfId="14547"/>
    <cellStyle name="Comma 50 2 3" xfId="14548"/>
    <cellStyle name="Comma 50 2 3 2" xfId="14549"/>
    <cellStyle name="Comma 50 2 3 2 2" xfId="14550"/>
    <cellStyle name="Comma 50 2 3 2 3" xfId="14551"/>
    <cellStyle name="Comma 50 2 3 3" xfId="14552"/>
    <cellStyle name="Comma 50 2 3 3 2" xfId="14553"/>
    <cellStyle name="Comma 50 2 3 3 3" xfId="14554"/>
    <cellStyle name="Comma 50 2 3 4" xfId="14555"/>
    <cellStyle name="Comma 50 2 3 5" xfId="14556"/>
    <cellStyle name="Comma 50 2 4" xfId="14557"/>
    <cellStyle name="Comma 50 2 4 2" xfId="14558"/>
    <cellStyle name="Comma 50 2 4 3" xfId="14559"/>
    <cellStyle name="Comma 50 2 5" xfId="14560"/>
    <cellStyle name="Comma 50 2 5 2" xfId="14561"/>
    <cellStyle name="Comma 50 2 5 3" xfId="14562"/>
    <cellStyle name="Comma 50 2 6" xfId="14563"/>
    <cellStyle name="Comma 50 2 7" xfId="14564"/>
    <cellStyle name="Comma 50 3" xfId="14565"/>
    <cellStyle name="Comma 50 3 2" xfId="14566"/>
    <cellStyle name="Comma 50 3 2 2" xfId="14567"/>
    <cellStyle name="Comma 50 3 2 2 2" xfId="14568"/>
    <cellStyle name="Comma 50 3 2 2 3" xfId="14569"/>
    <cellStyle name="Comma 50 3 2 3" xfId="14570"/>
    <cellStyle name="Comma 50 3 2 3 2" xfId="14571"/>
    <cellStyle name="Comma 50 3 2 3 3" xfId="14572"/>
    <cellStyle name="Comma 50 3 2 4" xfId="14573"/>
    <cellStyle name="Comma 50 3 2 5" xfId="14574"/>
    <cellStyle name="Comma 50 3 3" xfId="14575"/>
    <cellStyle name="Comma 50 3 3 2" xfId="14576"/>
    <cellStyle name="Comma 50 3 3 2 2" xfId="14577"/>
    <cellStyle name="Comma 50 3 3 2 3" xfId="14578"/>
    <cellStyle name="Comma 50 3 3 3" xfId="14579"/>
    <cellStyle name="Comma 50 3 3 3 2" xfId="14580"/>
    <cellStyle name="Comma 50 3 3 3 3" xfId="14581"/>
    <cellStyle name="Comma 50 3 3 4" xfId="14582"/>
    <cellStyle name="Comma 50 3 3 5" xfId="14583"/>
    <cellStyle name="Comma 50 3 4" xfId="14584"/>
    <cellStyle name="Comma 50 3 4 2" xfId="14585"/>
    <cellStyle name="Comma 50 3 4 3" xfId="14586"/>
    <cellStyle name="Comma 50 3 5" xfId="14587"/>
    <cellStyle name="Comma 50 3 5 2" xfId="14588"/>
    <cellStyle name="Comma 50 3 5 3" xfId="14589"/>
    <cellStyle name="Comma 50 3 6" xfId="14590"/>
    <cellStyle name="Comma 50 3 7" xfId="14591"/>
    <cellStyle name="Comma 50 4" xfId="14592"/>
    <cellStyle name="Comma 50 4 2" xfId="14593"/>
    <cellStyle name="Comma 50 4 2 2" xfId="14594"/>
    <cellStyle name="Comma 50 4 2 3" xfId="14595"/>
    <cellStyle name="Comma 50 4 3" xfId="14596"/>
    <cellStyle name="Comma 50 4 3 2" xfId="14597"/>
    <cellStyle name="Comma 50 4 3 3" xfId="14598"/>
    <cellStyle name="Comma 50 4 4" xfId="14599"/>
    <cellStyle name="Comma 50 4 5" xfId="14600"/>
    <cellStyle name="Comma 50 5" xfId="14601"/>
    <cellStyle name="Comma 50 5 2" xfId="14602"/>
    <cellStyle name="Comma 50 5 2 2" xfId="14603"/>
    <cellStyle name="Comma 50 5 2 3" xfId="14604"/>
    <cellStyle name="Comma 50 5 3" xfId="14605"/>
    <cellStyle name="Comma 50 5 3 2" xfId="14606"/>
    <cellStyle name="Comma 50 5 3 3" xfId="14607"/>
    <cellStyle name="Comma 50 5 4" xfId="14608"/>
    <cellStyle name="Comma 50 5 5" xfId="14609"/>
    <cellStyle name="Comma 50 6" xfId="14610"/>
    <cellStyle name="Comma 50 6 2" xfId="14611"/>
    <cellStyle name="Comma 50 6 3" xfId="14612"/>
    <cellStyle name="Comma 50 7" xfId="14613"/>
    <cellStyle name="Comma 50 7 2" xfId="14614"/>
    <cellStyle name="Comma 50 7 3" xfId="14615"/>
    <cellStyle name="Comma 50 8" xfId="14616"/>
    <cellStyle name="Comma 50 9" xfId="14617"/>
    <cellStyle name="Comma 51" xfId="14618"/>
    <cellStyle name="Comma 51 10" xfId="11"/>
    <cellStyle name="Comma 51 2" xfId="14619"/>
    <cellStyle name="Comma 51 2 2" xfId="14620"/>
    <cellStyle name="Comma 51 2 2 2" xfId="14621"/>
    <cellStyle name="Comma 51 2 2 2 2" xfId="14622"/>
    <cellStyle name="Comma 51 2 2 2 3" xfId="14623"/>
    <cellStyle name="Comma 51 2 2 3" xfId="14624"/>
    <cellStyle name="Comma 51 2 2 3 2" xfId="14625"/>
    <cellStyle name="Comma 51 2 2 3 3" xfId="14626"/>
    <cellStyle name="Comma 51 2 2 4" xfId="14627"/>
    <cellStyle name="Comma 51 2 2 5" xfId="14628"/>
    <cellStyle name="Comma 51 2 3" xfId="14629"/>
    <cellStyle name="Comma 51 2 3 2" xfId="14630"/>
    <cellStyle name="Comma 51 2 3 2 2" xfId="14631"/>
    <cellStyle name="Comma 51 2 3 2 3" xfId="14632"/>
    <cellStyle name="Comma 51 2 3 3" xfId="14633"/>
    <cellStyle name="Comma 51 2 3 3 2" xfId="14634"/>
    <cellStyle name="Comma 51 2 3 3 3" xfId="14635"/>
    <cellStyle name="Comma 51 2 3 4" xfId="14636"/>
    <cellStyle name="Comma 51 2 3 5" xfId="14637"/>
    <cellStyle name="Comma 51 2 4" xfId="14638"/>
    <cellStyle name="Comma 51 2 4 2" xfId="14639"/>
    <cellStyle name="Comma 51 2 4 3" xfId="14640"/>
    <cellStyle name="Comma 51 2 5" xfId="14641"/>
    <cellStyle name="Comma 51 2 5 2" xfId="14642"/>
    <cellStyle name="Comma 51 2 5 3" xfId="14643"/>
    <cellStyle name="Comma 51 2 6" xfId="14644"/>
    <cellStyle name="Comma 51 2 7" xfId="14645"/>
    <cellStyle name="Comma 51 3" xfId="14646"/>
    <cellStyle name="Comma 51 3 2" xfId="14647"/>
    <cellStyle name="Comma 51 3 2 2" xfId="14648"/>
    <cellStyle name="Comma 51 3 2 2 2" xfId="14649"/>
    <cellStyle name="Comma 51 3 2 2 3" xfId="14650"/>
    <cellStyle name="Comma 51 3 2 3" xfId="14651"/>
    <cellStyle name="Comma 51 3 2 3 2" xfId="14652"/>
    <cellStyle name="Comma 51 3 2 3 3" xfId="14653"/>
    <cellStyle name="Comma 51 3 2 4" xfId="14654"/>
    <cellStyle name="Comma 51 3 2 5" xfId="14655"/>
    <cellStyle name="Comma 51 3 3" xfId="14656"/>
    <cellStyle name="Comma 51 3 3 2" xfId="14657"/>
    <cellStyle name="Comma 51 3 3 2 2" xfId="14658"/>
    <cellStyle name="Comma 51 3 3 2 3" xfId="14659"/>
    <cellStyle name="Comma 51 3 3 3" xfId="14660"/>
    <cellStyle name="Comma 51 3 3 3 2" xfId="14661"/>
    <cellStyle name="Comma 51 3 3 3 3" xfId="14662"/>
    <cellStyle name="Comma 51 3 3 4" xfId="14663"/>
    <cellStyle name="Comma 51 3 3 5" xfId="14664"/>
    <cellStyle name="Comma 51 3 4" xfId="14665"/>
    <cellStyle name="Comma 51 3 4 2" xfId="14666"/>
    <cellStyle name="Comma 51 3 4 3" xfId="14667"/>
    <cellStyle name="Comma 51 3 5" xfId="14668"/>
    <cellStyle name="Comma 51 3 5 2" xfId="14669"/>
    <cellStyle name="Comma 51 3 5 3" xfId="14670"/>
    <cellStyle name="Comma 51 3 6" xfId="14671"/>
    <cellStyle name="Comma 51 3 7" xfId="14672"/>
    <cellStyle name="Comma 51 4" xfId="14673"/>
    <cellStyle name="Comma 51 4 2" xfId="14674"/>
    <cellStyle name="Comma 51 4 2 2" xfId="14675"/>
    <cellStyle name="Comma 51 4 2 3" xfId="14676"/>
    <cellStyle name="Comma 51 4 3" xfId="14677"/>
    <cellStyle name="Comma 51 4 3 2" xfId="14678"/>
    <cellStyle name="Comma 51 4 3 3" xfId="14679"/>
    <cellStyle name="Comma 51 4 4" xfId="14680"/>
    <cellStyle name="Comma 51 4 5" xfId="14681"/>
    <cellStyle name="Comma 51 5" xfId="14682"/>
    <cellStyle name="Comma 51 5 2" xfId="14683"/>
    <cellStyle name="Comma 51 5 2 2" xfId="14684"/>
    <cellStyle name="Comma 51 5 2 3" xfId="14685"/>
    <cellStyle name="Comma 51 5 3" xfId="14686"/>
    <cellStyle name="Comma 51 5 3 2" xfId="14687"/>
    <cellStyle name="Comma 51 5 3 3" xfId="14688"/>
    <cellStyle name="Comma 51 5 4" xfId="14689"/>
    <cellStyle name="Comma 51 5 5" xfId="14690"/>
    <cellStyle name="Comma 51 6" xfId="14691"/>
    <cellStyle name="Comma 51 6 2" xfId="14692"/>
    <cellStyle name="Comma 51 6 3" xfId="14693"/>
    <cellStyle name="Comma 51 7" xfId="14694"/>
    <cellStyle name="Comma 51 7 2" xfId="14695"/>
    <cellStyle name="Comma 51 7 2 2" xfId="14696"/>
    <cellStyle name="Comma 51 7 3" xfId="14697"/>
    <cellStyle name="Comma 51 8" xfId="14698"/>
    <cellStyle name="Comma 51 8 2" xfId="14699"/>
    <cellStyle name="Comma 51 9" xfId="14700"/>
    <cellStyle name="Comma 52" xfId="14701"/>
    <cellStyle name="Comma 52 2" xfId="14702"/>
    <cellStyle name="Comma 52 2 2" xfId="14703"/>
    <cellStyle name="Comma 52 2 2 2" xfId="14704"/>
    <cellStyle name="Comma 52 2 2 2 2" xfId="14705"/>
    <cellStyle name="Comma 52 2 2 2 3" xfId="14706"/>
    <cellStyle name="Comma 52 2 2 3" xfId="14707"/>
    <cellStyle name="Comma 52 2 2 3 2" xfId="14708"/>
    <cellStyle name="Comma 52 2 2 3 3" xfId="14709"/>
    <cellStyle name="Comma 52 2 2 4" xfId="14710"/>
    <cellStyle name="Comma 52 2 2 5" xfId="14711"/>
    <cellStyle name="Comma 52 2 3" xfId="14712"/>
    <cellStyle name="Comma 52 2 3 2" xfId="14713"/>
    <cellStyle name="Comma 52 2 3 2 2" xfId="14714"/>
    <cellStyle name="Comma 52 2 3 2 3" xfId="14715"/>
    <cellStyle name="Comma 52 2 3 3" xfId="14716"/>
    <cellStyle name="Comma 52 2 3 3 2" xfId="14717"/>
    <cellStyle name="Comma 52 2 3 3 3" xfId="14718"/>
    <cellStyle name="Comma 52 2 3 4" xfId="14719"/>
    <cellStyle name="Comma 52 2 3 5" xfId="14720"/>
    <cellStyle name="Comma 52 2 4" xfId="14721"/>
    <cellStyle name="Comma 52 2 4 2" xfId="14722"/>
    <cellStyle name="Comma 52 2 4 3" xfId="14723"/>
    <cellStyle name="Comma 52 2 5" xfId="14724"/>
    <cellStyle name="Comma 52 2 5 2" xfId="14725"/>
    <cellStyle name="Comma 52 2 5 3" xfId="14726"/>
    <cellStyle name="Comma 52 2 6" xfId="14727"/>
    <cellStyle name="Comma 52 2 7" xfId="14728"/>
    <cellStyle name="Comma 52 3" xfId="14729"/>
    <cellStyle name="Comma 52 3 2" xfId="14730"/>
    <cellStyle name="Comma 52 3 2 2" xfId="14731"/>
    <cellStyle name="Comma 52 3 2 2 2" xfId="14732"/>
    <cellStyle name="Comma 52 3 2 2 3" xfId="14733"/>
    <cellStyle name="Comma 52 3 2 3" xfId="14734"/>
    <cellStyle name="Comma 52 3 2 3 2" xfId="14735"/>
    <cellStyle name="Comma 52 3 2 3 3" xfId="14736"/>
    <cellStyle name="Comma 52 3 2 4" xfId="14737"/>
    <cellStyle name="Comma 52 3 2 5" xfId="14738"/>
    <cellStyle name="Comma 52 3 3" xfId="14739"/>
    <cellStyle name="Comma 52 3 3 2" xfId="14740"/>
    <cellStyle name="Comma 52 3 3 2 2" xfId="14741"/>
    <cellStyle name="Comma 52 3 3 2 3" xfId="14742"/>
    <cellStyle name="Comma 52 3 3 3" xfId="14743"/>
    <cellStyle name="Comma 52 3 3 3 2" xfId="14744"/>
    <cellStyle name="Comma 52 3 3 3 3" xfId="14745"/>
    <cellStyle name="Comma 52 3 3 4" xfId="14746"/>
    <cellStyle name="Comma 52 3 3 5" xfId="14747"/>
    <cellStyle name="Comma 52 3 4" xfId="14748"/>
    <cellStyle name="Comma 52 3 4 2" xfId="14749"/>
    <cellStyle name="Comma 52 3 4 3" xfId="14750"/>
    <cellStyle name="Comma 52 3 5" xfId="14751"/>
    <cellStyle name="Comma 52 3 5 2" xfId="14752"/>
    <cellStyle name="Comma 52 3 5 3" xfId="14753"/>
    <cellStyle name="Comma 52 3 6" xfId="14754"/>
    <cellStyle name="Comma 52 3 7" xfId="14755"/>
    <cellStyle name="Comma 52 4" xfId="14756"/>
    <cellStyle name="Comma 52 4 2" xfId="14757"/>
    <cellStyle name="Comma 52 4 2 2" xfId="14758"/>
    <cellStyle name="Comma 52 4 2 3" xfId="14759"/>
    <cellStyle name="Comma 52 4 3" xfId="14760"/>
    <cellStyle name="Comma 52 4 3 2" xfId="14761"/>
    <cellStyle name="Comma 52 4 3 3" xfId="14762"/>
    <cellStyle name="Comma 52 4 4" xfId="14763"/>
    <cellStyle name="Comma 52 4 5" xfId="14764"/>
    <cellStyle name="Comma 52 5" xfId="14765"/>
    <cellStyle name="Comma 52 5 2" xfId="14766"/>
    <cellStyle name="Comma 52 5 2 2" xfId="14767"/>
    <cellStyle name="Comma 52 5 2 3" xfId="14768"/>
    <cellStyle name="Comma 52 5 3" xfId="14769"/>
    <cellStyle name="Comma 52 5 3 2" xfId="14770"/>
    <cellStyle name="Comma 52 5 3 3" xfId="14771"/>
    <cellStyle name="Comma 52 5 4" xfId="14772"/>
    <cellStyle name="Comma 52 5 5" xfId="14773"/>
    <cellStyle name="Comma 52 6" xfId="14774"/>
    <cellStyle name="Comma 52 6 2" xfId="14775"/>
    <cellStyle name="Comma 52 6 3" xfId="14776"/>
    <cellStyle name="Comma 52 7" xfId="14777"/>
    <cellStyle name="Comma 52 7 2" xfId="14778"/>
    <cellStyle name="Comma 52 7 3" xfId="14779"/>
    <cellStyle name="Comma 52 8" xfId="14780"/>
    <cellStyle name="Comma 52 9" xfId="14781"/>
    <cellStyle name="Comma 53" xfId="14782"/>
    <cellStyle name="Comma 53 2" xfId="14783"/>
    <cellStyle name="Comma 53 2 2" xfId="14784"/>
    <cellStyle name="Comma 53 2 2 2" xfId="14785"/>
    <cellStyle name="Comma 53 2 2 3" xfId="14786"/>
    <cellStyle name="Comma 53 2 3" xfId="14787"/>
    <cellStyle name="Comma 53 2 4" xfId="14788"/>
    <cellStyle name="Comma 53 2 5" xfId="14789"/>
    <cellStyle name="Comma 53 3" xfId="14790"/>
    <cellStyle name="Comma 53 4" xfId="14791"/>
    <cellStyle name="Comma 54" xfId="14792"/>
    <cellStyle name="Comma 54 2" xfId="14793"/>
    <cellStyle name="Comma 54 2 2" xfId="14794"/>
    <cellStyle name="Comma 54 2 2 2" xfId="14795"/>
    <cellStyle name="Comma 54 2 2 2 2" xfId="14796"/>
    <cellStyle name="Comma 54 2 2 2 3" xfId="14797"/>
    <cellStyle name="Comma 54 2 2 3" xfId="14798"/>
    <cellStyle name="Comma 54 2 2 3 2" xfId="14799"/>
    <cellStyle name="Comma 54 2 2 3 3" xfId="14800"/>
    <cellStyle name="Comma 54 2 2 4" xfId="14801"/>
    <cellStyle name="Comma 54 2 2 5" xfId="14802"/>
    <cellStyle name="Comma 54 2 3" xfId="14803"/>
    <cellStyle name="Comma 54 2 3 2" xfId="14804"/>
    <cellStyle name="Comma 54 2 3 2 2" xfId="14805"/>
    <cellStyle name="Comma 54 2 3 2 3" xfId="14806"/>
    <cellStyle name="Comma 54 2 3 3" xfId="14807"/>
    <cellStyle name="Comma 54 2 3 3 2" xfId="14808"/>
    <cellStyle name="Comma 54 2 3 3 3" xfId="14809"/>
    <cellStyle name="Comma 54 2 3 4" xfId="14810"/>
    <cellStyle name="Comma 54 2 3 5" xfId="14811"/>
    <cellStyle name="Comma 54 2 4" xfId="14812"/>
    <cellStyle name="Comma 54 2 4 2" xfId="14813"/>
    <cellStyle name="Comma 54 2 4 3" xfId="14814"/>
    <cellStyle name="Comma 54 2 5" xfId="14815"/>
    <cellStyle name="Comma 54 2 5 2" xfId="14816"/>
    <cellStyle name="Comma 54 2 5 3" xfId="14817"/>
    <cellStyle name="Comma 54 2 6" xfId="14818"/>
    <cellStyle name="Comma 54 2 7" xfId="14819"/>
    <cellStyle name="Comma 54 3" xfId="14820"/>
    <cellStyle name="Comma 54 3 2" xfId="14821"/>
    <cellStyle name="Comma 54 3 2 2" xfId="14822"/>
    <cellStyle name="Comma 54 3 2 2 2" xfId="14823"/>
    <cellStyle name="Comma 54 3 2 2 3" xfId="14824"/>
    <cellStyle name="Comma 54 3 2 3" xfId="14825"/>
    <cellStyle name="Comma 54 3 2 3 2" xfId="14826"/>
    <cellStyle name="Comma 54 3 2 3 3" xfId="14827"/>
    <cellStyle name="Comma 54 3 2 4" xfId="14828"/>
    <cellStyle name="Comma 54 3 2 5" xfId="14829"/>
    <cellStyle name="Comma 54 3 3" xfId="14830"/>
    <cellStyle name="Comma 54 3 3 2" xfId="14831"/>
    <cellStyle name="Comma 54 3 3 2 2" xfId="14832"/>
    <cellStyle name="Comma 54 3 3 2 3" xfId="14833"/>
    <cellStyle name="Comma 54 3 3 3" xfId="14834"/>
    <cellStyle name="Comma 54 3 3 3 2" xfId="14835"/>
    <cellStyle name="Comma 54 3 3 3 3" xfId="14836"/>
    <cellStyle name="Comma 54 3 3 4" xfId="14837"/>
    <cellStyle name="Comma 54 3 3 5" xfId="14838"/>
    <cellStyle name="Comma 54 3 4" xfId="14839"/>
    <cellStyle name="Comma 54 3 4 2" xfId="14840"/>
    <cellStyle name="Comma 54 3 4 3" xfId="14841"/>
    <cellStyle name="Comma 54 3 5" xfId="14842"/>
    <cellStyle name="Comma 54 3 5 2" xfId="14843"/>
    <cellStyle name="Comma 54 3 5 3" xfId="14844"/>
    <cellStyle name="Comma 54 3 6" xfId="14845"/>
    <cellStyle name="Comma 54 3 7" xfId="14846"/>
    <cellStyle name="Comma 54 4" xfId="14847"/>
    <cellStyle name="Comma 54 4 2" xfId="14848"/>
    <cellStyle name="Comma 54 4 2 2" xfId="14849"/>
    <cellStyle name="Comma 54 4 2 3" xfId="14850"/>
    <cellStyle name="Comma 54 4 3" xfId="14851"/>
    <cellStyle name="Comma 54 4 3 2" xfId="14852"/>
    <cellStyle name="Comma 54 4 3 3" xfId="14853"/>
    <cellStyle name="Comma 54 4 4" xfId="14854"/>
    <cellStyle name="Comma 54 4 5" xfId="14855"/>
    <cellStyle name="Comma 54 5" xfId="14856"/>
    <cellStyle name="Comma 54 5 2" xfId="14857"/>
    <cellStyle name="Comma 54 5 2 2" xfId="14858"/>
    <cellStyle name="Comma 54 5 2 3" xfId="14859"/>
    <cellStyle name="Comma 54 5 3" xfId="14860"/>
    <cellStyle name="Comma 54 5 3 2" xfId="14861"/>
    <cellStyle name="Comma 54 5 3 3" xfId="14862"/>
    <cellStyle name="Comma 54 5 4" xfId="14863"/>
    <cellStyle name="Comma 54 5 5" xfId="14864"/>
    <cellStyle name="Comma 54 6" xfId="14865"/>
    <cellStyle name="Comma 54 6 2" xfId="14866"/>
    <cellStyle name="Comma 54 6 3" xfId="14867"/>
    <cellStyle name="Comma 54 7" xfId="14868"/>
    <cellStyle name="Comma 54 7 2" xfId="14869"/>
    <cellStyle name="Comma 54 7 3" xfId="14870"/>
    <cellStyle name="Comma 54 8" xfId="14871"/>
    <cellStyle name="Comma 54 9" xfId="14872"/>
    <cellStyle name="Comma 55" xfId="14873"/>
    <cellStyle name="Comma 55 2" xfId="14874"/>
    <cellStyle name="Comma 55 3" xfId="14875"/>
    <cellStyle name="Comma 56" xfId="14876"/>
    <cellStyle name="Comma 56 2" xfId="14877"/>
    <cellStyle name="Comma 56 3" xfId="14878"/>
    <cellStyle name="Comma 57" xfId="14879"/>
    <cellStyle name="Comma 57 2" xfId="14880"/>
    <cellStyle name="Comma 57 3" xfId="14881"/>
    <cellStyle name="Comma 58" xfId="14882"/>
    <cellStyle name="Comma 58 2" xfId="14883"/>
    <cellStyle name="Comma 58 3" xfId="14884"/>
    <cellStyle name="Comma 59" xfId="14885"/>
    <cellStyle name="Comma 59 2" xfId="14886"/>
    <cellStyle name="Comma 59 3" xfId="14887"/>
    <cellStyle name="Comma 6" xfId="14888"/>
    <cellStyle name="Comma 6 10" xfId="14889"/>
    <cellStyle name="Comma 6 11" xfId="14890"/>
    <cellStyle name="Comma 6 12" xfId="14891"/>
    <cellStyle name="Comma 6 12 2" xfId="14892"/>
    <cellStyle name="Comma 6 12 2 2" xfId="14893"/>
    <cellStyle name="Comma 6 12 2 2 2" xfId="14894"/>
    <cellStyle name="Comma 6 12 2 2 2 2" xfId="14895"/>
    <cellStyle name="Comma 6 12 2 2 2 3" xfId="14896"/>
    <cellStyle name="Comma 6 12 2 2 3" xfId="14897"/>
    <cellStyle name="Comma 6 12 2 2 3 2" xfId="14898"/>
    <cellStyle name="Comma 6 12 2 2 3 3" xfId="14899"/>
    <cellStyle name="Comma 6 12 2 2 4" xfId="14900"/>
    <cellStyle name="Comma 6 12 2 2 5" xfId="14901"/>
    <cellStyle name="Comma 6 12 2 3" xfId="14902"/>
    <cellStyle name="Comma 6 12 2 3 2" xfId="14903"/>
    <cellStyle name="Comma 6 12 2 3 2 2" xfId="14904"/>
    <cellStyle name="Comma 6 12 2 3 2 3" xfId="14905"/>
    <cellStyle name="Comma 6 12 2 3 3" xfId="14906"/>
    <cellStyle name="Comma 6 12 2 3 3 2" xfId="14907"/>
    <cellStyle name="Comma 6 12 2 3 3 3" xfId="14908"/>
    <cellStyle name="Comma 6 12 2 3 4" xfId="14909"/>
    <cellStyle name="Comma 6 12 2 3 5" xfId="14910"/>
    <cellStyle name="Comma 6 12 2 4" xfId="14911"/>
    <cellStyle name="Comma 6 12 2 4 2" xfId="14912"/>
    <cellStyle name="Comma 6 12 2 4 3" xfId="14913"/>
    <cellStyle name="Comma 6 12 2 5" xfId="14914"/>
    <cellStyle name="Comma 6 12 2 5 2" xfId="14915"/>
    <cellStyle name="Comma 6 12 2 5 3" xfId="14916"/>
    <cellStyle name="Comma 6 12 2 6" xfId="14917"/>
    <cellStyle name="Comma 6 12 2 7" xfId="14918"/>
    <cellStyle name="Comma 6 12 3" xfId="14919"/>
    <cellStyle name="Comma 6 12 3 2" xfId="14920"/>
    <cellStyle name="Comma 6 12 3 2 2" xfId="14921"/>
    <cellStyle name="Comma 6 12 3 2 2 2" xfId="14922"/>
    <cellStyle name="Comma 6 12 3 2 2 3" xfId="14923"/>
    <cellStyle name="Comma 6 12 3 2 3" xfId="14924"/>
    <cellStyle name="Comma 6 12 3 2 3 2" xfId="14925"/>
    <cellStyle name="Comma 6 12 3 2 3 3" xfId="14926"/>
    <cellStyle name="Comma 6 12 3 2 4" xfId="14927"/>
    <cellStyle name="Comma 6 12 3 2 5" xfId="14928"/>
    <cellStyle name="Comma 6 12 3 3" xfId="14929"/>
    <cellStyle name="Comma 6 12 3 3 2" xfId="14930"/>
    <cellStyle name="Comma 6 12 3 3 2 2" xfId="14931"/>
    <cellStyle name="Comma 6 12 3 3 2 3" xfId="14932"/>
    <cellStyle name="Comma 6 12 3 3 3" xfId="14933"/>
    <cellStyle name="Comma 6 12 3 3 3 2" xfId="14934"/>
    <cellStyle name="Comma 6 12 3 3 3 3" xfId="14935"/>
    <cellStyle name="Comma 6 12 3 3 4" xfId="14936"/>
    <cellStyle name="Comma 6 12 3 3 5" xfId="14937"/>
    <cellStyle name="Comma 6 12 3 4" xfId="14938"/>
    <cellStyle name="Comma 6 12 3 4 2" xfId="14939"/>
    <cellStyle name="Comma 6 12 3 4 3" xfId="14940"/>
    <cellStyle name="Comma 6 12 3 5" xfId="14941"/>
    <cellStyle name="Comma 6 12 3 5 2" xfId="14942"/>
    <cellStyle name="Comma 6 12 3 5 3" xfId="14943"/>
    <cellStyle name="Comma 6 12 3 6" xfId="14944"/>
    <cellStyle name="Comma 6 12 3 7" xfId="14945"/>
    <cellStyle name="Comma 6 12 4" xfId="14946"/>
    <cellStyle name="Comma 6 12 4 2" xfId="14947"/>
    <cellStyle name="Comma 6 12 4 2 2" xfId="14948"/>
    <cellStyle name="Comma 6 12 4 2 3" xfId="14949"/>
    <cellStyle name="Comma 6 12 4 3" xfId="14950"/>
    <cellStyle name="Comma 6 12 4 3 2" xfId="14951"/>
    <cellStyle name="Comma 6 12 4 3 3" xfId="14952"/>
    <cellStyle name="Comma 6 12 4 4" xfId="14953"/>
    <cellStyle name="Comma 6 12 4 5" xfId="14954"/>
    <cellStyle name="Comma 6 12 5" xfId="14955"/>
    <cellStyle name="Comma 6 12 5 2" xfId="14956"/>
    <cellStyle name="Comma 6 12 5 2 2" xfId="14957"/>
    <cellStyle name="Comma 6 12 5 2 3" xfId="14958"/>
    <cellStyle name="Comma 6 12 5 3" xfId="14959"/>
    <cellStyle name="Comma 6 12 5 3 2" xfId="14960"/>
    <cellStyle name="Comma 6 12 5 3 3" xfId="14961"/>
    <cellStyle name="Comma 6 12 5 4" xfId="14962"/>
    <cellStyle name="Comma 6 12 5 5" xfId="14963"/>
    <cellStyle name="Comma 6 12 6" xfId="14964"/>
    <cellStyle name="Comma 6 12 6 2" xfId="14965"/>
    <cellStyle name="Comma 6 12 6 3" xfId="14966"/>
    <cellStyle name="Comma 6 12 7" xfId="14967"/>
    <cellStyle name="Comma 6 12 7 2" xfId="14968"/>
    <cellStyle name="Comma 6 12 7 3" xfId="14969"/>
    <cellStyle name="Comma 6 12 8" xfId="14970"/>
    <cellStyle name="Comma 6 12 9" xfId="14971"/>
    <cellStyle name="Comma 6 2" xfId="14972"/>
    <cellStyle name="Comma 6 2 2" xfId="14973"/>
    <cellStyle name="Comma 6 2 3" xfId="14974"/>
    <cellStyle name="Comma 6 2 4" xfId="14975"/>
    <cellStyle name="Comma 6 2 5" xfId="14976"/>
    <cellStyle name="Comma 6 2 6" xfId="14977"/>
    <cellStyle name="Comma 6 2 7" xfId="14978"/>
    <cellStyle name="Comma 6 2 8" xfId="14979"/>
    <cellStyle name="Comma 6 2 9" xfId="14980"/>
    <cellStyle name="Comma 6 3" xfId="14981"/>
    <cellStyle name="Comma 6 3 2" xfId="14982"/>
    <cellStyle name="Comma 6 3 2 10" xfId="14983"/>
    <cellStyle name="Comma 6 3 2 10 2" xfId="14984"/>
    <cellStyle name="Comma 6 3 2 10 3" xfId="14985"/>
    <cellStyle name="Comma 6 3 2 11" xfId="14986"/>
    <cellStyle name="Comma 6 3 2 12" xfId="14987"/>
    <cellStyle name="Comma 6 3 2 2" xfId="14988"/>
    <cellStyle name="Comma 6 3 2 2 10" xfId="14989"/>
    <cellStyle name="Comma 6 3 2 2 11" xfId="14990"/>
    <cellStyle name="Comma 6 3 2 2 2" xfId="14991"/>
    <cellStyle name="Comma 6 3 2 2 2 10" xfId="14992"/>
    <cellStyle name="Comma 6 3 2 2 2 2" xfId="14993"/>
    <cellStyle name="Comma 6 3 2 2 2 2 2" xfId="14994"/>
    <cellStyle name="Comma 6 3 2 2 2 2 2 2" xfId="14995"/>
    <cellStyle name="Comma 6 3 2 2 2 2 2 2 2" xfId="14996"/>
    <cellStyle name="Comma 6 3 2 2 2 2 2 2 2 2" xfId="14997"/>
    <cellStyle name="Comma 6 3 2 2 2 2 2 2 2 3" xfId="14998"/>
    <cellStyle name="Comma 6 3 2 2 2 2 2 2 3" xfId="14999"/>
    <cellStyle name="Comma 6 3 2 2 2 2 2 2 3 2" xfId="15000"/>
    <cellStyle name="Comma 6 3 2 2 2 2 2 2 3 3" xfId="15001"/>
    <cellStyle name="Comma 6 3 2 2 2 2 2 2 4" xfId="15002"/>
    <cellStyle name="Comma 6 3 2 2 2 2 2 2 5" xfId="15003"/>
    <cellStyle name="Comma 6 3 2 2 2 2 2 3" xfId="15004"/>
    <cellStyle name="Comma 6 3 2 2 2 2 2 3 2" xfId="15005"/>
    <cellStyle name="Comma 6 3 2 2 2 2 2 3 2 2" xfId="15006"/>
    <cellStyle name="Comma 6 3 2 2 2 2 2 3 2 3" xfId="15007"/>
    <cellStyle name="Comma 6 3 2 2 2 2 2 3 3" xfId="15008"/>
    <cellStyle name="Comma 6 3 2 2 2 2 2 3 3 2" xfId="15009"/>
    <cellStyle name="Comma 6 3 2 2 2 2 2 3 3 3" xfId="15010"/>
    <cellStyle name="Comma 6 3 2 2 2 2 2 3 4" xfId="15011"/>
    <cellStyle name="Comma 6 3 2 2 2 2 2 3 5" xfId="15012"/>
    <cellStyle name="Comma 6 3 2 2 2 2 2 4" xfId="15013"/>
    <cellStyle name="Comma 6 3 2 2 2 2 2 4 2" xfId="15014"/>
    <cellStyle name="Comma 6 3 2 2 2 2 2 4 3" xfId="15015"/>
    <cellStyle name="Comma 6 3 2 2 2 2 2 5" xfId="15016"/>
    <cellStyle name="Comma 6 3 2 2 2 2 2 5 2" xfId="15017"/>
    <cellStyle name="Comma 6 3 2 2 2 2 2 5 3" xfId="15018"/>
    <cellStyle name="Comma 6 3 2 2 2 2 2 6" xfId="15019"/>
    <cellStyle name="Comma 6 3 2 2 2 2 2 7" xfId="15020"/>
    <cellStyle name="Comma 6 3 2 2 2 2 3" xfId="15021"/>
    <cellStyle name="Comma 6 3 2 2 2 2 3 2" xfId="15022"/>
    <cellStyle name="Comma 6 3 2 2 2 2 3 2 2" xfId="15023"/>
    <cellStyle name="Comma 6 3 2 2 2 2 3 2 2 2" xfId="15024"/>
    <cellStyle name="Comma 6 3 2 2 2 2 3 2 2 3" xfId="15025"/>
    <cellStyle name="Comma 6 3 2 2 2 2 3 2 3" xfId="15026"/>
    <cellStyle name="Comma 6 3 2 2 2 2 3 2 3 2" xfId="15027"/>
    <cellStyle name="Comma 6 3 2 2 2 2 3 2 3 3" xfId="15028"/>
    <cellStyle name="Comma 6 3 2 2 2 2 3 2 4" xfId="15029"/>
    <cellStyle name="Comma 6 3 2 2 2 2 3 2 5" xfId="15030"/>
    <cellStyle name="Comma 6 3 2 2 2 2 3 3" xfId="15031"/>
    <cellStyle name="Comma 6 3 2 2 2 2 3 3 2" xfId="15032"/>
    <cellStyle name="Comma 6 3 2 2 2 2 3 3 2 2" xfId="15033"/>
    <cellStyle name="Comma 6 3 2 2 2 2 3 3 2 3" xfId="15034"/>
    <cellStyle name="Comma 6 3 2 2 2 2 3 3 3" xfId="15035"/>
    <cellStyle name="Comma 6 3 2 2 2 2 3 3 3 2" xfId="15036"/>
    <cellStyle name="Comma 6 3 2 2 2 2 3 3 3 3" xfId="15037"/>
    <cellStyle name="Comma 6 3 2 2 2 2 3 3 4" xfId="15038"/>
    <cellStyle name="Comma 6 3 2 2 2 2 3 3 5" xfId="15039"/>
    <cellStyle name="Comma 6 3 2 2 2 2 3 4" xfId="15040"/>
    <cellStyle name="Comma 6 3 2 2 2 2 3 4 2" xfId="15041"/>
    <cellStyle name="Comma 6 3 2 2 2 2 3 4 3" xfId="15042"/>
    <cellStyle name="Comma 6 3 2 2 2 2 3 5" xfId="15043"/>
    <cellStyle name="Comma 6 3 2 2 2 2 3 5 2" xfId="15044"/>
    <cellStyle name="Comma 6 3 2 2 2 2 3 5 3" xfId="15045"/>
    <cellStyle name="Comma 6 3 2 2 2 2 3 6" xfId="15046"/>
    <cellStyle name="Comma 6 3 2 2 2 2 3 7" xfId="15047"/>
    <cellStyle name="Comma 6 3 2 2 2 2 4" xfId="15048"/>
    <cellStyle name="Comma 6 3 2 2 2 2 4 2" xfId="15049"/>
    <cellStyle name="Comma 6 3 2 2 2 2 4 2 2" xfId="15050"/>
    <cellStyle name="Comma 6 3 2 2 2 2 4 2 3" xfId="15051"/>
    <cellStyle name="Comma 6 3 2 2 2 2 4 3" xfId="15052"/>
    <cellStyle name="Comma 6 3 2 2 2 2 4 3 2" xfId="15053"/>
    <cellStyle name="Comma 6 3 2 2 2 2 4 3 3" xfId="15054"/>
    <cellStyle name="Comma 6 3 2 2 2 2 4 4" xfId="15055"/>
    <cellStyle name="Comma 6 3 2 2 2 2 4 5" xfId="15056"/>
    <cellStyle name="Comma 6 3 2 2 2 2 5" xfId="15057"/>
    <cellStyle name="Comma 6 3 2 2 2 2 5 2" xfId="15058"/>
    <cellStyle name="Comma 6 3 2 2 2 2 5 2 2" xfId="15059"/>
    <cellStyle name="Comma 6 3 2 2 2 2 5 2 3" xfId="15060"/>
    <cellStyle name="Comma 6 3 2 2 2 2 5 3" xfId="15061"/>
    <cellStyle name="Comma 6 3 2 2 2 2 5 3 2" xfId="15062"/>
    <cellStyle name="Comma 6 3 2 2 2 2 5 3 3" xfId="15063"/>
    <cellStyle name="Comma 6 3 2 2 2 2 5 4" xfId="15064"/>
    <cellStyle name="Comma 6 3 2 2 2 2 5 5" xfId="15065"/>
    <cellStyle name="Comma 6 3 2 2 2 2 6" xfId="15066"/>
    <cellStyle name="Comma 6 3 2 2 2 2 6 2" xfId="15067"/>
    <cellStyle name="Comma 6 3 2 2 2 2 6 3" xfId="15068"/>
    <cellStyle name="Comma 6 3 2 2 2 2 7" xfId="15069"/>
    <cellStyle name="Comma 6 3 2 2 2 2 7 2" xfId="15070"/>
    <cellStyle name="Comma 6 3 2 2 2 2 7 3" xfId="15071"/>
    <cellStyle name="Comma 6 3 2 2 2 2 8" xfId="15072"/>
    <cellStyle name="Comma 6 3 2 2 2 2 9" xfId="15073"/>
    <cellStyle name="Comma 6 3 2 2 2 3" xfId="15074"/>
    <cellStyle name="Comma 6 3 2 2 2 3 2" xfId="15075"/>
    <cellStyle name="Comma 6 3 2 2 2 3 2 2" xfId="15076"/>
    <cellStyle name="Comma 6 3 2 2 2 3 2 2 2" xfId="15077"/>
    <cellStyle name="Comma 6 3 2 2 2 3 2 2 3" xfId="15078"/>
    <cellStyle name="Comma 6 3 2 2 2 3 2 3" xfId="15079"/>
    <cellStyle name="Comma 6 3 2 2 2 3 2 3 2" xfId="15080"/>
    <cellStyle name="Comma 6 3 2 2 2 3 2 3 3" xfId="15081"/>
    <cellStyle name="Comma 6 3 2 2 2 3 2 4" xfId="15082"/>
    <cellStyle name="Comma 6 3 2 2 2 3 2 5" xfId="15083"/>
    <cellStyle name="Comma 6 3 2 2 2 3 3" xfId="15084"/>
    <cellStyle name="Comma 6 3 2 2 2 3 3 2" xfId="15085"/>
    <cellStyle name="Comma 6 3 2 2 2 3 3 2 2" xfId="15086"/>
    <cellStyle name="Comma 6 3 2 2 2 3 3 2 3" xfId="15087"/>
    <cellStyle name="Comma 6 3 2 2 2 3 3 3" xfId="15088"/>
    <cellStyle name="Comma 6 3 2 2 2 3 3 3 2" xfId="15089"/>
    <cellStyle name="Comma 6 3 2 2 2 3 3 3 3" xfId="15090"/>
    <cellStyle name="Comma 6 3 2 2 2 3 3 4" xfId="15091"/>
    <cellStyle name="Comma 6 3 2 2 2 3 3 5" xfId="15092"/>
    <cellStyle name="Comma 6 3 2 2 2 3 4" xfId="15093"/>
    <cellStyle name="Comma 6 3 2 2 2 3 4 2" xfId="15094"/>
    <cellStyle name="Comma 6 3 2 2 2 3 4 3" xfId="15095"/>
    <cellStyle name="Comma 6 3 2 2 2 3 5" xfId="15096"/>
    <cellStyle name="Comma 6 3 2 2 2 3 5 2" xfId="15097"/>
    <cellStyle name="Comma 6 3 2 2 2 3 5 3" xfId="15098"/>
    <cellStyle name="Comma 6 3 2 2 2 3 6" xfId="15099"/>
    <cellStyle name="Comma 6 3 2 2 2 3 7" xfId="15100"/>
    <cellStyle name="Comma 6 3 2 2 2 4" xfId="15101"/>
    <cellStyle name="Comma 6 3 2 2 2 4 2" xfId="15102"/>
    <cellStyle name="Comma 6 3 2 2 2 4 2 2" xfId="15103"/>
    <cellStyle name="Comma 6 3 2 2 2 4 2 2 2" xfId="15104"/>
    <cellStyle name="Comma 6 3 2 2 2 4 2 2 3" xfId="15105"/>
    <cellStyle name="Comma 6 3 2 2 2 4 2 3" xfId="15106"/>
    <cellStyle name="Comma 6 3 2 2 2 4 2 3 2" xfId="15107"/>
    <cellStyle name="Comma 6 3 2 2 2 4 2 3 3" xfId="15108"/>
    <cellStyle name="Comma 6 3 2 2 2 4 2 4" xfId="15109"/>
    <cellStyle name="Comma 6 3 2 2 2 4 2 5" xfId="15110"/>
    <cellStyle name="Comma 6 3 2 2 2 4 3" xfId="15111"/>
    <cellStyle name="Comma 6 3 2 2 2 4 3 2" xfId="15112"/>
    <cellStyle name="Comma 6 3 2 2 2 4 3 2 2" xfId="15113"/>
    <cellStyle name="Comma 6 3 2 2 2 4 3 2 3" xfId="15114"/>
    <cellStyle name="Comma 6 3 2 2 2 4 3 3" xfId="15115"/>
    <cellStyle name="Comma 6 3 2 2 2 4 3 3 2" xfId="15116"/>
    <cellStyle name="Comma 6 3 2 2 2 4 3 3 3" xfId="15117"/>
    <cellStyle name="Comma 6 3 2 2 2 4 3 4" xfId="15118"/>
    <cellStyle name="Comma 6 3 2 2 2 4 3 5" xfId="15119"/>
    <cellStyle name="Comma 6 3 2 2 2 4 4" xfId="15120"/>
    <cellStyle name="Comma 6 3 2 2 2 4 4 2" xfId="15121"/>
    <cellStyle name="Comma 6 3 2 2 2 4 4 3" xfId="15122"/>
    <cellStyle name="Comma 6 3 2 2 2 4 5" xfId="15123"/>
    <cellStyle name="Comma 6 3 2 2 2 4 5 2" xfId="15124"/>
    <cellStyle name="Comma 6 3 2 2 2 4 5 3" xfId="15125"/>
    <cellStyle name="Comma 6 3 2 2 2 4 6" xfId="15126"/>
    <cellStyle name="Comma 6 3 2 2 2 4 7" xfId="15127"/>
    <cellStyle name="Comma 6 3 2 2 2 5" xfId="15128"/>
    <cellStyle name="Comma 6 3 2 2 2 5 2" xfId="15129"/>
    <cellStyle name="Comma 6 3 2 2 2 5 2 2" xfId="15130"/>
    <cellStyle name="Comma 6 3 2 2 2 5 2 3" xfId="15131"/>
    <cellStyle name="Comma 6 3 2 2 2 5 3" xfId="15132"/>
    <cellStyle name="Comma 6 3 2 2 2 5 3 2" xfId="15133"/>
    <cellStyle name="Comma 6 3 2 2 2 5 3 3" xfId="15134"/>
    <cellStyle name="Comma 6 3 2 2 2 5 4" xfId="15135"/>
    <cellStyle name="Comma 6 3 2 2 2 5 5" xfId="15136"/>
    <cellStyle name="Comma 6 3 2 2 2 6" xfId="15137"/>
    <cellStyle name="Comma 6 3 2 2 2 6 2" xfId="15138"/>
    <cellStyle name="Comma 6 3 2 2 2 6 2 2" xfId="15139"/>
    <cellStyle name="Comma 6 3 2 2 2 6 2 3" xfId="15140"/>
    <cellStyle name="Comma 6 3 2 2 2 6 3" xfId="15141"/>
    <cellStyle name="Comma 6 3 2 2 2 6 3 2" xfId="15142"/>
    <cellStyle name="Comma 6 3 2 2 2 6 3 3" xfId="15143"/>
    <cellStyle name="Comma 6 3 2 2 2 6 4" xfId="15144"/>
    <cellStyle name="Comma 6 3 2 2 2 6 5" xfId="15145"/>
    <cellStyle name="Comma 6 3 2 2 2 7" xfId="15146"/>
    <cellStyle name="Comma 6 3 2 2 2 7 2" xfId="15147"/>
    <cellStyle name="Comma 6 3 2 2 2 7 3" xfId="15148"/>
    <cellStyle name="Comma 6 3 2 2 2 8" xfId="15149"/>
    <cellStyle name="Comma 6 3 2 2 2 8 2" xfId="15150"/>
    <cellStyle name="Comma 6 3 2 2 2 8 3" xfId="15151"/>
    <cellStyle name="Comma 6 3 2 2 2 9" xfId="15152"/>
    <cellStyle name="Comma 6 3 2 2 3" xfId="15153"/>
    <cellStyle name="Comma 6 3 2 2 3 2" xfId="15154"/>
    <cellStyle name="Comma 6 3 2 2 3 2 2" xfId="15155"/>
    <cellStyle name="Comma 6 3 2 2 3 2 2 2" xfId="15156"/>
    <cellStyle name="Comma 6 3 2 2 3 2 2 2 2" xfId="15157"/>
    <cellStyle name="Comma 6 3 2 2 3 2 2 2 3" xfId="15158"/>
    <cellStyle name="Comma 6 3 2 2 3 2 2 3" xfId="15159"/>
    <cellStyle name="Comma 6 3 2 2 3 2 2 3 2" xfId="15160"/>
    <cellStyle name="Comma 6 3 2 2 3 2 2 3 3" xfId="15161"/>
    <cellStyle name="Comma 6 3 2 2 3 2 2 4" xfId="15162"/>
    <cellStyle name="Comma 6 3 2 2 3 2 2 5" xfId="15163"/>
    <cellStyle name="Comma 6 3 2 2 3 2 3" xfId="15164"/>
    <cellStyle name="Comma 6 3 2 2 3 2 3 2" xfId="15165"/>
    <cellStyle name="Comma 6 3 2 2 3 2 3 2 2" xfId="15166"/>
    <cellStyle name="Comma 6 3 2 2 3 2 3 2 3" xfId="15167"/>
    <cellStyle name="Comma 6 3 2 2 3 2 3 3" xfId="15168"/>
    <cellStyle name="Comma 6 3 2 2 3 2 3 3 2" xfId="15169"/>
    <cellStyle name="Comma 6 3 2 2 3 2 3 3 3" xfId="15170"/>
    <cellStyle name="Comma 6 3 2 2 3 2 3 4" xfId="15171"/>
    <cellStyle name="Comma 6 3 2 2 3 2 3 5" xfId="15172"/>
    <cellStyle name="Comma 6 3 2 2 3 2 4" xfId="15173"/>
    <cellStyle name="Comma 6 3 2 2 3 2 4 2" xfId="15174"/>
    <cellStyle name="Comma 6 3 2 2 3 2 4 3" xfId="15175"/>
    <cellStyle name="Comma 6 3 2 2 3 2 5" xfId="15176"/>
    <cellStyle name="Comma 6 3 2 2 3 2 5 2" xfId="15177"/>
    <cellStyle name="Comma 6 3 2 2 3 2 5 3" xfId="15178"/>
    <cellStyle name="Comma 6 3 2 2 3 2 6" xfId="15179"/>
    <cellStyle name="Comma 6 3 2 2 3 2 7" xfId="15180"/>
    <cellStyle name="Comma 6 3 2 2 3 3" xfId="15181"/>
    <cellStyle name="Comma 6 3 2 2 3 3 2" xfId="15182"/>
    <cellStyle name="Comma 6 3 2 2 3 3 2 2" xfId="15183"/>
    <cellStyle name="Comma 6 3 2 2 3 3 2 2 2" xfId="15184"/>
    <cellStyle name="Comma 6 3 2 2 3 3 2 2 3" xfId="15185"/>
    <cellStyle name="Comma 6 3 2 2 3 3 2 3" xfId="15186"/>
    <cellStyle name="Comma 6 3 2 2 3 3 2 3 2" xfId="15187"/>
    <cellStyle name="Comma 6 3 2 2 3 3 2 3 3" xfId="15188"/>
    <cellStyle name="Comma 6 3 2 2 3 3 2 4" xfId="15189"/>
    <cellStyle name="Comma 6 3 2 2 3 3 2 5" xfId="15190"/>
    <cellStyle name="Comma 6 3 2 2 3 3 3" xfId="15191"/>
    <cellStyle name="Comma 6 3 2 2 3 3 3 2" xfId="15192"/>
    <cellStyle name="Comma 6 3 2 2 3 3 3 2 2" xfId="15193"/>
    <cellStyle name="Comma 6 3 2 2 3 3 3 2 3" xfId="15194"/>
    <cellStyle name="Comma 6 3 2 2 3 3 3 3" xfId="15195"/>
    <cellStyle name="Comma 6 3 2 2 3 3 3 3 2" xfId="15196"/>
    <cellStyle name="Comma 6 3 2 2 3 3 3 3 3" xfId="15197"/>
    <cellStyle name="Comma 6 3 2 2 3 3 3 4" xfId="15198"/>
    <cellStyle name="Comma 6 3 2 2 3 3 3 5" xfId="15199"/>
    <cellStyle name="Comma 6 3 2 2 3 3 4" xfId="15200"/>
    <cellStyle name="Comma 6 3 2 2 3 3 4 2" xfId="15201"/>
    <cellStyle name="Comma 6 3 2 2 3 3 4 3" xfId="15202"/>
    <cellStyle name="Comma 6 3 2 2 3 3 5" xfId="15203"/>
    <cellStyle name="Comma 6 3 2 2 3 3 5 2" xfId="15204"/>
    <cellStyle name="Comma 6 3 2 2 3 3 5 3" xfId="15205"/>
    <cellStyle name="Comma 6 3 2 2 3 3 6" xfId="15206"/>
    <cellStyle name="Comma 6 3 2 2 3 3 7" xfId="15207"/>
    <cellStyle name="Comma 6 3 2 2 3 4" xfId="15208"/>
    <cellStyle name="Comma 6 3 2 2 3 4 2" xfId="15209"/>
    <cellStyle name="Comma 6 3 2 2 3 4 2 2" xfId="15210"/>
    <cellStyle name="Comma 6 3 2 2 3 4 2 3" xfId="15211"/>
    <cellStyle name="Comma 6 3 2 2 3 4 3" xfId="15212"/>
    <cellStyle name="Comma 6 3 2 2 3 4 3 2" xfId="15213"/>
    <cellStyle name="Comma 6 3 2 2 3 4 3 3" xfId="15214"/>
    <cellStyle name="Comma 6 3 2 2 3 4 4" xfId="15215"/>
    <cellStyle name="Comma 6 3 2 2 3 4 5" xfId="15216"/>
    <cellStyle name="Comma 6 3 2 2 3 5" xfId="15217"/>
    <cellStyle name="Comma 6 3 2 2 3 5 2" xfId="15218"/>
    <cellStyle name="Comma 6 3 2 2 3 5 2 2" xfId="15219"/>
    <cellStyle name="Comma 6 3 2 2 3 5 2 3" xfId="15220"/>
    <cellStyle name="Comma 6 3 2 2 3 5 3" xfId="15221"/>
    <cellStyle name="Comma 6 3 2 2 3 5 3 2" xfId="15222"/>
    <cellStyle name="Comma 6 3 2 2 3 5 3 3" xfId="15223"/>
    <cellStyle name="Comma 6 3 2 2 3 5 4" xfId="15224"/>
    <cellStyle name="Comma 6 3 2 2 3 5 5" xfId="15225"/>
    <cellStyle name="Comma 6 3 2 2 3 6" xfId="15226"/>
    <cellStyle name="Comma 6 3 2 2 3 6 2" xfId="15227"/>
    <cellStyle name="Comma 6 3 2 2 3 6 3" xfId="15228"/>
    <cellStyle name="Comma 6 3 2 2 3 7" xfId="15229"/>
    <cellStyle name="Comma 6 3 2 2 3 7 2" xfId="15230"/>
    <cellStyle name="Comma 6 3 2 2 3 7 3" xfId="15231"/>
    <cellStyle name="Comma 6 3 2 2 3 8" xfId="15232"/>
    <cellStyle name="Comma 6 3 2 2 3 9" xfId="15233"/>
    <cellStyle name="Comma 6 3 2 2 4" xfId="15234"/>
    <cellStyle name="Comma 6 3 2 2 4 2" xfId="15235"/>
    <cellStyle name="Comma 6 3 2 2 4 2 2" xfId="15236"/>
    <cellStyle name="Comma 6 3 2 2 4 2 2 2" xfId="15237"/>
    <cellStyle name="Comma 6 3 2 2 4 2 2 3" xfId="15238"/>
    <cellStyle name="Comma 6 3 2 2 4 2 3" xfId="15239"/>
    <cellStyle name="Comma 6 3 2 2 4 2 3 2" xfId="15240"/>
    <cellStyle name="Comma 6 3 2 2 4 2 3 3" xfId="15241"/>
    <cellStyle name="Comma 6 3 2 2 4 2 4" xfId="15242"/>
    <cellStyle name="Comma 6 3 2 2 4 2 5" xfId="15243"/>
    <cellStyle name="Comma 6 3 2 2 4 3" xfId="15244"/>
    <cellStyle name="Comma 6 3 2 2 4 3 2" xfId="15245"/>
    <cellStyle name="Comma 6 3 2 2 4 3 2 2" xfId="15246"/>
    <cellStyle name="Comma 6 3 2 2 4 3 2 3" xfId="15247"/>
    <cellStyle name="Comma 6 3 2 2 4 3 3" xfId="15248"/>
    <cellStyle name="Comma 6 3 2 2 4 3 3 2" xfId="15249"/>
    <cellStyle name="Comma 6 3 2 2 4 3 3 3" xfId="15250"/>
    <cellStyle name="Comma 6 3 2 2 4 3 4" xfId="15251"/>
    <cellStyle name="Comma 6 3 2 2 4 3 5" xfId="15252"/>
    <cellStyle name="Comma 6 3 2 2 4 4" xfId="15253"/>
    <cellStyle name="Comma 6 3 2 2 4 4 2" xfId="15254"/>
    <cellStyle name="Comma 6 3 2 2 4 4 3" xfId="15255"/>
    <cellStyle name="Comma 6 3 2 2 4 5" xfId="15256"/>
    <cellStyle name="Comma 6 3 2 2 4 5 2" xfId="15257"/>
    <cellStyle name="Comma 6 3 2 2 4 5 3" xfId="15258"/>
    <cellStyle name="Comma 6 3 2 2 4 6" xfId="15259"/>
    <cellStyle name="Comma 6 3 2 2 4 7" xfId="15260"/>
    <cellStyle name="Comma 6 3 2 2 5" xfId="15261"/>
    <cellStyle name="Comma 6 3 2 2 5 2" xfId="15262"/>
    <cellStyle name="Comma 6 3 2 2 5 2 2" xfId="15263"/>
    <cellStyle name="Comma 6 3 2 2 5 2 2 2" xfId="15264"/>
    <cellStyle name="Comma 6 3 2 2 5 2 2 3" xfId="15265"/>
    <cellStyle name="Comma 6 3 2 2 5 2 3" xfId="15266"/>
    <cellStyle name="Comma 6 3 2 2 5 2 3 2" xfId="15267"/>
    <cellStyle name="Comma 6 3 2 2 5 2 3 3" xfId="15268"/>
    <cellStyle name="Comma 6 3 2 2 5 2 4" xfId="15269"/>
    <cellStyle name="Comma 6 3 2 2 5 2 5" xfId="15270"/>
    <cellStyle name="Comma 6 3 2 2 5 3" xfId="15271"/>
    <cellStyle name="Comma 6 3 2 2 5 3 2" xfId="15272"/>
    <cellStyle name="Comma 6 3 2 2 5 3 2 2" xfId="15273"/>
    <cellStyle name="Comma 6 3 2 2 5 3 2 3" xfId="15274"/>
    <cellStyle name="Comma 6 3 2 2 5 3 3" xfId="15275"/>
    <cellStyle name="Comma 6 3 2 2 5 3 3 2" xfId="15276"/>
    <cellStyle name="Comma 6 3 2 2 5 3 3 3" xfId="15277"/>
    <cellStyle name="Comma 6 3 2 2 5 3 4" xfId="15278"/>
    <cellStyle name="Comma 6 3 2 2 5 3 5" xfId="15279"/>
    <cellStyle name="Comma 6 3 2 2 5 4" xfId="15280"/>
    <cellStyle name="Comma 6 3 2 2 5 4 2" xfId="15281"/>
    <cellStyle name="Comma 6 3 2 2 5 4 3" xfId="15282"/>
    <cellStyle name="Comma 6 3 2 2 5 5" xfId="15283"/>
    <cellStyle name="Comma 6 3 2 2 5 5 2" xfId="15284"/>
    <cellStyle name="Comma 6 3 2 2 5 5 3" xfId="15285"/>
    <cellStyle name="Comma 6 3 2 2 5 6" xfId="15286"/>
    <cellStyle name="Comma 6 3 2 2 5 7" xfId="15287"/>
    <cellStyle name="Comma 6 3 2 2 6" xfId="15288"/>
    <cellStyle name="Comma 6 3 2 2 6 2" xfId="15289"/>
    <cellStyle name="Comma 6 3 2 2 6 2 2" xfId="15290"/>
    <cellStyle name="Comma 6 3 2 2 6 2 3" xfId="15291"/>
    <cellStyle name="Comma 6 3 2 2 6 3" xfId="15292"/>
    <cellStyle name="Comma 6 3 2 2 6 3 2" xfId="15293"/>
    <cellStyle name="Comma 6 3 2 2 6 3 3" xfId="15294"/>
    <cellStyle name="Comma 6 3 2 2 6 4" xfId="15295"/>
    <cellStyle name="Comma 6 3 2 2 6 5" xfId="15296"/>
    <cellStyle name="Comma 6 3 2 2 7" xfId="15297"/>
    <cellStyle name="Comma 6 3 2 2 7 2" xfId="15298"/>
    <cellStyle name="Comma 6 3 2 2 7 2 2" xfId="15299"/>
    <cellStyle name="Comma 6 3 2 2 7 2 3" xfId="15300"/>
    <cellStyle name="Comma 6 3 2 2 7 3" xfId="15301"/>
    <cellStyle name="Comma 6 3 2 2 7 3 2" xfId="15302"/>
    <cellStyle name="Comma 6 3 2 2 7 3 3" xfId="15303"/>
    <cellStyle name="Comma 6 3 2 2 7 4" xfId="15304"/>
    <cellStyle name="Comma 6 3 2 2 7 5" xfId="15305"/>
    <cellStyle name="Comma 6 3 2 2 8" xfId="15306"/>
    <cellStyle name="Comma 6 3 2 2 8 2" xfId="15307"/>
    <cellStyle name="Comma 6 3 2 2 8 3" xfId="15308"/>
    <cellStyle name="Comma 6 3 2 2 9" xfId="15309"/>
    <cellStyle name="Comma 6 3 2 2 9 2" xfId="15310"/>
    <cellStyle name="Comma 6 3 2 2 9 3" xfId="15311"/>
    <cellStyle name="Comma 6 3 2 3" xfId="15312"/>
    <cellStyle name="Comma 6 3 2 3 10" xfId="15313"/>
    <cellStyle name="Comma 6 3 2 3 2" xfId="15314"/>
    <cellStyle name="Comma 6 3 2 3 2 2" xfId="15315"/>
    <cellStyle name="Comma 6 3 2 3 2 2 2" xfId="15316"/>
    <cellStyle name="Comma 6 3 2 3 2 2 2 2" xfId="15317"/>
    <cellStyle name="Comma 6 3 2 3 2 2 2 2 2" xfId="15318"/>
    <cellStyle name="Comma 6 3 2 3 2 2 2 2 3" xfId="15319"/>
    <cellStyle name="Comma 6 3 2 3 2 2 2 3" xfId="15320"/>
    <cellStyle name="Comma 6 3 2 3 2 2 2 3 2" xfId="15321"/>
    <cellStyle name="Comma 6 3 2 3 2 2 2 3 3" xfId="15322"/>
    <cellStyle name="Comma 6 3 2 3 2 2 2 4" xfId="15323"/>
    <cellStyle name="Comma 6 3 2 3 2 2 2 5" xfId="15324"/>
    <cellStyle name="Comma 6 3 2 3 2 2 3" xfId="15325"/>
    <cellStyle name="Comma 6 3 2 3 2 2 3 2" xfId="15326"/>
    <cellStyle name="Comma 6 3 2 3 2 2 3 2 2" xfId="15327"/>
    <cellStyle name="Comma 6 3 2 3 2 2 3 2 3" xfId="15328"/>
    <cellStyle name="Comma 6 3 2 3 2 2 3 3" xfId="15329"/>
    <cellStyle name="Comma 6 3 2 3 2 2 3 3 2" xfId="15330"/>
    <cellStyle name="Comma 6 3 2 3 2 2 3 3 3" xfId="15331"/>
    <cellStyle name="Comma 6 3 2 3 2 2 3 4" xfId="15332"/>
    <cellStyle name="Comma 6 3 2 3 2 2 3 5" xfId="15333"/>
    <cellStyle name="Comma 6 3 2 3 2 2 4" xfId="15334"/>
    <cellStyle name="Comma 6 3 2 3 2 2 4 2" xfId="15335"/>
    <cellStyle name="Comma 6 3 2 3 2 2 4 3" xfId="15336"/>
    <cellStyle name="Comma 6 3 2 3 2 2 5" xfId="15337"/>
    <cellStyle name="Comma 6 3 2 3 2 2 5 2" xfId="15338"/>
    <cellStyle name="Comma 6 3 2 3 2 2 5 3" xfId="15339"/>
    <cellStyle name="Comma 6 3 2 3 2 2 6" xfId="15340"/>
    <cellStyle name="Comma 6 3 2 3 2 2 7" xfId="15341"/>
    <cellStyle name="Comma 6 3 2 3 2 3" xfId="15342"/>
    <cellStyle name="Comma 6 3 2 3 2 3 2" xfId="15343"/>
    <cellStyle name="Comma 6 3 2 3 2 3 2 2" xfId="15344"/>
    <cellStyle name="Comma 6 3 2 3 2 3 2 2 2" xfId="15345"/>
    <cellStyle name="Comma 6 3 2 3 2 3 2 2 3" xfId="15346"/>
    <cellStyle name="Comma 6 3 2 3 2 3 2 3" xfId="15347"/>
    <cellStyle name="Comma 6 3 2 3 2 3 2 3 2" xfId="15348"/>
    <cellStyle name="Comma 6 3 2 3 2 3 2 3 3" xfId="15349"/>
    <cellStyle name="Comma 6 3 2 3 2 3 2 4" xfId="15350"/>
    <cellStyle name="Comma 6 3 2 3 2 3 2 5" xfId="15351"/>
    <cellStyle name="Comma 6 3 2 3 2 3 3" xfId="15352"/>
    <cellStyle name="Comma 6 3 2 3 2 3 3 2" xfId="15353"/>
    <cellStyle name="Comma 6 3 2 3 2 3 3 2 2" xfId="15354"/>
    <cellStyle name="Comma 6 3 2 3 2 3 3 2 3" xfId="15355"/>
    <cellStyle name="Comma 6 3 2 3 2 3 3 3" xfId="15356"/>
    <cellStyle name="Comma 6 3 2 3 2 3 3 3 2" xfId="15357"/>
    <cellStyle name="Comma 6 3 2 3 2 3 3 3 3" xfId="15358"/>
    <cellStyle name="Comma 6 3 2 3 2 3 3 4" xfId="15359"/>
    <cellStyle name="Comma 6 3 2 3 2 3 3 5" xfId="15360"/>
    <cellStyle name="Comma 6 3 2 3 2 3 4" xfId="15361"/>
    <cellStyle name="Comma 6 3 2 3 2 3 4 2" xfId="15362"/>
    <cellStyle name="Comma 6 3 2 3 2 3 4 3" xfId="15363"/>
    <cellStyle name="Comma 6 3 2 3 2 3 5" xfId="15364"/>
    <cellStyle name="Comma 6 3 2 3 2 3 5 2" xfId="15365"/>
    <cellStyle name="Comma 6 3 2 3 2 3 5 3" xfId="15366"/>
    <cellStyle name="Comma 6 3 2 3 2 3 6" xfId="15367"/>
    <cellStyle name="Comma 6 3 2 3 2 3 7" xfId="15368"/>
    <cellStyle name="Comma 6 3 2 3 2 4" xfId="15369"/>
    <cellStyle name="Comma 6 3 2 3 2 4 2" xfId="15370"/>
    <cellStyle name="Comma 6 3 2 3 2 4 2 2" xfId="15371"/>
    <cellStyle name="Comma 6 3 2 3 2 4 2 3" xfId="15372"/>
    <cellStyle name="Comma 6 3 2 3 2 4 3" xfId="15373"/>
    <cellStyle name="Comma 6 3 2 3 2 4 3 2" xfId="15374"/>
    <cellStyle name="Comma 6 3 2 3 2 4 3 3" xfId="15375"/>
    <cellStyle name="Comma 6 3 2 3 2 4 4" xfId="15376"/>
    <cellStyle name="Comma 6 3 2 3 2 4 5" xfId="15377"/>
    <cellStyle name="Comma 6 3 2 3 2 5" xfId="15378"/>
    <cellStyle name="Comma 6 3 2 3 2 5 2" xfId="15379"/>
    <cellStyle name="Comma 6 3 2 3 2 5 2 2" xfId="15380"/>
    <cellStyle name="Comma 6 3 2 3 2 5 2 3" xfId="15381"/>
    <cellStyle name="Comma 6 3 2 3 2 5 3" xfId="15382"/>
    <cellStyle name="Comma 6 3 2 3 2 5 3 2" xfId="15383"/>
    <cellStyle name="Comma 6 3 2 3 2 5 3 3" xfId="15384"/>
    <cellStyle name="Comma 6 3 2 3 2 5 4" xfId="15385"/>
    <cellStyle name="Comma 6 3 2 3 2 5 5" xfId="15386"/>
    <cellStyle name="Comma 6 3 2 3 2 6" xfId="15387"/>
    <cellStyle name="Comma 6 3 2 3 2 6 2" xfId="15388"/>
    <cellStyle name="Comma 6 3 2 3 2 6 3" xfId="15389"/>
    <cellStyle name="Comma 6 3 2 3 2 7" xfId="15390"/>
    <cellStyle name="Comma 6 3 2 3 2 7 2" xfId="15391"/>
    <cellStyle name="Comma 6 3 2 3 2 7 3" xfId="15392"/>
    <cellStyle name="Comma 6 3 2 3 2 8" xfId="15393"/>
    <cellStyle name="Comma 6 3 2 3 2 9" xfId="15394"/>
    <cellStyle name="Comma 6 3 2 3 3" xfId="15395"/>
    <cellStyle name="Comma 6 3 2 3 3 2" xfId="15396"/>
    <cellStyle name="Comma 6 3 2 3 3 2 2" xfId="15397"/>
    <cellStyle name="Comma 6 3 2 3 3 2 2 2" xfId="15398"/>
    <cellStyle name="Comma 6 3 2 3 3 2 2 3" xfId="15399"/>
    <cellStyle name="Comma 6 3 2 3 3 2 3" xfId="15400"/>
    <cellStyle name="Comma 6 3 2 3 3 2 3 2" xfId="15401"/>
    <cellStyle name="Comma 6 3 2 3 3 2 3 3" xfId="15402"/>
    <cellStyle name="Comma 6 3 2 3 3 2 4" xfId="15403"/>
    <cellStyle name="Comma 6 3 2 3 3 2 5" xfId="15404"/>
    <cellStyle name="Comma 6 3 2 3 3 3" xfId="15405"/>
    <cellStyle name="Comma 6 3 2 3 3 3 2" xfId="15406"/>
    <cellStyle name="Comma 6 3 2 3 3 3 2 2" xfId="15407"/>
    <cellStyle name="Comma 6 3 2 3 3 3 2 3" xfId="15408"/>
    <cellStyle name="Comma 6 3 2 3 3 3 3" xfId="15409"/>
    <cellStyle name="Comma 6 3 2 3 3 3 3 2" xfId="15410"/>
    <cellStyle name="Comma 6 3 2 3 3 3 3 3" xfId="15411"/>
    <cellStyle name="Comma 6 3 2 3 3 3 4" xfId="15412"/>
    <cellStyle name="Comma 6 3 2 3 3 3 5" xfId="15413"/>
    <cellStyle name="Comma 6 3 2 3 3 4" xfId="15414"/>
    <cellStyle name="Comma 6 3 2 3 3 4 2" xfId="15415"/>
    <cellStyle name="Comma 6 3 2 3 3 4 3" xfId="15416"/>
    <cellStyle name="Comma 6 3 2 3 3 5" xfId="15417"/>
    <cellStyle name="Comma 6 3 2 3 3 5 2" xfId="15418"/>
    <cellStyle name="Comma 6 3 2 3 3 5 3" xfId="15419"/>
    <cellStyle name="Comma 6 3 2 3 3 6" xfId="15420"/>
    <cellStyle name="Comma 6 3 2 3 3 7" xfId="15421"/>
    <cellStyle name="Comma 6 3 2 3 4" xfId="15422"/>
    <cellStyle name="Comma 6 3 2 3 4 2" xfId="15423"/>
    <cellStyle name="Comma 6 3 2 3 4 2 2" xfId="15424"/>
    <cellStyle name="Comma 6 3 2 3 4 2 2 2" xfId="15425"/>
    <cellStyle name="Comma 6 3 2 3 4 2 2 3" xfId="15426"/>
    <cellStyle name="Comma 6 3 2 3 4 2 3" xfId="15427"/>
    <cellStyle name="Comma 6 3 2 3 4 2 3 2" xfId="15428"/>
    <cellStyle name="Comma 6 3 2 3 4 2 3 3" xfId="15429"/>
    <cellStyle name="Comma 6 3 2 3 4 2 4" xfId="15430"/>
    <cellStyle name="Comma 6 3 2 3 4 2 5" xfId="15431"/>
    <cellStyle name="Comma 6 3 2 3 4 3" xfId="15432"/>
    <cellStyle name="Comma 6 3 2 3 4 3 2" xfId="15433"/>
    <cellStyle name="Comma 6 3 2 3 4 3 2 2" xfId="15434"/>
    <cellStyle name="Comma 6 3 2 3 4 3 2 3" xfId="15435"/>
    <cellStyle name="Comma 6 3 2 3 4 3 3" xfId="15436"/>
    <cellStyle name="Comma 6 3 2 3 4 3 3 2" xfId="15437"/>
    <cellStyle name="Comma 6 3 2 3 4 3 3 3" xfId="15438"/>
    <cellStyle name="Comma 6 3 2 3 4 3 4" xfId="15439"/>
    <cellStyle name="Comma 6 3 2 3 4 3 5" xfId="15440"/>
    <cellStyle name="Comma 6 3 2 3 4 4" xfId="15441"/>
    <cellStyle name="Comma 6 3 2 3 4 4 2" xfId="15442"/>
    <cellStyle name="Comma 6 3 2 3 4 4 3" xfId="15443"/>
    <cellStyle name="Comma 6 3 2 3 4 5" xfId="15444"/>
    <cellStyle name="Comma 6 3 2 3 4 5 2" xfId="15445"/>
    <cellStyle name="Comma 6 3 2 3 4 5 3" xfId="15446"/>
    <cellStyle name="Comma 6 3 2 3 4 6" xfId="15447"/>
    <cellStyle name="Comma 6 3 2 3 4 7" xfId="15448"/>
    <cellStyle name="Comma 6 3 2 3 5" xfId="15449"/>
    <cellStyle name="Comma 6 3 2 3 5 2" xfId="15450"/>
    <cellStyle name="Comma 6 3 2 3 5 2 2" xfId="15451"/>
    <cellStyle name="Comma 6 3 2 3 5 2 3" xfId="15452"/>
    <cellStyle name="Comma 6 3 2 3 5 3" xfId="15453"/>
    <cellStyle name="Comma 6 3 2 3 5 3 2" xfId="15454"/>
    <cellStyle name="Comma 6 3 2 3 5 3 3" xfId="15455"/>
    <cellStyle name="Comma 6 3 2 3 5 4" xfId="15456"/>
    <cellStyle name="Comma 6 3 2 3 5 5" xfId="15457"/>
    <cellStyle name="Comma 6 3 2 3 6" xfId="15458"/>
    <cellStyle name="Comma 6 3 2 3 6 2" xfId="15459"/>
    <cellStyle name="Comma 6 3 2 3 6 2 2" xfId="15460"/>
    <cellStyle name="Comma 6 3 2 3 6 2 3" xfId="15461"/>
    <cellStyle name="Comma 6 3 2 3 6 3" xfId="15462"/>
    <cellStyle name="Comma 6 3 2 3 6 3 2" xfId="15463"/>
    <cellStyle name="Comma 6 3 2 3 6 3 3" xfId="15464"/>
    <cellStyle name="Comma 6 3 2 3 6 4" xfId="15465"/>
    <cellStyle name="Comma 6 3 2 3 6 5" xfId="15466"/>
    <cellStyle name="Comma 6 3 2 3 7" xfId="15467"/>
    <cellStyle name="Comma 6 3 2 3 7 2" xfId="15468"/>
    <cellStyle name="Comma 6 3 2 3 7 3" xfId="15469"/>
    <cellStyle name="Comma 6 3 2 3 8" xfId="15470"/>
    <cellStyle name="Comma 6 3 2 3 8 2" xfId="15471"/>
    <cellStyle name="Comma 6 3 2 3 8 3" xfId="15472"/>
    <cellStyle name="Comma 6 3 2 3 9" xfId="15473"/>
    <cellStyle name="Comma 6 3 2 4" xfId="15474"/>
    <cellStyle name="Comma 6 3 2 4 2" xfId="15475"/>
    <cellStyle name="Comma 6 3 2 4 2 2" xfId="15476"/>
    <cellStyle name="Comma 6 3 2 4 2 2 2" xfId="15477"/>
    <cellStyle name="Comma 6 3 2 4 2 2 2 2" xfId="15478"/>
    <cellStyle name="Comma 6 3 2 4 2 2 2 3" xfId="15479"/>
    <cellStyle name="Comma 6 3 2 4 2 2 3" xfId="15480"/>
    <cellStyle name="Comma 6 3 2 4 2 2 3 2" xfId="15481"/>
    <cellStyle name="Comma 6 3 2 4 2 2 3 3" xfId="15482"/>
    <cellStyle name="Comma 6 3 2 4 2 2 4" xfId="15483"/>
    <cellStyle name="Comma 6 3 2 4 2 2 5" xfId="15484"/>
    <cellStyle name="Comma 6 3 2 4 2 3" xfId="15485"/>
    <cellStyle name="Comma 6 3 2 4 2 3 2" xfId="15486"/>
    <cellStyle name="Comma 6 3 2 4 2 3 2 2" xfId="15487"/>
    <cellStyle name="Comma 6 3 2 4 2 3 2 3" xfId="15488"/>
    <cellStyle name="Comma 6 3 2 4 2 3 3" xfId="15489"/>
    <cellStyle name="Comma 6 3 2 4 2 3 3 2" xfId="15490"/>
    <cellStyle name="Comma 6 3 2 4 2 3 3 3" xfId="15491"/>
    <cellStyle name="Comma 6 3 2 4 2 3 4" xfId="15492"/>
    <cellStyle name="Comma 6 3 2 4 2 3 5" xfId="15493"/>
    <cellStyle name="Comma 6 3 2 4 2 4" xfId="15494"/>
    <cellStyle name="Comma 6 3 2 4 2 4 2" xfId="15495"/>
    <cellStyle name="Comma 6 3 2 4 2 4 3" xfId="15496"/>
    <cellStyle name="Comma 6 3 2 4 2 5" xfId="15497"/>
    <cellStyle name="Comma 6 3 2 4 2 5 2" xfId="15498"/>
    <cellStyle name="Comma 6 3 2 4 2 5 3" xfId="15499"/>
    <cellStyle name="Comma 6 3 2 4 2 6" xfId="15500"/>
    <cellStyle name="Comma 6 3 2 4 2 7" xfId="15501"/>
    <cellStyle name="Comma 6 3 2 4 3" xfId="15502"/>
    <cellStyle name="Comma 6 3 2 4 3 2" xfId="15503"/>
    <cellStyle name="Comma 6 3 2 4 3 2 2" xfId="15504"/>
    <cellStyle name="Comma 6 3 2 4 3 2 2 2" xfId="15505"/>
    <cellStyle name="Comma 6 3 2 4 3 2 2 3" xfId="15506"/>
    <cellStyle name="Comma 6 3 2 4 3 2 3" xfId="15507"/>
    <cellStyle name="Comma 6 3 2 4 3 2 3 2" xfId="15508"/>
    <cellStyle name="Comma 6 3 2 4 3 2 3 3" xfId="15509"/>
    <cellStyle name="Comma 6 3 2 4 3 2 4" xfId="15510"/>
    <cellStyle name="Comma 6 3 2 4 3 2 5" xfId="15511"/>
    <cellStyle name="Comma 6 3 2 4 3 3" xfId="15512"/>
    <cellStyle name="Comma 6 3 2 4 3 3 2" xfId="15513"/>
    <cellStyle name="Comma 6 3 2 4 3 3 2 2" xfId="15514"/>
    <cellStyle name="Comma 6 3 2 4 3 3 2 3" xfId="15515"/>
    <cellStyle name="Comma 6 3 2 4 3 3 3" xfId="15516"/>
    <cellStyle name="Comma 6 3 2 4 3 3 3 2" xfId="15517"/>
    <cellStyle name="Comma 6 3 2 4 3 3 3 3" xfId="15518"/>
    <cellStyle name="Comma 6 3 2 4 3 3 4" xfId="15519"/>
    <cellStyle name="Comma 6 3 2 4 3 3 5" xfId="15520"/>
    <cellStyle name="Comma 6 3 2 4 3 4" xfId="15521"/>
    <cellStyle name="Comma 6 3 2 4 3 4 2" xfId="15522"/>
    <cellStyle name="Comma 6 3 2 4 3 4 3" xfId="15523"/>
    <cellStyle name="Comma 6 3 2 4 3 5" xfId="15524"/>
    <cellStyle name="Comma 6 3 2 4 3 5 2" xfId="15525"/>
    <cellStyle name="Comma 6 3 2 4 3 5 3" xfId="15526"/>
    <cellStyle name="Comma 6 3 2 4 3 6" xfId="15527"/>
    <cellStyle name="Comma 6 3 2 4 3 7" xfId="15528"/>
    <cellStyle name="Comma 6 3 2 4 4" xfId="15529"/>
    <cellStyle name="Comma 6 3 2 4 4 2" xfId="15530"/>
    <cellStyle name="Comma 6 3 2 4 4 2 2" xfId="15531"/>
    <cellStyle name="Comma 6 3 2 4 4 2 3" xfId="15532"/>
    <cellStyle name="Comma 6 3 2 4 4 3" xfId="15533"/>
    <cellStyle name="Comma 6 3 2 4 4 3 2" xfId="15534"/>
    <cellStyle name="Comma 6 3 2 4 4 3 3" xfId="15535"/>
    <cellStyle name="Comma 6 3 2 4 4 4" xfId="15536"/>
    <cellStyle name="Comma 6 3 2 4 4 5" xfId="15537"/>
    <cellStyle name="Comma 6 3 2 4 5" xfId="15538"/>
    <cellStyle name="Comma 6 3 2 4 5 2" xfId="15539"/>
    <cellStyle name="Comma 6 3 2 4 5 2 2" xfId="15540"/>
    <cellStyle name="Comma 6 3 2 4 5 2 3" xfId="15541"/>
    <cellStyle name="Comma 6 3 2 4 5 3" xfId="15542"/>
    <cellStyle name="Comma 6 3 2 4 5 3 2" xfId="15543"/>
    <cellStyle name="Comma 6 3 2 4 5 3 3" xfId="15544"/>
    <cellStyle name="Comma 6 3 2 4 5 4" xfId="15545"/>
    <cellStyle name="Comma 6 3 2 4 5 5" xfId="15546"/>
    <cellStyle name="Comma 6 3 2 4 6" xfId="15547"/>
    <cellStyle name="Comma 6 3 2 4 6 2" xfId="15548"/>
    <cellStyle name="Comma 6 3 2 4 6 3" xfId="15549"/>
    <cellStyle name="Comma 6 3 2 4 7" xfId="15550"/>
    <cellStyle name="Comma 6 3 2 4 7 2" xfId="15551"/>
    <cellStyle name="Comma 6 3 2 4 7 3" xfId="15552"/>
    <cellStyle name="Comma 6 3 2 4 8" xfId="15553"/>
    <cellStyle name="Comma 6 3 2 4 9" xfId="15554"/>
    <cellStyle name="Comma 6 3 2 5" xfId="15555"/>
    <cellStyle name="Comma 6 3 2 5 2" xfId="15556"/>
    <cellStyle name="Comma 6 3 2 5 2 2" xfId="15557"/>
    <cellStyle name="Comma 6 3 2 5 2 2 2" xfId="15558"/>
    <cellStyle name="Comma 6 3 2 5 2 2 3" xfId="15559"/>
    <cellStyle name="Comma 6 3 2 5 2 3" xfId="15560"/>
    <cellStyle name="Comma 6 3 2 5 2 3 2" xfId="15561"/>
    <cellStyle name="Comma 6 3 2 5 2 3 3" xfId="15562"/>
    <cellStyle name="Comma 6 3 2 5 2 4" xfId="15563"/>
    <cellStyle name="Comma 6 3 2 5 2 5" xfId="15564"/>
    <cellStyle name="Comma 6 3 2 5 3" xfId="15565"/>
    <cellStyle name="Comma 6 3 2 5 3 2" xfId="15566"/>
    <cellStyle name="Comma 6 3 2 5 3 2 2" xfId="15567"/>
    <cellStyle name="Comma 6 3 2 5 3 2 3" xfId="15568"/>
    <cellStyle name="Comma 6 3 2 5 3 3" xfId="15569"/>
    <cellStyle name="Comma 6 3 2 5 3 3 2" xfId="15570"/>
    <cellStyle name="Comma 6 3 2 5 3 3 3" xfId="15571"/>
    <cellStyle name="Comma 6 3 2 5 3 4" xfId="15572"/>
    <cellStyle name="Comma 6 3 2 5 3 5" xfId="15573"/>
    <cellStyle name="Comma 6 3 2 5 4" xfId="15574"/>
    <cellStyle name="Comma 6 3 2 5 4 2" xfId="15575"/>
    <cellStyle name="Comma 6 3 2 5 4 3" xfId="15576"/>
    <cellStyle name="Comma 6 3 2 5 5" xfId="15577"/>
    <cellStyle name="Comma 6 3 2 5 5 2" xfId="15578"/>
    <cellStyle name="Comma 6 3 2 5 5 3" xfId="15579"/>
    <cellStyle name="Comma 6 3 2 5 6" xfId="15580"/>
    <cellStyle name="Comma 6 3 2 5 7" xfId="15581"/>
    <cellStyle name="Comma 6 3 2 6" xfId="15582"/>
    <cellStyle name="Comma 6 3 2 6 2" xfId="15583"/>
    <cellStyle name="Comma 6 3 2 6 2 2" xfId="15584"/>
    <cellStyle name="Comma 6 3 2 6 2 2 2" xfId="15585"/>
    <cellStyle name="Comma 6 3 2 6 2 2 3" xfId="15586"/>
    <cellStyle name="Comma 6 3 2 6 2 3" xfId="15587"/>
    <cellStyle name="Comma 6 3 2 6 2 3 2" xfId="15588"/>
    <cellStyle name="Comma 6 3 2 6 2 3 3" xfId="15589"/>
    <cellStyle name="Comma 6 3 2 6 2 4" xfId="15590"/>
    <cellStyle name="Comma 6 3 2 6 2 5" xfId="15591"/>
    <cellStyle name="Comma 6 3 2 6 3" xfId="15592"/>
    <cellStyle name="Comma 6 3 2 6 3 2" xfId="15593"/>
    <cellStyle name="Comma 6 3 2 6 3 2 2" xfId="15594"/>
    <cellStyle name="Comma 6 3 2 6 3 2 3" xfId="15595"/>
    <cellStyle name="Comma 6 3 2 6 3 3" xfId="15596"/>
    <cellStyle name="Comma 6 3 2 6 3 3 2" xfId="15597"/>
    <cellStyle name="Comma 6 3 2 6 3 3 3" xfId="15598"/>
    <cellStyle name="Comma 6 3 2 6 3 4" xfId="15599"/>
    <cellStyle name="Comma 6 3 2 6 3 5" xfId="15600"/>
    <cellStyle name="Comma 6 3 2 6 4" xfId="15601"/>
    <cellStyle name="Comma 6 3 2 6 4 2" xfId="15602"/>
    <cellStyle name="Comma 6 3 2 6 4 3" xfId="15603"/>
    <cellStyle name="Comma 6 3 2 6 5" xfId="15604"/>
    <cellStyle name="Comma 6 3 2 6 5 2" xfId="15605"/>
    <cellStyle name="Comma 6 3 2 6 5 3" xfId="15606"/>
    <cellStyle name="Comma 6 3 2 6 6" xfId="15607"/>
    <cellStyle name="Comma 6 3 2 6 7" xfId="15608"/>
    <cellStyle name="Comma 6 3 2 7" xfId="15609"/>
    <cellStyle name="Comma 6 3 2 7 2" xfId="15610"/>
    <cellStyle name="Comma 6 3 2 7 2 2" xfId="15611"/>
    <cellStyle name="Comma 6 3 2 7 2 3" xfId="15612"/>
    <cellStyle name="Comma 6 3 2 7 3" xfId="15613"/>
    <cellStyle name="Comma 6 3 2 7 3 2" xfId="15614"/>
    <cellStyle name="Comma 6 3 2 7 3 3" xfId="15615"/>
    <cellStyle name="Comma 6 3 2 7 4" xfId="15616"/>
    <cellStyle name="Comma 6 3 2 7 5" xfId="15617"/>
    <cellStyle name="Comma 6 3 2 8" xfId="15618"/>
    <cellStyle name="Comma 6 3 2 8 2" xfId="15619"/>
    <cellStyle name="Comma 6 3 2 8 2 2" xfId="15620"/>
    <cellStyle name="Comma 6 3 2 8 2 3" xfId="15621"/>
    <cellStyle name="Comma 6 3 2 8 3" xfId="15622"/>
    <cellStyle name="Comma 6 3 2 8 3 2" xfId="15623"/>
    <cellStyle name="Comma 6 3 2 8 3 3" xfId="15624"/>
    <cellStyle name="Comma 6 3 2 8 4" xfId="15625"/>
    <cellStyle name="Comma 6 3 2 8 5" xfId="15626"/>
    <cellStyle name="Comma 6 3 2 9" xfId="15627"/>
    <cellStyle name="Comma 6 3 2 9 2" xfId="15628"/>
    <cellStyle name="Comma 6 3 2 9 3" xfId="15629"/>
    <cellStyle name="Comma 6 4" xfId="15630"/>
    <cellStyle name="Comma 6 4 2" xfId="15631"/>
    <cellStyle name="Comma 6 4 2 10" xfId="15632"/>
    <cellStyle name="Comma 6 4 2 10 2" xfId="15633"/>
    <cellStyle name="Comma 6 4 2 10 3" xfId="15634"/>
    <cellStyle name="Comma 6 4 2 11" xfId="15635"/>
    <cellStyle name="Comma 6 4 2 12" xfId="15636"/>
    <cellStyle name="Comma 6 4 2 2" xfId="15637"/>
    <cellStyle name="Comma 6 4 2 2 10" xfId="15638"/>
    <cellStyle name="Comma 6 4 2 2 11" xfId="15639"/>
    <cellStyle name="Comma 6 4 2 2 2" xfId="15640"/>
    <cellStyle name="Comma 6 4 2 2 2 10" xfId="15641"/>
    <cellStyle name="Comma 6 4 2 2 2 2" xfId="15642"/>
    <cellStyle name="Comma 6 4 2 2 2 2 2" xfId="15643"/>
    <cellStyle name="Comma 6 4 2 2 2 2 2 2" xfId="15644"/>
    <cellStyle name="Comma 6 4 2 2 2 2 2 2 2" xfId="15645"/>
    <cellStyle name="Comma 6 4 2 2 2 2 2 2 2 2" xfId="15646"/>
    <cellStyle name="Comma 6 4 2 2 2 2 2 2 2 3" xfId="15647"/>
    <cellStyle name="Comma 6 4 2 2 2 2 2 2 3" xfId="15648"/>
    <cellStyle name="Comma 6 4 2 2 2 2 2 2 3 2" xfId="15649"/>
    <cellStyle name="Comma 6 4 2 2 2 2 2 2 3 3" xfId="15650"/>
    <cellStyle name="Comma 6 4 2 2 2 2 2 2 4" xfId="15651"/>
    <cellStyle name="Comma 6 4 2 2 2 2 2 2 5" xfId="15652"/>
    <cellStyle name="Comma 6 4 2 2 2 2 2 3" xfId="15653"/>
    <cellStyle name="Comma 6 4 2 2 2 2 2 3 2" xfId="15654"/>
    <cellStyle name="Comma 6 4 2 2 2 2 2 3 2 2" xfId="15655"/>
    <cellStyle name="Comma 6 4 2 2 2 2 2 3 2 3" xfId="15656"/>
    <cellStyle name="Comma 6 4 2 2 2 2 2 3 3" xfId="15657"/>
    <cellStyle name="Comma 6 4 2 2 2 2 2 3 3 2" xfId="15658"/>
    <cellStyle name="Comma 6 4 2 2 2 2 2 3 3 3" xfId="15659"/>
    <cellStyle name="Comma 6 4 2 2 2 2 2 3 4" xfId="15660"/>
    <cellStyle name="Comma 6 4 2 2 2 2 2 3 5" xfId="15661"/>
    <cellStyle name="Comma 6 4 2 2 2 2 2 4" xfId="15662"/>
    <cellStyle name="Comma 6 4 2 2 2 2 2 4 2" xfId="15663"/>
    <cellStyle name="Comma 6 4 2 2 2 2 2 4 3" xfId="15664"/>
    <cellStyle name="Comma 6 4 2 2 2 2 2 5" xfId="15665"/>
    <cellStyle name="Comma 6 4 2 2 2 2 2 5 2" xfId="15666"/>
    <cellStyle name="Comma 6 4 2 2 2 2 2 5 3" xfId="15667"/>
    <cellStyle name="Comma 6 4 2 2 2 2 2 6" xfId="15668"/>
    <cellStyle name="Comma 6 4 2 2 2 2 2 7" xfId="15669"/>
    <cellStyle name="Comma 6 4 2 2 2 2 3" xfId="15670"/>
    <cellStyle name="Comma 6 4 2 2 2 2 3 2" xfId="15671"/>
    <cellStyle name="Comma 6 4 2 2 2 2 3 2 2" xfId="15672"/>
    <cellStyle name="Comma 6 4 2 2 2 2 3 2 2 2" xfId="15673"/>
    <cellStyle name="Comma 6 4 2 2 2 2 3 2 2 3" xfId="15674"/>
    <cellStyle name="Comma 6 4 2 2 2 2 3 2 3" xfId="15675"/>
    <cellStyle name="Comma 6 4 2 2 2 2 3 2 3 2" xfId="15676"/>
    <cellStyle name="Comma 6 4 2 2 2 2 3 2 3 3" xfId="15677"/>
    <cellStyle name="Comma 6 4 2 2 2 2 3 2 4" xfId="15678"/>
    <cellStyle name="Comma 6 4 2 2 2 2 3 2 5" xfId="15679"/>
    <cellStyle name="Comma 6 4 2 2 2 2 3 3" xfId="15680"/>
    <cellStyle name="Comma 6 4 2 2 2 2 3 3 2" xfId="15681"/>
    <cellStyle name="Comma 6 4 2 2 2 2 3 3 2 2" xfId="15682"/>
    <cellStyle name="Comma 6 4 2 2 2 2 3 3 2 3" xfId="15683"/>
    <cellStyle name="Comma 6 4 2 2 2 2 3 3 3" xfId="15684"/>
    <cellStyle name="Comma 6 4 2 2 2 2 3 3 3 2" xfId="15685"/>
    <cellStyle name="Comma 6 4 2 2 2 2 3 3 3 3" xfId="15686"/>
    <cellStyle name="Comma 6 4 2 2 2 2 3 3 4" xfId="15687"/>
    <cellStyle name="Comma 6 4 2 2 2 2 3 3 5" xfId="15688"/>
    <cellStyle name="Comma 6 4 2 2 2 2 3 4" xfId="15689"/>
    <cellStyle name="Comma 6 4 2 2 2 2 3 4 2" xfId="15690"/>
    <cellStyle name="Comma 6 4 2 2 2 2 3 4 3" xfId="15691"/>
    <cellStyle name="Comma 6 4 2 2 2 2 3 5" xfId="15692"/>
    <cellStyle name="Comma 6 4 2 2 2 2 3 5 2" xfId="15693"/>
    <cellStyle name="Comma 6 4 2 2 2 2 3 5 3" xfId="15694"/>
    <cellStyle name="Comma 6 4 2 2 2 2 3 6" xfId="15695"/>
    <cellStyle name="Comma 6 4 2 2 2 2 3 7" xfId="15696"/>
    <cellStyle name="Comma 6 4 2 2 2 2 4" xfId="15697"/>
    <cellStyle name="Comma 6 4 2 2 2 2 4 2" xfId="15698"/>
    <cellStyle name="Comma 6 4 2 2 2 2 4 2 2" xfId="15699"/>
    <cellStyle name="Comma 6 4 2 2 2 2 4 2 3" xfId="15700"/>
    <cellStyle name="Comma 6 4 2 2 2 2 4 3" xfId="15701"/>
    <cellStyle name="Comma 6 4 2 2 2 2 4 3 2" xfId="15702"/>
    <cellStyle name="Comma 6 4 2 2 2 2 4 3 3" xfId="15703"/>
    <cellStyle name="Comma 6 4 2 2 2 2 4 4" xfId="15704"/>
    <cellStyle name="Comma 6 4 2 2 2 2 4 5" xfId="15705"/>
    <cellStyle name="Comma 6 4 2 2 2 2 5" xfId="15706"/>
    <cellStyle name="Comma 6 4 2 2 2 2 5 2" xfId="15707"/>
    <cellStyle name="Comma 6 4 2 2 2 2 5 2 2" xfId="15708"/>
    <cellStyle name="Comma 6 4 2 2 2 2 5 2 3" xfId="15709"/>
    <cellStyle name="Comma 6 4 2 2 2 2 5 3" xfId="15710"/>
    <cellStyle name="Comma 6 4 2 2 2 2 5 3 2" xfId="15711"/>
    <cellStyle name="Comma 6 4 2 2 2 2 5 3 3" xfId="15712"/>
    <cellStyle name="Comma 6 4 2 2 2 2 5 4" xfId="15713"/>
    <cellStyle name="Comma 6 4 2 2 2 2 5 5" xfId="15714"/>
    <cellStyle name="Comma 6 4 2 2 2 2 6" xfId="15715"/>
    <cellStyle name="Comma 6 4 2 2 2 2 6 2" xfId="15716"/>
    <cellStyle name="Comma 6 4 2 2 2 2 6 3" xfId="15717"/>
    <cellStyle name="Comma 6 4 2 2 2 2 7" xfId="15718"/>
    <cellStyle name="Comma 6 4 2 2 2 2 7 2" xfId="15719"/>
    <cellStyle name="Comma 6 4 2 2 2 2 7 3" xfId="15720"/>
    <cellStyle name="Comma 6 4 2 2 2 2 8" xfId="15721"/>
    <cellStyle name="Comma 6 4 2 2 2 2 9" xfId="15722"/>
    <cellStyle name="Comma 6 4 2 2 2 3" xfId="15723"/>
    <cellStyle name="Comma 6 4 2 2 2 3 2" xfId="15724"/>
    <cellStyle name="Comma 6 4 2 2 2 3 2 2" xfId="15725"/>
    <cellStyle name="Comma 6 4 2 2 2 3 2 2 2" xfId="15726"/>
    <cellStyle name="Comma 6 4 2 2 2 3 2 2 3" xfId="15727"/>
    <cellStyle name="Comma 6 4 2 2 2 3 2 3" xfId="15728"/>
    <cellStyle name="Comma 6 4 2 2 2 3 2 3 2" xfId="15729"/>
    <cellStyle name="Comma 6 4 2 2 2 3 2 3 3" xfId="15730"/>
    <cellStyle name="Comma 6 4 2 2 2 3 2 4" xfId="15731"/>
    <cellStyle name="Comma 6 4 2 2 2 3 2 5" xfId="15732"/>
    <cellStyle name="Comma 6 4 2 2 2 3 3" xfId="15733"/>
    <cellStyle name="Comma 6 4 2 2 2 3 3 2" xfId="15734"/>
    <cellStyle name="Comma 6 4 2 2 2 3 3 2 2" xfId="15735"/>
    <cellStyle name="Comma 6 4 2 2 2 3 3 2 3" xfId="15736"/>
    <cellStyle name="Comma 6 4 2 2 2 3 3 3" xfId="15737"/>
    <cellStyle name="Comma 6 4 2 2 2 3 3 3 2" xfId="15738"/>
    <cellStyle name="Comma 6 4 2 2 2 3 3 3 3" xfId="15739"/>
    <cellStyle name="Comma 6 4 2 2 2 3 3 4" xfId="15740"/>
    <cellStyle name="Comma 6 4 2 2 2 3 3 5" xfId="15741"/>
    <cellStyle name="Comma 6 4 2 2 2 3 4" xfId="15742"/>
    <cellStyle name="Comma 6 4 2 2 2 3 4 2" xfId="15743"/>
    <cellStyle name="Comma 6 4 2 2 2 3 4 3" xfId="15744"/>
    <cellStyle name="Comma 6 4 2 2 2 3 5" xfId="15745"/>
    <cellStyle name="Comma 6 4 2 2 2 3 5 2" xfId="15746"/>
    <cellStyle name="Comma 6 4 2 2 2 3 5 3" xfId="15747"/>
    <cellStyle name="Comma 6 4 2 2 2 3 6" xfId="15748"/>
    <cellStyle name="Comma 6 4 2 2 2 3 7" xfId="15749"/>
    <cellStyle name="Comma 6 4 2 2 2 4" xfId="15750"/>
    <cellStyle name="Comma 6 4 2 2 2 4 2" xfId="15751"/>
    <cellStyle name="Comma 6 4 2 2 2 4 2 2" xfId="15752"/>
    <cellStyle name="Comma 6 4 2 2 2 4 2 2 2" xfId="15753"/>
    <cellStyle name="Comma 6 4 2 2 2 4 2 2 3" xfId="15754"/>
    <cellStyle name="Comma 6 4 2 2 2 4 2 3" xfId="15755"/>
    <cellStyle name="Comma 6 4 2 2 2 4 2 3 2" xfId="15756"/>
    <cellStyle name="Comma 6 4 2 2 2 4 2 3 3" xfId="15757"/>
    <cellStyle name="Comma 6 4 2 2 2 4 2 4" xfId="15758"/>
    <cellStyle name="Comma 6 4 2 2 2 4 2 5" xfId="15759"/>
    <cellStyle name="Comma 6 4 2 2 2 4 3" xfId="15760"/>
    <cellStyle name="Comma 6 4 2 2 2 4 3 2" xfId="15761"/>
    <cellStyle name="Comma 6 4 2 2 2 4 3 2 2" xfId="15762"/>
    <cellStyle name="Comma 6 4 2 2 2 4 3 2 3" xfId="15763"/>
    <cellStyle name="Comma 6 4 2 2 2 4 3 3" xfId="15764"/>
    <cellStyle name="Comma 6 4 2 2 2 4 3 3 2" xfId="15765"/>
    <cellStyle name="Comma 6 4 2 2 2 4 3 3 3" xfId="15766"/>
    <cellStyle name="Comma 6 4 2 2 2 4 3 4" xfId="15767"/>
    <cellStyle name="Comma 6 4 2 2 2 4 3 5" xfId="15768"/>
    <cellStyle name="Comma 6 4 2 2 2 4 4" xfId="15769"/>
    <cellStyle name="Comma 6 4 2 2 2 4 4 2" xfId="15770"/>
    <cellStyle name="Comma 6 4 2 2 2 4 4 3" xfId="15771"/>
    <cellStyle name="Comma 6 4 2 2 2 4 5" xfId="15772"/>
    <cellStyle name="Comma 6 4 2 2 2 4 5 2" xfId="15773"/>
    <cellStyle name="Comma 6 4 2 2 2 4 5 3" xfId="15774"/>
    <cellStyle name="Comma 6 4 2 2 2 4 6" xfId="15775"/>
    <cellStyle name="Comma 6 4 2 2 2 4 7" xfId="15776"/>
    <cellStyle name="Comma 6 4 2 2 2 5" xfId="15777"/>
    <cellStyle name="Comma 6 4 2 2 2 5 2" xfId="15778"/>
    <cellStyle name="Comma 6 4 2 2 2 5 2 2" xfId="15779"/>
    <cellStyle name="Comma 6 4 2 2 2 5 2 3" xfId="15780"/>
    <cellStyle name="Comma 6 4 2 2 2 5 3" xfId="15781"/>
    <cellStyle name="Comma 6 4 2 2 2 5 3 2" xfId="15782"/>
    <cellStyle name="Comma 6 4 2 2 2 5 3 3" xfId="15783"/>
    <cellStyle name="Comma 6 4 2 2 2 5 4" xfId="15784"/>
    <cellStyle name="Comma 6 4 2 2 2 5 5" xfId="15785"/>
    <cellStyle name="Comma 6 4 2 2 2 6" xfId="15786"/>
    <cellStyle name="Comma 6 4 2 2 2 6 2" xfId="15787"/>
    <cellStyle name="Comma 6 4 2 2 2 6 2 2" xfId="15788"/>
    <cellStyle name="Comma 6 4 2 2 2 6 2 3" xfId="15789"/>
    <cellStyle name="Comma 6 4 2 2 2 6 3" xfId="15790"/>
    <cellStyle name="Comma 6 4 2 2 2 6 3 2" xfId="15791"/>
    <cellStyle name="Comma 6 4 2 2 2 6 3 3" xfId="15792"/>
    <cellStyle name="Comma 6 4 2 2 2 6 4" xfId="15793"/>
    <cellStyle name="Comma 6 4 2 2 2 6 5" xfId="15794"/>
    <cellStyle name="Comma 6 4 2 2 2 7" xfId="15795"/>
    <cellStyle name="Comma 6 4 2 2 2 7 2" xfId="15796"/>
    <cellStyle name="Comma 6 4 2 2 2 7 3" xfId="15797"/>
    <cellStyle name="Comma 6 4 2 2 2 8" xfId="15798"/>
    <cellStyle name="Comma 6 4 2 2 2 8 2" xfId="15799"/>
    <cellStyle name="Comma 6 4 2 2 2 8 3" xfId="15800"/>
    <cellStyle name="Comma 6 4 2 2 2 9" xfId="15801"/>
    <cellStyle name="Comma 6 4 2 2 3" xfId="15802"/>
    <cellStyle name="Comma 6 4 2 2 3 2" xfId="15803"/>
    <cellStyle name="Comma 6 4 2 2 3 2 2" xfId="15804"/>
    <cellStyle name="Comma 6 4 2 2 3 2 2 2" xfId="15805"/>
    <cellStyle name="Comma 6 4 2 2 3 2 2 2 2" xfId="15806"/>
    <cellStyle name="Comma 6 4 2 2 3 2 2 2 3" xfId="15807"/>
    <cellStyle name="Comma 6 4 2 2 3 2 2 3" xfId="15808"/>
    <cellStyle name="Comma 6 4 2 2 3 2 2 3 2" xfId="15809"/>
    <cellStyle name="Comma 6 4 2 2 3 2 2 3 3" xfId="15810"/>
    <cellStyle name="Comma 6 4 2 2 3 2 2 4" xfId="15811"/>
    <cellStyle name="Comma 6 4 2 2 3 2 2 5" xfId="15812"/>
    <cellStyle name="Comma 6 4 2 2 3 2 3" xfId="15813"/>
    <cellStyle name="Comma 6 4 2 2 3 2 3 2" xfId="15814"/>
    <cellStyle name="Comma 6 4 2 2 3 2 3 2 2" xfId="15815"/>
    <cellStyle name="Comma 6 4 2 2 3 2 3 2 3" xfId="15816"/>
    <cellStyle name="Comma 6 4 2 2 3 2 3 3" xfId="15817"/>
    <cellStyle name="Comma 6 4 2 2 3 2 3 3 2" xfId="15818"/>
    <cellStyle name="Comma 6 4 2 2 3 2 3 3 3" xfId="15819"/>
    <cellStyle name="Comma 6 4 2 2 3 2 3 4" xfId="15820"/>
    <cellStyle name="Comma 6 4 2 2 3 2 3 5" xfId="15821"/>
    <cellStyle name="Comma 6 4 2 2 3 2 4" xfId="15822"/>
    <cellStyle name="Comma 6 4 2 2 3 2 4 2" xfId="15823"/>
    <cellStyle name="Comma 6 4 2 2 3 2 4 3" xfId="15824"/>
    <cellStyle name="Comma 6 4 2 2 3 2 5" xfId="15825"/>
    <cellStyle name="Comma 6 4 2 2 3 2 5 2" xfId="15826"/>
    <cellStyle name="Comma 6 4 2 2 3 2 5 3" xfId="15827"/>
    <cellStyle name="Comma 6 4 2 2 3 2 6" xfId="15828"/>
    <cellStyle name="Comma 6 4 2 2 3 2 7" xfId="15829"/>
    <cellStyle name="Comma 6 4 2 2 3 3" xfId="15830"/>
    <cellStyle name="Comma 6 4 2 2 3 3 2" xfId="15831"/>
    <cellStyle name="Comma 6 4 2 2 3 3 2 2" xfId="15832"/>
    <cellStyle name="Comma 6 4 2 2 3 3 2 2 2" xfId="15833"/>
    <cellStyle name="Comma 6 4 2 2 3 3 2 2 3" xfId="15834"/>
    <cellStyle name="Comma 6 4 2 2 3 3 2 3" xfId="15835"/>
    <cellStyle name="Comma 6 4 2 2 3 3 2 3 2" xfId="15836"/>
    <cellStyle name="Comma 6 4 2 2 3 3 2 3 3" xfId="15837"/>
    <cellStyle name="Comma 6 4 2 2 3 3 2 4" xfId="15838"/>
    <cellStyle name="Comma 6 4 2 2 3 3 2 5" xfId="15839"/>
    <cellStyle name="Comma 6 4 2 2 3 3 3" xfId="15840"/>
    <cellStyle name="Comma 6 4 2 2 3 3 3 2" xfId="15841"/>
    <cellStyle name="Comma 6 4 2 2 3 3 3 2 2" xfId="15842"/>
    <cellStyle name="Comma 6 4 2 2 3 3 3 2 3" xfId="15843"/>
    <cellStyle name="Comma 6 4 2 2 3 3 3 3" xfId="15844"/>
    <cellStyle name="Comma 6 4 2 2 3 3 3 3 2" xfId="15845"/>
    <cellStyle name="Comma 6 4 2 2 3 3 3 3 3" xfId="15846"/>
    <cellStyle name="Comma 6 4 2 2 3 3 3 4" xfId="15847"/>
    <cellStyle name="Comma 6 4 2 2 3 3 3 5" xfId="15848"/>
    <cellStyle name="Comma 6 4 2 2 3 3 4" xfId="15849"/>
    <cellStyle name="Comma 6 4 2 2 3 3 4 2" xfId="15850"/>
    <cellStyle name="Comma 6 4 2 2 3 3 4 3" xfId="15851"/>
    <cellStyle name="Comma 6 4 2 2 3 3 5" xfId="15852"/>
    <cellStyle name="Comma 6 4 2 2 3 3 5 2" xfId="15853"/>
    <cellStyle name="Comma 6 4 2 2 3 3 5 3" xfId="15854"/>
    <cellStyle name="Comma 6 4 2 2 3 3 6" xfId="15855"/>
    <cellStyle name="Comma 6 4 2 2 3 3 7" xfId="15856"/>
    <cellStyle name="Comma 6 4 2 2 3 4" xfId="15857"/>
    <cellStyle name="Comma 6 4 2 2 3 4 2" xfId="15858"/>
    <cellStyle name="Comma 6 4 2 2 3 4 2 2" xfId="15859"/>
    <cellStyle name="Comma 6 4 2 2 3 4 2 3" xfId="15860"/>
    <cellStyle name="Comma 6 4 2 2 3 4 3" xfId="15861"/>
    <cellStyle name="Comma 6 4 2 2 3 4 3 2" xfId="15862"/>
    <cellStyle name="Comma 6 4 2 2 3 4 3 3" xfId="15863"/>
    <cellStyle name="Comma 6 4 2 2 3 4 4" xfId="15864"/>
    <cellStyle name="Comma 6 4 2 2 3 4 5" xfId="15865"/>
    <cellStyle name="Comma 6 4 2 2 3 5" xfId="15866"/>
    <cellStyle name="Comma 6 4 2 2 3 5 2" xfId="15867"/>
    <cellStyle name="Comma 6 4 2 2 3 5 2 2" xfId="15868"/>
    <cellStyle name="Comma 6 4 2 2 3 5 2 3" xfId="15869"/>
    <cellStyle name="Comma 6 4 2 2 3 5 3" xfId="15870"/>
    <cellStyle name="Comma 6 4 2 2 3 5 3 2" xfId="15871"/>
    <cellStyle name="Comma 6 4 2 2 3 5 3 3" xfId="15872"/>
    <cellStyle name="Comma 6 4 2 2 3 5 4" xfId="15873"/>
    <cellStyle name="Comma 6 4 2 2 3 5 5" xfId="15874"/>
    <cellStyle name="Comma 6 4 2 2 3 6" xfId="15875"/>
    <cellStyle name="Comma 6 4 2 2 3 6 2" xfId="15876"/>
    <cellStyle name="Comma 6 4 2 2 3 6 3" xfId="15877"/>
    <cellStyle name="Comma 6 4 2 2 3 7" xfId="15878"/>
    <cellStyle name="Comma 6 4 2 2 3 7 2" xfId="15879"/>
    <cellStyle name="Comma 6 4 2 2 3 7 3" xfId="15880"/>
    <cellStyle name="Comma 6 4 2 2 3 8" xfId="15881"/>
    <cellStyle name="Comma 6 4 2 2 3 9" xfId="15882"/>
    <cellStyle name="Comma 6 4 2 2 4" xfId="15883"/>
    <cellStyle name="Comma 6 4 2 2 4 2" xfId="15884"/>
    <cellStyle name="Comma 6 4 2 2 4 2 2" xfId="15885"/>
    <cellStyle name="Comma 6 4 2 2 4 2 2 2" xfId="15886"/>
    <cellStyle name="Comma 6 4 2 2 4 2 2 3" xfId="15887"/>
    <cellStyle name="Comma 6 4 2 2 4 2 3" xfId="15888"/>
    <cellStyle name="Comma 6 4 2 2 4 2 3 2" xfId="15889"/>
    <cellStyle name="Comma 6 4 2 2 4 2 3 3" xfId="15890"/>
    <cellStyle name="Comma 6 4 2 2 4 2 4" xfId="15891"/>
    <cellStyle name="Comma 6 4 2 2 4 2 5" xfId="15892"/>
    <cellStyle name="Comma 6 4 2 2 4 3" xfId="15893"/>
    <cellStyle name="Comma 6 4 2 2 4 3 2" xfId="15894"/>
    <cellStyle name="Comma 6 4 2 2 4 3 2 2" xfId="15895"/>
    <cellStyle name="Comma 6 4 2 2 4 3 2 3" xfId="15896"/>
    <cellStyle name="Comma 6 4 2 2 4 3 3" xfId="15897"/>
    <cellStyle name="Comma 6 4 2 2 4 3 3 2" xfId="15898"/>
    <cellStyle name="Comma 6 4 2 2 4 3 3 3" xfId="15899"/>
    <cellStyle name="Comma 6 4 2 2 4 3 4" xfId="15900"/>
    <cellStyle name="Comma 6 4 2 2 4 3 5" xfId="15901"/>
    <cellStyle name="Comma 6 4 2 2 4 4" xfId="15902"/>
    <cellStyle name="Comma 6 4 2 2 4 4 2" xfId="15903"/>
    <cellStyle name="Comma 6 4 2 2 4 4 3" xfId="15904"/>
    <cellStyle name="Comma 6 4 2 2 4 5" xfId="15905"/>
    <cellStyle name="Comma 6 4 2 2 4 5 2" xfId="15906"/>
    <cellStyle name="Comma 6 4 2 2 4 5 3" xfId="15907"/>
    <cellStyle name="Comma 6 4 2 2 4 6" xfId="15908"/>
    <cellStyle name="Comma 6 4 2 2 4 7" xfId="15909"/>
    <cellStyle name="Comma 6 4 2 2 5" xfId="15910"/>
    <cellStyle name="Comma 6 4 2 2 5 2" xfId="15911"/>
    <cellStyle name="Comma 6 4 2 2 5 2 2" xfId="15912"/>
    <cellStyle name="Comma 6 4 2 2 5 2 2 2" xfId="15913"/>
    <cellStyle name="Comma 6 4 2 2 5 2 2 3" xfId="15914"/>
    <cellStyle name="Comma 6 4 2 2 5 2 3" xfId="15915"/>
    <cellStyle name="Comma 6 4 2 2 5 2 3 2" xfId="15916"/>
    <cellStyle name="Comma 6 4 2 2 5 2 3 3" xfId="15917"/>
    <cellStyle name="Comma 6 4 2 2 5 2 4" xfId="15918"/>
    <cellStyle name="Comma 6 4 2 2 5 2 5" xfId="15919"/>
    <cellStyle name="Comma 6 4 2 2 5 3" xfId="15920"/>
    <cellStyle name="Comma 6 4 2 2 5 3 2" xfId="15921"/>
    <cellStyle name="Comma 6 4 2 2 5 3 2 2" xfId="15922"/>
    <cellStyle name="Comma 6 4 2 2 5 3 2 3" xfId="15923"/>
    <cellStyle name="Comma 6 4 2 2 5 3 3" xfId="15924"/>
    <cellStyle name="Comma 6 4 2 2 5 3 3 2" xfId="15925"/>
    <cellStyle name="Comma 6 4 2 2 5 3 3 3" xfId="15926"/>
    <cellStyle name="Comma 6 4 2 2 5 3 4" xfId="15927"/>
    <cellStyle name="Comma 6 4 2 2 5 3 5" xfId="15928"/>
    <cellStyle name="Comma 6 4 2 2 5 4" xfId="15929"/>
    <cellStyle name="Comma 6 4 2 2 5 4 2" xfId="15930"/>
    <cellStyle name="Comma 6 4 2 2 5 4 3" xfId="15931"/>
    <cellStyle name="Comma 6 4 2 2 5 5" xfId="15932"/>
    <cellStyle name="Comma 6 4 2 2 5 5 2" xfId="15933"/>
    <cellStyle name="Comma 6 4 2 2 5 5 3" xfId="15934"/>
    <cellStyle name="Comma 6 4 2 2 5 6" xfId="15935"/>
    <cellStyle name="Comma 6 4 2 2 5 7" xfId="15936"/>
    <cellStyle name="Comma 6 4 2 2 6" xfId="15937"/>
    <cellStyle name="Comma 6 4 2 2 6 2" xfId="15938"/>
    <cellStyle name="Comma 6 4 2 2 6 2 2" xfId="15939"/>
    <cellStyle name="Comma 6 4 2 2 6 2 3" xfId="15940"/>
    <cellStyle name="Comma 6 4 2 2 6 3" xfId="15941"/>
    <cellStyle name="Comma 6 4 2 2 6 3 2" xfId="15942"/>
    <cellStyle name="Comma 6 4 2 2 6 3 3" xfId="15943"/>
    <cellStyle name="Comma 6 4 2 2 6 4" xfId="15944"/>
    <cellStyle name="Comma 6 4 2 2 6 5" xfId="15945"/>
    <cellStyle name="Comma 6 4 2 2 7" xfId="15946"/>
    <cellStyle name="Comma 6 4 2 2 7 2" xfId="15947"/>
    <cellStyle name="Comma 6 4 2 2 7 2 2" xfId="15948"/>
    <cellStyle name="Comma 6 4 2 2 7 2 3" xfId="15949"/>
    <cellStyle name="Comma 6 4 2 2 7 3" xfId="15950"/>
    <cellStyle name="Comma 6 4 2 2 7 3 2" xfId="15951"/>
    <cellStyle name="Comma 6 4 2 2 7 3 3" xfId="15952"/>
    <cellStyle name="Comma 6 4 2 2 7 4" xfId="15953"/>
    <cellStyle name="Comma 6 4 2 2 7 5" xfId="15954"/>
    <cellStyle name="Comma 6 4 2 2 8" xfId="15955"/>
    <cellStyle name="Comma 6 4 2 2 8 2" xfId="15956"/>
    <cellStyle name="Comma 6 4 2 2 8 3" xfId="15957"/>
    <cellStyle name="Comma 6 4 2 2 9" xfId="15958"/>
    <cellStyle name="Comma 6 4 2 2 9 2" xfId="15959"/>
    <cellStyle name="Comma 6 4 2 2 9 3" xfId="15960"/>
    <cellStyle name="Comma 6 4 2 3" xfId="15961"/>
    <cellStyle name="Comma 6 4 2 3 10" xfId="15962"/>
    <cellStyle name="Comma 6 4 2 3 2" xfId="15963"/>
    <cellStyle name="Comma 6 4 2 3 2 2" xfId="15964"/>
    <cellStyle name="Comma 6 4 2 3 2 2 2" xfId="15965"/>
    <cellStyle name="Comma 6 4 2 3 2 2 2 2" xfId="15966"/>
    <cellStyle name="Comma 6 4 2 3 2 2 2 2 2" xfId="15967"/>
    <cellStyle name="Comma 6 4 2 3 2 2 2 2 3" xfId="15968"/>
    <cellStyle name="Comma 6 4 2 3 2 2 2 3" xfId="15969"/>
    <cellStyle name="Comma 6 4 2 3 2 2 2 3 2" xfId="15970"/>
    <cellStyle name="Comma 6 4 2 3 2 2 2 3 3" xfId="15971"/>
    <cellStyle name="Comma 6 4 2 3 2 2 2 4" xfId="15972"/>
    <cellStyle name="Comma 6 4 2 3 2 2 2 5" xfId="15973"/>
    <cellStyle name="Comma 6 4 2 3 2 2 3" xfId="15974"/>
    <cellStyle name="Comma 6 4 2 3 2 2 3 2" xfId="15975"/>
    <cellStyle name="Comma 6 4 2 3 2 2 3 2 2" xfId="15976"/>
    <cellStyle name="Comma 6 4 2 3 2 2 3 2 3" xfId="15977"/>
    <cellStyle name="Comma 6 4 2 3 2 2 3 3" xfId="15978"/>
    <cellStyle name="Comma 6 4 2 3 2 2 3 3 2" xfId="15979"/>
    <cellStyle name="Comma 6 4 2 3 2 2 3 3 3" xfId="15980"/>
    <cellStyle name="Comma 6 4 2 3 2 2 3 4" xfId="15981"/>
    <cellStyle name="Comma 6 4 2 3 2 2 3 5" xfId="15982"/>
    <cellStyle name="Comma 6 4 2 3 2 2 4" xfId="15983"/>
    <cellStyle name="Comma 6 4 2 3 2 2 4 2" xfId="15984"/>
    <cellStyle name="Comma 6 4 2 3 2 2 4 3" xfId="15985"/>
    <cellStyle name="Comma 6 4 2 3 2 2 5" xfId="15986"/>
    <cellStyle name="Comma 6 4 2 3 2 2 5 2" xfId="15987"/>
    <cellStyle name="Comma 6 4 2 3 2 2 5 3" xfId="15988"/>
    <cellStyle name="Comma 6 4 2 3 2 2 6" xfId="15989"/>
    <cellStyle name="Comma 6 4 2 3 2 2 7" xfId="15990"/>
    <cellStyle name="Comma 6 4 2 3 2 3" xfId="15991"/>
    <cellStyle name="Comma 6 4 2 3 2 3 2" xfId="15992"/>
    <cellStyle name="Comma 6 4 2 3 2 3 2 2" xfId="15993"/>
    <cellStyle name="Comma 6 4 2 3 2 3 2 2 2" xfId="15994"/>
    <cellStyle name="Comma 6 4 2 3 2 3 2 2 3" xfId="15995"/>
    <cellStyle name="Comma 6 4 2 3 2 3 2 3" xfId="15996"/>
    <cellStyle name="Comma 6 4 2 3 2 3 2 3 2" xfId="15997"/>
    <cellStyle name="Comma 6 4 2 3 2 3 2 3 3" xfId="15998"/>
    <cellStyle name="Comma 6 4 2 3 2 3 2 4" xfId="15999"/>
    <cellStyle name="Comma 6 4 2 3 2 3 2 5" xfId="16000"/>
    <cellStyle name="Comma 6 4 2 3 2 3 3" xfId="16001"/>
    <cellStyle name="Comma 6 4 2 3 2 3 3 2" xfId="16002"/>
    <cellStyle name="Comma 6 4 2 3 2 3 3 2 2" xfId="16003"/>
    <cellStyle name="Comma 6 4 2 3 2 3 3 2 3" xfId="16004"/>
    <cellStyle name="Comma 6 4 2 3 2 3 3 3" xfId="16005"/>
    <cellStyle name="Comma 6 4 2 3 2 3 3 3 2" xfId="16006"/>
    <cellStyle name="Comma 6 4 2 3 2 3 3 3 3" xfId="16007"/>
    <cellStyle name="Comma 6 4 2 3 2 3 3 4" xfId="16008"/>
    <cellStyle name="Comma 6 4 2 3 2 3 3 5" xfId="16009"/>
    <cellStyle name="Comma 6 4 2 3 2 3 4" xfId="16010"/>
    <cellStyle name="Comma 6 4 2 3 2 3 4 2" xfId="16011"/>
    <cellStyle name="Comma 6 4 2 3 2 3 4 3" xfId="16012"/>
    <cellStyle name="Comma 6 4 2 3 2 3 5" xfId="16013"/>
    <cellStyle name="Comma 6 4 2 3 2 3 5 2" xfId="16014"/>
    <cellStyle name="Comma 6 4 2 3 2 3 5 3" xfId="16015"/>
    <cellStyle name="Comma 6 4 2 3 2 3 6" xfId="16016"/>
    <cellStyle name="Comma 6 4 2 3 2 3 7" xfId="16017"/>
    <cellStyle name="Comma 6 4 2 3 2 4" xfId="16018"/>
    <cellStyle name="Comma 6 4 2 3 2 4 2" xfId="16019"/>
    <cellStyle name="Comma 6 4 2 3 2 4 2 2" xfId="16020"/>
    <cellStyle name="Comma 6 4 2 3 2 4 2 3" xfId="16021"/>
    <cellStyle name="Comma 6 4 2 3 2 4 3" xfId="16022"/>
    <cellStyle name="Comma 6 4 2 3 2 4 3 2" xfId="16023"/>
    <cellStyle name="Comma 6 4 2 3 2 4 3 3" xfId="16024"/>
    <cellStyle name="Comma 6 4 2 3 2 4 4" xfId="16025"/>
    <cellStyle name="Comma 6 4 2 3 2 4 5" xfId="16026"/>
    <cellStyle name="Comma 6 4 2 3 2 5" xfId="16027"/>
    <cellStyle name="Comma 6 4 2 3 2 5 2" xfId="16028"/>
    <cellStyle name="Comma 6 4 2 3 2 5 2 2" xfId="16029"/>
    <cellStyle name="Comma 6 4 2 3 2 5 2 3" xfId="16030"/>
    <cellStyle name="Comma 6 4 2 3 2 5 3" xfId="16031"/>
    <cellStyle name="Comma 6 4 2 3 2 5 3 2" xfId="16032"/>
    <cellStyle name="Comma 6 4 2 3 2 5 3 3" xfId="16033"/>
    <cellStyle name="Comma 6 4 2 3 2 5 4" xfId="16034"/>
    <cellStyle name="Comma 6 4 2 3 2 5 5" xfId="16035"/>
    <cellStyle name="Comma 6 4 2 3 2 6" xfId="16036"/>
    <cellStyle name="Comma 6 4 2 3 2 6 2" xfId="16037"/>
    <cellStyle name="Comma 6 4 2 3 2 6 3" xfId="16038"/>
    <cellStyle name="Comma 6 4 2 3 2 7" xfId="16039"/>
    <cellStyle name="Comma 6 4 2 3 2 7 2" xfId="16040"/>
    <cellStyle name="Comma 6 4 2 3 2 7 3" xfId="16041"/>
    <cellStyle name="Comma 6 4 2 3 2 8" xfId="16042"/>
    <cellStyle name="Comma 6 4 2 3 2 9" xfId="16043"/>
    <cellStyle name="Comma 6 4 2 3 3" xfId="16044"/>
    <cellStyle name="Comma 6 4 2 3 3 2" xfId="16045"/>
    <cellStyle name="Comma 6 4 2 3 3 2 2" xfId="16046"/>
    <cellStyle name="Comma 6 4 2 3 3 2 2 2" xfId="16047"/>
    <cellStyle name="Comma 6 4 2 3 3 2 2 3" xfId="16048"/>
    <cellStyle name="Comma 6 4 2 3 3 2 3" xfId="16049"/>
    <cellStyle name="Comma 6 4 2 3 3 2 3 2" xfId="16050"/>
    <cellStyle name="Comma 6 4 2 3 3 2 3 3" xfId="16051"/>
    <cellStyle name="Comma 6 4 2 3 3 2 4" xfId="16052"/>
    <cellStyle name="Comma 6 4 2 3 3 2 5" xfId="16053"/>
    <cellStyle name="Comma 6 4 2 3 3 3" xfId="16054"/>
    <cellStyle name="Comma 6 4 2 3 3 3 2" xfId="16055"/>
    <cellStyle name="Comma 6 4 2 3 3 3 2 2" xfId="16056"/>
    <cellStyle name="Comma 6 4 2 3 3 3 2 3" xfId="16057"/>
    <cellStyle name="Comma 6 4 2 3 3 3 3" xfId="16058"/>
    <cellStyle name="Comma 6 4 2 3 3 3 3 2" xfId="16059"/>
    <cellStyle name="Comma 6 4 2 3 3 3 3 3" xfId="16060"/>
    <cellStyle name="Comma 6 4 2 3 3 3 4" xfId="16061"/>
    <cellStyle name="Comma 6 4 2 3 3 3 5" xfId="16062"/>
    <cellStyle name="Comma 6 4 2 3 3 4" xfId="16063"/>
    <cellStyle name="Comma 6 4 2 3 3 4 2" xfId="16064"/>
    <cellStyle name="Comma 6 4 2 3 3 4 3" xfId="16065"/>
    <cellStyle name="Comma 6 4 2 3 3 5" xfId="16066"/>
    <cellStyle name="Comma 6 4 2 3 3 5 2" xfId="16067"/>
    <cellStyle name="Comma 6 4 2 3 3 5 3" xfId="16068"/>
    <cellStyle name="Comma 6 4 2 3 3 6" xfId="16069"/>
    <cellStyle name="Comma 6 4 2 3 3 7" xfId="16070"/>
    <cellStyle name="Comma 6 4 2 3 4" xfId="16071"/>
    <cellStyle name="Comma 6 4 2 3 4 2" xfId="16072"/>
    <cellStyle name="Comma 6 4 2 3 4 2 2" xfId="16073"/>
    <cellStyle name="Comma 6 4 2 3 4 2 2 2" xfId="16074"/>
    <cellStyle name="Comma 6 4 2 3 4 2 2 3" xfId="16075"/>
    <cellStyle name="Comma 6 4 2 3 4 2 3" xfId="16076"/>
    <cellStyle name="Comma 6 4 2 3 4 2 3 2" xfId="16077"/>
    <cellStyle name="Comma 6 4 2 3 4 2 3 3" xfId="16078"/>
    <cellStyle name="Comma 6 4 2 3 4 2 4" xfId="16079"/>
    <cellStyle name="Comma 6 4 2 3 4 2 5" xfId="16080"/>
    <cellStyle name="Comma 6 4 2 3 4 3" xfId="16081"/>
    <cellStyle name="Comma 6 4 2 3 4 3 2" xfId="16082"/>
    <cellStyle name="Comma 6 4 2 3 4 3 2 2" xfId="16083"/>
    <cellStyle name="Comma 6 4 2 3 4 3 2 3" xfId="16084"/>
    <cellStyle name="Comma 6 4 2 3 4 3 3" xfId="16085"/>
    <cellStyle name="Comma 6 4 2 3 4 3 3 2" xfId="16086"/>
    <cellStyle name="Comma 6 4 2 3 4 3 3 3" xfId="16087"/>
    <cellStyle name="Comma 6 4 2 3 4 3 4" xfId="16088"/>
    <cellStyle name="Comma 6 4 2 3 4 3 5" xfId="16089"/>
    <cellStyle name="Comma 6 4 2 3 4 4" xfId="16090"/>
    <cellStyle name="Comma 6 4 2 3 4 4 2" xfId="16091"/>
    <cellStyle name="Comma 6 4 2 3 4 4 3" xfId="16092"/>
    <cellStyle name="Comma 6 4 2 3 4 5" xfId="16093"/>
    <cellStyle name="Comma 6 4 2 3 4 5 2" xfId="16094"/>
    <cellStyle name="Comma 6 4 2 3 4 5 3" xfId="16095"/>
    <cellStyle name="Comma 6 4 2 3 4 6" xfId="16096"/>
    <cellStyle name="Comma 6 4 2 3 4 7" xfId="16097"/>
    <cellStyle name="Comma 6 4 2 3 5" xfId="16098"/>
    <cellStyle name="Comma 6 4 2 3 5 2" xfId="16099"/>
    <cellStyle name="Comma 6 4 2 3 5 2 2" xfId="16100"/>
    <cellStyle name="Comma 6 4 2 3 5 2 3" xfId="16101"/>
    <cellStyle name="Comma 6 4 2 3 5 3" xfId="16102"/>
    <cellStyle name="Comma 6 4 2 3 5 3 2" xfId="16103"/>
    <cellStyle name="Comma 6 4 2 3 5 3 3" xfId="16104"/>
    <cellStyle name="Comma 6 4 2 3 5 4" xfId="16105"/>
    <cellStyle name="Comma 6 4 2 3 5 5" xfId="16106"/>
    <cellStyle name="Comma 6 4 2 3 6" xfId="16107"/>
    <cellStyle name="Comma 6 4 2 3 6 2" xfId="16108"/>
    <cellStyle name="Comma 6 4 2 3 6 2 2" xfId="16109"/>
    <cellStyle name="Comma 6 4 2 3 6 2 3" xfId="16110"/>
    <cellStyle name="Comma 6 4 2 3 6 3" xfId="16111"/>
    <cellStyle name="Comma 6 4 2 3 6 3 2" xfId="16112"/>
    <cellStyle name="Comma 6 4 2 3 6 3 3" xfId="16113"/>
    <cellStyle name="Comma 6 4 2 3 6 4" xfId="16114"/>
    <cellStyle name="Comma 6 4 2 3 6 5" xfId="16115"/>
    <cellStyle name="Comma 6 4 2 3 7" xfId="16116"/>
    <cellStyle name="Comma 6 4 2 3 7 2" xfId="16117"/>
    <cellStyle name="Comma 6 4 2 3 7 3" xfId="16118"/>
    <cellStyle name="Comma 6 4 2 3 8" xfId="16119"/>
    <cellStyle name="Comma 6 4 2 3 8 2" xfId="16120"/>
    <cellStyle name="Comma 6 4 2 3 8 3" xfId="16121"/>
    <cellStyle name="Comma 6 4 2 3 9" xfId="16122"/>
    <cellStyle name="Comma 6 4 2 4" xfId="16123"/>
    <cellStyle name="Comma 6 4 2 4 2" xfId="16124"/>
    <cellStyle name="Comma 6 4 2 4 2 2" xfId="16125"/>
    <cellStyle name="Comma 6 4 2 4 2 2 2" xfId="16126"/>
    <cellStyle name="Comma 6 4 2 4 2 2 2 2" xfId="16127"/>
    <cellStyle name="Comma 6 4 2 4 2 2 2 3" xfId="16128"/>
    <cellStyle name="Comma 6 4 2 4 2 2 3" xfId="16129"/>
    <cellStyle name="Comma 6 4 2 4 2 2 3 2" xfId="16130"/>
    <cellStyle name="Comma 6 4 2 4 2 2 3 3" xfId="16131"/>
    <cellStyle name="Comma 6 4 2 4 2 2 4" xfId="16132"/>
    <cellStyle name="Comma 6 4 2 4 2 2 5" xfId="16133"/>
    <cellStyle name="Comma 6 4 2 4 2 3" xfId="16134"/>
    <cellStyle name="Comma 6 4 2 4 2 3 2" xfId="16135"/>
    <cellStyle name="Comma 6 4 2 4 2 3 2 2" xfId="16136"/>
    <cellStyle name="Comma 6 4 2 4 2 3 2 3" xfId="16137"/>
    <cellStyle name="Comma 6 4 2 4 2 3 3" xfId="16138"/>
    <cellStyle name="Comma 6 4 2 4 2 3 3 2" xfId="16139"/>
    <cellStyle name="Comma 6 4 2 4 2 3 3 3" xfId="16140"/>
    <cellStyle name="Comma 6 4 2 4 2 3 4" xfId="16141"/>
    <cellStyle name="Comma 6 4 2 4 2 3 5" xfId="16142"/>
    <cellStyle name="Comma 6 4 2 4 2 4" xfId="16143"/>
    <cellStyle name="Comma 6 4 2 4 2 4 2" xfId="16144"/>
    <cellStyle name="Comma 6 4 2 4 2 4 3" xfId="16145"/>
    <cellStyle name="Comma 6 4 2 4 2 5" xfId="16146"/>
    <cellStyle name="Comma 6 4 2 4 2 5 2" xfId="16147"/>
    <cellStyle name="Comma 6 4 2 4 2 5 3" xfId="16148"/>
    <cellStyle name="Comma 6 4 2 4 2 6" xfId="16149"/>
    <cellStyle name="Comma 6 4 2 4 2 7" xfId="16150"/>
    <cellStyle name="Comma 6 4 2 4 3" xfId="16151"/>
    <cellStyle name="Comma 6 4 2 4 3 2" xfId="16152"/>
    <cellStyle name="Comma 6 4 2 4 3 2 2" xfId="16153"/>
    <cellStyle name="Comma 6 4 2 4 3 2 2 2" xfId="16154"/>
    <cellStyle name="Comma 6 4 2 4 3 2 2 3" xfId="16155"/>
    <cellStyle name="Comma 6 4 2 4 3 2 3" xfId="16156"/>
    <cellStyle name="Comma 6 4 2 4 3 2 3 2" xfId="16157"/>
    <cellStyle name="Comma 6 4 2 4 3 2 3 3" xfId="16158"/>
    <cellStyle name="Comma 6 4 2 4 3 2 4" xfId="16159"/>
    <cellStyle name="Comma 6 4 2 4 3 2 5" xfId="16160"/>
    <cellStyle name="Comma 6 4 2 4 3 3" xfId="16161"/>
    <cellStyle name="Comma 6 4 2 4 3 3 2" xfId="16162"/>
    <cellStyle name="Comma 6 4 2 4 3 3 2 2" xfId="16163"/>
    <cellStyle name="Comma 6 4 2 4 3 3 2 3" xfId="16164"/>
    <cellStyle name="Comma 6 4 2 4 3 3 3" xfId="16165"/>
    <cellStyle name="Comma 6 4 2 4 3 3 3 2" xfId="16166"/>
    <cellStyle name="Comma 6 4 2 4 3 3 3 3" xfId="16167"/>
    <cellStyle name="Comma 6 4 2 4 3 3 4" xfId="16168"/>
    <cellStyle name="Comma 6 4 2 4 3 3 5" xfId="16169"/>
    <cellStyle name="Comma 6 4 2 4 3 4" xfId="16170"/>
    <cellStyle name="Comma 6 4 2 4 3 4 2" xfId="16171"/>
    <cellStyle name="Comma 6 4 2 4 3 4 3" xfId="16172"/>
    <cellStyle name="Comma 6 4 2 4 3 5" xfId="16173"/>
    <cellStyle name="Comma 6 4 2 4 3 5 2" xfId="16174"/>
    <cellStyle name="Comma 6 4 2 4 3 5 3" xfId="16175"/>
    <cellStyle name="Comma 6 4 2 4 3 6" xfId="16176"/>
    <cellStyle name="Comma 6 4 2 4 3 7" xfId="16177"/>
    <cellStyle name="Comma 6 4 2 4 4" xfId="16178"/>
    <cellStyle name="Comma 6 4 2 4 4 2" xfId="16179"/>
    <cellStyle name="Comma 6 4 2 4 4 2 2" xfId="16180"/>
    <cellStyle name="Comma 6 4 2 4 4 2 3" xfId="16181"/>
    <cellStyle name="Comma 6 4 2 4 4 3" xfId="16182"/>
    <cellStyle name="Comma 6 4 2 4 4 3 2" xfId="16183"/>
    <cellStyle name="Comma 6 4 2 4 4 3 3" xfId="16184"/>
    <cellStyle name="Comma 6 4 2 4 4 4" xfId="16185"/>
    <cellStyle name="Comma 6 4 2 4 4 5" xfId="16186"/>
    <cellStyle name="Comma 6 4 2 4 5" xfId="16187"/>
    <cellStyle name="Comma 6 4 2 4 5 2" xfId="16188"/>
    <cellStyle name="Comma 6 4 2 4 5 2 2" xfId="16189"/>
    <cellStyle name="Comma 6 4 2 4 5 2 3" xfId="16190"/>
    <cellStyle name="Comma 6 4 2 4 5 3" xfId="16191"/>
    <cellStyle name="Comma 6 4 2 4 5 3 2" xfId="16192"/>
    <cellStyle name="Comma 6 4 2 4 5 3 3" xfId="16193"/>
    <cellStyle name="Comma 6 4 2 4 5 4" xfId="16194"/>
    <cellStyle name="Comma 6 4 2 4 5 5" xfId="16195"/>
    <cellStyle name="Comma 6 4 2 4 6" xfId="16196"/>
    <cellStyle name="Comma 6 4 2 4 6 2" xfId="16197"/>
    <cellStyle name="Comma 6 4 2 4 6 3" xfId="16198"/>
    <cellStyle name="Comma 6 4 2 4 7" xfId="16199"/>
    <cellStyle name="Comma 6 4 2 4 7 2" xfId="16200"/>
    <cellStyle name="Comma 6 4 2 4 7 3" xfId="16201"/>
    <cellStyle name="Comma 6 4 2 4 8" xfId="16202"/>
    <cellStyle name="Comma 6 4 2 4 9" xfId="16203"/>
    <cellStyle name="Comma 6 4 2 5" xfId="16204"/>
    <cellStyle name="Comma 6 4 2 5 2" xfId="16205"/>
    <cellStyle name="Comma 6 4 2 5 2 2" xfId="16206"/>
    <cellStyle name="Comma 6 4 2 5 2 2 2" xfId="16207"/>
    <cellStyle name="Comma 6 4 2 5 2 2 3" xfId="16208"/>
    <cellStyle name="Comma 6 4 2 5 2 3" xfId="16209"/>
    <cellStyle name="Comma 6 4 2 5 2 3 2" xfId="16210"/>
    <cellStyle name="Comma 6 4 2 5 2 3 3" xfId="16211"/>
    <cellStyle name="Comma 6 4 2 5 2 4" xfId="16212"/>
    <cellStyle name="Comma 6 4 2 5 2 5" xfId="16213"/>
    <cellStyle name="Comma 6 4 2 5 3" xfId="16214"/>
    <cellStyle name="Comma 6 4 2 5 3 2" xfId="16215"/>
    <cellStyle name="Comma 6 4 2 5 3 2 2" xfId="16216"/>
    <cellStyle name="Comma 6 4 2 5 3 2 3" xfId="16217"/>
    <cellStyle name="Comma 6 4 2 5 3 3" xfId="16218"/>
    <cellStyle name="Comma 6 4 2 5 3 3 2" xfId="16219"/>
    <cellStyle name="Comma 6 4 2 5 3 3 3" xfId="16220"/>
    <cellStyle name="Comma 6 4 2 5 3 4" xfId="16221"/>
    <cellStyle name="Comma 6 4 2 5 3 5" xfId="16222"/>
    <cellStyle name="Comma 6 4 2 5 4" xfId="16223"/>
    <cellStyle name="Comma 6 4 2 5 4 2" xfId="16224"/>
    <cellStyle name="Comma 6 4 2 5 4 3" xfId="16225"/>
    <cellStyle name="Comma 6 4 2 5 5" xfId="16226"/>
    <cellStyle name="Comma 6 4 2 5 5 2" xfId="16227"/>
    <cellStyle name="Comma 6 4 2 5 5 3" xfId="16228"/>
    <cellStyle name="Comma 6 4 2 5 6" xfId="16229"/>
    <cellStyle name="Comma 6 4 2 5 7" xfId="16230"/>
    <cellStyle name="Comma 6 4 2 6" xfId="16231"/>
    <cellStyle name="Comma 6 4 2 6 2" xfId="16232"/>
    <cellStyle name="Comma 6 4 2 6 2 2" xfId="16233"/>
    <cellStyle name="Comma 6 4 2 6 2 2 2" xfId="16234"/>
    <cellStyle name="Comma 6 4 2 6 2 2 3" xfId="16235"/>
    <cellStyle name="Comma 6 4 2 6 2 3" xfId="16236"/>
    <cellStyle name="Comma 6 4 2 6 2 3 2" xfId="16237"/>
    <cellStyle name="Comma 6 4 2 6 2 3 3" xfId="16238"/>
    <cellStyle name="Comma 6 4 2 6 2 4" xfId="16239"/>
    <cellStyle name="Comma 6 4 2 6 2 5" xfId="16240"/>
    <cellStyle name="Comma 6 4 2 6 3" xfId="16241"/>
    <cellStyle name="Comma 6 4 2 6 3 2" xfId="16242"/>
    <cellStyle name="Comma 6 4 2 6 3 2 2" xfId="16243"/>
    <cellStyle name="Comma 6 4 2 6 3 2 3" xfId="16244"/>
    <cellStyle name="Comma 6 4 2 6 3 3" xfId="16245"/>
    <cellStyle name="Comma 6 4 2 6 3 3 2" xfId="16246"/>
    <cellStyle name="Comma 6 4 2 6 3 3 3" xfId="16247"/>
    <cellStyle name="Comma 6 4 2 6 3 4" xfId="16248"/>
    <cellStyle name="Comma 6 4 2 6 3 5" xfId="16249"/>
    <cellStyle name="Comma 6 4 2 6 4" xfId="16250"/>
    <cellStyle name="Comma 6 4 2 6 4 2" xfId="16251"/>
    <cellStyle name="Comma 6 4 2 6 4 3" xfId="16252"/>
    <cellStyle name="Comma 6 4 2 6 5" xfId="16253"/>
    <cellStyle name="Comma 6 4 2 6 5 2" xfId="16254"/>
    <cellStyle name="Comma 6 4 2 6 5 3" xfId="16255"/>
    <cellStyle name="Comma 6 4 2 6 6" xfId="16256"/>
    <cellStyle name="Comma 6 4 2 6 7" xfId="16257"/>
    <cellStyle name="Comma 6 4 2 7" xfId="16258"/>
    <cellStyle name="Comma 6 4 2 7 2" xfId="16259"/>
    <cellStyle name="Comma 6 4 2 7 2 2" xfId="16260"/>
    <cellStyle name="Comma 6 4 2 7 2 3" xfId="16261"/>
    <cellStyle name="Comma 6 4 2 7 3" xfId="16262"/>
    <cellStyle name="Comma 6 4 2 7 3 2" xfId="16263"/>
    <cellStyle name="Comma 6 4 2 7 3 3" xfId="16264"/>
    <cellStyle name="Comma 6 4 2 7 4" xfId="16265"/>
    <cellStyle name="Comma 6 4 2 7 5" xfId="16266"/>
    <cellStyle name="Comma 6 4 2 8" xfId="16267"/>
    <cellStyle name="Comma 6 4 2 8 2" xfId="16268"/>
    <cellStyle name="Comma 6 4 2 8 2 2" xfId="16269"/>
    <cellStyle name="Comma 6 4 2 8 2 3" xfId="16270"/>
    <cellStyle name="Comma 6 4 2 8 3" xfId="16271"/>
    <cellStyle name="Comma 6 4 2 8 3 2" xfId="16272"/>
    <cellStyle name="Comma 6 4 2 8 3 3" xfId="16273"/>
    <cellStyle name="Comma 6 4 2 8 4" xfId="16274"/>
    <cellStyle name="Comma 6 4 2 8 5" xfId="16275"/>
    <cellStyle name="Comma 6 4 2 9" xfId="16276"/>
    <cellStyle name="Comma 6 4 2 9 2" xfId="16277"/>
    <cellStyle name="Comma 6 4 2 9 3" xfId="16278"/>
    <cellStyle name="Comma 6 5" xfId="16279"/>
    <cellStyle name="Comma 6 6" xfId="16280"/>
    <cellStyle name="Comma 6 7" xfId="16281"/>
    <cellStyle name="Comma 6 8" xfId="16282"/>
    <cellStyle name="Comma 6 9" xfId="16283"/>
    <cellStyle name="Comma 60" xfId="16284"/>
    <cellStyle name="Comma 61" xfId="16285"/>
    <cellStyle name="Comma 62" xfId="16286"/>
    <cellStyle name="Comma 63" xfId="16287"/>
    <cellStyle name="Comma 64" xfId="16288"/>
    <cellStyle name="Comma 65" xfId="16289"/>
    <cellStyle name="Comma 66" xfId="8"/>
    <cellStyle name="Comma 67" xfId="16290"/>
    <cellStyle name="Comma 68" xfId="16291"/>
    <cellStyle name="Comma 69" xfId="16292"/>
    <cellStyle name="Comma 7" xfId="16293"/>
    <cellStyle name="Comma 7 10" xfId="16294"/>
    <cellStyle name="Comma 7 11" xfId="16295"/>
    <cellStyle name="Comma 7 12" xfId="16296"/>
    <cellStyle name="Comma 7 13" xfId="16297"/>
    <cellStyle name="Comma 7 14" xfId="16298"/>
    <cellStyle name="Comma 7 15" xfId="16299"/>
    <cellStyle name="Comma 7 16" xfId="16300"/>
    <cellStyle name="Comma 7 17" xfId="16301"/>
    <cellStyle name="Comma 7 18" xfId="16302"/>
    <cellStyle name="Comma 7 19" xfId="16303"/>
    <cellStyle name="Comma 7 2" xfId="16304"/>
    <cellStyle name="Comma 7 2 2" xfId="16305"/>
    <cellStyle name="Comma 7 2 3" xfId="16306"/>
    <cellStyle name="Comma 7 20" xfId="16307"/>
    <cellStyle name="Comma 7 21" xfId="16308"/>
    <cellStyle name="Comma 7 22" xfId="16309"/>
    <cellStyle name="Comma 7 23" xfId="16310"/>
    <cellStyle name="Comma 7 24" xfId="16311"/>
    <cellStyle name="Comma 7 25" xfId="16312"/>
    <cellStyle name="Comma 7 26" xfId="16313"/>
    <cellStyle name="Comma 7 3" xfId="16314"/>
    <cellStyle name="Comma 7 4" xfId="16315"/>
    <cellStyle name="Comma 7 5" xfId="16316"/>
    <cellStyle name="Comma 7 6" xfId="16317"/>
    <cellStyle name="Comma 7 7" xfId="16318"/>
    <cellStyle name="Comma 7 8" xfId="16319"/>
    <cellStyle name="Comma 7 9" xfId="16320"/>
    <cellStyle name="Comma 70" xfId="16321"/>
    <cellStyle name="Comma 71" xfId="42797"/>
    <cellStyle name="Comma 72" xfId="42800"/>
    <cellStyle name="Comma 73" xfId="42860"/>
    <cellStyle name="Comma 74" xfId="42917"/>
    <cellStyle name="Comma 75" xfId="42959"/>
    <cellStyle name="Comma 76" xfId="42964"/>
    <cellStyle name="Comma 77" xfId="42894"/>
    <cellStyle name="Comma 78" xfId="42968"/>
    <cellStyle name="Comma 79" xfId="42920"/>
    <cellStyle name="Comma 8" xfId="16322"/>
    <cellStyle name="Comma 8 10" xfId="16323"/>
    <cellStyle name="Comma 8 11" xfId="16324"/>
    <cellStyle name="Comma 8 12" xfId="16325"/>
    <cellStyle name="Comma 8 13" xfId="16326"/>
    <cellStyle name="Comma 8 14" xfId="16327"/>
    <cellStyle name="Comma 8 15" xfId="16328"/>
    <cellStyle name="Comma 8 16" xfId="16329"/>
    <cellStyle name="Comma 8 17" xfId="16330"/>
    <cellStyle name="Comma 8 18" xfId="16331"/>
    <cellStyle name="Comma 8 19" xfId="16332"/>
    <cellStyle name="Comma 8 2" xfId="16333"/>
    <cellStyle name="Comma 8 2 2" xfId="16334"/>
    <cellStyle name="Comma 8 2 2 2" xfId="16335"/>
    <cellStyle name="Comma 8 20" xfId="16336"/>
    <cellStyle name="Comma 8 21" xfId="16337"/>
    <cellStyle name="Comma 8 22" xfId="16338"/>
    <cellStyle name="Comma 8 23" xfId="16339"/>
    <cellStyle name="Comma 8 24" xfId="16340"/>
    <cellStyle name="Comma 8 25" xfId="16341"/>
    <cellStyle name="Comma 8 26" xfId="16342"/>
    <cellStyle name="Comma 8 3" xfId="16343"/>
    <cellStyle name="Comma 8 3 2" xfId="16344"/>
    <cellStyle name="Comma 8 4" xfId="16345"/>
    <cellStyle name="Comma 8 4 2" xfId="16346"/>
    <cellStyle name="Comma 8 5" xfId="16347"/>
    <cellStyle name="Comma 8 6" xfId="16348"/>
    <cellStyle name="Comma 8 7" xfId="16349"/>
    <cellStyle name="Comma 8 8" xfId="16350"/>
    <cellStyle name="Comma 8 9" xfId="16351"/>
    <cellStyle name="Comma 80" xfId="42919"/>
    <cellStyle name="Comma 81" xfId="42967"/>
    <cellStyle name="Comma 82" xfId="42852"/>
    <cellStyle name="Comma 83" xfId="42970"/>
    <cellStyle name="Comma 84" xfId="43141"/>
    <cellStyle name="Comma 85" xfId="43182"/>
    <cellStyle name="Comma 86" xfId="43192"/>
    <cellStyle name="Comma 87" xfId="43174"/>
    <cellStyle name="Comma 88" xfId="43198"/>
    <cellStyle name="Comma 89" xfId="43201"/>
    <cellStyle name="Comma 9" xfId="16352"/>
    <cellStyle name="Comma 9 2" xfId="16353"/>
    <cellStyle name="Comma 9 2 2" xfId="16354"/>
    <cellStyle name="Comma 9 2 3" xfId="16355"/>
    <cellStyle name="Comma 9 2 3 2" xfId="16356"/>
    <cellStyle name="Comma 9 2 3 2 2" xfId="16357"/>
    <cellStyle name="Comma 9 2 3 2 2 2" xfId="16358"/>
    <cellStyle name="Comma 9 2 3 2 2 2 2" xfId="16359"/>
    <cellStyle name="Comma 9 2 3 2 2 2 3" xfId="16360"/>
    <cellStyle name="Comma 9 2 3 2 2 3" xfId="16361"/>
    <cellStyle name="Comma 9 2 3 2 2 3 2" xfId="16362"/>
    <cellStyle name="Comma 9 2 3 2 2 3 3" xfId="16363"/>
    <cellStyle name="Comma 9 2 3 2 2 4" xfId="16364"/>
    <cellStyle name="Comma 9 2 3 2 2 5" xfId="16365"/>
    <cellStyle name="Comma 9 2 3 2 3" xfId="16366"/>
    <cellStyle name="Comma 9 2 3 2 3 2" xfId="16367"/>
    <cellStyle name="Comma 9 2 3 2 3 2 2" xfId="16368"/>
    <cellStyle name="Comma 9 2 3 2 3 2 3" xfId="16369"/>
    <cellStyle name="Comma 9 2 3 2 3 3" xfId="16370"/>
    <cellStyle name="Comma 9 2 3 2 3 3 2" xfId="16371"/>
    <cellStyle name="Comma 9 2 3 2 3 3 3" xfId="16372"/>
    <cellStyle name="Comma 9 2 3 2 3 4" xfId="16373"/>
    <cellStyle name="Comma 9 2 3 2 3 5" xfId="16374"/>
    <cellStyle name="Comma 9 2 3 2 4" xfId="16375"/>
    <cellStyle name="Comma 9 2 3 2 4 2" xfId="16376"/>
    <cellStyle name="Comma 9 2 3 2 4 3" xfId="16377"/>
    <cellStyle name="Comma 9 2 3 2 5" xfId="16378"/>
    <cellStyle name="Comma 9 2 3 2 5 2" xfId="16379"/>
    <cellStyle name="Comma 9 2 3 2 5 3" xfId="16380"/>
    <cellStyle name="Comma 9 2 3 2 6" xfId="16381"/>
    <cellStyle name="Comma 9 2 3 2 7" xfId="16382"/>
    <cellStyle name="Comma 9 2 3 3" xfId="16383"/>
    <cellStyle name="Comma 9 2 3 3 2" xfId="16384"/>
    <cellStyle name="Comma 9 2 3 3 2 2" xfId="16385"/>
    <cellStyle name="Comma 9 2 3 3 2 2 2" xfId="16386"/>
    <cellStyle name="Comma 9 2 3 3 2 2 3" xfId="16387"/>
    <cellStyle name="Comma 9 2 3 3 2 3" xfId="16388"/>
    <cellStyle name="Comma 9 2 3 3 2 3 2" xfId="16389"/>
    <cellStyle name="Comma 9 2 3 3 2 3 3" xfId="16390"/>
    <cellStyle name="Comma 9 2 3 3 2 4" xfId="16391"/>
    <cellStyle name="Comma 9 2 3 3 2 5" xfId="16392"/>
    <cellStyle name="Comma 9 2 3 3 3" xfId="16393"/>
    <cellStyle name="Comma 9 2 3 3 3 2" xfId="16394"/>
    <cellStyle name="Comma 9 2 3 3 3 2 2" xfId="16395"/>
    <cellStyle name="Comma 9 2 3 3 3 2 3" xfId="16396"/>
    <cellStyle name="Comma 9 2 3 3 3 3" xfId="16397"/>
    <cellStyle name="Comma 9 2 3 3 3 3 2" xfId="16398"/>
    <cellStyle name="Comma 9 2 3 3 3 3 3" xfId="16399"/>
    <cellStyle name="Comma 9 2 3 3 3 4" xfId="16400"/>
    <cellStyle name="Comma 9 2 3 3 3 5" xfId="16401"/>
    <cellStyle name="Comma 9 2 3 3 4" xfId="16402"/>
    <cellStyle name="Comma 9 2 3 3 4 2" xfId="16403"/>
    <cellStyle name="Comma 9 2 3 3 4 3" xfId="16404"/>
    <cellStyle name="Comma 9 2 3 3 5" xfId="16405"/>
    <cellStyle name="Comma 9 2 3 3 5 2" xfId="16406"/>
    <cellStyle name="Comma 9 2 3 3 5 3" xfId="16407"/>
    <cellStyle name="Comma 9 2 3 3 6" xfId="16408"/>
    <cellStyle name="Comma 9 2 3 3 7" xfId="16409"/>
    <cellStyle name="Comma 9 2 3 4" xfId="16410"/>
    <cellStyle name="Comma 9 2 3 4 2" xfId="16411"/>
    <cellStyle name="Comma 9 2 3 4 2 2" xfId="16412"/>
    <cellStyle name="Comma 9 2 3 4 2 3" xfId="16413"/>
    <cellStyle name="Comma 9 2 3 4 3" xfId="16414"/>
    <cellStyle name="Comma 9 2 3 4 3 2" xfId="16415"/>
    <cellStyle name="Comma 9 2 3 4 3 3" xfId="16416"/>
    <cellStyle name="Comma 9 2 3 4 4" xfId="16417"/>
    <cellStyle name="Comma 9 2 3 4 5" xfId="16418"/>
    <cellStyle name="Comma 9 2 3 5" xfId="16419"/>
    <cellStyle name="Comma 9 2 3 5 2" xfId="16420"/>
    <cellStyle name="Comma 9 2 3 5 2 2" xfId="16421"/>
    <cellStyle name="Comma 9 2 3 5 2 3" xfId="16422"/>
    <cellStyle name="Comma 9 2 3 5 3" xfId="16423"/>
    <cellStyle name="Comma 9 2 3 5 3 2" xfId="16424"/>
    <cellStyle name="Comma 9 2 3 5 3 3" xfId="16425"/>
    <cellStyle name="Comma 9 2 3 5 4" xfId="16426"/>
    <cellStyle name="Comma 9 2 3 5 5" xfId="16427"/>
    <cellStyle name="Comma 9 2 3 6" xfId="16428"/>
    <cellStyle name="Comma 9 2 3 6 2" xfId="16429"/>
    <cellStyle name="Comma 9 2 3 6 3" xfId="16430"/>
    <cellStyle name="Comma 9 2 3 7" xfId="16431"/>
    <cellStyle name="Comma 9 2 3 7 2" xfId="16432"/>
    <cellStyle name="Comma 9 2 3 7 3" xfId="16433"/>
    <cellStyle name="Comma 9 2 3 8" xfId="16434"/>
    <cellStyle name="Comma 9 2 3 9" xfId="16435"/>
    <cellStyle name="Comma 9 2 4" xfId="43035"/>
    <cellStyle name="Comma 9 3" xfId="16436"/>
    <cellStyle name="Comma 9 3 2" xfId="16437"/>
    <cellStyle name="Comma 9 4" xfId="16438"/>
    <cellStyle name="Comma 9 5" xfId="43034"/>
    <cellStyle name="Comma 90" xfId="42976"/>
    <cellStyle name="Comma 91" xfId="43187"/>
    <cellStyle name="Comma*" xfId="16439"/>
    <cellStyle name="Comma, 1 dec" xfId="16440"/>
    <cellStyle name="Comma[0]" xfId="16441"/>
    <cellStyle name="Comma[1]" xfId="16442"/>
    <cellStyle name="Comma0" xfId="16443"/>
    <cellStyle name="Comma0 - Style2" xfId="16444"/>
    <cellStyle name="Comma0 - Style3" xfId="16445"/>
    <cellStyle name="Comma0 10" xfId="16446"/>
    <cellStyle name="Comma0 11" xfId="16447"/>
    <cellStyle name="Comma0 2" xfId="16448"/>
    <cellStyle name="Comma0 2 2" xfId="16449"/>
    <cellStyle name="Comma0 2 2 2" xfId="16450"/>
    <cellStyle name="Comma0 2 3" xfId="16451"/>
    <cellStyle name="Comma0 2_FCC Filings With Webster 2012" xfId="16452"/>
    <cellStyle name="Comma0 3" xfId="16453"/>
    <cellStyle name="Comma0 4" xfId="16454"/>
    <cellStyle name="Comma0 5" xfId="16455"/>
    <cellStyle name="Comma0 6" xfId="16456"/>
    <cellStyle name="Comma0 7" xfId="16457"/>
    <cellStyle name="Comma0 8" xfId="16458"/>
    <cellStyle name="Comma0 9" xfId="16459"/>
    <cellStyle name="Comma0_1200+1210-Inventory Food + Beverage_Summary_ MarFY11 (2)" xfId="16460"/>
    <cellStyle name="Comma1" xfId="16461"/>
    <cellStyle name="Comma1 - Style1" xfId="16462"/>
    <cellStyle name="Comma1 2" xfId="16463"/>
    <cellStyle name="Comma1 3" xfId="16464"/>
    <cellStyle name="Comma2" xfId="16465"/>
    <cellStyle name="Comma2 2" xfId="16466"/>
    <cellStyle name="Comma2 3" xfId="16467"/>
    <cellStyle name="Comment" xfId="16468"/>
    <cellStyle name="Comment 2" xfId="16469"/>
    <cellStyle name="Comment 3" xfId="16470"/>
    <cellStyle name="Comment 4" xfId="16471"/>
    <cellStyle name="Comment 5" xfId="16472"/>
    <cellStyle name="Comment 6" xfId="16473"/>
    <cellStyle name="Company" xfId="16474"/>
    <cellStyle name="Company Name" xfId="16475"/>
    <cellStyle name="CompanyName" xfId="16476"/>
    <cellStyle name="Component" xfId="16477"/>
    <cellStyle name="ControlGroup Descriptions" xfId="16478"/>
    <cellStyle name="Copied" xfId="16479"/>
    <cellStyle name="Cover Date" xfId="16480"/>
    <cellStyle name="Cover Subtitle" xfId="16481"/>
    <cellStyle name="Cover Title" xfId="16482"/>
    <cellStyle name="CurRatio" xfId="16483"/>
    <cellStyle name="Curren - Style2" xfId="16484"/>
    <cellStyle name="Curren - Style3" xfId="16485"/>
    <cellStyle name="Curren - Style4" xfId="16486"/>
    <cellStyle name="Currency" xfId="42793" builtinId="4"/>
    <cellStyle name="Currency (&quot;-&quot;)" xfId="16487"/>
    <cellStyle name="Currency ($)" xfId="16488"/>
    <cellStyle name="Currency (3)" xfId="16489"/>
    <cellStyle name="Currency [0] (&quot;-&quot;)" xfId="16490"/>
    <cellStyle name="Currency [0] 2" xfId="43036"/>
    <cellStyle name="Currency [0] 2 2" xfId="43037"/>
    <cellStyle name="Currency [0] 3" xfId="43038"/>
    <cellStyle name="Currency [00]" xfId="16491"/>
    <cellStyle name="Currency [1]" xfId="16492"/>
    <cellStyle name="Currency [2]" xfId="16493"/>
    <cellStyle name="Currency [2] 2" xfId="16494"/>
    <cellStyle name="Currency [2] 2 2" xfId="16495"/>
    <cellStyle name="Currency [2] 2 2 2" xfId="16496"/>
    <cellStyle name="Currency [2] 2 2 3" xfId="16497"/>
    <cellStyle name="Currency [2] 2 3" xfId="16498"/>
    <cellStyle name="Currency [2] 2 4" xfId="16499"/>
    <cellStyle name="Currency [2] 3" xfId="16500"/>
    <cellStyle name="Currency [2] 4" xfId="16501"/>
    <cellStyle name="Currency [2] 5" xfId="16502"/>
    <cellStyle name="Currency [3]" xfId="16503"/>
    <cellStyle name="Currency 0" xfId="16504"/>
    <cellStyle name="Currency 10" xfId="16505"/>
    <cellStyle name="Currency 10 2" xfId="2"/>
    <cellStyle name="Currency 10 2 2" xfId="16506"/>
    <cellStyle name="Currency 10 3" xfId="16507"/>
    <cellStyle name="Currency 11" xfId="16508"/>
    <cellStyle name="Currency 11 2" xfId="16509"/>
    <cellStyle name="Currency 11 2 2" xfId="16510"/>
    <cellStyle name="Currency 11 3" xfId="16511"/>
    <cellStyle name="Currency 11 4" xfId="16512"/>
    <cellStyle name="Currency 12" xfId="16513"/>
    <cellStyle name="Currency 12 2" xfId="16514"/>
    <cellStyle name="Currency 12 2 2" xfId="16515"/>
    <cellStyle name="Currency 12 3" xfId="16516"/>
    <cellStyle name="Currency 13" xfId="16517"/>
    <cellStyle name="Currency 13 2" xfId="16518"/>
    <cellStyle name="Currency 13 2 2" xfId="16519"/>
    <cellStyle name="Currency 13 3" xfId="16520"/>
    <cellStyle name="Currency 14" xfId="16521"/>
    <cellStyle name="Currency 14 2" xfId="16522"/>
    <cellStyle name="Currency 15" xfId="16523"/>
    <cellStyle name="Currency 15 2" xfId="16524"/>
    <cellStyle name="Currency 15 2 2" xfId="16525"/>
    <cellStyle name="Currency 15 2 2 2" xfId="16526"/>
    <cellStyle name="Currency 15 2 2 2 2" xfId="16527"/>
    <cellStyle name="Currency 15 2 2 2 2 2" xfId="16528"/>
    <cellStyle name="Currency 15 2 2 2 2 3" xfId="16529"/>
    <cellStyle name="Currency 15 2 2 2 3" xfId="16530"/>
    <cellStyle name="Currency 15 2 2 2 3 2" xfId="16531"/>
    <cellStyle name="Currency 15 2 2 2 3 3" xfId="16532"/>
    <cellStyle name="Currency 15 2 2 2 4" xfId="16533"/>
    <cellStyle name="Currency 15 2 2 2 5" xfId="16534"/>
    <cellStyle name="Currency 15 2 2 3" xfId="16535"/>
    <cellStyle name="Currency 15 2 2 3 2" xfId="16536"/>
    <cellStyle name="Currency 15 2 2 3 2 2" xfId="16537"/>
    <cellStyle name="Currency 15 2 2 3 2 3" xfId="16538"/>
    <cellStyle name="Currency 15 2 2 3 3" xfId="16539"/>
    <cellStyle name="Currency 15 2 2 3 3 2" xfId="16540"/>
    <cellStyle name="Currency 15 2 2 3 3 3" xfId="16541"/>
    <cellStyle name="Currency 15 2 2 3 4" xfId="16542"/>
    <cellStyle name="Currency 15 2 2 3 5" xfId="16543"/>
    <cellStyle name="Currency 15 2 2 4" xfId="16544"/>
    <cellStyle name="Currency 15 2 2 4 2" xfId="16545"/>
    <cellStyle name="Currency 15 2 2 4 3" xfId="16546"/>
    <cellStyle name="Currency 15 2 2 5" xfId="16547"/>
    <cellStyle name="Currency 15 2 2 5 2" xfId="16548"/>
    <cellStyle name="Currency 15 2 2 5 3" xfId="16549"/>
    <cellStyle name="Currency 15 2 2 6" xfId="16550"/>
    <cellStyle name="Currency 15 2 2 7" xfId="16551"/>
    <cellStyle name="Currency 15 2 3" xfId="16552"/>
    <cellStyle name="Currency 15 2 3 2" xfId="16553"/>
    <cellStyle name="Currency 15 2 3 2 2" xfId="16554"/>
    <cellStyle name="Currency 15 2 3 2 2 2" xfId="16555"/>
    <cellStyle name="Currency 15 2 3 2 2 3" xfId="16556"/>
    <cellStyle name="Currency 15 2 3 2 3" xfId="16557"/>
    <cellStyle name="Currency 15 2 3 2 3 2" xfId="16558"/>
    <cellStyle name="Currency 15 2 3 2 3 3" xfId="16559"/>
    <cellStyle name="Currency 15 2 3 2 4" xfId="16560"/>
    <cellStyle name="Currency 15 2 3 2 5" xfId="16561"/>
    <cellStyle name="Currency 15 2 3 3" xfId="16562"/>
    <cellStyle name="Currency 15 2 3 3 2" xfId="16563"/>
    <cellStyle name="Currency 15 2 3 3 2 2" xfId="16564"/>
    <cellStyle name="Currency 15 2 3 3 2 3" xfId="16565"/>
    <cellStyle name="Currency 15 2 3 3 3" xfId="16566"/>
    <cellStyle name="Currency 15 2 3 3 3 2" xfId="16567"/>
    <cellStyle name="Currency 15 2 3 3 3 3" xfId="16568"/>
    <cellStyle name="Currency 15 2 3 3 4" xfId="16569"/>
    <cellStyle name="Currency 15 2 3 3 5" xfId="16570"/>
    <cellStyle name="Currency 15 2 3 4" xfId="16571"/>
    <cellStyle name="Currency 15 2 3 4 2" xfId="16572"/>
    <cellStyle name="Currency 15 2 3 4 3" xfId="16573"/>
    <cellStyle name="Currency 15 2 3 5" xfId="16574"/>
    <cellStyle name="Currency 15 2 3 5 2" xfId="16575"/>
    <cellStyle name="Currency 15 2 3 5 3" xfId="16576"/>
    <cellStyle name="Currency 15 2 3 6" xfId="16577"/>
    <cellStyle name="Currency 15 2 3 7" xfId="16578"/>
    <cellStyle name="Currency 15 2 4" xfId="16579"/>
    <cellStyle name="Currency 15 2 4 2" xfId="16580"/>
    <cellStyle name="Currency 15 2 4 2 2" xfId="16581"/>
    <cellStyle name="Currency 15 2 4 2 3" xfId="16582"/>
    <cellStyle name="Currency 15 2 4 3" xfId="16583"/>
    <cellStyle name="Currency 15 2 4 3 2" xfId="16584"/>
    <cellStyle name="Currency 15 2 4 3 3" xfId="16585"/>
    <cellStyle name="Currency 15 2 4 4" xfId="16586"/>
    <cellStyle name="Currency 15 2 4 5" xfId="16587"/>
    <cellStyle name="Currency 15 2 5" xfId="16588"/>
    <cellStyle name="Currency 15 2 5 2" xfId="16589"/>
    <cellStyle name="Currency 15 2 5 2 2" xfId="16590"/>
    <cellStyle name="Currency 15 2 5 2 3" xfId="16591"/>
    <cellStyle name="Currency 15 2 5 3" xfId="16592"/>
    <cellStyle name="Currency 15 2 5 3 2" xfId="16593"/>
    <cellStyle name="Currency 15 2 5 3 3" xfId="16594"/>
    <cellStyle name="Currency 15 2 5 4" xfId="16595"/>
    <cellStyle name="Currency 15 2 5 5" xfId="16596"/>
    <cellStyle name="Currency 15 2 6" xfId="16597"/>
    <cellStyle name="Currency 15 2 6 2" xfId="16598"/>
    <cellStyle name="Currency 15 2 6 3" xfId="16599"/>
    <cellStyle name="Currency 15 2 7" xfId="16600"/>
    <cellStyle name="Currency 15 2 7 2" xfId="16601"/>
    <cellStyle name="Currency 15 2 7 3" xfId="16602"/>
    <cellStyle name="Currency 15 2 8" xfId="16603"/>
    <cellStyle name="Currency 15 2 9" xfId="16604"/>
    <cellStyle name="Currency 15 3" xfId="16605"/>
    <cellStyle name="Currency 15 3 2" xfId="16606"/>
    <cellStyle name="Currency 15 3 2 2" xfId="16607"/>
    <cellStyle name="Currency 15 3 2 2 2" xfId="16608"/>
    <cellStyle name="Currency 15 3 2 2 2 2" xfId="16609"/>
    <cellStyle name="Currency 15 3 2 2 2 3" xfId="16610"/>
    <cellStyle name="Currency 15 3 2 2 3" xfId="16611"/>
    <cellStyle name="Currency 15 3 2 2 3 2" xfId="16612"/>
    <cellStyle name="Currency 15 3 2 2 3 3" xfId="16613"/>
    <cellStyle name="Currency 15 3 2 2 4" xfId="16614"/>
    <cellStyle name="Currency 15 3 2 2 5" xfId="16615"/>
    <cellStyle name="Currency 15 3 2 3" xfId="16616"/>
    <cellStyle name="Currency 15 3 2 3 2" xfId="16617"/>
    <cellStyle name="Currency 15 3 2 3 2 2" xfId="16618"/>
    <cellStyle name="Currency 15 3 2 3 2 3" xfId="16619"/>
    <cellStyle name="Currency 15 3 2 3 3" xfId="16620"/>
    <cellStyle name="Currency 15 3 2 3 3 2" xfId="16621"/>
    <cellStyle name="Currency 15 3 2 3 3 3" xfId="16622"/>
    <cellStyle name="Currency 15 3 2 3 4" xfId="16623"/>
    <cellStyle name="Currency 15 3 2 3 5" xfId="16624"/>
    <cellStyle name="Currency 15 3 2 4" xfId="16625"/>
    <cellStyle name="Currency 15 3 2 4 2" xfId="16626"/>
    <cellStyle name="Currency 15 3 2 4 3" xfId="16627"/>
    <cellStyle name="Currency 15 3 2 5" xfId="16628"/>
    <cellStyle name="Currency 15 3 2 5 2" xfId="16629"/>
    <cellStyle name="Currency 15 3 2 5 3" xfId="16630"/>
    <cellStyle name="Currency 15 3 2 6" xfId="16631"/>
    <cellStyle name="Currency 15 3 2 7" xfId="16632"/>
    <cellStyle name="Currency 15 3 3" xfId="16633"/>
    <cellStyle name="Currency 15 3 3 2" xfId="16634"/>
    <cellStyle name="Currency 15 3 3 2 2" xfId="16635"/>
    <cellStyle name="Currency 15 3 3 2 2 2" xfId="16636"/>
    <cellStyle name="Currency 15 3 3 2 2 3" xfId="16637"/>
    <cellStyle name="Currency 15 3 3 2 3" xfId="16638"/>
    <cellStyle name="Currency 15 3 3 2 3 2" xfId="16639"/>
    <cellStyle name="Currency 15 3 3 2 3 3" xfId="16640"/>
    <cellStyle name="Currency 15 3 3 2 4" xfId="16641"/>
    <cellStyle name="Currency 15 3 3 2 5" xfId="16642"/>
    <cellStyle name="Currency 15 3 3 3" xfId="16643"/>
    <cellStyle name="Currency 15 3 3 3 2" xfId="16644"/>
    <cellStyle name="Currency 15 3 3 3 2 2" xfId="16645"/>
    <cellStyle name="Currency 15 3 3 3 2 3" xfId="16646"/>
    <cellStyle name="Currency 15 3 3 3 3" xfId="16647"/>
    <cellStyle name="Currency 15 3 3 3 3 2" xfId="16648"/>
    <cellStyle name="Currency 15 3 3 3 3 3" xfId="16649"/>
    <cellStyle name="Currency 15 3 3 3 4" xfId="16650"/>
    <cellStyle name="Currency 15 3 3 3 5" xfId="16651"/>
    <cellStyle name="Currency 15 3 3 4" xfId="16652"/>
    <cellStyle name="Currency 15 3 3 4 2" xfId="16653"/>
    <cellStyle name="Currency 15 3 3 4 3" xfId="16654"/>
    <cellStyle name="Currency 15 3 3 5" xfId="16655"/>
    <cellStyle name="Currency 15 3 3 5 2" xfId="16656"/>
    <cellStyle name="Currency 15 3 3 5 3" xfId="16657"/>
    <cellStyle name="Currency 15 3 3 6" xfId="16658"/>
    <cellStyle name="Currency 15 3 3 7" xfId="16659"/>
    <cellStyle name="Currency 15 3 4" xfId="16660"/>
    <cellStyle name="Currency 15 3 4 2" xfId="16661"/>
    <cellStyle name="Currency 15 3 4 2 2" xfId="16662"/>
    <cellStyle name="Currency 15 3 4 2 3" xfId="16663"/>
    <cellStyle name="Currency 15 3 4 3" xfId="16664"/>
    <cellStyle name="Currency 15 3 4 3 2" xfId="16665"/>
    <cellStyle name="Currency 15 3 4 3 3" xfId="16666"/>
    <cellStyle name="Currency 15 3 4 4" xfId="16667"/>
    <cellStyle name="Currency 15 3 4 5" xfId="16668"/>
    <cellStyle name="Currency 15 3 5" xfId="16669"/>
    <cellStyle name="Currency 15 3 5 2" xfId="16670"/>
    <cellStyle name="Currency 15 3 5 2 2" xfId="16671"/>
    <cellStyle name="Currency 15 3 5 2 3" xfId="16672"/>
    <cellStyle name="Currency 15 3 5 3" xfId="16673"/>
    <cellStyle name="Currency 15 3 5 3 2" xfId="16674"/>
    <cellStyle name="Currency 15 3 5 3 3" xfId="16675"/>
    <cellStyle name="Currency 15 3 5 4" xfId="16676"/>
    <cellStyle name="Currency 15 3 5 5" xfId="16677"/>
    <cellStyle name="Currency 15 3 6" xfId="16678"/>
    <cellStyle name="Currency 15 3 6 2" xfId="16679"/>
    <cellStyle name="Currency 15 3 6 3" xfId="16680"/>
    <cellStyle name="Currency 15 3 7" xfId="16681"/>
    <cellStyle name="Currency 15 3 7 2" xfId="16682"/>
    <cellStyle name="Currency 15 3 7 3" xfId="16683"/>
    <cellStyle name="Currency 15 3 8" xfId="16684"/>
    <cellStyle name="Currency 15 3 9" xfId="16685"/>
    <cellStyle name="Currency 15 4" xfId="16686"/>
    <cellStyle name="Currency 15 4 2" xfId="16687"/>
    <cellStyle name="Currency 15 4 3" xfId="16688"/>
    <cellStyle name="Currency 15 5" xfId="16689"/>
    <cellStyle name="Currency 15 5 2" xfId="16690"/>
    <cellStyle name="Currency 15 5 3" xfId="16691"/>
    <cellStyle name="Currency 15 6" xfId="16692"/>
    <cellStyle name="Currency 15 7" xfId="16693"/>
    <cellStyle name="Currency 16" xfId="16694"/>
    <cellStyle name="Currency 16 10" xfId="16695"/>
    <cellStyle name="Currency 16 2" xfId="16696"/>
    <cellStyle name="Currency 16 3" xfId="16697"/>
    <cellStyle name="Currency 16 3 2" xfId="16698"/>
    <cellStyle name="Currency 16 3 2 2" xfId="16699"/>
    <cellStyle name="Currency 16 3 2 2 2" xfId="16700"/>
    <cellStyle name="Currency 16 3 2 2 3" xfId="16701"/>
    <cellStyle name="Currency 16 3 2 3" xfId="16702"/>
    <cellStyle name="Currency 16 3 2 3 2" xfId="16703"/>
    <cellStyle name="Currency 16 3 2 3 3" xfId="16704"/>
    <cellStyle name="Currency 16 3 2 4" xfId="16705"/>
    <cellStyle name="Currency 16 3 2 5" xfId="16706"/>
    <cellStyle name="Currency 16 3 3" xfId="16707"/>
    <cellStyle name="Currency 16 3 3 2" xfId="16708"/>
    <cellStyle name="Currency 16 3 3 2 2" xfId="16709"/>
    <cellStyle name="Currency 16 3 3 2 3" xfId="16710"/>
    <cellStyle name="Currency 16 3 3 3" xfId="16711"/>
    <cellStyle name="Currency 16 3 3 3 2" xfId="16712"/>
    <cellStyle name="Currency 16 3 3 3 3" xfId="16713"/>
    <cellStyle name="Currency 16 3 3 4" xfId="16714"/>
    <cellStyle name="Currency 16 3 3 5" xfId="16715"/>
    <cellStyle name="Currency 16 3 4" xfId="16716"/>
    <cellStyle name="Currency 16 3 4 2" xfId="16717"/>
    <cellStyle name="Currency 16 3 4 3" xfId="16718"/>
    <cellStyle name="Currency 16 3 5" xfId="16719"/>
    <cellStyle name="Currency 16 3 5 2" xfId="16720"/>
    <cellStyle name="Currency 16 3 5 3" xfId="16721"/>
    <cellStyle name="Currency 16 3 6" xfId="16722"/>
    <cellStyle name="Currency 16 3 7" xfId="16723"/>
    <cellStyle name="Currency 16 4" xfId="16724"/>
    <cellStyle name="Currency 16 4 2" xfId="16725"/>
    <cellStyle name="Currency 16 4 2 2" xfId="16726"/>
    <cellStyle name="Currency 16 4 2 2 2" xfId="16727"/>
    <cellStyle name="Currency 16 4 2 2 3" xfId="16728"/>
    <cellStyle name="Currency 16 4 2 3" xfId="16729"/>
    <cellStyle name="Currency 16 4 2 3 2" xfId="16730"/>
    <cellStyle name="Currency 16 4 2 3 3" xfId="16731"/>
    <cellStyle name="Currency 16 4 2 4" xfId="16732"/>
    <cellStyle name="Currency 16 4 2 5" xfId="16733"/>
    <cellStyle name="Currency 16 4 3" xfId="16734"/>
    <cellStyle name="Currency 16 4 3 2" xfId="16735"/>
    <cellStyle name="Currency 16 4 3 2 2" xfId="16736"/>
    <cellStyle name="Currency 16 4 3 2 3" xfId="16737"/>
    <cellStyle name="Currency 16 4 3 3" xfId="16738"/>
    <cellStyle name="Currency 16 4 3 3 2" xfId="16739"/>
    <cellStyle name="Currency 16 4 3 3 3" xfId="16740"/>
    <cellStyle name="Currency 16 4 3 4" xfId="16741"/>
    <cellStyle name="Currency 16 4 3 5" xfId="16742"/>
    <cellStyle name="Currency 16 4 4" xfId="16743"/>
    <cellStyle name="Currency 16 4 4 2" xfId="16744"/>
    <cellStyle name="Currency 16 4 4 3" xfId="16745"/>
    <cellStyle name="Currency 16 4 5" xfId="16746"/>
    <cellStyle name="Currency 16 4 5 2" xfId="16747"/>
    <cellStyle name="Currency 16 4 5 3" xfId="16748"/>
    <cellStyle name="Currency 16 4 6" xfId="16749"/>
    <cellStyle name="Currency 16 4 7" xfId="16750"/>
    <cellStyle name="Currency 16 5" xfId="16751"/>
    <cellStyle name="Currency 16 5 2" xfId="16752"/>
    <cellStyle name="Currency 16 5 2 2" xfId="16753"/>
    <cellStyle name="Currency 16 5 2 3" xfId="16754"/>
    <cellStyle name="Currency 16 5 3" xfId="16755"/>
    <cellStyle name="Currency 16 5 3 2" xfId="16756"/>
    <cellStyle name="Currency 16 5 3 3" xfId="16757"/>
    <cellStyle name="Currency 16 5 4" xfId="16758"/>
    <cellStyle name="Currency 16 5 5" xfId="16759"/>
    <cellStyle name="Currency 16 6" xfId="16760"/>
    <cellStyle name="Currency 16 6 2" xfId="16761"/>
    <cellStyle name="Currency 16 6 2 2" xfId="16762"/>
    <cellStyle name="Currency 16 6 2 3" xfId="16763"/>
    <cellStyle name="Currency 16 6 3" xfId="16764"/>
    <cellStyle name="Currency 16 6 3 2" xfId="16765"/>
    <cellStyle name="Currency 16 6 3 3" xfId="16766"/>
    <cellStyle name="Currency 16 6 4" xfId="16767"/>
    <cellStyle name="Currency 16 6 5" xfId="16768"/>
    <cellStyle name="Currency 16 7" xfId="16769"/>
    <cellStyle name="Currency 16 7 2" xfId="16770"/>
    <cellStyle name="Currency 16 7 3" xfId="16771"/>
    <cellStyle name="Currency 16 8" xfId="16772"/>
    <cellStyle name="Currency 16 8 2" xfId="16773"/>
    <cellStyle name="Currency 16 8 3" xfId="16774"/>
    <cellStyle name="Currency 16 9" xfId="16775"/>
    <cellStyle name="Currency 17" xfId="16776"/>
    <cellStyle name="Currency 17 2" xfId="16777"/>
    <cellStyle name="Currency 17 2 2" xfId="16778"/>
    <cellStyle name="Currency 17 2 2 2" xfId="16779"/>
    <cellStyle name="Currency 17 2 2 2 2" xfId="16780"/>
    <cellStyle name="Currency 17 2 2 2 3" xfId="16781"/>
    <cellStyle name="Currency 17 2 2 3" xfId="16782"/>
    <cellStyle name="Currency 17 2 2 3 2" xfId="16783"/>
    <cellStyle name="Currency 17 2 2 3 3" xfId="16784"/>
    <cellStyle name="Currency 17 2 2 4" xfId="16785"/>
    <cellStyle name="Currency 17 2 2 5" xfId="16786"/>
    <cellStyle name="Currency 17 2 3" xfId="16787"/>
    <cellStyle name="Currency 17 2 3 2" xfId="16788"/>
    <cellStyle name="Currency 17 2 3 2 2" xfId="16789"/>
    <cellStyle name="Currency 17 2 3 2 3" xfId="16790"/>
    <cellStyle name="Currency 17 2 3 3" xfId="16791"/>
    <cellStyle name="Currency 17 2 3 3 2" xfId="16792"/>
    <cellStyle name="Currency 17 2 3 3 3" xfId="16793"/>
    <cellStyle name="Currency 17 2 3 4" xfId="16794"/>
    <cellStyle name="Currency 17 2 3 5" xfId="16795"/>
    <cellStyle name="Currency 17 2 4" xfId="16796"/>
    <cellStyle name="Currency 17 2 4 2" xfId="16797"/>
    <cellStyle name="Currency 17 2 4 3" xfId="16798"/>
    <cellStyle name="Currency 17 2 5" xfId="16799"/>
    <cellStyle name="Currency 17 2 5 2" xfId="16800"/>
    <cellStyle name="Currency 17 2 5 3" xfId="16801"/>
    <cellStyle name="Currency 17 2 6" xfId="16802"/>
    <cellStyle name="Currency 17 2 7" xfId="16803"/>
    <cellStyle name="Currency 18" xfId="16804"/>
    <cellStyle name="Currency 18 2" xfId="16805"/>
    <cellStyle name="Currency 18 2 2" xfId="16806"/>
    <cellStyle name="Currency 18 2 2 2" xfId="16807"/>
    <cellStyle name="Currency 18 2 2 2 2" xfId="16808"/>
    <cellStyle name="Currency 18 2 2 2 3" xfId="16809"/>
    <cellStyle name="Currency 18 2 2 3" xfId="16810"/>
    <cellStyle name="Currency 18 2 2 3 2" xfId="16811"/>
    <cellStyle name="Currency 18 2 2 3 3" xfId="16812"/>
    <cellStyle name="Currency 18 2 2 4" xfId="16813"/>
    <cellStyle name="Currency 18 2 2 5" xfId="16814"/>
    <cellStyle name="Currency 18 2 3" xfId="16815"/>
    <cellStyle name="Currency 18 2 3 2" xfId="16816"/>
    <cellStyle name="Currency 18 2 3 2 2" xfId="16817"/>
    <cellStyle name="Currency 18 2 3 2 3" xfId="16818"/>
    <cellStyle name="Currency 18 2 3 3" xfId="16819"/>
    <cellStyle name="Currency 18 2 3 3 2" xfId="16820"/>
    <cellStyle name="Currency 18 2 3 3 3" xfId="16821"/>
    <cellStyle name="Currency 18 2 3 4" xfId="16822"/>
    <cellStyle name="Currency 18 2 3 5" xfId="16823"/>
    <cellStyle name="Currency 18 2 4" xfId="16824"/>
    <cellStyle name="Currency 18 2 4 2" xfId="16825"/>
    <cellStyle name="Currency 18 2 4 3" xfId="16826"/>
    <cellStyle name="Currency 18 2 5" xfId="16827"/>
    <cellStyle name="Currency 18 2 5 2" xfId="16828"/>
    <cellStyle name="Currency 18 2 5 3" xfId="16829"/>
    <cellStyle name="Currency 18 2 6" xfId="16830"/>
    <cellStyle name="Currency 18 2 7" xfId="16831"/>
    <cellStyle name="Currency 19" xfId="16832"/>
    <cellStyle name="Currency 19 2" xfId="16833"/>
    <cellStyle name="Currency 19 2 2" xfId="16834"/>
    <cellStyle name="Currency 19 2 2 2" xfId="16835"/>
    <cellStyle name="Currency 19 2 2 2 2" xfId="16836"/>
    <cellStyle name="Currency 19 2 2 2 3" xfId="16837"/>
    <cellStyle name="Currency 19 2 2 3" xfId="16838"/>
    <cellStyle name="Currency 19 2 2 3 2" xfId="16839"/>
    <cellStyle name="Currency 19 2 2 3 3" xfId="16840"/>
    <cellStyle name="Currency 19 2 2 4" xfId="16841"/>
    <cellStyle name="Currency 19 2 2 5" xfId="16842"/>
    <cellStyle name="Currency 19 2 3" xfId="16843"/>
    <cellStyle name="Currency 19 2 3 2" xfId="16844"/>
    <cellStyle name="Currency 19 2 3 2 2" xfId="16845"/>
    <cellStyle name="Currency 19 2 3 2 3" xfId="16846"/>
    <cellStyle name="Currency 19 2 3 3" xfId="16847"/>
    <cellStyle name="Currency 19 2 3 3 2" xfId="16848"/>
    <cellStyle name="Currency 19 2 3 3 3" xfId="16849"/>
    <cellStyle name="Currency 19 2 3 4" xfId="16850"/>
    <cellStyle name="Currency 19 2 3 5" xfId="16851"/>
    <cellStyle name="Currency 19 2 4" xfId="16852"/>
    <cellStyle name="Currency 19 2 4 2" xfId="16853"/>
    <cellStyle name="Currency 19 2 4 3" xfId="16854"/>
    <cellStyle name="Currency 19 2 5" xfId="16855"/>
    <cellStyle name="Currency 19 2 5 2" xfId="16856"/>
    <cellStyle name="Currency 19 2 5 3" xfId="16857"/>
    <cellStyle name="Currency 19 2 6" xfId="16858"/>
    <cellStyle name="Currency 19 2 7" xfId="16859"/>
    <cellStyle name="Currency 2" xfId="16860"/>
    <cellStyle name="Currency 2 10" xfId="16861"/>
    <cellStyle name="Currency 2 11" xfId="16862"/>
    <cellStyle name="Currency 2 12" xfId="16863"/>
    <cellStyle name="Currency 2 13" xfId="16864"/>
    <cellStyle name="Currency 2 14" xfId="16865"/>
    <cellStyle name="Currency 2 15" xfId="16866"/>
    <cellStyle name="Currency 2 16" xfId="16867"/>
    <cellStyle name="Currency 2 17" xfId="16868"/>
    <cellStyle name="Currency 2 18" xfId="16869"/>
    <cellStyle name="Currency 2 19" xfId="16870"/>
    <cellStyle name="Currency 2 2" xfId="16871"/>
    <cellStyle name="Currency 2 2 2" xfId="18"/>
    <cellStyle name="Currency 2 2 2 2" xfId="16872"/>
    <cellStyle name="Currency 2 2 3" xfId="16873"/>
    <cellStyle name="Currency 2 2 4" xfId="43039"/>
    <cellStyle name="Currency 2 20" xfId="16874"/>
    <cellStyle name="Currency 2 21" xfId="16875"/>
    <cellStyle name="Currency 2 22" xfId="16876"/>
    <cellStyle name="Currency 2 23" xfId="16877"/>
    <cellStyle name="Currency 2 24" xfId="16878"/>
    <cellStyle name="Currency 2 25" xfId="16879"/>
    <cellStyle name="Currency 2 26" xfId="16880"/>
    <cellStyle name="Currency 2 27" xfId="16881"/>
    <cellStyle name="Currency 2 3" xfId="16882"/>
    <cellStyle name="Currency 2 3 2" xfId="16883"/>
    <cellStyle name="Currency 2 4" xfId="16884"/>
    <cellStyle name="Currency 2 5" xfId="16885"/>
    <cellStyle name="Currency 2 5 2" xfId="6"/>
    <cellStyle name="Currency 2 6" xfId="16886"/>
    <cellStyle name="Currency 2 7" xfId="16887"/>
    <cellStyle name="Currency 2 8" xfId="16888"/>
    <cellStyle name="Currency 2 9" xfId="16889"/>
    <cellStyle name="Currency 2*" xfId="16890"/>
    <cellStyle name="Currency 2_April  1, 2010 CT valuation final DB approved" xfId="16891"/>
    <cellStyle name="Currency 20" xfId="16892"/>
    <cellStyle name="Currency 21" xfId="16893"/>
    <cellStyle name="Currency 22" xfId="16894"/>
    <cellStyle name="Currency 23" xfId="16895"/>
    <cellStyle name="Currency 24" xfId="16896"/>
    <cellStyle name="Currency 25" xfId="16897"/>
    <cellStyle name="Currency 26" xfId="16898"/>
    <cellStyle name="Currency 27" xfId="16899"/>
    <cellStyle name="Currency 27 2" xfId="16900"/>
    <cellStyle name="Currency 27 2 2" xfId="16901"/>
    <cellStyle name="Currency 27 2 2 2" xfId="16902"/>
    <cellStyle name="Currency 27 2 2 2 2" xfId="16903"/>
    <cellStyle name="Currency 27 2 2 2 3" xfId="16904"/>
    <cellStyle name="Currency 27 2 2 3" xfId="16905"/>
    <cellStyle name="Currency 27 2 2 3 2" xfId="16906"/>
    <cellStyle name="Currency 27 2 2 3 3" xfId="16907"/>
    <cellStyle name="Currency 27 2 2 4" xfId="16908"/>
    <cellStyle name="Currency 27 2 2 5" xfId="16909"/>
    <cellStyle name="Currency 27 2 3" xfId="16910"/>
    <cellStyle name="Currency 27 2 3 2" xfId="16911"/>
    <cellStyle name="Currency 27 2 3 2 2" xfId="16912"/>
    <cellStyle name="Currency 27 2 3 2 3" xfId="16913"/>
    <cellStyle name="Currency 27 2 3 3" xfId="16914"/>
    <cellStyle name="Currency 27 2 3 3 2" xfId="16915"/>
    <cellStyle name="Currency 27 2 3 3 3" xfId="16916"/>
    <cellStyle name="Currency 27 2 3 4" xfId="16917"/>
    <cellStyle name="Currency 27 2 3 5" xfId="16918"/>
    <cellStyle name="Currency 27 2 4" xfId="16919"/>
    <cellStyle name="Currency 27 2 4 2" xfId="16920"/>
    <cellStyle name="Currency 27 2 4 3" xfId="16921"/>
    <cellStyle name="Currency 27 2 5" xfId="16922"/>
    <cellStyle name="Currency 27 2 5 2" xfId="16923"/>
    <cellStyle name="Currency 27 2 5 3" xfId="16924"/>
    <cellStyle name="Currency 27 2 6" xfId="16925"/>
    <cellStyle name="Currency 27 2 7" xfId="16926"/>
    <cellStyle name="Currency 27 3" xfId="16927"/>
    <cellStyle name="Currency 27 3 2" xfId="16928"/>
    <cellStyle name="Currency 27 3 2 2" xfId="16929"/>
    <cellStyle name="Currency 27 3 2 2 2" xfId="16930"/>
    <cellStyle name="Currency 27 3 2 2 3" xfId="16931"/>
    <cellStyle name="Currency 27 3 2 3" xfId="16932"/>
    <cellStyle name="Currency 27 3 2 3 2" xfId="16933"/>
    <cellStyle name="Currency 27 3 2 3 3" xfId="16934"/>
    <cellStyle name="Currency 27 3 2 4" xfId="16935"/>
    <cellStyle name="Currency 27 3 2 5" xfId="16936"/>
    <cellStyle name="Currency 27 3 3" xfId="16937"/>
    <cellStyle name="Currency 27 3 3 2" xfId="16938"/>
    <cellStyle name="Currency 27 3 3 2 2" xfId="16939"/>
    <cellStyle name="Currency 27 3 3 2 3" xfId="16940"/>
    <cellStyle name="Currency 27 3 3 3" xfId="16941"/>
    <cellStyle name="Currency 27 3 3 3 2" xfId="16942"/>
    <cellStyle name="Currency 27 3 3 3 3" xfId="16943"/>
    <cellStyle name="Currency 27 3 3 4" xfId="16944"/>
    <cellStyle name="Currency 27 3 3 5" xfId="16945"/>
    <cellStyle name="Currency 27 3 4" xfId="16946"/>
    <cellStyle name="Currency 27 3 4 2" xfId="16947"/>
    <cellStyle name="Currency 27 3 4 3" xfId="16948"/>
    <cellStyle name="Currency 27 3 5" xfId="16949"/>
    <cellStyle name="Currency 27 3 5 2" xfId="16950"/>
    <cellStyle name="Currency 27 3 5 3" xfId="16951"/>
    <cellStyle name="Currency 27 3 6" xfId="16952"/>
    <cellStyle name="Currency 27 3 7" xfId="16953"/>
    <cellStyle name="Currency 27 4" xfId="16954"/>
    <cellStyle name="Currency 27 4 2" xfId="16955"/>
    <cellStyle name="Currency 27 4 2 2" xfId="16956"/>
    <cellStyle name="Currency 27 4 2 3" xfId="16957"/>
    <cellStyle name="Currency 27 4 3" xfId="16958"/>
    <cellStyle name="Currency 27 4 3 2" xfId="16959"/>
    <cellStyle name="Currency 27 4 3 3" xfId="16960"/>
    <cellStyle name="Currency 27 4 4" xfId="16961"/>
    <cellStyle name="Currency 27 4 5" xfId="16962"/>
    <cellStyle name="Currency 27 5" xfId="16963"/>
    <cellStyle name="Currency 27 5 2" xfId="16964"/>
    <cellStyle name="Currency 27 5 2 2" xfId="16965"/>
    <cellStyle name="Currency 27 5 2 3" xfId="16966"/>
    <cellStyle name="Currency 27 5 3" xfId="16967"/>
    <cellStyle name="Currency 27 5 3 2" xfId="16968"/>
    <cellStyle name="Currency 27 5 3 3" xfId="16969"/>
    <cellStyle name="Currency 27 5 4" xfId="16970"/>
    <cellStyle name="Currency 27 5 5" xfId="16971"/>
    <cellStyle name="Currency 27 6" xfId="16972"/>
    <cellStyle name="Currency 27 6 2" xfId="16973"/>
    <cellStyle name="Currency 27 6 3" xfId="16974"/>
    <cellStyle name="Currency 27 7" xfId="16975"/>
    <cellStyle name="Currency 27 7 2" xfId="16976"/>
    <cellStyle name="Currency 27 7 3" xfId="16977"/>
    <cellStyle name="Currency 27 8" xfId="16978"/>
    <cellStyle name="Currency 27 9" xfId="16979"/>
    <cellStyle name="Currency 28" xfId="16980"/>
    <cellStyle name="Currency 28 2" xfId="16981"/>
    <cellStyle name="Currency 28 2 2" xfId="16982"/>
    <cellStyle name="Currency 28 2 3" xfId="16983"/>
    <cellStyle name="Currency 28 3" xfId="16984"/>
    <cellStyle name="Currency 28 3 2" xfId="16985"/>
    <cellStyle name="Currency 28 3 3" xfId="16986"/>
    <cellStyle name="Currency 28 4" xfId="16987"/>
    <cellStyle name="Currency 28 4 2" xfId="16988"/>
    <cellStyle name="Currency 28 4 3" xfId="16989"/>
    <cellStyle name="Currency 28 5" xfId="16990"/>
    <cellStyle name="Currency 28 5 2" xfId="16991"/>
    <cellStyle name="Currency 28 5 3" xfId="16992"/>
    <cellStyle name="Currency 28 6" xfId="16993"/>
    <cellStyle name="Currency 28 7" xfId="16994"/>
    <cellStyle name="Currency 28 7 2" xfId="16995"/>
    <cellStyle name="Currency 28 8" xfId="16996"/>
    <cellStyle name="Currency 29" xfId="16997"/>
    <cellStyle name="Currency 29 2" xfId="16998"/>
    <cellStyle name="Currency 29 3" xfId="16999"/>
    <cellStyle name="Currency 3" xfId="17000"/>
    <cellStyle name="Currency 3 10" xfId="17001"/>
    <cellStyle name="Currency 3 11" xfId="17002"/>
    <cellStyle name="Currency 3 12" xfId="17003"/>
    <cellStyle name="Currency 3 13" xfId="17004"/>
    <cellStyle name="Currency 3 14" xfId="17005"/>
    <cellStyle name="Currency 3 15" xfId="17006"/>
    <cellStyle name="Currency 3 16" xfId="17007"/>
    <cellStyle name="Currency 3 17" xfId="17008"/>
    <cellStyle name="Currency 3 18" xfId="17009"/>
    <cellStyle name="Currency 3 19" xfId="17010"/>
    <cellStyle name="Currency 3 2" xfId="17011"/>
    <cellStyle name="Currency 3 2 2" xfId="17012"/>
    <cellStyle name="Currency 3 20" xfId="17013"/>
    <cellStyle name="Currency 3 21" xfId="17014"/>
    <cellStyle name="Currency 3 22" xfId="17015"/>
    <cellStyle name="Currency 3 23" xfId="17016"/>
    <cellStyle name="Currency 3 24" xfId="17017"/>
    <cellStyle name="Currency 3 25" xfId="17018"/>
    <cellStyle name="Currency 3 26" xfId="17019"/>
    <cellStyle name="Currency 3 27" xfId="17020"/>
    <cellStyle name="Currency 3 27 2" xfId="17021"/>
    <cellStyle name="Currency 3 27 3" xfId="17022"/>
    <cellStyle name="Currency 3 3" xfId="17023"/>
    <cellStyle name="Currency 3 3 2" xfId="17024"/>
    <cellStyle name="Currency 3 4" xfId="17025"/>
    <cellStyle name="Currency 3 5" xfId="17026"/>
    <cellStyle name="Currency 3 6" xfId="17027"/>
    <cellStyle name="Currency 3 7" xfId="17028"/>
    <cellStyle name="Currency 3 8" xfId="17029"/>
    <cellStyle name="Currency 3 9" xfId="17030"/>
    <cellStyle name="Currency 3*" xfId="17031"/>
    <cellStyle name="Currency 30" xfId="17032"/>
    <cellStyle name="Currency 30 2" xfId="17033"/>
    <cellStyle name="Currency 30 3" xfId="17034"/>
    <cellStyle name="Currency 31" xfId="17035"/>
    <cellStyle name="Currency 31 2" xfId="17036"/>
    <cellStyle name="Currency 31 3" xfId="17037"/>
    <cellStyle name="Currency 32" xfId="17038"/>
    <cellStyle name="Currency 32 2" xfId="17039"/>
    <cellStyle name="Currency 32 3" xfId="17040"/>
    <cellStyle name="Currency 33" xfId="17041"/>
    <cellStyle name="Currency 33 2" xfId="17042"/>
    <cellStyle name="Currency 33 3" xfId="17043"/>
    <cellStyle name="Currency 34" xfId="17044"/>
    <cellStyle name="Currency 34 2" xfId="17045"/>
    <cellStyle name="Currency 35" xfId="17046"/>
    <cellStyle name="Currency 36" xfId="17047"/>
    <cellStyle name="Currency 37" xfId="17048"/>
    <cellStyle name="Currency 38" xfId="17049"/>
    <cellStyle name="Currency 39" xfId="17050"/>
    <cellStyle name="Currency 4" xfId="17051"/>
    <cellStyle name="Currency 4 10" xfId="17052"/>
    <cellStyle name="Currency 4 11" xfId="17053"/>
    <cellStyle name="Currency 4 12" xfId="17054"/>
    <cellStyle name="Currency 4 13" xfId="17055"/>
    <cellStyle name="Currency 4 14" xfId="17056"/>
    <cellStyle name="Currency 4 15" xfId="17057"/>
    <cellStyle name="Currency 4 16" xfId="17058"/>
    <cellStyle name="Currency 4 17" xfId="17059"/>
    <cellStyle name="Currency 4 18" xfId="17060"/>
    <cellStyle name="Currency 4 19" xfId="17061"/>
    <cellStyle name="Currency 4 2" xfId="17062"/>
    <cellStyle name="Currency 4 2 10" xfId="43041"/>
    <cellStyle name="Currency 4 2 2" xfId="17063"/>
    <cellStyle name="Currency 4 2 3" xfId="17064"/>
    <cellStyle name="Currency 4 2 4" xfId="17065"/>
    <cellStyle name="Currency 4 2 5" xfId="17066"/>
    <cellStyle name="Currency 4 2 6" xfId="17067"/>
    <cellStyle name="Currency 4 2 7" xfId="17068"/>
    <cellStyle name="Currency 4 2 8" xfId="17069"/>
    <cellStyle name="Currency 4 2 9" xfId="17070"/>
    <cellStyle name="Currency 4 20" xfId="17071"/>
    <cellStyle name="Currency 4 21" xfId="17072"/>
    <cellStyle name="Currency 4 22" xfId="17073"/>
    <cellStyle name="Currency 4 23" xfId="17074"/>
    <cellStyle name="Currency 4 24" xfId="17075"/>
    <cellStyle name="Currency 4 25" xfId="17076"/>
    <cellStyle name="Currency 4 26" xfId="17077"/>
    <cellStyle name="Currency 4 27" xfId="42891"/>
    <cellStyle name="Currency 4 28" xfId="43040"/>
    <cellStyle name="Currency 4 3" xfId="17078"/>
    <cellStyle name="Currency 4 4" xfId="17079"/>
    <cellStyle name="Currency 4 5" xfId="17080"/>
    <cellStyle name="Currency 4 6" xfId="17081"/>
    <cellStyle name="Currency 4 7" xfId="17082"/>
    <cellStyle name="Currency 4 8" xfId="17083"/>
    <cellStyle name="Currency 4 9" xfId="17084"/>
    <cellStyle name="Currency 40" xfId="17085"/>
    <cellStyle name="Currency 41" xfId="42798"/>
    <cellStyle name="Currency 42" xfId="42801"/>
    <cellStyle name="Currency 43" xfId="42862"/>
    <cellStyle name="Currency 44" xfId="42888"/>
    <cellStyle name="Currency 45" xfId="42863"/>
    <cellStyle name="Currency 46" xfId="17086"/>
    <cellStyle name="Currency 46 2" xfId="17087"/>
    <cellStyle name="Currency 46 2 2" xfId="17088"/>
    <cellStyle name="Currency 46 2 2 2" xfId="17089"/>
    <cellStyle name="Currency 46 2 2 2 2" xfId="17090"/>
    <cellStyle name="Currency 46 2 2 2 3" xfId="17091"/>
    <cellStyle name="Currency 46 2 2 3" xfId="17092"/>
    <cellStyle name="Currency 46 2 2 3 2" xfId="17093"/>
    <cellStyle name="Currency 46 2 2 3 3" xfId="17094"/>
    <cellStyle name="Currency 46 2 2 4" xfId="17095"/>
    <cellStyle name="Currency 46 2 2 5" xfId="17096"/>
    <cellStyle name="Currency 46 2 3" xfId="17097"/>
    <cellStyle name="Currency 46 2 3 2" xfId="17098"/>
    <cellStyle name="Currency 46 2 3 2 2" xfId="17099"/>
    <cellStyle name="Currency 46 2 3 2 3" xfId="17100"/>
    <cellStyle name="Currency 46 2 3 3" xfId="17101"/>
    <cellStyle name="Currency 46 2 3 3 2" xfId="17102"/>
    <cellStyle name="Currency 46 2 3 3 3" xfId="17103"/>
    <cellStyle name="Currency 46 2 3 4" xfId="17104"/>
    <cellStyle name="Currency 46 2 3 5" xfId="17105"/>
    <cellStyle name="Currency 46 2 4" xfId="17106"/>
    <cellStyle name="Currency 46 2 4 2" xfId="17107"/>
    <cellStyle name="Currency 46 2 4 3" xfId="17108"/>
    <cellStyle name="Currency 46 2 5" xfId="17109"/>
    <cellStyle name="Currency 46 2 5 2" xfId="17110"/>
    <cellStyle name="Currency 46 2 5 3" xfId="17111"/>
    <cellStyle name="Currency 46 2 6" xfId="17112"/>
    <cellStyle name="Currency 46 2 7" xfId="17113"/>
    <cellStyle name="Currency 46 3" xfId="17114"/>
    <cellStyle name="Currency 46 3 2" xfId="17115"/>
    <cellStyle name="Currency 46 3 2 2" xfId="17116"/>
    <cellStyle name="Currency 46 3 2 2 2" xfId="17117"/>
    <cellStyle name="Currency 46 3 2 2 3" xfId="17118"/>
    <cellStyle name="Currency 46 3 2 3" xfId="17119"/>
    <cellStyle name="Currency 46 3 2 3 2" xfId="17120"/>
    <cellStyle name="Currency 46 3 2 3 3" xfId="17121"/>
    <cellStyle name="Currency 46 3 2 4" xfId="17122"/>
    <cellStyle name="Currency 46 3 2 5" xfId="17123"/>
    <cellStyle name="Currency 46 3 3" xfId="17124"/>
    <cellStyle name="Currency 46 3 3 2" xfId="17125"/>
    <cellStyle name="Currency 46 3 3 2 2" xfId="17126"/>
    <cellStyle name="Currency 46 3 3 2 3" xfId="17127"/>
    <cellStyle name="Currency 46 3 3 3" xfId="17128"/>
    <cellStyle name="Currency 46 3 3 3 2" xfId="17129"/>
    <cellStyle name="Currency 46 3 3 3 3" xfId="17130"/>
    <cellStyle name="Currency 46 3 3 4" xfId="17131"/>
    <cellStyle name="Currency 46 3 3 5" xfId="17132"/>
    <cellStyle name="Currency 46 3 4" xfId="17133"/>
    <cellStyle name="Currency 46 3 4 2" xfId="17134"/>
    <cellStyle name="Currency 46 3 4 3" xfId="17135"/>
    <cellStyle name="Currency 46 3 5" xfId="17136"/>
    <cellStyle name="Currency 46 3 5 2" xfId="17137"/>
    <cellStyle name="Currency 46 3 5 3" xfId="17138"/>
    <cellStyle name="Currency 46 3 6" xfId="17139"/>
    <cellStyle name="Currency 46 3 7" xfId="17140"/>
    <cellStyle name="Currency 46 4" xfId="17141"/>
    <cellStyle name="Currency 46 4 2" xfId="17142"/>
    <cellStyle name="Currency 46 4 2 2" xfId="17143"/>
    <cellStyle name="Currency 46 4 2 3" xfId="17144"/>
    <cellStyle name="Currency 46 4 3" xfId="17145"/>
    <cellStyle name="Currency 46 4 3 2" xfId="17146"/>
    <cellStyle name="Currency 46 4 3 3" xfId="17147"/>
    <cellStyle name="Currency 46 4 4" xfId="17148"/>
    <cellStyle name="Currency 46 4 5" xfId="17149"/>
    <cellStyle name="Currency 46 5" xfId="17150"/>
    <cellStyle name="Currency 46 5 2" xfId="17151"/>
    <cellStyle name="Currency 46 5 2 2" xfId="17152"/>
    <cellStyle name="Currency 46 5 2 3" xfId="17153"/>
    <cellStyle name="Currency 46 5 3" xfId="17154"/>
    <cellStyle name="Currency 46 5 3 2" xfId="17155"/>
    <cellStyle name="Currency 46 5 3 3" xfId="17156"/>
    <cellStyle name="Currency 46 5 4" xfId="17157"/>
    <cellStyle name="Currency 46 5 5" xfId="17158"/>
    <cellStyle name="Currency 46 6" xfId="17159"/>
    <cellStyle name="Currency 46 6 2" xfId="17160"/>
    <cellStyle name="Currency 46 6 3" xfId="17161"/>
    <cellStyle name="Currency 46 7" xfId="17162"/>
    <cellStyle name="Currency 46 7 2" xfId="17163"/>
    <cellStyle name="Currency 46 7 3" xfId="17164"/>
    <cellStyle name="Currency 46 8" xfId="17165"/>
    <cellStyle name="Currency 46 9" xfId="17166"/>
    <cellStyle name="Currency 47" xfId="42965"/>
    <cellStyle name="Currency 48" xfId="42954"/>
    <cellStyle name="Currency 49" xfId="42963"/>
    <cellStyle name="Currency 5" xfId="17167"/>
    <cellStyle name="Currency 5 10" xfId="17168"/>
    <cellStyle name="Currency 5 11" xfId="17169"/>
    <cellStyle name="Currency 5 12" xfId="17170"/>
    <cellStyle name="Currency 5 13" xfId="17171"/>
    <cellStyle name="Currency 5 14" xfId="17172"/>
    <cellStyle name="Currency 5 15" xfId="17173"/>
    <cellStyle name="Currency 5 16" xfId="17174"/>
    <cellStyle name="Currency 5 17" xfId="17175"/>
    <cellStyle name="Currency 5 18" xfId="17176"/>
    <cellStyle name="Currency 5 19" xfId="17177"/>
    <cellStyle name="Currency 5 2" xfId="17178"/>
    <cellStyle name="Currency 5 2 2" xfId="17179"/>
    <cellStyle name="Currency 5 2 3" xfId="17180"/>
    <cellStyle name="Currency 5 2 4" xfId="17181"/>
    <cellStyle name="Currency 5 2 5" xfId="17182"/>
    <cellStyle name="Currency 5 2 6" xfId="17183"/>
    <cellStyle name="Currency 5 2 7" xfId="17184"/>
    <cellStyle name="Currency 5 2 8" xfId="17185"/>
    <cellStyle name="Currency 5 2 9" xfId="17186"/>
    <cellStyle name="Currency 5 20" xfId="17187"/>
    <cellStyle name="Currency 5 21" xfId="17188"/>
    <cellStyle name="Currency 5 22" xfId="17189"/>
    <cellStyle name="Currency 5 23" xfId="17190"/>
    <cellStyle name="Currency 5 24" xfId="17191"/>
    <cellStyle name="Currency 5 25" xfId="17192"/>
    <cellStyle name="Currency 5 26" xfId="17193"/>
    <cellStyle name="Currency 5 3" xfId="17194"/>
    <cellStyle name="Currency 5 4" xfId="17195"/>
    <cellStyle name="Currency 5 5" xfId="17196"/>
    <cellStyle name="Currency 5 6" xfId="17197"/>
    <cellStyle name="Currency 5 7" xfId="17198"/>
    <cellStyle name="Currency 5 8" xfId="17199"/>
    <cellStyle name="Currency 5 9" xfId="17200"/>
    <cellStyle name="Currency 5_Dashboard - Inventory Metrics Aug 2012" xfId="17201"/>
    <cellStyle name="Currency 50" xfId="42955"/>
    <cellStyle name="Currency 51" xfId="42856"/>
    <cellStyle name="Currency 52" xfId="42882"/>
    <cellStyle name="Currency 53" xfId="42962"/>
    <cellStyle name="Currency 6" xfId="17202"/>
    <cellStyle name="Currency 6 10" xfId="17203"/>
    <cellStyle name="Currency 6 11" xfId="17204"/>
    <cellStyle name="Currency 6 12" xfId="17205"/>
    <cellStyle name="Currency 6 13" xfId="17206"/>
    <cellStyle name="Currency 6 14" xfId="17207"/>
    <cellStyle name="Currency 6 15" xfId="17208"/>
    <cellStyle name="Currency 6 16" xfId="17209"/>
    <cellStyle name="Currency 6 17" xfId="17210"/>
    <cellStyle name="Currency 6 18" xfId="17211"/>
    <cellStyle name="Currency 6 19" xfId="17212"/>
    <cellStyle name="Currency 6 2" xfId="17213"/>
    <cellStyle name="Currency 6 2 2" xfId="17214"/>
    <cellStyle name="Currency 6 2 2 2" xfId="17215"/>
    <cellStyle name="Currency 6 2 2 2 2" xfId="17216"/>
    <cellStyle name="Currency 6 2 2 3" xfId="17217"/>
    <cellStyle name="Currency 6 2 3" xfId="17218"/>
    <cellStyle name="Currency 6 2 3 2" xfId="17219"/>
    <cellStyle name="Currency 6 2 4" xfId="17220"/>
    <cellStyle name="Currency 6 2 5" xfId="17221"/>
    <cellStyle name="Currency 6 2 6" xfId="17222"/>
    <cellStyle name="Currency 6 2 7" xfId="17223"/>
    <cellStyle name="Currency 6 2 8" xfId="17224"/>
    <cellStyle name="Currency 6 2 9" xfId="17225"/>
    <cellStyle name="Currency 6 20" xfId="17226"/>
    <cellStyle name="Currency 6 21" xfId="17227"/>
    <cellStyle name="Currency 6 22" xfId="17228"/>
    <cellStyle name="Currency 6 23" xfId="17229"/>
    <cellStyle name="Currency 6 24" xfId="17230"/>
    <cellStyle name="Currency 6 25" xfId="17231"/>
    <cellStyle name="Currency 6 26" xfId="17232"/>
    <cellStyle name="Currency 6 3" xfId="17233"/>
    <cellStyle name="Currency 6 3 2" xfId="17234"/>
    <cellStyle name="Currency 6 3 2 2" xfId="17235"/>
    <cellStyle name="Currency 6 3 2 2 2" xfId="17236"/>
    <cellStyle name="Currency 6 3 2 3" xfId="17237"/>
    <cellStyle name="Currency 6 3 3" xfId="17238"/>
    <cellStyle name="Currency 6 3 3 2" xfId="17239"/>
    <cellStyle name="Currency 6 3 4" xfId="17240"/>
    <cellStyle name="Currency 6 4" xfId="17241"/>
    <cellStyle name="Currency 6 4 2" xfId="17242"/>
    <cellStyle name="Currency 6 4 2 2" xfId="17243"/>
    <cellStyle name="Currency 6 4 3" xfId="17244"/>
    <cellStyle name="Currency 6 5" xfId="17245"/>
    <cellStyle name="Currency 6 5 2" xfId="17246"/>
    <cellStyle name="Currency 6 6" xfId="17247"/>
    <cellStyle name="Currency 6 7" xfId="17248"/>
    <cellStyle name="Currency 6 8" xfId="17249"/>
    <cellStyle name="Currency 6 9" xfId="17250"/>
    <cellStyle name="Currency 7" xfId="17251"/>
    <cellStyle name="Currency 7 2" xfId="17252"/>
    <cellStyle name="Currency 7 2 2" xfId="17253"/>
    <cellStyle name="Currency 7 3" xfId="17254"/>
    <cellStyle name="Currency 7 3 2" xfId="17255"/>
    <cellStyle name="Currency 7 4" xfId="17256"/>
    <cellStyle name="Currency 7_Dashboard - Inventory Metrics Aug 2012" xfId="17257"/>
    <cellStyle name="Currency 8" xfId="17258"/>
    <cellStyle name="Currency 8 2" xfId="17259"/>
    <cellStyle name="Currency 8 2 2" xfId="17260"/>
    <cellStyle name="Currency 8 2 3" xfId="43043"/>
    <cellStyle name="Currency 8 3" xfId="17261"/>
    <cellStyle name="Currency 8 4" xfId="17262"/>
    <cellStyle name="Currency 8 4 2" xfId="17263"/>
    <cellStyle name="Currency 8 4 2 2" xfId="17264"/>
    <cellStyle name="Currency 8 4 2 2 2" xfId="17265"/>
    <cellStyle name="Currency 8 4 2 2 3" xfId="17266"/>
    <cellStyle name="Currency 8 4 2 3" xfId="17267"/>
    <cellStyle name="Currency 8 4 2 3 2" xfId="17268"/>
    <cellStyle name="Currency 8 4 2 3 3" xfId="17269"/>
    <cellStyle name="Currency 8 4 2 4" xfId="17270"/>
    <cellStyle name="Currency 8 4 2 5" xfId="17271"/>
    <cellStyle name="Currency 8 4 3" xfId="17272"/>
    <cellStyle name="Currency 8 4 3 2" xfId="17273"/>
    <cellStyle name="Currency 8 4 3 2 2" xfId="17274"/>
    <cellStyle name="Currency 8 4 3 2 3" xfId="17275"/>
    <cellStyle name="Currency 8 4 3 3" xfId="17276"/>
    <cellStyle name="Currency 8 4 3 3 2" xfId="17277"/>
    <cellStyle name="Currency 8 4 3 3 3" xfId="17278"/>
    <cellStyle name="Currency 8 4 3 4" xfId="17279"/>
    <cellStyle name="Currency 8 4 3 5" xfId="17280"/>
    <cellStyle name="Currency 8 4 4" xfId="17281"/>
    <cellStyle name="Currency 8 4 4 2" xfId="17282"/>
    <cellStyle name="Currency 8 4 4 3" xfId="17283"/>
    <cellStyle name="Currency 8 4 5" xfId="17284"/>
    <cellStyle name="Currency 8 4 5 2" xfId="17285"/>
    <cellStyle name="Currency 8 4 5 3" xfId="17286"/>
    <cellStyle name="Currency 8 4 6" xfId="17287"/>
    <cellStyle name="Currency 8 4 7" xfId="17288"/>
    <cellStyle name="Currency 8 5" xfId="17289"/>
    <cellStyle name="Currency 8 5 2" xfId="17290"/>
    <cellStyle name="Currency 8 5 2 2" xfId="17291"/>
    <cellStyle name="Currency 8 5 2 2 2" xfId="17292"/>
    <cellStyle name="Currency 8 5 2 2 3" xfId="17293"/>
    <cellStyle name="Currency 8 5 2 3" xfId="17294"/>
    <cellStyle name="Currency 8 5 2 3 2" xfId="17295"/>
    <cellStyle name="Currency 8 5 2 3 3" xfId="17296"/>
    <cellStyle name="Currency 8 5 2 4" xfId="17297"/>
    <cellStyle name="Currency 8 5 2 5" xfId="17298"/>
    <cellStyle name="Currency 8 5 3" xfId="17299"/>
    <cellStyle name="Currency 8 5 3 2" xfId="17300"/>
    <cellStyle name="Currency 8 5 3 2 2" xfId="17301"/>
    <cellStyle name="Currency 8 5 3 2 3" xfId="17302"/>
    <cellStyle name="Currency 8 5 3 3" xfId="17303"/>
    <cellStyle name="Currency 8 5 3 3 2" xfId="17304"/>
    <cellStyle name="Currency 8 5 3 3 3" xfId="17305"/>
    <cellStyle name="Currency 8 5 3 4" xfId="17306"/>
    <cellStyle name="Currency 8 5 3 5" xfId="17307"/>
    <cellStyle name="Currency 8 5 4" xfId="17308"/>
    <cellStyle name="Currency 8 5 4 2" xfId="17309"/>
    <cellStyle name="Currency 8 5 4 3" xfId="17310"/>
    <cellStyle name="Currency 8 5 5" xfId="17311"/>
    <cellStyle name="Currency 8 5 5 2" xfId="17312"/>
    <cellStyle name="Currency 8 5 5 3" xfId="17313"/>
    <cellStyle name="Currency 8 5 6" xfId="17314"/>
    <cellStyle name="Currency 8 5 7" xfId="17315"/>
    <cellStyle name="Currency 8 6" xfId="43042"/>
    <cellStyle name="Currency 9" xfId="17316"/>
    <cellStyle name="Currency 9 2" xfId="17317"/>
    <cellStyle name="Currency 9 2 2" xfId="17318"/>
    <cellStyle name="Currency 9 2 2 2" xfId="17319"/>
    <cellStyle name="Currency 9 3" xfId="17320"/>
    <cellStyle name="Currency 9 3 2" xfId="17321"/>
    <cellStyle name="Currency 9 4" xfId="17322"/>
    <cellStyle name="Currency GB no Symbol [1]" xfId="17323"/>
    <cellStyle name="Currency Per Share" xfId="17324"/>
    <cellStyle name="Currency*" xfId="17325"/>
    <cellStyle name="Currency0" xfId="17326"/>
    <cellStyle name="Currency2" xfId="17327"/>
    <cellStyle name="Currency2 [0]" xfId="17328"/>
    <cellStyle name="Currency2 [1]" xfId="17329"/>
    <cellStyle name="Currency2 [2]" xfId="17330"/>
    <cellStyle name="Currency2 [3]" xfId="17331"/>
    <cellStyle name="Currency2_CapmTables" xfId="17332"/>
    <cellStyle name="Currsmall" xfId="17333"/>
    <cellStyle name="custom" xfId="17334"/>
    <cellStyle name="d" xfId="17335"/>
    <cellStyle name="d_yield" xfId="17336"/>
    <cellStyle name="d_yield 2" xfId="17337"/>
    <cellStyle name="d_yield 2 2" xfId="17338"/>
    <cellStyle name="d_yield 2 2 2" xfId="17339"/>
    <cellStyle name="d_yield 2 3" xfId="17340"/>
    <cellStyle name="d_yield 3" xfId="17341"/>
    <cellStyle name="d_yield 3 2" xfId="17342"/>
    <cellStyle name="d_yield 4" xfId="17343"/>
    <cellStyle name="d_yield_CCRD-muse -2" xfId="17344"/>
    <cellStyle name="d_yield_CCRD-muse -2 2" xfId="17345"/>
    <cellStyle name="d_yield_CCRD-muse -2 2 2" xfId="17346"/>
    <cellStyle name="d_yield_CCRD-muse -2 2 2 2" xfId="17347"/>
    <cellStyle name="d_yield_CCRD-muse -2 2 3" xfId="17348"/>
    <cellStyle name="d_yield_CCRD-muse -2 3" xfId="17349"/>
    <cellStyle name="d_yield_CCRD-muse -2 3 2" xfId="17350"/>
    <cellStyle name="d_yield_CCRD-muse -2 4" xfId="17351"/>
    <cellStyle name="d_yield_DCF-Valuation Support" xfId="17352"/>
    <cellStyle name="d_yield_DCF-Valuation Support 2" xfId="17353"/>
    <cellStyle name="d_yield_DCF-Valuation Support 2 2" xfId="17354"/>
    <cellStyle name="d_yield_DCF-Valuation Support 2 2 2" xfId="17355"/>
    <cellStyle name="d_yield_DCF-Valuation Support 2 3" xfId="17356"/>
    <cellStyle name="d_yield_DCF-Valuation Support 3" xfId="17357"/>
    <cellStyle name="d_yield_DCF-Valuation Support 3 2" xfId="17358"/>
    <cellStyle name="d_yield_DCF-Valuation Support 4" xfId="17359"/>
    <cellStyle name="d_yield_ICOS-INC" xfId="17360"/>
    <cellStyle name="d_yield_ICOS-INC (2)" xfId="17361"/>
    <cellStyle name="d_yield_ICOS-INC (2) 2" xfId="17362"/>
    <cellStyle name="d_yield_ICOS-INC (2) 2 2" xfId="17363"/>
    <cellStyle name="d_yield_ICOS-INC (2) 2 2 2" xfId="17364"/>
    <cellStyle name="d_yield_ICOS-INC (2) 2 3" xfId="17365"/>
    <cellStyle name="d_yield_ICOS-INC (2) 3" xfId="17366"/>
    <cellStyle name="d_yield_ICOS-INC (2) 3 2" xfId="17367"/>
    <cellStyle name="d_yield_ICOS-INC (2) 4" xfId="17368"/>
    <cellStyle name="d_yield_ICOS-INC 10" xfId="17369"/>
    <cellStyle name="d_yield_ICOS-INC 11" xfId="17370"/>
    <cellStyle name="d_yield_ICOS-INC 12" xfId="17371"/>
    <cellStyle name="d_yield_ICOS-INC 13" xfId="17372"/>
    <cellStyle name="d_yield_ICOS-INC 2" xfId="17373"/>
    <cellStyle name="d_yield_ICOS-INC 2 2" xfId="17374"/>
    <cellStyle name="d_yield_ICOS-INC 2 2 2" xfId="17375"/>
    <cellStyle name="d_yield_ICOS-INC 2 3" xfId="17376"/>
    <cellStyle name="d_yield_ICOS-INC 3" xfId="17377"/>
    <cellStyle name="d_yield_ICOS-INC 3 2" xfId="17378"/>
    <cellStyle name="d_yield_ICOS-INC 3 2 2" xfId="17379"/>
    <cellStyle name="d_yield_ICOS-INC 3 3" xfId="17380"/>
    <cellStyle name="d_yield_ICOS-INC 4" xfId="17381"/>
    <cellStyle name="d_yield_ICOS-INC 4 2" xfId="17382"/>
    <cellStyle name="d_yield_ICOS-INC 5" xfId="17383"/>
    <cellStyle name="d_yield_ICOS-INC 6" xfId="17384"/>
    <cellStyle name="d_yield_ICOS-INC 7" xfId="17385"/>
    <cellStyle name="d_yield_ICOS-INC 8" xfId="17386"/>
    <cellStyle name="d_yield_ICOS-INC 9" xfId="17387"/>
    <cellStyle name="d_yield_Internal ACDO-TWP 12-6-01" xfId="17388"/>
    <cellStyle name="d_yield_Merger Model16.xls Chart 1" xfId="17389"/>
    <cellStyle name="d_yield_Merger Model16.xls Chart 1 2" xfId="17390"/>
    <cellStyle name="d_yield_Merger Model16.xls Chart 1 2 2" xfId="17391"/>
    <cellStyle name="d_yield_Merger Model16.xls Chart 1 2 2 2" xfId="17392"/>
    <cellStyle name="d_yield_Merger Model16.xls Chart 1 2 3" xfId="17393"/>
    <cellStyle name="d_yield_Merger Model16.xls Chart 1 3" xfId="17394"/>
    <cellStyle name="d_yield_Merger Model16.xls Chart 1 3 2" xfId="17395"/>
    <cellStyle name="d_yield_Merger Model16.xls Chart 1 4" xfId="17396"/>
    <cellStyle name="d_yield_Merger Model34b" xfId="17397"/>
    <cellStyle name="d_yield_Merger Model34b 2" xfId="17398"/>
    <cellStyle name="d_yield_Merger Model34b 2 2" xfId="17399"/>
    <cellStyle name="d_yield_Merger Model34b 2 2 2" xfId="17400"/>
    <cellStyle name="d_yield_Merger Model34b 2 3" xfId="17401"/>
    <cellStyle name="d_yield_Merger Model34b 3" xfId="17402"/>
    <cellStyle name="d_yield_Merger Model34b 3 2" xfId="17403"/>
    <cellStyle name="d_yield_Merger Model34b 4" xfId="17404"/>
    <cellStyle name="d_yield_Merx062402a" xfId="17405"/>
    <cellStyle name="d_yield_Merx062402a1" xfId="17406"/>
    <cellStyle name="d_yield_MKS 7.29 Valuation" xfId="17407"/>
    <cellStyle name="d_yield_MKS 7.29 Valuation 2" xfId="17408"/>
    <cellStyle name="d_yield_MKS 7.29 Valuation 2 2" xfId="17409"/>
    <cellStyle name="d_yield_MKS 7.29 Valuation 2 2 2" xfId="17410"/>
    <cellStyle name="d_yield_MKS 7.29 Valuation 2 3" xfId="17411"/>
    <cellStyle name="d_yield_MKS 7.29 Valuation 3" xfId="17412"/>
    <cellStyle name="d_yield_MKS 7.29 Valuation 3 2" xfId="17413"/>
    <cellStyle name="d_yield_MKS 7.29 Valuation 4" xfId="17414"/>
    <cellStyle name="DARK" xfId="17415"/>
    <cellStyle name="dash" xfId="17416"/>
    <cellStyle name="Data" xfId="17417"/>
    <cellStyle name="Data 2" xfId="17418"/>
    <cellStyle name="Data 3" xfId="17419"/>
    <cellStyle name="Data 4" xfId="17420"/>
    <cellStyle name="Data 5" xfId="17421"/>
    <cellStyle name="Data 6" xfId="17422"/>
    <cellStyle name="Data Cell - PerformancePoint" xfId="17423"/>
    <cellStyle name="Data Cell - PerformancePoint 10" xfId="17424"/>
    <cellStyle name="Data Cell - PerformancePoint 11" xfId="17425"/>
    <cellStyle name="Data Cell - PerformancePoint 12" xfId="17426"/>
    <cellStyle name="Data Cell - PerformancePoint 13" xfId="17427"/>
    <cellStyle name="Data Cell - PerformancePoint 14" xfId="17428"/>
    <cellStyle name="Data Cell - PerformancePoint 15" xfId="17429"/>
    <cellStyle name="Data Cell - PerformancePoint 16" xfId="17430"/>
    <cellStyle name="Data Cell - PerformancePoint 17" xfId="17431"/>
    <cellStyle name="Data Cell - PerformancePoint 18" xfId="17432"/>
    <cellStyle name="Data Cell - PerformancePoint 19" xfId="17433"/>
    <cellStyle name="Data Cell - PerformancePoint 2" xfId="17434"/>
    <cellStyle name="Data Cell - PerformancePoint 2 10" xfId="17435"/>
    <cellStyle name="Data Cell - PerformancePoint 2 11" xfId="17436"/>
    <cellStyle name="Data Cell - PerformancePoint 2 12" xfId="17437"/>
    <cellStyle name="Data Cell - PerformancePoint 2 13" xfId="17438"/>
    <cellStyle name="Data Cell - PerformancePoint 2 14" xfId="17439"/>
    <cellStyle name="Data Cell - PerformancePoint 2 15" xfId="17440"/>
    <cellStyle name="Data Cell - PerformancePoint 2 16" xfId="17441"/>
    <cellStyle name="Data Cell - PerformancePoint 2 17" xfId="17442"/>
    <cellStyle name="Data Cell - PerformancePoint 2 18" xfId="17443"/>
    <cellStyle name="Data Cell - PerformancePoint 2 2" xfId="17444"/>
    <cellStyle name="Data Cell - PerformancePoint 2 3" xfId="17445"/>
    <cellStyle name="Data Cell - PerformancePoint 2 4" xfId="17446"/>
    <cellStyle name="Data Cell - PerformancePoint 2 5" xfId="17447"/>
    <cellStyle name="Data Cell - PerformancePoint 2 6" xfId="17448"/>
    <cellStyle name="Data Cell - PerformancePoint 2 7" xfId="17449"/>
    <cellStyle name="Data Cell - PerformancePoint 2 8" xfId="17450"/>
    <cellStyle name="Data Cell - PerformancePoint 2 9" xfId="17451"/>
    <cellStyle name="Data Cell - PerformancePoint 20" xfId="17452"/>
    <cellStyle name="Data Cell - PerformancePoint 3" xfId="17453"/>
    <cellStyle name="Data Cell - PerformancePoint 4" xfId="17454"/>
    <cellStyle name="Data Cell - PerformancePoint 5" xfId="17455"/>
    <cellStyle name="Data Cell - PerformancePoint 6" xfId="17456"/>
    <cellStyle name="Data Cell - PerformancePoint 7" xfId="17457"/>
    <cellStyle name="Data Cell - PerformancePoint 7 2" xfId="17458"/>
    <cellStyle name="Data Cell - PerformancePoint 7 2 2" xfId="17459"/>
    <cellStyle name="Data Cell - PerformancePoint 7 2 2 2" xfId="17460"/>
    <cellStyle name="Data Cell - PerformancePoint 7 2 2 2 2" xfId="17461"/>
    <cellStyle name="Data Cell - PerformancePoint 7 2 2 2 2 2" xfId="17462"/>
    <cellStyle name="Data Cell - PerformancePoint 7 2 2 2 2 3" xfId="17463"/>
    <cellStyle name="Data Cell - PerformancePoint 7 2 2 2 3" xfId="17464"/>
    <cellStyle name="Data Cell - PerformancePoint 7 2 2 2 3 2" xfId="17465"/>
    <cellStyle name="Data Cell - PerformancePoint 7 2 2 2 3 3" xfId="17466"/>
    <cellStyle name="Data Cell - PerformancePoint 7 2 2 2 4" xfId="17467"/>
    <cellStyle name="Data Cell - PerformancePoint 7 2 2 2 5" xfId="17468"/>
    <cellStyle name="Data Cell - PerformancePoint 7 2 2 3" xfId="17469"/>
    <cellStyle name="Data Cell - PerformancePoint 7 2 2 3 2" xfId="17470"/>
    <cellStyle name="Data Cell - PerformancePoint 7 2 2 3 2 2" xfId="17471"/>
    <cellStyle name="Data Cell - PerformancePoint 7 2 2 3 2 3" xfId="17472"/>
    <cellStyle name="Data Cell - PerformancePoint 7 2 2 3 3" xfId="17473"/>
    <cellStyle name="Data Cell - PerformancePoint 7 2 2 3 3 2" xfId="17474"/>
    <cellStyle name="Data Cell - PerformancePoint 7 2 2 3 3 3" xfId="17475"/>
    <cellStyle name="Data Cell - PerformancePoint 7 2 2 3 4" xfId="17476"/>
    <cellStyle name="Data Cell - PerformancePoint 7 2 2 3 5" xfId="17477"/>
    <cellStyle name="Data Cell - PerformancePoint 7 2 2 4" xfId="17478"/>
    <cellStyle name="Data Cell - PerformancePoint 7 2 2 4 2" xfId="17479"/>
    <cellStyle name="Data Cell - PerformancePoint 7 2 2 4 3" xfId="17480"/>
    <cellStyle name="Data Cell - PerformancePoint 7 2 2 5" xfId="17481"/>
    <cellStyle name="Data Cell - PerformancePoint 7 2 2 5 2" xfId="17482"/>
    <cellStyle name="Data Cell - PerformancePoint 7 2 2 5 3" xfId="17483"/>
    <cellStyle name="Data Cell - PerformancePoint 7 2 2 6" xfId="17484"/>
    <cellStyle name="Data Cell - PerformancePoint 7 2 2 7" xfId="17485"/>
    <cellStyle name="Data Cell - PerformancePoint 7 2 3" xfId="17486"/>
    <cellStyle name="Data Cell - PerformancePoint 7 2 3 2" xfId="17487"/>
    <cellStyle name="Data Cell - PerformancePoint 7 2 3 2 2" xfId="17488"/>
    <cellStyle name="Data Cell - PerformancePoint 7 2 3 2 2 2" xfId="17489"/>
    <cellStyle name="Data Cell - PerformancePoint 7 2 3 2 2 3" xfId="17490"/>
    <cellStyle name="Data Cell - PerformancePoint 7 2 3 2 3" xfId="17491"/>
    <cellStyle name="Data Cell - PerformancePoint 7 2 3 2 3 2" xfId="17492"/>
    <cellStyle name="Data Cell - PerformancePoint 7 2 3 2 3 3" xfId="17493"/>
    <cellStyle name="Data Cell - PerformancePoint 7 2 3 2 4" xfId="17494"/>
    <cellStyle name="Data Cell - PerformancePoint 7 2 3 2 5" xfId="17495"/>
    <cellStyle name="Data Cell - PerformancePoint 7 2 3 3" xfId="17496"/>
    <cellStyle name="Data Cell - PerformancePoint 7 2 3 3 2" xfId="17497"/>
    <cellStyle name="Data Cell - PerformancePoint 7 2 3 3 2 2" xfId="17498"/>
    <cellStyle name="Data Cell - PerformancePoint 7 2 3 3 2 3" xfId="17499"/>
    <cellStyle name="Data Cell - PerformancePoint 7 2 3 3 3" xfId="17500"/>
    <cellStyle name="Data Cell - PerformancePoint 7 2 3 3 3 2" xfId="17501"/>
    <cellStyle name="Data Cell - PerformancePoint 7 2 3 3 3 3" xfId="17502"/>
    <cellStyle name="Data Cell - PerformancePoint 7 2 3 3 4" xfId="17503"/>
    <cellStyle name="Data Cell - PerformancePoint 7 2 3 3 5" xfId="17504"/>
    <cellStyle name="Data Cell - PerformancePoint 7 2 3 4" xfId="17505"/>
    <cellStyle name="Data Cell - PerformancePoint 7 2 3 4 2" xfId="17506"/>
    <cellStyle name="Data Cell - PerformancePoint 7 2 3 4 3" xfId="17507"/>
    <cellStyle name="Data Cell - PerformancePoint 7 2 3 5" xfId="17508"/>
    <cellStyle name="Data Cell - PerformancePoint 7 2 3 5 2" xfId="17509"/>
    <cellStyle name="Data Cell - PerformancePoint 7 2 3 5 3" xfId="17510"/>
    <cellStyle name="Data Cell - PerformancePoint 7 2 3 6" xfId="17511"/>
    <cellStyle name="Data Cell - PerformancePoint 7 2 3 7" xfId="17512"/>
    <cellStyle name="Data Cell - PerformancePoint 7 2 4" xfId="17513"/>
    <cellStyle name="Data Cell - PerformancePoint 7 2 4 2" xfId="17514"/>
    <cellStyle name="Data Cell - PerformancePoint 7 2 4 2 2" xfId="17515"/>
    <cellStyle name="Data Cell - PerformancePoint 7 2 4 2 3" xfId="17516"/>
    <cellStyle name="Data Cell - PerformancePoint 7 2 4 3" xfId="17517"/>
    <cellStyle name="Data Cell - PerformancePoint 7 2 4 3 2" xfId="17518"/>
    <cellStyle name="Data Cell - PerformancePoint 7 2 4 3 3" xfId="17519"/>
    <cellStyle name="Data Cell - PerformancePoint 7 2 4 4" xfId="17520"/>
    <cellStyle name="Data Cell - PerformancePoint 7 2 4 5" xfId="17521"/>
    <cellStyle name="Data Cell - PerformancePoint 7 2 5" xfId="17522"/>
    <cellStyle name="Data Cell - PerformancePoint 7 2 5 2" xfId="17523"/>
    <cellStyle name="Data Cell - PerformancePoint 7 2 5 2 2" xfId="17524"/>
    <cellStyle name="Data Cell - PerformancePoint 7 2 5 2 3" xfId="17525"/>
    <cellStyle name="Data Cell - PerformancePoint 7 2 5 3" xfId="17526"/>
    <cellStyle name="Data Cell - PerformancePoint 7 2 5 3 2" xfId="17527"/>
    <cellStyle name="Data Cell - PerformancePoint 7 2 5 3 3" xfId="17528"/>
    <cellStyle name="Data Cell - PerformancePoint 7 2 5 4" xfId="17529"/>
    <cellStyle name="Data Cell - PerformancePoint 7 2 5 5" xfId="17530"/>
    <cellStyle name="Data Cell - PerformancePoint 7 2 6" xfId="17531"/>
    <cellStyle name="Data Cell - PerformancePoint 7 2 6 2" xfId="17532"/>
    <cellStyle name="Data Cell - PerformancePoint 7 2 6 3" xfId="17533"/>
    <cellStyle name="Data Cell - PerformancePoint 7 2 7" xfId="17534"/>
    <cellStyle name="Data Cell - PerformancePoint 7 2 7 2" xfId="17535"/>
    <cellStyle name="Data Cell - PerformancePoint 7 2 7 3" xfId="17536"/>
    <cellStyle name="Data Cell - PerformancePoint 7 2 8" xfId="17537"/>
    <cellStyle name="Data Cell - PerformancePoint 7 2 9" xfId="17538"/>
    <cellStyle name="Data Cell - PerformancePoint 8" xfId="17539"/>
    <cellStyle name="Data Cell - PerformancePoint 9" xfId="17540"/>
    <cellStyle name="Data Entry Cell - PerformancePoint" xfId="17541"/>
    <cellStyle name="Data Entry Cell - PerformancePoint 10" xfId="17542"/>
    <cellStyle name="Data Entry Cell - PerformancePoint 11" xfId="17543"/>
    <cellStyle name="Data Entry Cell - PerformancePoint 12" xfId="17544"/>
    <cellStyle name="Data Entry Cell - PerformancePoint 13" xfId="17545"/>
    <cellStyle name="Data Entry Cell - PerformancePoint 14" xfId="17546"/>
    <cellStyle name="Data Entry Cell - PerformancePoint 15" xfId="17547"/>
    <cellStyle name="Data Entry Cell - PerformancePoint 16" xfId="17548"/>
    <cellStyle name="Data Entry Cell - PerformancePoint 17" xfId="17549"/>
    <cellStyle name="Data Entry Cell - PerformancePoint 18" xfId="17550"/>
    <cellStyle name="Data Entry Cell - PerformancePoint 19" xfId="17551"/>
    <cellStyle name="Data Entry Cell - PerformancePoint 2" xfId="17552"/>
    <cellStyle name="Data Entry Cell - PerformancePoint 2 10" xfId="17553"/>
    <cellStyle name="Data Entry Cell - PerformancePoint 2 11" xfId="17554"/>
    <cellStyle name="Data Entry Cell - PerformancePoint 2 12" xfId="17555"/>
    <cellStyle name="Data Entry Cell - PerformancePoint 2 13" xfId="17556"/>
    <cellStyle name="Data Entry Cell - PerformancePoint 2 14" xfId="17557"/>
    <cellStyle name="Data Entry Cell - PerformancePoint 2 15" xfId="17558"/>
    <cellStyle name="Data Entry Cell - PerformancePoint 2 16" xfId="17559"/>
    <cellStyle name="Data Entry Cell - PerformancePoint 2 17" xfId="17560"/>
    <cellStyle name="Data Entry Cell - PerformancePoint 2 18" xfId="17561"/>
    <cellStyle name="Data Entry Cell - PerformancePoint 2 2" xfId="17562"/>
    <cellStyle name="Data Entry Cell - PerformancePoint 2 3" xfId="17563"/>
    <cellStyle name="Data Entry Cell - PerformancePoint 2 4" xfId="17564"/>
    <cellStyle name="Data Entry Cell - PerformancePoint 2 5" xfId="17565"/>
    <cellStyle name="Data Entry Cell - PerformancePoint 2 6" xfId="17566"/>
    <cellStyle name="Data Entry Cell - PerformancePoint 2 7" xfId="17567"/>
    <cellStyle name="Data Entry Cell - PerformancePoint 2 8" xfId="17568"/>
    <cellStyle name="Data Entry Cell - PerformancePoint 2 9" xfId="17569"/>
    <cellStyle name="Data Entry Cell - PerformancePoint 3" xfId="17570"/>
    <cellStyle name="Data Entry Cell - PerformancePoint 4" xfId="17571"/>
    <cellStyle name="Data Entry Cell - PerformancePoint 5" xfId="17572"/>
    <cellStyle name="Data Entry Cell - PerformancePoint 6" xfId="17573"/>
    <cellStyle name="Data Entry Cell - PerformancePoint 7" xfId="17574"/>
    <cellStyle name="Data Entry Cell - PerformancePoint 7 2" xfId="17575"/>
    <cellStyle name="Data Entry Cell - PerformancePoint 7 2 2" xfId="17576"/>
    <cellStyle name="Data Entry Cell - PerformancePoint 7 2 2 2" xfId="17577"/>
    <cellStyle name="Data Entry Cell - PerformancePoint 7 2 2 2 2" xfId="17578"/>
    <cellStyle name="Data Entry Cell - PerformancePoint 7 2 2 2 2 2" xfId="17579"/>
    <cellStyle name="Data Entry Cell - PerformancePoint 7 2 2 2 2 3" xfId="17580"/>
    <cellStyle name="Data Entry Cell - PerformancePoint 7 2 2 2 3" xfId="17581"/>
    <cellStyle name="Data Entry Cell - PerformancePoint 7 2 2 2 3 2" xfId="17582"/>
    <cellStyle name="Data Entry Cell - PerformancePoint 7 2 2 2 3 3" xfId="17583"/>
    <cellStyle name="Data Entry Cell - PerformancePoint 7 2 2 2 4" xfId="17584"/>
    <cellStyle name="Data Entry Cell - PerformancePoint 7 2 2 2 5" xfId="17585"/>
    <cellStyle name="Data Entry Cell - PerformancePoint 7 2 2 3" xfId="17586"/>
    <cellStyle name="Data Entry Cell - PerformancePoint 7 2 2 3 2" xfId="17587"/>
    <cellStyle name="Data Entry Cell - PerformancePoint 7 2 2 3 2 2" xfId="17588"/>
    <cellStyle name="Data Entry Cell - PerformancePoint 7 2 2 3 2 3" xfId="17589"/>
    <cellStyle name="Data Entry Cell - PerformancePoint 7 2 2 3 3" xfId="17590"/>
    <cellStyle name="Data Entry Cell - PerformancePoint 7 2 2 3 3 2" xfId="17591"/>
    <cellStyle name="Data Entry Cell - PerformancePoint 7 2 2 3 3 3" xfId="17592"/>
    <cellStyle name="Data Entry Cell - PerformancePoint 7 2 2 3 4" xfId="17593"/>
    <cellStyle name="Data Entry Cell - PerformancePoint 7 2 2 3 5" xfId="17594"/>
    <cellStyle name="Data Entry Cell - PerformancePoint 7 2 2 4" xfId="17595"/>
    <cellStyle name="Data Entry Cell - PerformancePoint 7 2 2 4 2" xfId="17596"/>
    <cellStyle name="Data Entry Cell - PerformancePoint 7 2 2 4 3" xfId="17597"/>
    <cellStyle name="Data Entry Cell - PerformancePoint 7 2 2 5" xfId="17598"/>
    <cellStyle name="Data Entry Cell - PerformancePoint 7 2 2 5 2" xfId="17599"/>
    <cellStyle name="Data Entry Cell - PerformancePoint 7 2 2 5 3" xfId="17600"/>
    <cellStyle name="Data Entry Cell - PerformancePoint 7 2 2 6" xfId="17601"/>
    <cellStyle name="Data Entry Cell - PerformancePoint 7 2 2 7" xfId="17602"/>
    <cellStyle name="Data Entry Cell - PerformancePoint 7 2 3" xfId="17603"/>
    <cellStyle name="Data Entry Cell - PerformancePoint 7 2 3 2" xfId="17604"/>
    <cellStyle name="Data Entry Cell - PerformancePoint 7 2 3 2 2" xfId="17605"/>
    <cellStyle name="Data Entry Cell - PerformancePoint 7 2 3 2 2 2" xfId="17606"/>
    <cellStyle name="Data Entry Cell - PerformancePoint 7 2 3 2 2 3" xfId="17607"/>
    <cellStyle name="Data Entry Cell - PerformancePoint 7 2 3 2 3" xfId="17608"/>
    <cellStyle name="Data Entry Cell - PerformancePoint 7 2 3 2 3 2" xfId="17609"/>
    <cellStyle name="Data Entry Cell - PerformancePoint 7 2 3 2 3 3" xfId="17610"/>
    <cellStyle name="Data Entry Cell - PerformancePoint 7 2 3 2 4" xfId="17611"/>
    <cellStyle name="Data Entry Cell - PerformancePoint 7 2 3 2 5" xfId="17612"/>
    <cellStyle name="Data Entry Cell - PerformancePoint 7 2 3 3" xfId="17613"/>
    <cellStyle name="Data Entry Cell - PerformancePoint 7 2 3 3 2" xfId="17614"/>
    <cellStyle name="Data Entry Cell - PerformancePoint 7 2 3 3 2 2" xfId="17615"/>
    <cellStyle name="Data Entry Cell - PerformancePoint 7 2 3 3 2 3" xfId="17616"/>
    <cellStyle name="Data Entry Cell - PerformancePoint 7 2 3 3 3" xfId="17617"/>
    <cellStyle name="Data Entry Cell - PerformancePoint 7 2 3 3 3 2" xfId="17618"/>
    <cellStyle name="Data Entry Cell - PerformancePoint 7 2 3 3 3 3" xfId="17619"/>
    <cellStyle name="Data Entry Cell - PerformancePoint 7 2 3 3 4" xfId="17620"/>
    <cellStyle name="Data Entry Cell - PerformancePoint 7 2 3 3 5" xfId="17621"/>
    <cellStyle name="Data Entry Cell - PerformancePoint 7 2 3 4" xfId="17622"/>
    <cellStyle name="Data Entry Cell - PerformancePoint 7 2 3 4 2" xfId="17623"/>
    <cellStyle name="Data Entry Cell - PerformancePoint 7 2 3 4 3" xfId="17624"/>
    <cellStyle name="Data Entry Cell - PerformancePoint 7 2 3 5" xfId="17625"/>
    <cellStyle name="Data Entry Cell - PerformancePoint 7 2 3 5 2" xfId="17626"/>
    <cellStyle name="Data Entry Cell - PerformancePoint 7 2 3 5 3" xfId="17627"/>
    <cellStyle name="Data Entry Cell - PerformancePoint 7 2 3 6" xfId="17628"/>
    <cellStyle name="Data Entry Cell - PerformancePoint 7 2 3 7" xfId="17629"/>
    <cellStyle name="Data Entry Cell - PerformancePoint 7 2 4" xfId="17630"/>
    <cellStyle name="Data Entry Cell - PerformancePoint 7 2 4 2" xfId="17631"/>
    <cellStyle name="Data Entry Cell - PerformancePoint 7 2 4 2 2" xfId="17632"/>
    <cellStyle name="Data Entry Cell - PerformancePoint 7 2 4 2 3" xfId="17633"/>
    <cellStyle name="Data Entry Cell - PerformancePoint 7 2 4 3" xfId="17634"/>
    <cellStyle name="Data Entry Cell - PerformancePoint 7 2 4 3 2" xfId="17635"/>
    <cellStyle name="Data Entry Cell - PerformancePoint 7 2 4 3 3" xfId="17636"/>
    <cellStyle name="Data Entry Cell - PerformancePoint 7 2 4 4" xfId="17637"/>
    <cellStyle name="Data Entry Cell - PerformancePoint 7 2 4 5" xfId="17638"/>
    <cellStyle name="Data Entry Cell - PerformancePoint 7 2 5" xfId="17639"/>
    <cellStyle name="Data Entry Cell - PerformancePoint 7 2 5 2" xfId="17640"/>
    <cellStyle name="Data Entry Cell - PerformancePoint 7 2 5 2 2" xfId="17641"/>
    <cellStyle name="Data Entry Cell - PerformancePoint 7 2 5 2 3" xfId="17642"/>
    <cellStyle name="Data Entry Cell - PerformancePoint 7 2 5 3" xfId="17643"/>
    <cellStyle name="Data Entry Cell - PerformancePoint 7 2 5 3 2" xfId="17644"/>
    <cellStyle name="Data Entry Cell - PerformancePoint 7 2 5 3 3" xfId="17645"/>
    <cellStyle name="Data Entry Cell - PerformancePoint 7 2 5 4" xfId="17646"/>
    <cellStyle name="Data Entry Cell - PerformancePoint 7 2 5 5" xfId="17647"/>
    <cellStyle name="Data Entry Cell - PerformancePoint 7 2 6" xfId="17648"/>
    <cellStyle name="Data Entry Cell - PerformancePoint 7 2 6 2" xfId="17649"/>
    <cellStyle name="Data Entry Cell - PerformancePoint 7 2 6 3" xfId="17650"/>
    <cellStyle name="Data Entry Cell - PerformancePoint 7 2 7" xfId="17651"/>
    <cellStyle name="Data Entry Cell - PerformancePoint 7 2 7 2" xfId="17652"/>
    <cellStyle name="Data Entry Cell - PerformancePoint 7 2 7 3" xfId="17653"/>
    <cellStyle name="Data Entry Cell - PerformancePoint 7 2 8" xfId="17654"/>
    <cellStyle name="Data Entry Cell - PerformancePoint 7 2 9" xfId="17655"/>
    <cellStyle name="Data Entry Cell - PerformancePoint 8" xfId="17656"/>
    <cellStyle name="Data Entry Cell - PerformancePoint 9" xfId="17657"/>
    <cellStyle name="Data Link" xfId="17658"/>
    <cellStyle name="DataReadOnly" xfId="17659"/>
    <cellStyle name="DATASTYLE" xfId="17660"/>
    <cellStyle name="Date" xfId="17661"/>
    <cellStyle name="Date [mmm-yy]" xfId="17662"/>
    <cellStyle name="Date 2" xfId="17663"/>
    <cellStyle name="Date 3" xfId="17664"/>
    <cellStyle name="Date Aligned" xfId="17665"/>
    <cellStyle name="Date Aligned*" xfId="17666"/>
    <cellStyle name="Date Short" xfId="17667"/>
    <cellStyle name="Date: d-mmm-yy" xfId="17668"/>
    <cellStyle name="Date: m/d/yy" xfId="17669"/>
    <cellStyle name="Date_01BudAdams" xfId="17670"/>
    <cellStyle name="Date1" xfId="17671"/>
    <cellStyle name="DateLong" xfId="17672"/>
    <cellStyle name="Decimal" xfId="17673"/>
    <cellStyle name="default" xfId="17674"/>
    <cellStyle name="Dezimal [0]_Compiling Utility Macros" xfId="17675"/>
    <cellStyle name="Dezimal_Compiling Utility Macros" xfId="17676"/>
    <cellStyle name="dollar" xfId="17677"/>
    <cellStyle name="Dollar[1]" xfId="17678"/>
    <cellStyle name="Dollar[2]" xfId="17679"/>
    <cellStyle name="Dollar_aug9mergera" xfId="17680"/>
    <cellStyle name="Dollar1" xfId="17681"/>
    <cellStyle name="Dollar1Blue" xfId="17682"/>
    <cellStyle name="Dollar2" xfId="17683"/>
    <cellStyle name="Dollars" xfId="17684"/>
    <cellStyle name="Dotted Line" xfId="17685"/>
    <cellStyle name="Double Accounting" xfId="17686"/>
    <cellStyle name="dp*Accent" xfId="17687"/>
    <cellStyle name="dp*ChartSubTitle" xfId="17688"/>
    <cellStyle name="dp*ChartTitle" xfId="17689"/>
    <cellStyle name="dp*ColumnHeading1" xfId="17690"/>
    <cellStyle name="dp*ColumnHeading2" xfId="17691"/>
    <cellStyle name="dp*ColumnHeadingDate" xfId="17692"/>
    <cellStyle name="dp*FiscalDate" xfId="17693"/>
    <cellStyle name="dp*Footnote" xfId="17694"/>
    <cellStyle name="dp*Information" xfId="17695"/>
    <cellStyle name="dp*LabelItalics" xfId="17696"/>
    <cellStyle name="dp*LabelItalicsLineAbove" xfId="17697"/>
    <cellStyle name="dp*LabelLine" xfId="17698"/>
    <cellStyle name="dp*Labels" xfId="17699"/>
    <cellStyle name="dp*Normal" xfId="17700"/>
    <cellStyle name="dp*NormalCurrency1Dec." xfId="17701"/>
    <cellStyle name="dp*NormalCurrency2Dec." xfId="17702"/>
    <cellStyle name="dp*Number%Italics" xfId="17703"/>
    <cellStyle name="dp*Number%ItalicsLineAbove" xfId="17704"/>
    <cellStyle name="dp*Number%ItalicsLineAbove 2" xfId="17705"/>
    <cellStyle name="dp*Number%ItalicsLineAbove 2 2" xfId="17706"/>
    <cellStyle name="dp*Number%ItalicsLineAbove 2 2 2" xfId="17707"/>
    <cellStyle name="dp*Number%ItalicsLineAbove 2 2 3" xfId="17708"/>
    <cellStyle name="dp*Number%ItalicsLineAbove 2 3" xfId="17709"/>
    <cellStyle name="dp*Number%ItalicsLineAbove 2 4" xfId="17710"/>
    <cellStyle name="dp*Number%ItalicsLineAbove 3" xfId="17711"/>
    <cellStyle name="dp*Number%ItalicsLineAbove 4" xfId="17712"/>
    <cellStyle name="dp*NumberCurrencyLine" xfId="17713"/>
    <cellStyle name="dp*NumberGeneral" xfId="17714"/>
    <cellStyle name="dp*NumberGeneral2Dec." xfId="17715"/>
    <cellStyle name="dp*NumberLine" xfId="17716"/>
    <cellStyle name="dp*NumberLineEPS" xfId="17717"/>
    <cellStyle name="dp*NumberSpecial" xfId="17718"/>
    <cellStyle name="dp*RatioX" xfId="17719"/>
    <cellStyle name="dp*SeriesName" xfId="17720"/>
    <cellStyle name="dp*SheetSubTitle" xfId="17721"/>
    <cellStyle name="dp*SheetTitle" xfId="17722"/>
    <cellStyle name="dp*SubTitle" xfId="17723"/>
    <cellStyle name="dp*ThickLineAbove" xfId="17724"/>
    <cellStyle name="dp*ThickLineBelow" xfId="17725"/>
    <cellStyle name="dp*ThinLineAbove" xfId="17726"/>
    <cellStyle name="dp*ThinLineAbove 2" xfId="17727"/>
    <cellStyle name="dp*ThinLineAbove 2 2" xfId="17728"/>
    <cellStyle name="dp*ThinLineAbove 2 2 2" xfId="17729"/>
    <cellStyle name="dp*ThinLineAbove 2 2 3" xfId="17730"/>
    <cellStyle name="dp*ThinLineAbove 2 3" xfId="17731"/>
    <cellStyle name="dp*ThinLineAbove 2 4" xfId="17732"/>
    <cellStyle name="dp*ThinLineAbove 3" xfId="17733"/>
    <cellStyle name="dp*ThinLineAbove 4" xfId="17734"/>
    <cellStyle name="dp*ThinLineBelow" xfId="17735"/>
    <cellStyle name="dp*XAxisTitle" xfId="17736"/>
    <cellStyle name="dp*Y2AxisTitle" xfId="17737"/>
    <cellStyle name="dp*YAxisTitle" xfId="17738"/>
    <cellStyle name="Enter Currency (0)" xfId="17739"/>
    <cellStyle name="Enter Currency (2)" xfId="17740"/>
    <cellStyle name="Enter Units (0)" xfId="17741"/>
    <cellStyle name="Enter Units (1)" xfId="17742"/>
    <cellStyle name="Enter Units (2)" xfId="17743"/>
    <cellStyle name="Entered" xfId="17744"/>
    <cellStyle name="eps" xfId="17745"/>
    <cellStyle name="eps$" xfId="17746"/>
    <cellStyle name="eps$A" xfId="17747"/>
    <cellStyle name="eps$E" xfId="17748"/>
    <cellStyle name="eps_AOL Model Master" xfId="17749"/>
    <cellStyle name="epsA" xfId="17750"/>
    <cellStyle name="epsE" xfId="17751"/>
    <cellStyle name="ERRORS" xfId="17752"/>
    <cellStyle name="ERRORS 2" xfId="17753"/>
    <cellStyle name="ERRORS 3" xfId="17754"/>
    <cellStyle name="ERRORS 4" xfId="17755"/>
    <cellStyle name="ERRORS 5" xfId="17756"/>
    <cellStyle name="ERRORS 6" xfId="17757"/>
    <cellStyle name="Euro" xfId="17758"/>
    <cellStyle name="Euro 10" xfId="17759"/>
    <cellStyle name="Euro 11" xfId="17760"/>
    <cellStyle name="Euro 12" xfId="17761"/>
    <cellStyle name="Euro 13" xfId="17762"/>
    <cellStyle name="Euro 14" xfId="17763"/>
    <cellStyle name="Euro 15" xfId="17764"/>
    <cellStyle name="Euro 16" xfId="17765"/>
    <cellStyle name="Euro 17" xfId="17766"/>
    <cellStyle name="Euro 18" xfId="17767"/>
    <cellStyle name="Euro 19" xfId="17768"/>
    <cellStyle name="Euro 2" xfId="17769"/>
    <cellStyle name="Euro 20" xfId="17770"/>
    <cellStyle name="Euro 21" xfId="17771"/>
    <cellStyle name="Euro 22" xfId="17772"/>
    <cellStyle name="Euro 23" xfId="17773"/>
    <cellStyle name="Euro 24" xfId="17774"/>
    <cellStyle name="Euro 25" xfId="17775"/>
    <cellStyle name="Euro 26" xfId="17776"/>
    <cellStyle name="Euro 3" xfId="17777"/>
    <cellStyle name="Euro 4" xfId="17778"/>
    <cellStyle name="Euro 5" xfId="17779"/>
    <cellStyle name="Euro 6" xfId="17780"/>
    <cellStyle name="Euro 7" xfId="17781"/>
    <cellStyle name="Euro 8" xfId="17782"/>
    <cellStyle name="Euro 9" xfId="17783"/>
    <cellStyle name="ExchangeRatio" xfId="17784"/>
    <cellStyle name="ExchangeRatio 2" xfId="17785"/>
    <cellStyle name="ExchangeRatio 2 2" xfId="17786"/>
    <cellStyle name="ExchangeRatio 2 3" xfId="17787"/>
    <cellStyle name="ExchangeRatio 2 4" xfId="17788"/>
    <cellStyle name="ExchangeRatio 3" xfId="17789"/>
    <cellStyle name="Explanatory Text" xfId="42823" builtinId="53" customBuiltin="1"/>
    <cellStyle name="Explanatory Text 10" xfId="17790"/>
    <cellStyle name="Explanatory Text 11" xfId="17791"/>
    <cellStyle name="Explanatory Text 2" xfId="17792"/>
    <cellStyle name="Explanatory Text 2 2" xfId="17793"/>
    <cellStyle name="Explanatory Text 2 3" xfId="17794"/>
    <cellStyle name="Explanatory Text 2 3 2" xfId="17795"/>
    <cellStyle name="Explanatory Text 2 4" xfId="17796"/>
    <cellStyle name="Explanatory Text 2 5" xfId="17797"/>
    <cellStyle name="Explanatory Text 2_Dashboard - Inventory Metrics Aug 2012" xfId="17798"/>
    <cellStyle name="Explanatory Text 3" xfId="17799"/>
    <cellStyle name="Explanatory Text 3 2" xfId="17800"/>
    <cellStyle name="Explanatory Text 4" xfId="17801"/>
    <cellStyle name="Explanatory Text 5" xfId="17802"/>
    <cellStyle name="Explanatory Text 6" xfId="17803"/>
    <cellStyle name="Explanatory Text 7" xfId="17804"/>
    <cellStyle name="Explanatory Text 8" xfId="17805"/>
    <cellStyle name="Explanatory Text 9" xfId="17806"/>
    <cellStyle name="F2" xfId="17807"/>
    <cellStyle name="F2 2" xfId="17808"/>
    <cellStyle name="F2 3" xfId="17809"/>
    <cellStyle name="F3" xfId="17810"/>
    <cellStyle name="F3 2" xfId="17811"/>
    <cellStyle name="F3 3" xfId="17812"/>
    <cellStyle name="F4" xfId="17813"/>
    <cellStyle name="F4 2" xfId="17814"/>
    <cellStyle name="F4 3" xfId="17815"/>
    <cellStyle name="F5" xfId="17816"/>
    <cellStyle name="F5 2" xfId="17817"/>
    <cellStyle name="F5 3" xfId="17818"/>
    <cellStyle name="F6" xfId="17819"/>
    <cellStyle name="F6 2" xfId="17820"/>
    <cellStyle name="F6 3" xfId="17821"/>
    <cellStyle name="F7" xfId="17822"/>
    <cellStyle name="F7 2" xfId="17823"/>
    <cellStyle name="F7 3" xfId="17824"/>
    <cellStyle name="F8" xfId="17825"/>
    <cellStyle name="F8 2" xfId="17826"/>
    <cellStyle name="F8 3" xfId="17827"/>
    <cellStyle name="factsheet" xfId="17828"/>
    <cellStyle name="Fixed" xfId="17829"/>
    <cellStyle name="Fixed 2" xfId="17830"/>
    <cellStyle name="Fixed 3" xfId="17831"/>
    <cellStyle name="Fixed0" xfId="17832"/>
    <cellStyle name="Fixed1" xfId="17833"/>
    <cellStyle name="Fixed1 2" xfId="17834"/>
    <cellStyle name="Fixed1 3" xfId="17835"/>
    <cellStyle name="Fixlong" xfId="17836"/>
    <cellStyle name="Footer SBILogo1" xfId="17837"/>
    <cellStyle name="Footer SBILogo2" xfId="17838"/>
    <cellStyle name="footnote" xfId="17839"/>
    <cellStyle name="Footnote Reference" xfId="17840"/>
    <cellStyle name="footnote_161375_22" xfId="17841"/>
    <cellStyle name="footnote2" xfId="17842"/>
    <cellStyle name="Footnotes" xfId="17843"/>
    <cellStyle name="fy_eps$" xfId="17844"/>
    <cellStyle name="g_rate" xfId="17845"/>
    <cellStyle name="g_rate 2" xfId="17846"/>
    <cellStyle name="g_rate 2 2" xfId="17847"/>
    <cellStyle name="g_rate 2 2 2" xfId="17848"/>
    <cellStyle name="g_rate 2 3" xfId="17849"/>
    <cellStyle name="g_rate 3" xfId="17850"/>
    <cellStyle name="g_rate 3 2" xfId="17851"/>
    <cellStyle name="g_rate 4" xfId="17852"/>
    <cellStyle name="g_rate_AOL_Model_Master" xfId="17853"/>
    <cellStyle name="g_rate_DCF-Valuation Support" xfId="17854"/>
    <cellStyle name="g_rate_DCF-Valuation Support 2" xfId="17855"/>
    <cellStyle name="g_rate_DCF-Valuation Support 2 2" xfId="17856"/>
    <cellStyle name="g_rate_DCF-Valuation Support 2 2 2" xfId="17857"/>
    <cellStyle name="g_rate_DCF-Valuation Support 2 3" xfId="17858"/>
    <cellStyle name="g_rate_DCF-Valuation Support 3" xfId="17859"/>
    <cellStyle name="g_rate_DCF-Valuation Support 3 2" xfId="17860"/>
    <cellStyle name="g_rate_DCF-Valuation Support 4" xfId="17861"/>
    <cellStyle name="g_rate_EarningsModel" xfId="17862"/>
    <cellStyle name="g_rate_ICOS-INC" xfId="17863"/>
    <cellStyle name="g_rate_ICOS-INC (2)" xfId="17864"/>
    <cellStyle name="g_rate_ICOS-INC (2) 2" xfId="17865"/>
    <cellStyle name="g_rate_ICOS-INC (2) 2 2" xfId="17866"/>
    <cellStyle name="g_rate_ICOS-INC (2) 2 2 2" xfId="17867"/>
    <cellStyle name="g_rate_ICOS-INC (2) 2 3" xfId="17868"/>
    <cellStyle name="g_rate_ICOS-INC (2) 3" xfId="17869"/>
    <cellStyle name="g_rate_ICOS-INC (2) 3 2" xfId="17870"/>
    <cellStyle name="g_rate_ICOS-INC (2) 4" xfId="17871"/>
    <cellStyle name="g_rate_ICOS-INC 10" xfId="17872"/>
    <cellStyle name="g_rate_ICOS-INC 11" xfId="17873"/>
    <cellStyle name="g_rate_ICOS-INC 12" xfId="17874"/>
    <cellStyle name="g_rate_ICOS-INC 13" xfId="17875"/>
    <cellStyle name="g_rate_ICOS-INC 2" xfId="17876"/>
    <cellStyle name="g_rate_ICOS-INC 2 2" xfId="17877"/>
    <cellStyle name="g_rate_ICOS-INC 2 2 2" xfId="17878"/>
    <cellStyle name="g_rate_ICOS-INC 2 3" xfId="17879"/>
    <cellStyle name="g_rate_ICOS-INC 3" xfId="17880"/>
    <cellStyle name="g_rate_ICOS-INC 3 2" xfId="17881"/>
    <cellStyle name="g_rate_ICOS-INC 3 2 2" xfId="17882"/>
    <cellStyle name="g_rate_ICOS-INC 3 3" xfId="17883"/>
    <cellStyle name="g_rate_ICOS-INC 4" xfId="17884"/>
    <cellStyle name="g_rate_ICOS-INC 4 2" xfId="17885"/>
    <cellStyle name="g_rate_ICOS-INC 5" xfId="17886"/>
    <cellStyle name="g_rate_ICOS-INC 6" xfId="17887"/>
    <cellStyle name="g_rate_ICOS-INC 7" xfId="17888"/>
    <cellStyle name="g_rate_ICOS-INC 8" xfId="17889"/>
    <cellStyle name="g_rate_ICOS-INC 9" xfId="17890"/>
    <cellStyle name="g_rate_Internal ACDO-TWP 12-6-01" xfId="17891"/>
    <cellStyle name="g_rate_Merger Model16.xls Chart 1" xfId="17892"/>
    <cellStyle name="g_rate_Merger Model16.xls Chart 1 2" xfId="17893"/>
    <cellStyle name="g_rate_Merger Model16.xls Chart 1 2 2" xfId="17894"/>
    <cellStyle name="g_rate_Merger Model16.xls Chart 1 2 2 2" xfId="17895"/>
    <cellStyle name="g_rate_Merger Model16.xls Chart 1 2 3" xfId="17896"/>
    <cellStyle name="g_rate_Merger Model16.xls Chart 1 3" xfId="17897"/>
    <cellStyle name="g_rate_Merger Model16.xls Chart 1 3 2" xfId="17898"/>
    <cellStyle name="g_rate_Merger Model16.xls Chart 1 4" xfId="17899"/>
    <cellStyle name="g_rate_Merger Model34b" xfId="17900"/>
    <cellStyle name="g_rate_Merger Model34b 2" xfId="17901"/>
    <cellStyle name="g_rate_Merger Model34b 2 2" xfId="17902"/>
    <cellStyle name="g_rate_Merger Model34b 2 2 2" xfId="17903"/>
    <cellStyle name="g_rate_Merger Model34b 2 3" xfId="17904"/>
    <cellStyle name="g_rate_Merger Model34b 3" xfId="17905"/>
    <cellStyle name="g_rate_Merger Model34b 3 2" xfId="17906"/>
    <cellStyle name="g_rate_Merger Model34b 4" xfId="17907"/>
    <cellStyle name="General" xfId="17908"/>
    <cellStyle name="Good" xfId="42814" builtinId="26" customBuiltin="1"/>
    <cellStyle name="Good 2" xfId="17909"/>
    <cellStyle name="Good 2 2" xfId="17910"/>
    <cellStyle name="Good 2 3" xfId="17911"/>
    <cellStyle name="Good 2 4" xfId="17912"/>
    <cellStyle name="Good 2 5" xfId="17913"/>
    <cellStyle name="Good 3" xfId="17914"/>
    <cellStyle name="Good 3 2" xfId="17915"/>
    <cellStyle name="Good 3 3" xfId="43044"/>
    <cellStyle name="Good 4" xfId="17916"/>
    <cellStyle name="Good 5" xfId="17917"/>
    <cellStyle name="grayText2" xfId="17918"/>
    <cellStyle name="grayText2Big" xfId="17919"/>
    <cellStyle name="green" xfId="17920"/>
    <cellStyle name="Grey" xfId="17921"/>
    <cellStyle name="Grey 2" xfId="43045"/>
    <cellStyle name="Grey 3" xfId="43046"/>
    <cellStyle name="Grey Heading" xfId="17922"/>
    <cellStyle name="hard no" xfId="17923"/>
    <cellStyle name="hard no 2" xfId="17924"/>
    <cellStyle name="hard no 2 2" xfId="17925"/>
    <cellStyle name="hard no 2 3" xfId="17926"/>
    <cellStyle name="hard no 2 4" xfId="17927"/>
    <cellStyle name="hard no 2 5" xfId="17928"/>
    <cellStyle name="hard no 2 6" xfId="17929"/>
    <cellStyle name="hard no 3" xfId="17930"/>
    <cellStyle name="hard no 3 2" xfId="17931"/>
    <cellStyle name="hard no 3 3" xfId="17932"/>
    <cellStyle name="hard no 3 4" xfId="17933"/>
    <cellStyle name="hard no 3 5" xfId="17934"/>
    <cellStyle name="hard no 3 6" xfId="17935"/>
    <cellStyle name="hard no." xfId="17936"/>
    <cellStyle name="hard no. 2" xfId="17937"/>
    <cellStyle name="hard no. 2 2" xfId="17938"/>
    <cellStyle name="hard no. 2 3" xfId="17939"/>
    <cellStyle name="hard no. 2 4" xfId="17940"/>
    <cellStyle name="hard no. 3" xfId="17941"/>
    <cellStyle name="Hard Percent" xfId="17942"/>
    <cellStyle name="hardno" xfId="17943"/>
    <cellStyle name="HEADER" xfId="17944"/>
    <cellStyle name="Header Draft Stamp" xfId="17945"/>
    <cellStyle name="Header_161375_22" xfId="17946"/>
    <cellStyle name="Header1" xfId="17947"/>
    <cellStyle name="Header1 2" xfId="17948"/>
    <cellStyle name="Header1 3" xfId="17949"/>
    <cellStyle name="Header1 4" xfId="17950"/>
    <cellStyle name="Header1 5" xfId="17951"/>
    <cellStyle name="Header1 6" xfId="17952"/>
    <cellStyle name="Header2" xfId="17953"/>
    <cellStyle name="Header2 10" xfId="42895"/>
    <cellStyle name="Header2 2" xfId="17954"/>
    <cellStyle name="Header2 2 2" xfId="17955"/>
    <cellStyle name="Header2 2 2 2" xfId="17956"/>
    <cellStyle name="Header2 2 2 2 2" xfId="17957"/>
    <cellStyle name="Header2 2 2 2 2 2" xfId="17958"/>
    <cellStyle name="Header2 2 2 2 2 2 2" xfId="17959"/>
    <cellStyle name="Header2 2 2 2 2 2 3" xfId="17960"/>
    <cellStyle name="Header2 2 2 2 2 3" xfId="17961"/>
    <cellStyle name="Header2 2 2 2 2 4" xfId="17962"/>
    <cellStyle name="Header2 2 2 3" xfId="17963"/>
    <cellStyle name="Header2 2 2 3 2" xfId="17964"/>
    <cellStyle name="Header2 2 2 3 2 2" xfId="17965"/>
    <cellStyle name="Header2 2 2 3 2 2 2" xfId="17966"/>
    <cellStyle name="Header2 2 2 3 2 2 3" xfId="17967"/>
    <cellStyle name="Header2 2 2 3 2 3" xfId="17968"/>
    <cellStyle name="Header2 2 2 3 2 4" xfId="17969"/>
    <cellStyle name="Header2 2 2 4" xfId="17970"/>
    <cellStyle name="Header2 2 2 4 2" xfId="17971"/>
    <cellStyle name="Header2 2 2 4 2 2" xfId="17972"/>
    <cellStyle name="Header2 2 2 4 2 2 2" xfId="17973"/>
    <cellStyle name="Header2 2 2 4 2 2 3" xfId="17974"/>
    <cellStyle name="Header2 2 2 4 2 3" xfId="17975"/>
    <cellStyle name="Header2 2 2 4 2 4" xfId="17976"/>
    <cellStyle name="Header2 2 2 5" xfId="17977"/>
    <cellStyle name="Header2 2 2 5 2" xfId="17978"/>
    <cellStyle name="Header2 2 2 5 2 2" xfId="17979"/>
    <cellStyle name="Header2 2 2 5 2 2 2" xfId="17980"/>
    <cellStyle name="Header2 2 2 5 2 2 3" xfId="17981"/>
    <cellStyle name="Header2 2 2 5 2 3" xfId="17982"/>
    <cellStyle name="Header2 2 2 5 2 4" xfId="17983"/>
    <cellStyle name="Header2 2 2 6" xfId="17984"/>
    <cellStyle name="Header2 2 2 6 2" xfId="17985"/>
    <cellStyle name="Header2 2 2 6 2 2" xfId="17986"/>
    <cellStyle name="Header2 2 2 6 2 2 2" xfId="17987"/>
    <cellStyle name="Header2 2 2 6 2 2 3" xfId="17988"/>
    <cellStyle name="Header2 2 2 6 2 3" xfId="17989"/>
    <cellStyle name="Header2 2 2 6 2 4" xfId="17990"/>
    <cellStyle name="Header2 2 2 7" xfId="17991"/>
    <cellStyle name="Header2 2 2 7 2" xfId="17992"/>
    <cellStyle name="Header2 2 2 7 2 2" xfId="17993"/>
    <cellStyle name="Header2 2 2 7 2 2 2" xfId="17994"/>
    <cellStyle name="Header2 2 2 7 2 2 3" xfId="17995"/>
    <cellStyle name="Header2 2 2 7 2 3" xfId="17996"/>
    <cellStyle name="Header2 2 2 7 2 4" xfId="17997"/>
    <cellStyle name="Header2 2 2 8" xfId="17998"/>
    <cellStyle name="Header2 2 2 8 2" xfId="17999"/>
    <cellStyle name="Header2 2 2 8 2 2" xfId="18000"/>
    <cellStyle name="Header2 2 2 8 2 2 2" xfId="18001"/>
    <cellStyle name="Header2 2 2 8 2 2 3" xfId="18002"/>
    <cellStyle name="Header2 2 2 8 2 3" xfId="18003"/>
    <cellStyle name="Header2 2 2 8 2 4" xfId="18004"/>
    <cellStyle name="Header2 2 2 9" xfId="18005"/>
    <cellStyle name="Header2 2 2 9 2" xfId="18006"/>
    <cellStyle name="Header2 2 2 9 2 2" xfId="18007"/>
    <cellStyle name="Header2 2 2 9 2 3" xfId="18008"/>
    <cellStyle name="Header2 2 2 9 3" xfId="18009"/>
    <cellStyle name="Header2 2 2 9 4" xfId="18010"/>
    <cellStyle name="Header2 2 3" xfId="18011"/>
    <cellStyle name="Header2 2 3 2" xfId="18012"/>
    <cellStyle name="Header2 2 3 2 2" xfId="18013"/>
    <cellStyle name="Header2 2 3 2 2 2" xfId="18014"/>
    <cellStyle name="Header2 2 3 2 2 3" xfId="18015"/>
    <cellStyle name="Header2 2 3 2 3" xfId="18016"/>
    <cellStyle name="Header2 2 3 2 4" xfId="18017"/>
    <cellStyle name="Header2 2 4" xfId="18018"/>
    <cellStyle name="Header2 2 4 2" xfId="18019"/>
    <cellStyle name="Header2 2 4 2 2" xfId="18020"/>
    <cellStyle name="Header2 2 4 2 2 2" xfId="18021"/>
    <cellStyle name="Header2 2 4 2 2 3" xfId="18022"/>
    <cellStyle name="Header2 2 4 2 3" xfId="18023"/>
    <cellStyle name="Header2 2 4 2 4" xfId="18024"/>
    <cellStyle name="Header2 2 5" xfId="18025"/>
    <cellStyle name="Header2 2 5 2" xfId="18026"/>
    <cellStyle name="Header2 2 5 2 2" xfId="18027"/>
    <cellStyle name="Header2 2 5 2 2 2" xfId="18028"/>
    <cellStyle name="Header2 2 5 2 2 3" xfId="18029"/>
    <cellStyle name="Header2 2 5 2 3" xfId="18030"/>
    <cellStyle name="Header2 2 5 2 4" xfId="18031"/>
    <cellStyle name="Header2 2 6" xfId="18032"/>
    <cellStyle name="Header2 2 6 2" xfId="18033"/>
    <cellStyle name="Header2 2 6 2 2" xfId="18034"/>
    <cellStyle name="Header2 2 6 2 2 2" xfId="18035"/>
    <cellStyle name="Header2 2 6 2 2 3" xfId="18036"/>
    <cellStyle name="Header2 2 6 2 3" xfId="18037"/>
    <cellStyle name="Header2 2 6 2 4" xfId="18038"/>
    <cellStyle name="Header2 2 7" xfId="18039"/>
    <cellStyle name="Header2 2 7 2" xfId="18040"/>
    <cellStyle name="Header2 2 7 2 2" xfId="18041"/>
    <cellStyle name="Header2 2 7 2 2 2" xfId="18042"/>
    <cellStyle name="Header2 2 7 2 2 3" xfId="18043"/>
    <cellStyle name="Header2 2 7 2 3" xfId="18044"/>
    <cellStyle name="Header2 2 7 2 4" xfId="18045"/>
    <cellStyle name="Header2 2 8" xfId="18046"/>
    <cellStyle name="Header2 2 8 2" xfId="18047"/>
    <cellStyle name="Header2 2 8 2 2" xfId="18048"/>
    <cellStyle name="Header2 2 8 2 2 2" xfId="18049"/>
    <cellStyle name="Header2 2 8 2 2 3" xfId="18050"/>
    <cellStyle name="Header2 2 8 2 3" xfId="18051"/>
    <cellStyle name="Header2 2 8 2 4" xfId="18052"/>
    <cellStyle name="Header2 2 9" xfId="18053"/>
    <cellStyle name="Header2 2 9 2" xfId="18054"/>
    <cellStyle name="Header2 2 9 2 2" xfId="18055"/>
    <cellStyle name="Header2 2 9 2 3" xfId="18056"/>
    <cellStyle name="Header2 2 9 3" xfId="18057"/>
    <cellStyle name="Header2 2 9 4" xfId="18058"/>
    <cellStyle name="Header2 3" xfId="18059"/>
    <cellStyle name="Header2 3 2" xfId="18060"/>
    <cellStyle name="Header2 3 2 2" xfId="18061"/>
    <cellStyle name="Header2 3 2 2 2" xfId="18062"/>
    <cellStyle name="Header2 3 2 2 2 2" xfId="18063"/>
    <cellStyle name="Header2 3 2 2 2 3" xfId="18064"/>
    <cellStyle name="Header2 3 2 2 3" xfId="18065"/>
    <cellStyle name="Header2 3 2 2 4" xfId="18066"/>
    <cellStyle name="Header2 3 3" xfId="18067"/>
    <cellStyle name="Header2 3 3 2" xfId="18068"/>
    <cellStyle name="Header2 3 3 2 2" xfId="18069"/>
    <cellStyle name="Header2 3 3 2 2 2" xfId="18070"/>
    <cellStyle name="Header2 3 3 2 2 3" xfId="18071"/>
    <cellStyle name="Header2 3 3 2 3" xfId="18072"/>
    <cellStyle name="Header2 3 3 2 4" xfId="18073"/>
    <cellStyle name="Header2 3 4" xfId="18074"/>
    <cellStyle name="Header2 3 4 2" xfId="18075"/>
    <cellStyle name="Header2 3 4 2 2" xfId="18076"/>
    <cellStyle name="Header2 3 4 2 2 2" xfId="18077"/>
    <cellStyle name="Header2 3 4 2 2 3" xfId="18078"/>
    <cellStyle name="Header2 3 4 2 3" xfId="18079"/>
    <cellStyle name="Header2 3 4 2 4" xfId="18080"/>
    <cellStyle name="Header2 3 5" xfId="18081"/>
    <cellStyle name="Header2 3 5 2" xfId="18082"/>
    <cellStyle name="Header2 3 5 2 2" xfId="18083"/>
    <cellStyle name="Header2 3 5 2 2 2" xfId="18084"/>
    <cellStyle name="Header2 3 5 2 2 3" xfId="18085"/>
    <cellStyle name="Header2 3 5 2 3" xfId="18086"/>
    <cellStyle name="Header2 3 5 2 4" xfId="18087"/>
    <cellStyle name="Header2 3 6" xfId="18088"/>
    <cellStyle name="Header2 3 6 2" xfId="18089"/>
    <cellStyle name="Header2 3 6 2 2" xfId="18090"/>
    <cellStyle name="Header2 3 6 2 2 2" xfId="18091"/>
    <cellStyle name="Header2 3 6 2 2 3" xfId="18092"/>
    <cellStyle name="Header2 3 6 2 3" xfId="18093"/>
    <cellStyle name="Header2 3 6 2 4" xfId="18094"/>
    <cellStyle name="Header2 3 7" xfId="18095"/>
    <cellStyle name="Header2 3 7 2" xfId="18096"/>
    <cellStyle name="Header2 3 7 2 2" xfId="18097"/>
    <cellStyle name="Header2 3 7 2 2 2" xfId="18098"/>
    <cellStyle name="Header2 3 7 2 2 3" xfId="18099"/>
    <cellStyle name="Header2 3 7 2 3" xfId="18100"/>
    <cellStyle name="Header2 3 7 2 4" xfId="18101"/>
    <cellStyle name="Header2 3 8" xfId="18102"/>
    <cellStyle name="Header2 3 8 2" xfId="18103"/>
    <cellStyle name="Header2 3 8 2 2" xfId="18104"/>
    <cellStyle name="Header2 3 8 2 2 2" xfId="18105"/>
    <cellStyle name="Header2 3 8 2 2 3" xfId="18106"/>
    <cellStyle name="Header2 3 8 2 3" xfId="18107"/>
    <cellStyle name="Header2 3 8 2 4" xfId="18108"/>
    <cellStyle name="Header2 3 9" xfId="18109"/>
    <cellStyle name="Header2 3 9 2" xfId="18110"/>
    <cellStyle name="Header2 3 9 2 2" xfId="18111"/>
    <cellStyle name="Header2 3 9 2 3" xfId="18112"/>
    <cellStyle name="Header2 3 9 3" xfId="18113"/>
    <cellStyle name="Header2 3 9 4" xfId="18114"/>
    <cellStyle name="Header2 4" xfId="18115"/>
    <cellStyle name="Header2 4 2" xfId="18116"/>
    <cellStyle name="Header2 4 2 2" xfId="18117"/>
    <cellStyle name="Header2 4 2 2 2" xfId="18118"/>
    <cellStyle name="Header2 4 2 2 3" xfId="18119"/>
    <cellStyle name="Header2 4 2 3" xfId="18120"/>
    <cellStyle name="Header2 4 2 4" xfId="18121"/>
    <cellStyle name="Header2 4 3" xfId="18122"/>
    <cellStyle name="Header2 5" xfId="18123"/>
    <cellStyle name="Header2 5 2" xfId="18124"/>
    <cellStyle name="Header2 5 2 2" xfId="18125"/>
    <cellStyle name="Header2 5 2 2 2" xfId="18126"/>
    <cellStyle name="Header2 5 2 2 3" xfId="18127"/>
    <cellStyle name="Header2 5 2 3" xfId="18128"/>
    <cellStyle name="Header2 5 2 4" xfId="18129"/>
    <cellStyle name="Header2 5 3" xfId="18130"/>
    <cellStyle name="Header2 6" xfId="18131"/>
    <cellStyle name="Header2 6 2" xfId="18132"/>
    <cellStyle name="Header2 6 2 2" xfId="18133"/>
    <cellStyle name="Header2 6 2 2 2" xfId="18134"/>
    <cellStyle name="Header2 6 2 2 3" xfId="18135"/>
    <cellStyle name="Header2 6 2 3" xfId="18136"/>
    <cellStyle name="Header2 6 2 4" xfId="18137"/>
    <cellStyle name="Header2 6 3" xfId="18138"/>
    <cellStyle name="Header2 7" xfId="18139"/>
    <cellStyle name="Header2 7 2" xfId="18140"/>
    <cellStyle name="Header2 7 2 2" xfId="18141"/>
    <cellStyle name="Header2 7 2 3" xfId="18142"/>
    <cellStyle name="Header2 7 3" xfId="18143"/>
    <cellStyle name="Header2 7 4" xfId="18144"/>
    <cellStyle name="Header2 8" xfId="18145"/>
    <cellStyle name="Header2 9" xfId="42865"/>
    <cellStyle name="headers" xfId="18146"/>
    <cellStyle name="heading" xfId="18147"/>
    <cellStyle name="Heading 1" xfId="42810" builtinId="16" customBuiltin="1"/>
    <cellStyle name="Heading 1 2" xfId="18148"/>
    <cellStyle name="Heading 1 2 2" xfId="18149"/>
    <cellStyle name="Heading 1 2 3" xfId="18150"/>
    <cellStyle name="Heading 1 2 4" xfId="18151"/>
    <cellStyle name="Heading 1 2 5" xfId="18152"/>
    <cellStyle name="Heading 1 3" xfId="18153"/>
    <cellStyle name="Heading 1 3 2" xfId="18154"/>
    <cellStyle name="Heading 1 3 3" xfId="43047"/>
    <cellStyle name="Heading 1 4" xfId="18155"/>
    <cellStyle name="Heading 1 5" xfId="18156"/>
    <cellStyle name="Heading 1 Above" xfId="18157"/>
    <cellStyle name="Heading 1+" xfId="18158"/>
    <cellStyle name="Heading 2" xfId="42811" builtinId="17" customBuiltin="1"/>
    <cellStyle name="Heading 2 2" xfId="18159"/>
    <cellStyle name="Heading 2 2 2" xfId="18160"/>
    <cellStyle name="Heading 2 2 3" xfId="18161"/>
    <cellStyle name="Heading 2 2 4" xfId="18162"/>
    <cellStyle name="Heading 2 2 5" xfId="18163"/>
    <cellStyle name="Heading 2 3" xfId="18164"/>
    <cellStyle name="Heading 2 3 2" xfId="18165"/>
    <cellStyle name="Heading 2 3 3" xfId="43048"/>
    <cellStyle name="Heading 2 4" xfId="18166"/>
    <cellStyle name="Heading 2 5" xfId="18167"/>
    <cellStyle name="Heading 2 Below" xfId="18168"/>
    <cellStyle name="Heading 2+" xfId="18169"/>
    <cellStyle name="Heading 3" xfId="42812" builtinId="18" customBuiltin="1"/>
    <cellStyle name="Heading 3 2" xfId="18170"/>
    <cellStyle name="Heading 3 2 2" xfId="18171"/>
    <cellStyle name="Heading 3 2 3" xfId="18172"/>
    <cellStyle name="Heading 3 2 4" xfId="18173"/>
    <cellStyle name="Heading 3 2 5" xfId="18174"/>
    <cellStyle name="Heading 3 3" xfId="18175"/>
    <cellStyle name="Heading 3 3 2" xfId="18176"/>
    <cellStyle name="Heading 3 3 3" xfId="43050"/>
    <cellStyle name="Heading 3 4" xfId="18177"/>
    <cellStyle name="Heading 3 5" xfId="18178"/>
    <cellStyle name="Heading 3+" xfId="18179"/>
    <cellStyle name="Heading 4" xfId="42813" builtinId="19" customBuiltin="1"/>
    <cellStyle name="Heading 4 2" xfId="18180"/>
    <cellStyle name="Heading 4 2 2" xfId="18181"/>
    <cellStyle name="Heading 4 2 3" xfId="18182"/>
    <cellStyle name="Heading 4 2 4" xfId="18183"/>
    <cellStyle name="Heading 4 2 5" xfId="18184"/>
    <cellStyle name="Heading 4 3" xfId="18185"/>
    <cellStyle name="Heading 4 3 2" xfId="18186"/>
    <cellStyle name="Heading 4 3 3" xfId="43051"/>
    <cellStyle name="Heading 4 4" xfId="18187"/>
    <cellStyle name="Heading 4 5" xfId="18188"/>
    <cellStyle name="Heading Left" xfId="18189"/>
    <cellStyle name="Heading No Underline" xfId="18190"/>
    <cellStyle name="Heading Right" xfId="18191"/>
    <cellStyle name="Heading SS" xfId="18192"/>
    <cellStyle name="Heading With Underline" xfId="18193"/>
    <cellStyle name="Heading1" xfId="18194"/>
    <cellStyle name="Heading1 2" xfId="18195"/>
    <cellStyle name="Heading1 3" xfId="18196"/>
    <cellStyle name="Heading2" xfId="18197"/>
    <cellStyle name="Heading2 2" xfId="18198"/>
    <cellStyle name="Heading2 3" xfId="18199"/>
    <cellStyle name="HeadingS" xfId="18200"/>
    <cellStyle name="Hide" xfId="18201"/>
    <cellStyle name="HIGHLIGHT" xfId="18202"/>
    <cellStyle name="HIGHLIGHT 2" xfId="18203"/>
    <cellStyle name="HIGHLIGHT 2 10" xfId="18204"/>
    <cellStyle name="HIGHLIGHT 2 11" xfId="18205"/>
    <cellStyle name="HIGHLIGHT 2 12" xfId="18206"/>
    <cellStyle name="HIGHLIGHT 2 2" xfId="18207"/>
    <cellStyle name="HIGHLIGHT 2 2 2" xfId="18208"/>
    <cellStyle name="HIGHLIGHT 2 2 2 2" xfId="18209"/>
    <cellStyle name="HIGHLIGHT 2 2 2 3" xfId="18210"/>
    <cellStyle name="HIGHLIGHT 2 2 2 4" xfId="18211"/>
    <cellStyle name="HIGHLIGHT 2 2 2 5" xfId="18212"/>
    <cellStyle name="HIGHLIGHT 2 2 2 6" xfId="18213"/>
    <cellStyle name="HIGHLIGHT 2 2 2 7" xfId="18214"/>
    <cellStyle name="HIGHLIGHT 2 2 3" xfId="18215"/>
    <cellStyle name="HIGHLIGHT 2 2 3 2" xfId="18216"/>
    <cellStyle name="HIGHLIGHT 2 2 3 3" xfId="18217"/>
    <cellStyle name="HIGHLIGHT 2 2 3 4" xfId="18218"/>
    <cellStyle name="HIGHLIGHT 2 2 3 5" xfId="18219"/>
    <cellStyle name="HIGHLIGHT 2 2 3 6" xfId="18220"/>
    <cellStyle name="HIGHLIGHT 2 2 3 7" xfId="18221"/>
    <cellStyle name="HIGHLIGHT 2 2 4" xfId="18222"/>
    <cellStyle name="HIGHLIGHT 2 2 5" xfId="18223"/>
    <cellStyle name="HIGHLIGHT 2 2 6" xfId="18224"/>
    <cellStyle name="HIGHLIGHT 2 2 7" xfId="18225"/>
    <cellStyle name="HIGHLIGHT 2 2 8" xfId="18226"/>
    <cellStyle name="HIGHLIGHT 2 2 9" xfId="18227"/>
    <cellStyle name="HIGHLIGHT 2 3" xfId="18228"/>
    <cellStyle name="HIGHLIGHT 2 3 2" xfId="18229"/>
    <cellStyle name="HIGHLIGHT 2 3 2 2" xfId="18230"/>
    <cellStyle name="HIGHLIGHT 2 3 2 3" xfId="18231"/>
    <cellStyle name="HIGHLIGHT 2 3 2 4" xfId="18232"/>
    <cellStyle name="HIGHLIGHT 2 3 2 5" xfId="18233"/>
    <cellStyle name="HIGHLIGHT 2 3 2 6" xfId="18234"/>
    <cellStyle name="HIGHLIGHT 2 3 2 7" xfId="18235"/>
    <cellStyle name="HIGHLIGHT 2 3 3" xfId="18236"/>
    <cellStyle name="HIGHLIGHT 2 3 3 2" xfId="18237"/>
    <cellStyle name="HIGHLIGHT 2 3 3 3" xfId="18238"/>
    <cellStyle name="HIGHLIGHT 2 3 3 4" xfId="18239"/>
    <cellStyle name="HIGHLIGHT 2 3 3 5" xfId="18240"/>
    <cellStyle name="HIGHLIGHT 2 3 3 6" xfId="18241"/>
    <cellStyle name="HIGHLIGHT 2 3 3 7" xfId="18242"/>
    <cellStyle name="HIGHLIGHT 2 3 4" xfId="18243"/>
    <cellStyle name="HIGHLIGHT 2 3 5" xfId="18244"/>
    <cellStyle name="HIGHLIGHT 2 3 6" xfId="18245"/>
    <cellStyle name="HIGHLIGHT 2 3 7" xfId="18246"/>
    <cellStyle name="HIGHLIGHT 2 3 8" xfId="18247"/>
    <cellStyle name="HIGHLIGHT 2 3 9" xfId="18248"/>
    <cellStyle name="HIGHLIGHT 2 4" xfId="18249"/>
    <cellStyle name="HIGHLIGHT 2 4 2" xfId="18250"/>
    <cellStyle name="HIGHLIGHT 2 4 2 2" xfId="18251"/>
    <cellStyle name="HIGHLIGHT 2 4 2 3" xfId="18252"/>
    <cellStyle name="HIGHLIGHT 2 4 2 4" xfId="18253"/>
    <cellStyle name="HIGHLIGHT 2 4 2 5" xfId="18254"/>
    <cellStyle name="HIGHLIGHT 2 4 2 6" xfId="18255"/>
    <cellStyle name="HIGHLIGHT 2 4 2 7" xfId="18256"/>
    <cellStyle name="HIGHLIGHT 2 4 3" xfId="18257"/>
    <cellStyle name="HIGHLIGHT 2 4 3 2" xfId="18258"/>
    <cellStyle name="HIGHLIGHT 2 4 3 3" xfId="18259"/>
    <cellStyle name="HIGHLIGHT 2 4 3 4" xfId="18260"/>
    <cellStyle name="HIGHLIGHT 2 4 3 5" xfId="18261"/>
    <cellStyle name="HIGHLIGHT 2 4 3 6" xfId="18262"/>
    <cellStyle name="HIGHLIGHT 2 4 3 7" xfId="18263"/>
    <cellStyle name="HIGHLIGHT 2 4 4" xfId="18264"/>
    <cellStyle name="HIGHLIGHT 2 4 5" xfId="18265"/>
    <cellStyle name="HIGHLIGHT 2 4 6" xfId="18266"/>
    <cellStyle name="HIGHLIGHT 2 4 7" xfId="18267"/>
    <cellStyle name="HIGHLIGHT 2 4 8" xfId="18268"/>
    <cellStyle name="HIGHLIGHT 2 4 9" xfId="18269"/>
    <cellStyle name="HIGHLIGHT 2 5" xfId="18270"/>
    <cellStyle name="HIGHLIGHT 2 5 2" xfId="18271"/>
    <cellStyle name="HIGHLIGHT 2 5 3" xfId="18272"/>
    <cellStyle name="HIGHLIGHT 2 5 4" xfId="18273"/>
    <cellStyle name="HIGHLIGHT 2 5 5" xfId="18274"/>
    <cellStyle name="HIGHLIGHT 2 5 6" xfId="18275"/>
    <cellStyle name="HIGHLIGHT 2 5 7" xfId="18276"/>
    <cellStyle name="HIGHLIGHT 2 6" xfId="18277"/>
    <cellStyle name="HIGHLIGHT 2 6 2" xfId="18278"/>
    <cellStyle name="HIGHLIGHT 2 6 3" xfId="18279"/>
    <cellStyle name="HIGHLIGHT 2 6 4" xfId="18280"/>
    <cellStyle name="HIGHLIGHT 2 6 5" xfId="18281"/>
    <cellStyle name="HIGHLIGHT 2 6 6" xfId="18282"/>
    <cellStyle name="HIGHLIGHT 2 6 7" xfId="18283"/>
    <cellStyle name="HIGHLIGHT 2 7" xfId="18284"/>
    <cellStyle name="HIGHLIGHT 2 8" xfId="18285"/>
    <cellStyle name="HIGHLIGHT 2 9" xfId="18286"/>
    <cellStyle name="HIGHLIGHT 3" xfId="18287"/>
    <cellStyle name="HIGHLIGHT 3 10" xfId="18288"/>
    <cellStyle name="HIGHLIGHT 3 11" xfId="18289"/>
    <cellStyle name="HIGHLIGHT 3 12" xfId="18290"/>
    <cellStyle name="HIGHLIGHT 3 2" xfId="18291"/>
    <cellStyle name="HIGHLIGHT 3 2 2" xfId="18292"/>
    <cellStyle name="HIGHLIGHT 3 2 2 2" xfId="18293"/>
    <cellStyle name="HIGHLIGHT 3 2 2 3" xfId="18294"/>
    <cellStyle name="HIGHLIGHT 3 2 2 4" xfId="18295"/>
    <cellStyle name="HIGHLIGHT 3 2 2 5" xfId="18296"/>
    <cellStyle name="HIGHLIGHT 3 2 2 6" xfId="18297"/>
    <cellStyle name="HIGHLIGHT 3 2 2 7" xfId="18298"/>
    <cellStyle name="HIGHLIGHT 3 2 3" xfId="18299"/>
    <cellStyle name="HIGHLIGHT 3 2 3 2" xfId="18300"/>
    <cellStyle name="HIGHLIGHT 3 2 3 3" xfId="18301"/>
    <cellStyle name="HIGHLIGHT 3 2 3 4" xfId="18302"/>
    <cellStyle name="HIGHLIGHT 3 2 3 5" xfId="18303"/>
    <cellStyle name="HIGHLIGHT 3 2 3 6" xfId="18304"/>
    <cellStyle name="HIGHLIGHT 3 2 3 7" xfId="18305"/>
    <cellStyle name="HIGHLIGHT 3 2 4" xfId="18306"/>
    <cellStyle name="HIGHLIGHT 3 2 5" xfId="18307"/>
    <cellStyle name="HIGHLIGHT 3 2 6" xfId="18308"/>
    <cellStyle name="HIGHLIGHT 3 2 7" xfId="18309"/>
    <cellStyle name="HIGHLIGHT 3 2 8" xfId="18310"/>
    <cellStyle name="HIGHLIGHT 3 2 9" xfId="18311"/>
    <cellStyle name="HIGHLIGHT 3 3" xfId="18312"/>
    <cellStyle name="HIGHLIGHT 3 3 2" xfId="18313"/>
    <cellStyle name="HIGHLIGHT 3 3 2 2" xfId="18314"/>
    <cellStyle name="HIGHLIGHT 3 3 2 3" xfId="18315"/>
    <cellStyle name="HIGHLIGHT 3 3 2 4" xfId="18316"/>
    <cellStyle name="HIGHLIGHT 3 3 2 5" xfId="18317"/>
    <cellStyle name="HIGHLIGHT 3 3 2 6" xfId="18318"/>
    <cellStyle name="HIGHLIGHT 3 3 2 7" xfId="18319"/>
    <cellStyle name="HIGHLIGHT 3 3 3" xfId="18320"/>
    <cellStyle name="HIGHLIGHT 3 3 3 2" xfId="18321"/>
    <cellStyle name="HIGHLIGHT 3 3 3 3" xfId="18322"/>
    <cellStyle name="HIGHLIGHT 3 3 3 4" xfId="18323"/>
    <cellStyle name="HIGHLIGHT 3 3 3 5" xfId="18324"/>
    <cellStyle name="HIGHLIGHT 3 3 3 6" xfId="18325"/>
    <cellStyle name="HIGHLIGHT 3 3 3 7" xfId="18326"/>
    <cellStyle name="HIGHLIGHT 3 3 4" xfId="18327"/>
    <cellStyle name="HIGHLIGHT 3 3 5" xfId="18328"/>
    <cellStyle name="HIGHLIGHT 3 3 6" xfId="18329"/>
    <cellStyle name="HIGHLIGHT 3 3 7" xfId="18330"/>
    <cellStyle name="HIGHLIGHT 3 3 8" xfId="18331"/>
    <cellStyle name="HIGHLIGHT 3 3 9" xfId="18332"/>
    <cellStyle name="HIGHLIGHT 3 4" xfId="18333"/>
    <cellStyle name="HIGHLIGHT 3 4 2" xfId="18334"/>
    <cellStyle name="HIGHLIGHT 3 4 2 2" xfId="18335"/>
    <cellStyle name="HIGHLIGHT 3 4 2 3" xfId="18336"/>
    <cellStyle name="HIGHLIGHT 3 4 2 4" xfId="18337"/>
    <cellStyle name="HIGHLIGHT 3 4 2 5" xfId="18338"/>
    <cellStyle name="HIGHLIGHT 3 4 2 6" xfId="18339"/>
    <cellStyle name="HIGHLIGHT 3 4 2 7" xfId="18340"/>
    <cellStyle name="HIGHLIGHT 3 4 3" xfId="18341"/>
    <cellStyle name="HIGHLIGHT 3 4 3 2" xfId="18342"/>
    <cellStyle name="HIGHLIGHT 3 4 3 3" xfId="18343"/>
    <cellStyle name="HIGHLIGHT 3 4 3 4" xfId="18344"/>
    <cellStyle name="HIGHLIGHT 3 4 3 5" xfId="18345"/>
    <cellStyle name="HIGHLIGHT 3 4 3 6" xfId="18346"/>
    <cellStyle name="HIGHLIGHT 3 4 3 7" xfId="18347"/>
    <cellStyle name="HIGHLIGHT 3 4 4" xfId="18348"/>
    <cellStyle name="HIGHLIGHT 3 4 5" xfId="18349"/>
    <cellStyle name="HIGHLIGHT 3 4 6" xfId="18350"/>
    <cellStyle name="HIGHLIGHT 3 4 7" xfId="18351"/>
    <cellStyle name="HIGHLIGHT 3 4 8" xfId="18352"/>
    <cellStyle name="HIGHLIGHT 3 4 9" xfId="18353"/>
    <cellStyle name="HIGHLIGHT 3 5" xfId="18354"/>
    <cellStyle name="HIGHLIGHT 3 5 2" xfId="18355"/>
    <cellStyle name="HIGHLIGHT 3 5 3" xfId="18356"/>
    <cellStyle name="HIGHLIGHT 3 5 4" xfId="18357"/>
    <cellStyle name="HIGHLIGHT 3 5 5" xfId="18358"/>
    <cellStyle name="HIGHLIGHT 3 5 6" xfId="18359"/>
    <cellStyle name="HIGHLIGHT 3 5 7" xfId="18360"/>
    <cellStyle name="HIGHLIGHT 3 6" xfId="18361"/>
    <cellStyle name="HIGHLIGHT 3 6 2" xfId="18362"/>
    <cellStyle name="HIGHLIGHT 3 6 3" xfId="18363"/>
    <cellStyle name="HIGHLIGHT 3 6 4" xfId="18364"/>
    <cellStyle name="HIGHLIGHT 3 6 5" xfId="18365"/>
    <cellStyle name="HIGHLIGHT 3 6 6" xfId="18366"/>
    <cellStyle name="HIGHLIGHT 3 6 7" xfId="18367"/>
    <cellStyle name="HIGHLIGHT 3 7" xfId="18368"/>
    <cellStyle name="HIGHLIGHT 3 8" xfId="18369"/>
    <cellStyle name="HIGHLIGHT 3 9" xfId="18370"/>
    <cellStyle name="HIGHLIGHT 4" xfId="18371"/>
    <cellStyle name="HIGHLIGHT 5" xfId="18372"/>
    <cellStyle name="Hyperlink 2" xfId="18373"/>
    <cellStyle name="Hyperlink 2 2" xfId="18374"/>
    <cellStyle name="Hyperlink 2 3" xfId="18375"/>
    <cellStyle name="Hyperlink 2 4" xfId="18376"/>
    <cellStyle name="IDD" xfId="18377"/>
    <cellStyle name="Input" xfId="42817" builtinId="20" customBuiltin="1"/>
    <cellStyle name="Input [yellow]" xfId="18378"/>
    <cellStyle name="Input [yellow] 2" xfId="18379"/>
    <cellStyle name="Input [yellow] 2 2" xfId="18380"/>
    <cellStyle name="Input [yellow] 2 3" xfId="18381"/>
    <cellStyle name="Input [yellow] 2 4" xfId="18382"/>
    <cellStyle name="Input [yellow] 2 5" xfId="18383"/>
    <cellStyle name="Input [yellow] 2 6" xfId="18384"/>
    <cellStyle name="Input [yellow] 2 7" xfId="43054"/>
    <cellStyle name="Input [yellow] 3" xfId="18385"/>
    <cellStyle name="Input [yellow] 3 2" xfId="18386"/>
    <cellStyle name="Input [yellow] 3 3" xfId="18387"/>
    <cellStyle name="Input [yellow] 3 4" xfId="18388"/>
    <cellStyle name="Input [yellow] 3 5" xfId="18389"/>
    <cellStyle name="Input [yellow] 3 6" xfId="18390"/>
    <cellStyle name="Input [yellow] 3 7" xfId="43055"/>
    <cellStyle name="Input [yellow] 4" xfId="42866"/>
    <cellStyle name="Input 10" xfId="18391"/>
    <cellStyle name="Input 10 10" xfId="43056"/>
    <cellStyle name="Input 10 2" xfId="18392"/>
    <cellStyle name="Input 10 2 2" xfId="18393"/>
    <cellStyle name="Input 10 2 2 2" xfId="18394"/>
    <cellStyle name="Input 10 2 2 2 2" xfId="18395"/>
    <cellStyle name="Input 10 2 2 2 2 2" xfId="18396"/>
    <cellStyle name="Input 10 2 2 2 2 2 2" xfId="18397"/>
    <cellStyle name="Input 10 2 2 2 2 2 3" xfId="18398"/>
    <cellStyle name="Input 10 2 2 2 2 3" xfId="18399"/>
    <cellStyle name="Input 10 2 2 2 2 4" xfId="18400"/>
    <cellStyle name="Input 10 2 2 3" xfId="18401"/>
    <cellStyle name="Input 10 2 2 3 2" xfId="18402"/>
    <cellStyle name="Input 10 2 2 3 2 2" xfId="18403"/>
    <cellStyle name="Input 10 2 2 3 2 2 2" xfId="18404"/>
    <cellStyle name="Input 10 2 2 3 2 2 3" xfId="18405"/>
    <cellStyle name="Input 10 2 2 3 2 3" xfId="18406"/>
    <cellStyle name="Input 10 2 2 3 2 4" xfId="18407"/>
    <cellStyle name="Input 10 2 2 4" xfId="18408"/>
    <cellStyle name="Input 10 2 2 4 2" xfId="18409"/>
    <cellStyle name="Input 10 2 2 4 2 2" xfId="18410"/>
    <cellStyle name="Input 10 2 2 4 2 2 2" xfId="18411"/>
    <cellStyle name="Input 10 2 2 4 2 2 3" xfId="18412"/>
    <cellStyle name="Input 10 2 2 4 2 3" xfId="18413"/>
    <cellStyle name="Input 10 2 2 4 2 4" xfId="18414"/>
    <cellStyle name="Input 10 2 2 5" xfId="18415"/>
    <cellStyle name="Input 10 2 2 5 2" xfId="18416"/>
    <cellStyle name="Input 10 2 2 5 2 2" xfId="18417"/>
    <cellStyle name="Input 10 2 2 5 2 2 2" xfId="18418"/>
    <cellStyle name="Input 10 2 2 5 2 2 3" xfId="18419"/>
    <cellStyle name="Input 10 2 2 5 2 3" xfId="18420"/>
    <cellStyle name="Input 10 2 2 5 2 4" xfId="18421"/>
    <cellStyle name="Input 10 2 2 6" xfId="18422"/>
    <cellStyle name="Input 10 2 2 6 2" xfId="18423"/>
    <cellStyle name="Input 10 2 2 6 2 2" xfId="18424"/>
    <cellStyle name="Input 10 2 2 6 2 2 2" xfId="18425"/>
    <cellStyle name="Input 10 2 2 6 2 2 3" xfId="18426"/>
    <cellStyle name="Input 10 2 2 6 2 3" xfId="18427"/>
    <cellStyle name="Input 10 2 2 6 2 4" xfId="18428"/>
    <cellStyle name="Input 10 2 2 7" xfId="18429"/>
    <cellStyle name="Input 10 2 2 7 2" xfId="18430"/>
    <cellStyle name="Input 10 2 2 7 2 2" xfId="18431"/>
    <cellStyle name="Input 10 2 2 7 2 2 2" xfId="18432"/>
    <cellStyle name="Input 10 2 2 7 2 2 3" xfId="18433"/>
    <cellStyle name="Input 10 2 2 7 2 3" xfId="18434"/>
    <cellStyle name="Input 10 2 2 7 2 4" xfId="18435"/>
    <cellStyle name="Input 10 2 2 8" xfId="18436"/>
    <cellStyle name="Input 10 2 2 8 2" xfId="18437"/>
    <cellStyle name="Input 10 2 2 8 2 2" xfId="18438"/>
    <cellStyle name="Input 10 2 2 8 2 2 2" xfId="18439"/>
    <cellStyle name="Input 10 2 2 8 2 2 3" xfId="18440"/>
    <cellStyle name="Input 10 2 2 8 2 3" xfId="18441"/>
    <cellStyle name="Input 10 2 2 8 2 4" xfId="18442"/>
    <cellStyle name="Input 10 2 2 9" xfId="18443"/>
    <cellStyle name="Input 10 2 2 9 2" xfId="18444"/>
    <cellStyle name="Input 10 2 2 9 2 2" xfId="18445"/>
    <cellStyle name="Input 10 2 2 9 2 3" xfId="18446"/>
    <cellStyle name="Input 10 2 2 9 3" xfId="18447"/>
    <cellStyle name="Input 10 2 2 9 4" xfId="18448"/>
    <cellStyle name="Input 10 2 3" xfId="18449"/>
    <cellStyle name="Input 10 2 3 2" xfId="18450"/>
    <cellStyle name="Input 10 2 3 2 2" xfId="18451"/>
    <cellStyle name="Input 10 2 3 2 2 2" xfId="18452"/>
    <cellStyle name="Input 10 2 3 2 2 2 2" xfId="18453"/>
    <cellStyle name="Input 10 2 3 2 2 2 3" xfId="18454"/>
    <cellStyle name="Input 10 2 3 2 2 3" xfId="18455"/>
    <cellStyle name="Input 10 2 3 2 2 4" xfId="18456"/>
    <cellStyle name="Input 10 2 3 3" xfId="18457"/>
    <cellStyle name="Input 10 2 3 3 2" xfId="18458"/>
    <cellStyle name="Input 10 2 3 3 2 2" xfId="18459"/>
    <cellStyle name="Input 10 2 3 3 2 2 2" xfId="18460"/>
    <cellStyle name="Input 10 2 3 3 2 2 3" xfId="18461"/>
    <cellStyle name="Input 10 2 3 3 2 3" xfId="18462"/>
    <cellStyle name="Input 10 2 3 3 2 4" xfId="18463"/>
    <cellStyle name="Input 10 2 3 4" xfId="18464"/>
    <cellStyle name="Input 10 2 3 4 2" xfId="18465"/>
    <cellStyle name="Input 10 2 3 4 2 2" xfId="18466"/>
    <cellStyle name="Input 10 2 3 4 2 2 2" xfId="18467"/>
    <cellStyle name="Input 10 2 3 4 2 2 3" xfId="18468"/>
    <cellStyle name="Input 10 2 3 4 2 3" xfId="18469"/>
    <cellStyle name="Input 10 2 3 4 2 4" xfId="18470"/>
    <cellStyle name="Input 10 2 3 5" xfId="18471"/>
    <cellStyle name="Input 10 2 3 5 2" xfId="18472"/>
    <cellStyle name="Input 10 2 3 5 2 2" xfId="18473"/>
    <cellStyle name="Input 10 2 3 5 2 2 2" xfId="18474"/>
    <cellStyle name="Input 10 2 3 5 2 2 3" xfId="18475"/>
    <cellStyle name="Input 10 2 3 5 2 3" xfId="18476"/>
    <cellStyle name="Input 10 2 3 5 2 4" xfId="18477"/>
    <cellStyle name="Input 10 2 3 6" xfId="18478"/>
    <cellStyle name="Input 10 2 3 6 2" xfId="18479"/>
    <cellStyle name="Input 10 2 3 6 2 2" xfId="18480"/>
    <cellStyle name="Input 10 2 3 6 2 2 2" xfId="18481"/>
    <cellStyle name="Input 10 2 3 6 2 2 3" xfId="18482"/>
    <cellStyle name="Input 10 2 3 6 2 3" xfId="18483"/>
    <cellStyle name="Input 10 2 3 6 2 4" xfId="18484"/>
    <cellStyle name="Input 10 2 3 7" xfId="18485"/>
    <cellStyle name="Input 10 2 3 7 2" xfId="18486"/>
    <cellStyle name="Input 10 2 3 7 2 2" xfId="18487"/>
    <cellStyle name="Input 10 2 3 7 2 2 2" xfId="18488"/>
    <cellStyle name="Input 10 2 3 7 2 2 3" xfId="18489"/>
    <cellStyle name="Input 10 2 3 7 2 3" xfId="18490"/>
    <cellStyle name="Input 10 2 3 7 2 4" xfId="18491"/>
    <cellStyle name="Input 10 2 3 8" xfId="18492"/>
    <cellStyle name="Input 10 2 3 8 2" xfId="18493"/>
    <cellStyle name="Input 10 2 3 8 2 2" xfId="18494"/>
    <cellStyle name="Input 10 2 3 8 2 2 2" xfId="18495"/>
    <cellStyle name="Input 10 2 3 8 2 2 3" xfId="18496"/>
    <cellStyle name="Input 10 2 3 8 2 3" xfId="18497"/>
    <cellStyle name="Input 10 2 3 8 2 4" xfId="18498"/>
    <cellStyle name="Input 10 2 3 9" xfId="18499"/>
    <cellStyle name="Input 10 2 3 9 2" xfId="18500"/>
    <cellStyle name="Input 10 2 3 9 2 2" xfId="18501"/>
    <cellStyle name="Input 10 2 3 9 2 3" xfId="18502"/>
    <cellStyle name="Input 10 2 3 9 3" xfId="18503"/>
    <cellStyle name="Input 10 2 3 9 4" xfId="18504"/>
    <cellStyle name="Input 10 2 4" xfId="18505"/>
    <cellStyle name="Input 10 2 4 2" xfId="18506"/>
    <cellStyle name="Input 10 2 4 2 2" xfId="18507"/>
    <cellStyle name="Input 10 2 4 2 2 2" xfId="18508"/>
    <cellStyle name="Input 10 2 4 2 2 2 2" xfId="18509"/>
    <cellStyle name="Input 10 2 4 2 2 2 3" xfId="18510"/>
    <cellStyle name="Input 10 2 4 2 2 3" xfId="18511"/>
    <cellStyle name="Input 10 2 4 2 2 4" xfId="18512"/>
    <cellStyle name="Input 10 2 4 3" xfId="18513"/>
    <cellStyle name="Input 10 2 4 3 2" xfId="18514"/>
    <cellStyle name="Input 10 2 4 3 2 2" xfId="18515"/>
    <cellStyle name="Input 10 2 4 3 2 2 2" xfId="18516"/>
    <cellStyle name="Input 10 2 4 3 2 2 3" xfId="18517"/>
    <cellStyle name="Input 10 2 4 3 2 3" xfId="18518"/>
    <cellStyle name="Input 10 2 4 3 2 4" xfId="18519"/>
    <cellStyle name="Input 10 2 4 4" xfId="18520"/>
    <cellStyle name="Input 10 2 4 4 2" xfId="18521"/>
    <cellStyle name="Input 10 2 4 4 2 2" xfId="18522"/>
    <cellStyle name="Input 10 2 4 4 2 2 2" xfId="18523"/>
    <cellStyle name="Input 10 2 4 4 2 2 3" xfId="18524"/>
    <cellStyle name="Input 10 2 4 4 2 3" xfId="18525"/>
    <cellStyle name="Input 10 2 4 4 2 4" xfId="18526"/>
    <cellStyle name="Input 10 2 4 5" xfId="18527"/>
    <cellStyle name="Input 10 2 4 5 2" xfId="18528"/>
    <cellStyle name="Input 10 2 4 5 2 2" xfId="18529"/>
    <cellStyle name="Input 10 2 4 5 2 2 2" xfId="18530"/>
    <cellStyle name="Input 10 2 4 5 2 2 3" xfId="18531"/>
    <cellStyle name="Input 10 2 4 5 2 3" xfId="18532"/>
    <cellStyle name="Input 10 2 4 5 2 4" xfId="18533"/>
    <cellStyle name="Input 10 2 4 6" xfId="18534"/>
    <cellStyle name="Input 10 2 4 6 2" xfId="18535"/>
    <cellStyle name="Input 10 2 4 6 2 2" xfId="18536"/>
    <cellStyle name="Input 10 2 4 6 2 2 2" xfId="18537"/>
    <cellStyle name="Input 10 2 4 6 2 2 3" xfId="18538"/>
    <cellStyle name="Input 10 2 4 6 2 3" xfId="18539"/>
    <cellStyle name="Input 10 2 4 6 2 4" xfId="18540"/>
    <cellStyle name="Input 10 2 4 7" xfId="18541"/>
    <cellStyle name="Input 10 2 4 7 2" xfId="18542"/>
    <cellStyle name="Input 10 2 4 7 2 2" xfId="18543"/>
    <cellStyle name="Input 10 2 4 7 2 2 2" xfId="18544"/>
    <cellStyle name="Input 10 2 4 7 2 2 3" xfId="18545"/>
    <cellStyle name="Input 10 2 4 7 2 3" xfId="18546"/>
    <cellStyle name="Input 10 2 4 7 2 4" xfId="18547"/>
    <cellStyle name="Input 10 2 4 8" xfId="18548"/>
    <cellStyle name="Input 10 2 4 8 2" xfId="18549"/>
    <cellStyle name="Input 10 2 4 8 2 2" xfId="18550"/>
    <cellStyle name="Input 10 2 4 8 2 2 2" xfId="18551"/>
    <cellStyle name="Input 10 2 4 8 2 2 3" xfId="18552"/>
    <cellStyle name="Input 10 2 4 8 2 3" xfId="18553"/>
    <cellStyle name="Input 10 2 4 8 2 4" xfId="18554"/>
    <cellStyle name="Input 10 2 4 9" xfId="18555"/>
    <cellStyle name="Input 10 2 4 9 2" xfId="18556"/>
    <cellStyle name="Input 10 2 4 9 2 2" xfId="18557"/>
    <cellStyle name="Input 10 2 4 9 2 3" xfId="18558"/>
    <cellStyle name="Input 10 2 4 9 3" xfId="18559"/>
    <cellStyle name="Input 10 2 4 9 4" xfId="18560"/>
    <cellStyle name="Input 10 2 5" xfId="18561"/>
    <cellStyle name="Input 10 2 5 2" xfId="18562"/>
    <cellStyle name="Input 10 2 5 2 2" xfId="18563"/>
    <cellStyle name="Input 10 2 5 2 2 2" xfId="18564"/>
    <cellStyle name="Input 10 2 5 2 2 2 2" xfId="18565"/>
    <cellStyle name="Input 10 2 5 2 2 2 3" xfId="18566"/>
    <cellStyle name="Input 10 2 5 2 2 3" xfId="18567"/>
    <cellStyle name="Input 10 2 5 2 2 4" xfId="18568"/>
    <cellStyle name="Input 10 2 5 3" xfId="18569"/>
    <cellStyle name="Input 10 2 5 3 2" xfId="18570"/>
    <cellStyle name="Input 10 2 5 3 2 2" xfId="18571"/>
    <cellStyle name="Input 10 2 5 3 2 2 2" xfId="18572"/>
    <cellStyle name="Input 10 2 5 3 2 2 3" xfId="18573"/>
    <cellStyle name="Input 10 2 5 3 2 3" xfId="18574"/>
    <cellStyle name="Input 10 2 5 3 2 4" xfId="18575"/>
    <cellStyle name="Input 10 2 5 4" xfId="18576"/>
    <cellStyle name="Input 10 2 5 4 2" xfId="18577"/>
    <cellStyle name="Input 10 2 5 4 2 2" xfId="18578"/>
    <cellStyle name="Input 10 2 5 4 2 2 2" xfId="18579"/>
    <cellStyle name="Input 10 2 5 4 2 2 3" xfId="18580"/>
    <cellStyle name="Input 10 2 5 4 2 3" xfId="18581"/>
    <cellStyle name="Input 10 2 5 4 2 4" xfId="18582"/>
    <cellStyle name="Input 10 2 5 5" xfId="18583"/>
    <cellStyle name="Input 10 2 5 5 2" xfId="18584"/>
    <cellStyle name="Input 10 2 5 5 2 2" xfId="18585"/>
    <cellStyle name="Input 10 2 5 5 2 2 2" xfId="18586"/>
    <cellStyle name="Input 10 2 5 5 2 2 3" xfId="18587"/>
    <cellStyle name="Input 10 2 5 5 2 3" xfId="18588"/>
    <cellStyle name="Input 10 2 5 5 2 4" xfId="18589"/>
    <cellStyle name="Input 10 2 5 6" xfId="18590"/>
    <cellStyle name="Input 10 2 5 6 2" xfId="18591"/>
    <cellStyle name="Input 10 2 5 6 2 2" xfId="18592"/>
    <cellStyle name="Input 10 2 5 6 2 2 2" xfId="18593"/>
    <cellStyle name="Input 10 2 5 6 2 2 3" xfId="18594"/>
    <cellStyle name="Input 10 2 5 6 2 3" xfId="18595"/>
    <cellStyle name="Input 10 2 5 6 2 4" xfId="18596"/>
    <cellStyle name="Input 10 2 5 7" xfId="18597"/>
    <cellStyle name="Input 10 2 5 7 2" xfId="18598"/>
    <cellStyle name="Input 10 2 5 7 2 2" xfId="18599"/>
    <cellStyle name="Input 10 2 5 7 2 2 2" xfId="18600"/>
    <cellStyle name="Input 10 2 5 7 2 2 3" xfId="18601"/>
    <cellStyle name="Input 10 2 5 7 2 3" xfId="18602"/>
    <cellStyle name="Input 10 2 5 7 2 4" xfId="18603"/>
    <cellStyle name="Input 10 2 5 8" xfId="18604"/>
    <cellStyle name="Input 10 2 5 8 2" xfId="18605"/>
    <cellStyle name="Input 10 2 5 8 2 2" xfId="18606"/>
    <cellStyle name="Input 10 2 5 8 2 2 2" xfId="18607"/>
    <cellStyle name="Input 10 2 5 8 2 2 3" xfId="18608"/>
    <cellStyle name="Input 10 2 5 8 2 3" xfId="18609"/>
    <cellStyle name="Input 10 2 5 8 2 4" xfId="18610"/>
    <cellStyle name="Input 10 2 5 9" xfId="18611"/>
    <cellStyle name="Input 10 2 5 9 2" xfId="18612"/>
    <cellStyle name="Input 10 2 5 9 2 2" xfId="18613"/>
    <cellStyle name="Input 10 2 5 9 2 3" xfId="18614"/>
    <cellStyle name="Input 10 2 5 9 3" xfId="18615"/>
    <cellStyle name="Input 10 2 5 9 4" xfId="18616"/>
    <cellStyle name="Input 10 2 6" xfId="18617"/>
    <cellStyle name="Input 10 2 6 2" xfId="18618"/>
    <cellStyle name="Input 10 2 6 2 2" xfId="18619"/>
    <cellStyle name="Input 10 2 6 2 2 2" xfId="18620"/>
    <cellStyle name="Input 10 2 6 2 2 3" xfId="18621"/>
    <cellStyle name="Input 10 2 6 2 3" xfId="18622"/>
    <cellStyle name="Input 10 2 6 2 4" xfId="18623"/>
    <cellStyle name="Input 10 2 7" xfId="18624"/>
    <cellStyle name="Input 10 2 7 2" xfId="18625"/>
    <cellStyle name="Input 10 2 7 2 2" xfId="18626"/>
    <cellStyle name="Input 10 2 7 2 2 2" xfId="18627"/>
    <cellStyle name="Input 10 2 7 2 2 3" xfId="18628"/>
    <cellStyle name="Input 10 2 7 2 3" xfId="18629"/>
    <cellStyle name="Input 10 2 7 2 4" xfId="18630"/>
    <cellStyle name="Input 10 2 8" xfId="18631"/>
    <cellStyle name="Input 10 2 8 2" xfId="18632"/>
    <cellStyle name="Input 10 2 8 2 2" xfId="18633"/>
    <cellStyle name="Input 10 2 8 2 3" xfId="18634"/>
    <cellStyle name="Input 10 2 8 3" xfId="18635"/>
    <cellStyle name="Input 10 2 8 4" xfId="18636"/>
    <cellStyle name="Input 10 3" xfId="18637"/>
    <cellStyle name="Input 10 3 2" xfId="18638"/>
    <cellStyle name="Input 10 3 2 2" xfId="18639"/>
    <cellStyle name="Input 10 3 2 2 2" xfId="18640"/>
    <cellStyle name="Input 10 3 2 2 2 2" xfId="18641"/>
    <cellStyle name="Input 10 3 2 2 2 3" xfId="18642"/>
    <cellStyle name="Input 10 3 2 2 3" xfId="18643"/>
    <cellStyle name="Input 10 3 2 2 4" xfId="18644"/>
    <cellStyle name="Input 10 3 3" xfId="18645"/>
    <cellStyle name="Input 10 3 3 2" xfId="18646"/>
    <cellStyle name="Input 10 3 3 2 2" xfId="18647"/>
    <cellStyle name="Input 10 3 3 2 2 2" xfId="18648"/>
    <cellStyle name="Input 10 3 3 2 2 3" xfId="18649"/>
    <cellStyle name="Input 10 3 3 2 3" xfId="18650"/>
    <cellStyle name="Input 10 3 3 2 4" xfId="18651"/>
    <cellStyle name="Input 10 3 4" xfId="18652"/>
    <cellStyle name="Input 10 3 4 2" xfId="18653"/>
    <cellStyle name="Input 10 3 4 2 2" xfId="18654"/>
    <cellStyle name="Input 10 3 4 2 2 2" xfId="18655"/>
    <cellStyle name="Input 10 3 4 2 2 3" xfId="18656"/>
    <cellStyle name="Input 10 3 4 2 3" xfId="18657"/>
    <cellStyle name="Input 10 3 4 2 4" xfId="18658"/>
    <cellStyle name="Input 10 3 5" xfId="18659"/>
    <cellStyle name="Input 10 3 5 2" xfId="18660"/>
    <cellStyle name="Input 10 3 5 2 2" xfId="18661"/>
    <cellStyle name="Input 10 3 5 2 2 2" xfId="18662"/>
    <cellStyle name="Input 10 3 5 2 2 3" xfId="18663"/>
    <cellStyle name="Input 10 3 5 2 3" xfId="18664"/>
    <cellStyle name="Input 10 3 5 2 4" xfId="18665"/>
    <cellStyle name="Input 10 3 6" xfId="18666"/>
    <cellStyle name="Input 10 3 6 2" xfId="18667"/>
    <cellStyle name="Input 10 3 6 2 2" xfId="18668"/>
    <cellStyle name="Input 10 3 6 2 2 2" xfId="18669"/>
    <cellStyle name="Input 10 3 6 2 2 3" xfId="18670"/>
    <cellStyle name="Input 10 3 6 2 3" xfId="18671"/>
    <cellStyle name="Input 10 3 6 2 4" xfId="18672"/>
    <cellStyle name="Input 10 3 7" xfId="18673"/>
    <cellStyle name="Input 10 3 7 2" xfId="18674"/>
    <cellStyle name="Input 10 3 7 2 2" xfId="18675"/>
    <cellStyle name="Input 10 3 7 2 2 2" xfId="18676"/>
    <cellStyle name="Input 10 3 7 2 2 3" xfId="18677"/>
    <cellStyle name="Input 10 3 7 2 3" xfId="18678"/>
    <cellStyle name="Input 10 3 7 2 4" xfId="18679"/>
    <cellStyle name="Input 10 3 8" xfId="18680"/>
    <cellStyle name="Input 10 3 8 2" xfId="18681"/>
    <cellStyle name="Input 10 3 8 2 2" xfId="18682"/>
    <cellStyle name="Input 10 3 8 2 2 2" xfId="18683"/>
    <cellStyle name="Input 10 3 8 2 2 3" xfId="18684"/>
    <cellStyle name="Input 10 3 8 2 3" xfId="18685"/>
    <cellStyle name="Input 10 3 8 2 4" xfId="18686"/>
    <cellStyle name="Input 10 3 9" xfId="18687"/>
    <cellStyle name="Input 10 3 9 2" xfId="18688"/>
    <cellStyle name="Input 10 3 9 2 2" xfId="18689"/>
    <cellStyle name="Input 10 3 9 2 3" xfId="18690"/>
    <cellStyle name="Input 10 3 9 3" xfId="18691"/>
    <cellStyle name="Input 10 3 9 4" xfId="18692"/>
    <cellStyle name="Input 10 4" xfId="18693"/>
    <cellStyle name="Input 10 4 2" xfId="18694"/>
    <cellStyle name="Input 10 4 2 2" xfId="18695"/>
    <cellStyle name="Input 10 4 2 2 2" xfId="18696"/>
    <cellStyle name="Input 10 4 2 2 2 2" xfId="18697"/>
    <cellStyle name="Input 10 4 2 2 2 3" xfId="18698"/>
    <cellStyle name="Input 10 4 2 2 3" xfId="18699"/>
    <cellStyle name="Input 10 4 2 2 4" xfId="18700"/>
    <cellStyle name="Input 10 4 3" xfId="18701"/>
    <cellStyle name="Input 10 4 3 2" xfId="18702"/>
    <cellStyle name="Input 10 4 3 2 2" xfId="18703"/>
    <cellStyle name="Input 10 4 3 2 2 2" xfId="18704"/>
    <cellStyle name="Input 10 4 3 2 2 3" xfId="18705"/>
    <cellStyle name="Input 10 4 3 2 3" xfId="18706"/>
    <cellStyle name="Input 10 4 3 2 4" xfId="18707"/>
    <cellStyle name="Input 10 4 4" xfId="18708"/>
    <cellStyle name="Input 10 4 4 2" xfId="18709"/>
    <cellStyle name="Input 10 4 4 2 2" xfId="18710"/>
    <cellStyle name="Input 10 4 4 2 2 2" xfId="18711"/>
    <cellStyle name="Input 10 4 4 2 2 3" xfId="18712"/>
    <cellStyle name="Input 10 4 4 2 3" xfId="18713"/>
    <cellStyle name="Input 10 4 4 2 4" xfId="18714"/>
    <cellStyle name="Input 10 4 5" xfId="18715"/>
    <cellStyle name="Input 10 4 5 2" xfId="18716"/>
    <cellStyle name="Input 10 4 5 2 2" xfId="18717"/>
    <cellStyle name="Input 10 4 5 2 2 2" xfId="18718"/>
    <cellStyle name="Input 10 4 5 2 2 3" xfId="18719"/>
    <cellStyle name="Input 10 4 5 2 3" xfId="18720"/>
    <cellStyle name="Input 10 4 5 2 4" xfId="18721"/>
    <cellStyle name="Input 10 4 6" xfId="18722"/>
    <cellStyle name="Input 10 4 6 2" xfId="18723"/>
    <cellStyle name="Input 10 4 6 2 2" xfId="18724"/>
    <cellStyle name="Input 10 4 6 2 2 2" xfId="18725"/>
    <cellStyle name="Input 10 4 6 2 2 3" xfId="18726"/>
    <cellStyle name="Input 10 4 6 2 3" xfId="18727"/>
    <cellStyle name="Input 10 4 6 2 4" xfId="18728"/>
    <cellStyle name="Input 10 4 7" xfId="18729"/>
    <cellStyle name="Input 10 4 7 2" xfId="18730"/>
    <cellStyle name="Input 10 4 7 2 2" xfId="18731"/>
    <cellStyle name="Input 10 4 7 2 2 2" xfId="18732"/>
    <cellStyle name="Input 10 4 7 2 2 3" xfId="18733"/>
    <cellStyle name="Input 10 4 7 2 3" xfId="18734"/>
    <cellStyle name="Input 10 4 7 2 4" xfId="18735"/>
    <cellStyle name="Input 10 4 8" xfId="18736"/>
    <cellStyle name="Input 10 4 8 2" xfId="18737"/>
    <cellStyle name="Input 10 4 8 2 2" xfId="18738"/>
    <cellStyle name="Input 10 4 8 2 2 2" xfId="18739"/>
    <cellStyle name="Input 10 4 8 2 2 3" xfId="18740"/>
    <cellStyle name="Input 10 4 8 2 3" xfId="18741"/>
    <cellStyle name="Input 10 4 8 2 4" xfId="18742"/>
    <cellStyle name="Input 10 4 9" xfId="18743"/>
    <cellStyle name="Input 10 4 9 2" xfId="18744"/>
    <cellStyle name="Input 10 4 9 2 2" xfId="18745"/>
    <cellStyle name="Input 10 4 9 2 3" xfId="18746"/>
    <cellStyle name="Input 10 4 9 3" xfId="18747"/>
    <cellStyle name="Input 10 4 9 4" xfId="18748"/>
    <cellStyle name="Input 10 5" xfId="18749"/>
    <cellStyle name="Input 10 5 2" xfId="18750"/>
    <cellStyle name="Input 10 5 2 2" xfId="18751"/>
    <cellStyle name="Input 10 5 2 2 2" xfId="18752"/>
    <cellStyle name="Input 10 5 2 2 2 2" xfId="18753"/>
    <cellStyle name="Input 10 5 2 2 2 3" xfId="18754"/>
    <cellStyle name="Input 10 5 2 2 3" xfId="18755"/>
    <cellStyle name="Input 10 5 2 2 4" xfId="18756"/>
    <cellStyle name="Input 10 5 3" xfId="18757"/>
    <cellStyle name="Input 10 5 3 2" xfId="18758"/>
    <cellStyle name="Input 10 5 3 2 2" xfId="18759"/>
    <cellStyle name="Input 10 5 3 2 2 2" xfId="18760"/>
    <cellStyle name="Input 10 5 3 2 2 3" xfId="18761"/>
    <cellStyle name="Input 10 5 3 2 3" xfId="18762"/>
    <cellStyle name="Input 10 5 3 2 4" xfId="18763"/>
    <cellStyle name="Input 10 5 4" xfId="18764"/>
    <cellStyle name="Input 10 5 4 2" xfId="18765"/>
    <cellStyle name="Input 10 5 4 2 2" xfId="18766"/>
    <cellStyle name="Input 10 5 4 2 2 2" xfId="18767"/>
    <cellStyle name="Input 10 5 4 2 2 3" xfId="18768"/>
    <cellStyle name="Input 10 5 4 2 3" xfId="18769"/>
    <cellStyle name="Input 10 5 4 2 4" xfId="18770"/>
    <cellStyle name="Input 10 5 5" xfId="18771"/>
    <cellStyle name="Input 10 5 5 2" xfId="18772"/>
    <cellStyle name="Input 10 5 5 2 2" xfId="18773"/>
    <cellStyle name="Input 10 5 5 2 2 2" xfId="18774"/>
    <cellStyle name="Input 10 5 5 2 2 3" xfId="18775"/>
    <cellStyle name="Input 10 5 5 2 3" xfId="18776"/>
    <cellStyle name="Input 10 5 5 2 4" xfId="18777"/>
    <cellStyle name="Input 10 5 6" xfId="18778"/>
    <cellStyle name="Input 10 5 6 2" xfId="18779"/>
    <cellStyle name="Input 10 5 6 2 2" xfId="18780"/>
    <cellStyle name="Input 10 5 6 2 2 2" xfId="18781"/>
    <cellStyle name="Input 10 5 6 2 2 3" xfId="18782"/>
    <cellStyle name="Input 10 5 6 2 3" xfId="18783"/>
    <cellStyle name="Input 10 5 6 2 4" xfId="18784"/>
    <cellStyle name="Input 10 5 7" xfId="18785"/>
    <cellStyle name="Input 10 5 7 2" xfId="18786"/>
    <cellStyle name="Input 10 5 7 2 2" xfId="18787"/>
    <cellStyle name="Input 10 5 7 2 2 2" xfId="18788"/>
    <cellStyle name="Input 10 5 7 2 2 3" xfId="18789"/>
    <cellStyle name="Input 10 5 7 2 3" xfId="18790"/>
    <cellStyle name="Input 10 5 7 2 4" xfId="18791"/>
    <cellStyle name="Input 10 5 8" xfId="18792"/>
    <cellStyle name="Input 10 5 8 2" xfId="18793"/>
    <cellStyle name="Input 10 5 8 2 2" xfId="18794"/>
    <cellStyle name="Input 10 5 8 2 2 2" xfId="18795"/>
    <cellStyle name="Input 10 5 8 2 2 3" xfId="18796"/>
    <cellStyle name="Input 10 5 8 2 3" xfId="18797"/>
    <cellStyle name="Input 10 5 8 2 4" xfId="18798"/>
    <cellStyle name="Input 10 5 9" xfId="18799"/>
    <cellStyle name="Input 10 5 9 2" xfId="18800"/>
    <cellStyle name="Input 10 5 9 2 2" xfId="18801"/>
    <cellStyle name="Input 10 5 9 2 3" xfId="18802"/>
    <cellStyle name="Input 10 5 9 3" xfId="18803"/>
    <cellStyle name="Input 10 5 9 4" xfId="18804"/>
    <cellStyle name="Input 10 6" xfId="18805"/>
    <cellStyle name="Input 10 6 2" xfId="18806"/>
    <cellStyle name="Input 10 6 2 2" xfId="18807"/>
    <cellStyle name="Input 10 6 2 2 2" xfId="18808"/>
    <cellStyle name="Input 10 6 2 2 2 2" xfId="18809"/>
    <cellStyle name="Input 10 6 2 2 2 3" xfId="18810"/>
    <cellStyle name="Input 10 6 2 2 3" xfId="18811"/>
    <cellStyle name="Input 10 6 2 2 4" xfId="18812"/>
    <cellStyle name="Input 10 6 3" xfId="18813"/>
    <cellStyle name="Input 10 6 3 2" xfId="18814"/>
    <cellStyle name="Input 10 6 3 2 2" xfId="18815"/>
    <cellStyle name="Input 10 6 3 2 2 2" xfId="18816"/>
    <cellStyle name="Input 10 6 3 2 2 3" xfId="18817"/>
    <cellStyle name="Input 10 6 3 2 3" xfId="18818"/>
    <cellStyle name="Input 10 6 3 2 4" xfId="18819"/>
    <cellStyle name="Input 10 6 4" xfId="18820"/>
    <cellStyle name="Input 10 6 4 2" xfId="18821"/>
    <cellStyle name="Input 10 6 4 2 2" xfId="18822"/>
    <cellStyle name="Input 10 6 4 2 2 2" xfId="18823"/>
    <cellStyle name="Input 10 6 4 2 2 3" xfId="18824"/>
    <cellStyle name="Input 10 6 4 2 3" xfId="18825"/>
    <cellStyle name="Input 10 6 4 2 4" xfId="18826"/>
    <cellStyle name="Input 10 6 5" xfId="18827"/>
    <cellStyle name="Input 10 6 5 2" xfId="18828"/>
    <cellStyle name="Input 10 6 5 2 2" xfId="18829"/>
    <cellStyle name="Input 10 6 5 2 2 2" xfId="18830"/>
    <cellStyle name="Input 10 6 5 2 2 3" xfId="18831"/>
    <cellStyle name="Input 10 6 5 2 3" xfId="18832"/>
    <cellStyle name="Input 10 6 5 2 4" xfId="18833"/>
    <cellStyle name="Input 10 6 6" xfId="18834"/>
    <cellStyle name="Input 10 6 6 2" xfId="18835"/>
    <cellStyle name="Input 10 6 6 2 2" xfId="18836"/>
    <cellStyle name="Input 10 6 6 2 2 2" xfId="18837"/>
    <cellStyle name="Input 10 6 6 2 2 3" xfId="18838"/>
    <cellStyle name="Input 10 6 6 2 3" xfId="18839"/>
    <cellStyle name="Input 10 6 6 2 4" xfId="18840"/>
    <cellStyle name="Input 10 6 7" xfId="18841"/>
    <cellStyle name="Input 10 6 7 2" xfId="18842"/>
    <cellStyle name="Input 10 6 7 2 2" xfId="18843"/>
    <cellStyle name="Input 10 6 7 2 2 2" xfId="18844"/>
    <cellStyle name="Input 10 6 7 2 2 3" xfId="18845"/>
    <cellStyle name="Input 10 6 7 2 3" xfId="18846"/>
    <cellStyle name="Input 10 6 7 2 4" xfId="18847"/>
    <cellStyle name="Input 10 6 8" xfId="18848"/>
    <cellStyle name="Input 10 6 8 2" xfId="18849"/>
    <cellStyle name="Input 10 6 8 2 2" xfId="18850"/>
    <cellStyle name="Input 10 6 8 2 2 2" xfId="18851"/>
    <cellStyle name="Input 10 6 8 2 2 3" xfId="18852"/>
    <cellStyle name="Input 10 6 8 2 3" xfId="18853"/>
    <cellStyle name="Input 10 6 8 2 4" xfId="18854"/>
    <cellStyle name="Input 10 6 9" xfId="18855"/>
    <cellStyle name="Input 10 6 9 2" xfId="18856"/>
    <cellStyle name="Input 10 6 9 2 2" xfId="18857"/>
    <cellStyle name="Input 10 6 9 2 3" xfId="18858"/>
    <cellStyle name="Input 10 6 9 3" xfId="18859"/>
    <cellStyle name="Input 10 6 9 4" xfId="18860"/>
    <cellStyle name="Input 10 7" xfId="18861"/>
    <cellStyle name="Input 10 7 2" xfId="18862"/>
    <cellStyle name="Input 10 7 2 2" xfId="18863"/>
    <cellStyle name="Input 10 7 2 2 2" xfId="18864"/>
    <cellStyle name="Input 10 7 2 2 3" xfId="18865"/>
    <cellStyle name="Input 10 7 2 3" xfId="18866"/>
    <cellStyle name="Input 10 7 2 4" xfId="18867"/>
    <cellStyle name="Input 10 8" xfId="18868"/>
    <cellStyle name="Input 10 8 2" xfId="18869"/>
    <cellStyle name="Input 10 8 2 2" xfId="18870"/>
    <cellStyle name="Input 10 8 2 2 2" xfId="18871"/>
    <cellStyle name="Input 10 8 2 2 3" xfId="18872"/>
    <cellStyle name="Input 10 8 2 3" xfId="18873"/>
    <cellStyle name="Input 10 8 2 4" xfId="18874"/>
    <cellStyle name="Input 10 9" xfId="18875"/>
    <cellStyle name="Input 10 9 2" xfId="18876"/>
    <cellStyle name="Input 10 9 2 2" xfId="18877"/>
    <cellStyle name="Input 10 9 2 3" xfId="18878"/>
    <cellStyle name="Input 10 9 3" xfId="18879"/>
    <cellStyle name="Input 10 9 4" xfId="18880"/>
    <cellStyle name="Input 11" xfId="18881"/>
    <cellStyle name="Input 11 10" xfId="43057"/>
    <cellStyle name="Input 11 2" xfId="18882"/>
    <cellStyle name="Input 11 2 2" xfId="18883"/>
    <cellStyle name="Input 11 2 2 2" xfId="18884"/>
    <cellStyle name="Input 11 2 2 2 2" xfId="18885"/>
    <cellStyle name="Input 11 2 2 2 2 2" xfId="18886"/>
    <cellStyle name="Input 11 2 2 2 2 2 2" xfId="18887"/>
    <cellStyle name="Input 11 2 2 2 2 2 3" xfId="18888"/>
    <cellStyle name="Input 11 2 2 2 2 3" xfId="18889"/>
    <cellStyle name="Input 11 2 2 2 2 4" xfId="18890"/>
    <cellStyle name="Input 11 2 2 3" xfId="18891"/>
    <cellStyle name="Input 11 2 2 3 2" xfId="18892"/>
    <cellStyle name="Input 11 2 2 3 2 2" xfId="18893"/>
    <cellStyle name="Input 11 2 2 3 2 2 2" xfId="18894"/>
    <cellStyle name="Input 11 2 2 3 2 2 3" xfId="18895"/>
    <cellStyle name="Input 11 2 2 3 2 3" xfId="18896"/>
    <cellStyle name="Input 11 2 2 3 2 4" xfId="18897"/>
    <cellStyle name="Input 11 2 2 4" xfId="18898"/>
    <cellStyle name="Input 11 2 2 4 2" xfId="18899"/>
    <cellStyle name="Input 11 2 2 4 2 2" xfId="18900"/>
    <cellStyle name="Input 11 2 2 4 2 2 2" xfId="18901"/>
    <cellStyle name="Input 11 2 2 4 2 2 3" xfId="18902"/>
    <cellStyle name="Input 11 2 2 4 2 3" xfId="18903"/>
    <cellStyle name="Input 11 2 2 4 2 4" xfId="18904"/>
    <cellStyle name="Input 11 2 2 5" xfId="18905"/>
    <cellStyle name="Input 11 2 2 5 2" xfId="18906"/>
    <cellStyle name="Input 11 2 2 5 2 2" xfId="18907"/>
    <cellStyle name="Input 11 2 2 5 2 2 2" xfId="18908"/>
    <cellStyle name="Input 11 2 2 5 2 2 3" xfId="18909"/>
    <cellStyle name="Input 11 2 2 5 2 3" xfId="18910"/>
    <cellStyle name="Input 11 2 2 5 2 4" xfId="18911"/>
    <cellStyle name="Input 11 2 2 6" xfId="18912"/>
    <cellStyle name="Input 11 2 2 6 2" xfId="18913"/>
    <cellStyle name="Input 11 2 2 6 2 2" xfId="18914"/>
    <cellStyle name="Input 11 2 2 6 2 2 2" xfId="18915"/>
    <cellStyle name="Input 11 2 2 6 2 2 3" xfId="18916"/>
    <cellStyle name="Input 11 2 2 6 2 3" xfId="18917"/>
    <cellStyle name="Input 11 2 2 6 2 4" xfId="18918"/>
    <cellStyle name="Input 11 2 2 7" xfId="18919"/>
    <cellStyle name="Input 11 2 2 7 2" xfId="18920"/>
    <cellStyle name="Input 11 2 2 7 2 2" xfId="18921"/>
    <cellStyle name="Input 11 2 2 7 2 2 2" xfId="18922"/>
    <cellStyle name="Input 11 2 2 7 2 2 3" xfId="18923"/>
    <cellStyle name="Input 11 2 2 7 2 3" xfId="18924"/>
    <cellStyle name="Input 11 2 2 7 2 4" xfId="18925"/>
    <cellStyle name="Input 11 2 2 8" xfId="18926"/>
    <cellStyle name="Input 11 2 2 8 2" xfId="18927"/>
    <cellStyle name="Input 11 2 2 8 2 2" xfId="18928"/>
    <cellStyle name="Input 11 2 2 8 2 2 2" xfId="18929"/>
    <cellStyle name="Input 11 2 2 8 2 2 3" xfId="18930"/>
    <cellStyle name="Input 11 2 2 8 2 3" xfId="18931"/>
    <cellStyle name="Input 11 2 2 8 2 4" xfId="18932"/>
    <cellStyle name="Input 11 2 2 9" xfId="18933"/>
    <cellStyle name="Input 11 2 2 9 2" xfId="18934"/>
    <cellStyle name="Input 11 2 2 9 2 2" xfId="18935"/>
    <cellStyle name="Input 11 2 2 9 2 3" xfId="18936"/>
    <cellStyle name="Input 11 2 2 9 3" xfId="18937"/>
    <cellStyle name="Input 11 2 2 9 4" xfId="18938"/>
    <cellStyle name="Input 11 2 3" xfId="18939"/>
    <cellStyle name="Input 11 2 3 2" xfId="18940"/>
    <cellStyle name="Input 11 2 3 2 2" xfId="18941"/>
    <cellStyle name="Input 11 2 3 2 2 2" xfId="18942"/>
    <cellStyle name="Input 11 2 3 2 2 2 2" xfId="18943"/>
    <cellStyle name="Input 11 2 3 2 2 2 3" xfId="18944"/>
    <cellStyle name="Input 11 2 3 2 2 3" xfId="18945"/>
    <cellStyle name="Input 11 2 3 2 2 4" xfId="18946"/>
    <cellStyle name="Input 11 2 3 3" xfId="18947"/>
    <cellStyle name="Input 11 2 3 3 2" xfId="18948"/>
    <cellStyle name="Input 11 2 3 3 2 2" xfId="18949"/>
    <cellStyle name="Input 11 2 3 3 2 2 2" xfId="18950"/>
    <cellStyle name="Input 11 2 3 3 2 2 3" xfId="18951"/>
    <cellStyle name="Input 11 2 3 3 2 3" xfId="18952"/>
    <cellStyle name="Input 11 2 3 3 2 4" xfId="18953"/>
    <cellStyle name="Input 11 2 3 4" xfId="18954"/>
    <cellStyle name="Input 11 2 3 4 2" xfId="18955"/>
    <cellStyle name="Input 11 2 3 4 2 2" xfId="18956"/>
    <cellStyle name="Input 11 2 3 4 2 2 2" xfId="18957"/>
    <cellStyle name="Input 11 2 3 4 2 2 3" xfId="18958"/>
    <cellStyle name="Input 11 2 3 4 2 3" xfId="18959"/>
    <cellStyle name="Input 11 2 3 4 2 4" xfId="18960"/>
    <cellStyle name="Input 11 2 3 5" xfId="18961"/>
    <cellStyle name="Input 11 2 3 5 2" xfId="18962"/>
    <cellStyle name="Input 11 2 3 5 2 2" xfId="18963"/>
    <cellStyle name="Input 11 2 3 5 2 2 2" xfId="18964"/>
    <cellStyle name="Input 11 2 3 5 2 2 3" xfId="18965"/>
    <cellStyle name="Input 11 2 3 5 2 3" xfId="18966"/>
    <cellStyle name="Input 11 2 3 5 2 4" xfId="18967"/>
    <cellStyle name="Input 11 2 3 6" xfId="18968"/>
    <cellStyle name="Input 11 2 3 6 2" xfId="18969"/>
    <cellStyle name="Input 11 2 3 6 2 2" xfId="18970"/>
    <cellStyle name="Input 11 2 3 6 2 2 2" xfId="18971"/>
    <cellStyle name="Input 11 2 3 6 2 2 3" xfId="18972"/>
    <cellStyle name="Input 11 2 3 6 2 3" xfId="18973"/>
    <cellStyle name="Input 11 2 3 6 2 4" xfId="18974"/>
    <cellStyle name="Input 11 2 3 7" xfId="18975"/>
    <cellStyle name="Input 11 2 3 7 2" xfId="18976"/>
    <cellStyle name="Input 11 2 3 7 2 2" xfId="18977"/>
    <cellStyle name="Input 11 2 3 7 2 2 2" xfId="18978"/>
    <cellStyle name="Input 11 2 3 7 2 2 3" xfId="18979"/>
    <cellStyle name="Input 11 2 3 7 2 3" xfId="18980"/>
    <cellStyle name="Input 11 2 3 7 2 4" xfId="18981"/>
    <cellStyle name="Input 11 2 3 8" xfId="18982"/>
    <cellStyle name="Input 11 2 3 8 2" xfId="18983"/>
    <cellStyle name="Input 11 2 3 8 2 2" xfId="18984"/>
    <cellStyle name="Input 11 2 3 8 2 2 2" xfId="18985"/>
    <cellStyle name="Input 11 2 3 8 2 2 3" xfId="18986"/>
    <cellStyle name="Input 11 2 3 8 2 3" xfId="18987"/>
    <cellStyle name="Input 11 2 3 8 2 4" xfId="18988"/>
    <cellStyle name="Input 11 2 3 9" xfId="18989"/>
    <cellStyle name="Input 11 2 3 9 2" xfId="18990"/>
    <cellStyle name="Input 11 2 3 9 2 2" xfId="18991"/>
    <cellStyle name="Input 11 2 3 9 2 3" xfId="18992"/>
    <cellStyle name="Input 11 2 3 9 3" xfId="18993"/>
    <cellStyle name="Input 11 2 3 9 4" xfId="18994"/>
    <cellStyle name="Input 11 2 4" xfId="18995"/>
    <cellStyle name="Input 11 2 4 2" xfId="18996"/>
    <cellStyle name="Input 11 2 4 2 2" xfId="18997"/>
    <cellStyle name="Input 11 2 4 2 2 2" xfId="18998"/>
    <cellStyle name="Input 11 2 4 2 2 2 2" xfId="18999"/>
    <cellStyle name="Input 11 2 4 2 2 2 3" xfId="19000"/>
    <cellStyle name="Input 11 2 4 2 2 3" xfId="19001"/>
    <cellStyle name="Input 11 2 4 2 2 4" xfId="19002"/>
    <cellStyle name="Input 11 2 4 3" xfId="19003"/>
    <cellStyle name="Input 11 2 4 3 2" xfId="19004"/>
    <cellStyle name="Input 11 2 4 3 2 2" xfId="19005"/>
    <cellStyle name="Input 11 2 4 3 2 2 2" xfId="19006"/>
    <cellStyle name="Input 11 2 4 3 2 2 3" xfId="19007"/>
    <cellStyle name="Input 11 2 4 3 2 3" xfId="19008"/>
    <cellStyle name="Input 11 2 4 3 2 4" xfId="19009"/>
    <cellStyle name="Input 11 2 4 4" xfId="19010"/>
    <cellStyle name="Input 11 2 4 4 2" xfId="19011"/>
    <cellStyle name="Input 11 2 4 4 2 2" xfId="19012"/>
    <cellStyle name="Input 11 2 4 4 2 2 2" xfId="19013"/>
    <cellStyle name="Input 11 2 4 4 2 2 3" xfId="19014"/>
    <cellStyle name="Input 11 2 4 4 2 3" xfId="19015"/>
    <cellStyle name="Input 11 2 4 4 2 4" xfId="19016"/>
    <cellStyle name="Input 11 2 4 5" xfId="19017"/>
    <cellStyle name="Input 11 2 4 5 2" xfId="19018"/>
    <cellStyle name="Input 11 2 4 5 2 2" xfId="19019"/>
    <cellStyle name="Input 11 2 4 5 2 2 2" xfId="19020"/>
    <cellStyle name="Input 11 2 4 5 2 2 3" xfId="19021"/>
    <cellStyle name="Input 11 2 4 5 2 3" xfId="19022"/>
    <cellStyle name="Input 11 2 4 5 2 4" xfId="19023"/>
    <cellStyle name="Input 11 2 4 6" xfId="19024"/>
    <cellStyle name="Input 11 2 4 6 2" xfId="19025"/>
    <cellStyle name="Input 11 2 4 6 2 2" xfId="19026"/>
    <cellStyle name="Input 11 2 4 6 2 2 2" xfId="19027"/>
    <cellStyle name="Input 11 2 4 6 2 2 3" xfId="19028"/>
    <cellStyle name="Input 11 2 4 6 2 3" xfId="19029"/>
    <cellStyle name="Input 11 2 4 6 2 4" xfId="19030"/>
    <cellStyle name="Input 11 2 4 7" xfId="19031"/>
    <cellStyle name="Input 11 2 4 7 2" xfId="19032"/>
    <cellStyle name="Input 11 2 4 7 2 2" xfId="19033"/>
    <cellStyle name="Input 11 2 4 7 2 2 2" xfId="19034"/>
    <cellStyle name="Input 11 2 4 7 2 2 3" xfId="19035"/>
    <cellStyle name="Input 11 2 4 7 2 3" xfId="19036"/>
    <cellStyle name="Input 11 2 4 7 2 4" xfId="19037"/>
    <cellStyle name="Input 11 2 4 8" xfId="19038"/>
    <cellStyle name="Input 11 2 4 8 2" xfId="19039"/>
    <cellStyle name="Input 11 2 4 8 2 2" xfId="19040"/>
    <cellStyle name="Input 11 2 4 8 2 2 2" xfId="19041"/>
    <cellStyle name="Input 11 2 4 8 2 2 3" xfId="19042"/>
    <cellStyle name="Input 11 2 4 8 2 3" xfId="19043"/>
    <cellStyle name="Input 11 2 4 8 2 4" xfId="19044"/>
    <cellStyle name="Input 11 2 4 9" xfId="19045"/>
    <cellStyle name="Input 11 2 4 9 2" xfId="19046"/>
    <cellStyle name="Input 11 2 4 9 2 2" xfId="19047"/>
    <cellStyle name="Input 11 2 4 9 2 3" xfId="19048"/>
    <cellStyle name="Input 11 2 4 9 3" xfId="19049"/>
    <cellStyle name="Input 11 2 4 9 4" xfId="19050"/>
    <cellStyle name="Input 11 2 5" xfId="19051"/>
    <cellStyle name="Input 11 2 5 2" xfId="19052"/>
    <cellStyle name="Input 11 2 5 2 2" xfId="19053"/>
    <cellStyle name="Input 11 2 5 2 2 2" xfId="19054"/>
    <cellStyle name="Input 11 2 5 2 2 2 2" xfId="19055"/>
    <cellStyle name="Input 11 2 5 2 2 2 3" xfId="19056"/>
    <cellStyle name="Input 11 2 5 2 2 3" xfId="19057"/>
    <cellStyle name="Input 11 2 5 2 2 4" xfId="19058"/>
    <cellStyle name="Input 11 2 5 3" xfId="19059"/>
    <cellStyle name="Input 11 2 5 3 2" xfId="19060"/>
    <cellStyle name="Input 11 2 5 3 2 2" xfId="19061"/>
    <cellStyle name="Input 11 2 5 3 2 2 2" xfId="19062"/>
    <cellStyle name="Input 11 2 5 3 2 2 3" xfId="19063"/>
    <cellStyle name="Input 11 2 5 3 2 3" xfId="19064"/>
    <cellStyle name="Input 11 2 5 3 2 4" xfId="19065"/>
    <cellStyle name="Input 11 2 5 4" xfId="19066"/>
    <cellStyle name="Input 11 2 5 4 2" xfId="19067"/>
    <cellStyle name="Input 11 2 5 4 2 2" xfId="19068"/>
    <cellStyle name="Input 11 2 5 4 2 2 2" xfId="19069"/>
    <cellStyle name="Input 11 2 5 4 2 2 3" xfId="19070"/>
    <cellStyle name="Input 11 2 5 4 2 3" xfId="19071"/>
    <cellStyle name="Input 11 2 5 4 2 4" xfId="19072"/>
    <cellStyle name="Input 11 2 5 5" xfId="19073"/>
    <cellStyle name="Input 11 2 5 5 2" xfId="19074"/>
    <cellStyle name="Input 11 2 5 5 2 2" xfId="19075"/>
    <cellStyle name="Input 11 2 5 5 2 2 2" xfId="19076"/>
    <cellStyle name="Input 11 2 5 5 2 2 3" xfId="19077"/>
    <cellStyle name="Input 11 2 5 5 2 3" xfId="19078"/>
    <cellStyle name="Input 11 2 5 5 2 4" xfId="19079"/>
    <cellStyle name="Input 11 2 5 6" xfId="19080"/>
    <cellStyle name="Input 11 2 5 6 2" xfId="19081"/>
    <cellStyle name="Input 11 2 5 6 2 2" xfId="19082"/>
    <cellStyle name="Input 11 2 5 6 2 2 2" xfId="19083"/>
    <cellStyle name="Input 11 2 5 6 2 2 3" xfId="19084"/>
    <cellStyle name="Input 11 2 5 6 2 3" xfId="19085"/>
    <cellStyle name="Input 11 2 5 6 2 4" xfId="19086"/>
    <cellStyle name="Input 11 2 5 7" xfId="19087"/>
    <cellStyle name="Input 11 2 5 7 2" xfId="19088"/>
    <cellStyle name="Input 11 2 5 7 2 2" xfId="19089"/>
    <cellStyle name="Input 11 2 5 7 2 2 2" xfId="19090"/>
    <cellStyle name="Input 11 2 5 7 2 2 3" xfId="19091"/>
    <cellStyle name="Input 11 2 5 7 2 3" xfId="19092"/>
    <cellStyle name="Input 11 2 5 7 2 4" xfId="19093"/>
    <cellStyle name="Input 11 2 5 8" xfId="19094"/>
    <cellStyle name="Input 11 2 5 8 2" xfId="19095"/>
    <cellStyle name="Input 11 2 5 8 2 2" xfId="19096"/>
    <cellStyle name="Input 11 2 5 8 2 2 2" xfId="19097"/>
    <cellStyle name="Input 11 2 5 8 2 2 3" xfId="19098"/>
    <cellStyle name="Input 11 2 5 8 2 3" xfId="19099"/>
    <cellStyle name="Input 11 2 5 8 2 4" xfId="19100"/>
    <cellStyle name="Input 11 2 5 9" xfId="19101"/>
    <cellStyle name="Input 11 2 5 9 2" xfId="19102"/>
    <cellStyle name="Input 11 2 5 9 2 2" xfId="19103"/>
    <cellStyle name="Input 11 2 5 9 2 3" xfId="19104"/>
    <cellStyle name="Input 11 2 5 9 3" xfId="19105"/>
    <cellStyle name="Input 11 2 5 9 4" xfId="19106"/>
    <cellStyle name="Input 11 2 6" xfId="19107"/>
    <cellStyle name="Input 11 2 6 2" xfId="19108"/>
    <cellStyle name="Input 11 2 6 2 2" xfId="19109"/>
    <cellStyle name="Input 11 2 6 2 2 2" xfId="19110"/>
    <cellStyle name="Input 11 2 6 2 2 3" xfId="19111"/>
    <cellStyle name="Input 11 2 6 2 3" xfId="19112"/>
    <cellStyle name="Input 11 2 6 2 4" xfId="19113"/>
    <cellStyle name="Input 11 2 7" xfId="19114"/>
    <cellStyle name="Input 11 2 7 2" xfId="19115"/>
    <cellStyle name="Input 11 2 7 2 2" xfId="19116"/>
    <cellStyle name="Input 11 2 7 2 2 2" xfId="19117"/>
    <cellStyle name="Input 11 2 7 2 2 3" xfId="19118"/>
    <cellStyle name="Input 11 2 7 2 3" xfId="19119"/>
    <cellStyle name="Input 11 2 7 2 4" xfId="19120"/>
    <cellStyle name="Input 11 2 8" xfId="19121"/>
    <cellStyle name="Input 11 2 8 2" xfId="19122"/>
    <cellStyle name="Input 11 2 8 2 2" xfId="19123"/>
    <cellStyle name="Input 11 2 8 2 3" xfId="19124"/>
    <cellStyle name="Input 11 2 8 3" xfId="19125"/>
    <cellStyle name="Input 11 2 8 4" xfId="19126"/>
    <cellStyle name="Input 11 3" xfId="19127"/>
    <cellStyle name="Input 11 3 2" xfId="19128"/>
    <cellStyle name="Input 11 3 2 2" xfId="19129"/>
    <cellStyle name="Input 11 3 2 2 2" xfId="19130"/>
    <cellStyle name="Input 11 3 2 2 2 2" xfId="19131"/>
    <cellStyle name="Input 11 3 2 2 2 3" xfId="19132"/>
    <cellStyle name="Input 11 3 2 2 3" xfId="19133"/>
    <cellStyle name="Input 11 3 2 2 4" xfId="19134"/>
    <cellStyle name="Input 11 3 3" xfId="19135"/>
    <cellStyle name="Input 11 3 3 2" xfId="19136"/>
    <cellStyle name="Input 11 3 3 2 2" xfId="19137"/>
    <cellStyle name="Input 11 3 3 2 2 2" xfId="19138"/>
    <cellStyle name="Input 11 3 3 2 2 3" xfId="19139"/>
    <cellStyle name="Input 11 3 3 2 3" xfId="19140"/>
    <cellStyle name="Input 11 3 3 2 4" xfId="19141"/>
    <cellStyle name="Input 11 3 4" xfId="19142"/>
    <cellStyle name="Input 11 3 4 2" xfId="19143"/>
    <cellStyle name="Input 11 3 4 2 2" xfId="19144"/>
    <cellStyle name="Input 11 3 4 2 2 2" xfId="19145"/>
    <cellStyle name="Input 11 3 4 2 2 3" xfId="19146"/>
    <cellStyle name="Input 11 3 4 2 3" xfId="19147"/>
    <cellStyle name="Input 11 3 4 2 4" xfId="19148"/>
    <cellStyle name="Input 11 3 5" xfId="19149"/>
    <cellStyle name="Input 11 3 5 2" xfId="19150"/>
    <cellStyle name="Input 11 3 5 2 2" xfId="19151"/>
    <cellStyle name="Input 11 3 5 2 2 2" xfId="19152"/>
    <cellStyle name="Input 11 3 5 2 2 3" xfId="19153"/>
    <cellStyle name="Input 11 3 5 2 3" xfId="19154"/>
    <cellStyle name="Input 11 3 5 2 4" xfId="19155"/>
    <cellStyle name="Input 11 3 6" xfId="19156"/>
    <cellStyle name="Input 11 3 6 2" xfId="19157"/>
    <cellStyle name="Input 11 3 6 2 2" xfId="19158"/>
    <cellStyle name="Input 11 3 6 2 2 2" xfId="19159"/>
    <cellStyle name="Input 11 3 6 2 2 3" xfId="19160"/>
    <cellStyle name="Input 11 3 6 2 3" xfId="19161"/>
    <cellStyle name="Input 11 3 6 2 4" xfId="19162"/>
    <cellStyle name="Input 11 3 7" xfId="19163"/>
    <cellStyle name="Input 11 3 7 2" xfId="19164"/>
    <cellStyle name="Input 11 3 7 2 2" xfId="19165"/>
    <cellStyle name="Input 11 3 7 2 2 2" xfId="19166"/>
    <cellStyle name="Input 11 3 7 2 2 3" xfId="19167"/>
    <cellStyle name="Input 11 3 7 2 3" xfId="19168"/>
    <cellStyle name="Input 11 3 7 2 4" xfId="19169"/>
    <cellStyle name="Input 11 3 8" xfId="19170"/>
    <cellStyle name="Input 11 3 8 2" xfId="19171"/>
    <cellStyle name="Input 11 3 8 2 2" xfId="19172"/>
    <cellStyle name="Input 11 3 8 2 2 2" xfId="19173"/>
    <cellStyle name="Input 11 3 8 2 2 3" xfId="19174"/>
    <cellStyle name="Input 11 3 8 2 3" xfId="19175"/>
    <cellStyle name="Input 11 3 8 2 4" xfId="19176"/>
    <cellStyle name="Input 11 3 9" xfId="19177"/>
    <cellStyle name="Input 11 3 9 2" xfId="19178"/>
    <cellStyle name="Input 11 3 9 2 2" xfId="19179"/>
    <cellStyle name="Input 11 3 9 2 3" xfId="19180"/>
    <cellStyle name="Input 11 3 9 3" xfId="19181"/>
    <cellStyle name="Input 11 3 9 4" xfId="19182"/>
    <cellStyle name="Input 11 4" xfId="19183"/>
    <cellStyle name="Input 11 4 2" xfId="19184"/>
    <cellStyle name="Input 11 4 2 2" xfId="19185"/>
    <cellStyle name="Input 11 4 2 2 2" xfId="19186"/>
    <cellStyle name="Input 11 4 2 2 2 2" xfId="19187"/>
    <cellStyle name="Input 11 4 2 2 2 3" xfId="19188"/>
    <cellStyle name="Input 11 4 2 2 3" xfId="19189"/>
    <cellStyle name="Input 11 4 2 2 4" xfId="19190"/>
    <cellStyle name="Input 11 4 3" xfId="19191"/>
    <cellStyle name="Input 11 4 3 2" xfId="19192"/>
    <cellStyle name="Input 11 4 3 2 2" xfId="19193"/>
    <cellStyle name="Input 11 4 3 2 2 2" xfId="19194"/>
    <cellStyle name="Input 11 4 3 2 2 3" xfId="19195"/>
    <cellStyle name="Input 11 4 3 2 3" xfId="19196"/>
    <cellStyle name="Input 11 4 3 2 4" xfId="19197"/>
    <cellStyle name="Input 11 4 4" xfId="19198"/>
    <cellStyle name="Input 11 4 4 2" xfId="19199"/>
    <cellStyle name="Input 11 4 4 2 2" xfId="19200"/>
    <cellStyle name="Input 11 4 4 2 2 2" xfId="19201"/>
    <cellStyle name="Input 11 4 4 2 2 3" xfId="19202"/>
    <cellStyle name="Input 11 4 4 2 3" xfId="19203"/>
    <cellStyle name="Input 11 4 4 2 4" xfId="19204"/>
    <cellStyle name="Input 11 4 5" xfId="19205"/>
    <cellStyle name="Input 11 4 5 2" xfId="19206"/>
    <cellStyle name="Input 11 4 5 2 2" xfId="19207"/>
    <cellStyle name="Input 11 4 5 2 2 2" xfId="19208"/>
    <cellStyle name="Input 11 4 5 2 2 3" xfId="19209"/>
    <cellStyle name="Input 11 4 5 2 3" xfId="19210"/>
    <cellStyle name="Input 11 4 5 2 4" xfId="19211"/>
    <cellStyle name="Input 11 4 6" xfId="19212"/>
    <cellStyle name="Input 11 4 6 2" xfId="19213"/>
    <cellStyle name="Input 11 4 6 2 2" xfId="19214"/>
    <cellStyle name="Input 11 4 6 2 2 2" xfId="19215"/>
    <cellStyle name="Input 11 4 6 2 2 3" xfId="19216"/>
    <cellStyle name="Input 11 4 6 2 3" xfId="19217"/>
    <cellStyle name="Input 11 4 6 2 4" xfId="19218"/>
    <cellStyle name="Input 11 4 7" xfId="19219"/>
    <cellStyle name="Input 11 4 7 2" xfId="19220"/>
    <cellStyle name="Input 11 4 7 2 2" xfId="19221"/>
    <cellStyle name="Input 11 4 7 2 2 2" xfId="19222"/>
    <cellStyle name="Input 11 4 7 2 2 3" xfId="19223"/>
    <cellStyle name="Input 11 4 7 2 3" xfId="19224"/>
    <cellStyle name="Input 11 4 7 2 4" xfId="19225"/>
    <cellStyle name="Input 11 4 8" xfId="19226"/>
    <cellStyle name="Input 11 4 8 2" xfId="19227"/>
    <cellStyle name="Input 11 4 8 2 2" xfId="19228"/>
    <cellStyle name="Input 11 4 8 2 2 2" xfId="19229"/>
    <cellStyle name="Input 11 4 8 2 2 3" xfId="19230"/>
    <cellStyle name="Input 11 4 8 2 3" xfId="19231"/>
    <cellStyle name="Input 11 4 8 2 4" xfId="19232"/>
    <cellStyle name="Input 11 4 9" xfId="19233"/>
    <cellStyle name="Input 11 4 9 2" xfId="19234"/>
    <cellStyle name="Input 11 4 9 2 2" xfId="19235"/>
    <cellStyle name="Input 11 4 9 2 3" xfId="19236"/>
    <cellStyle name="Input 11 4 9 3" xfId="19237"/>
    <cellStyle name="Input 11 4 9 4" xfId="19238"/>
    <cellStyle name="Input 11 5" xfId="19239"/>
    <cellStyle name="Input 11 5 2" xfId="19240"/>
    <cellStyle name="Input 11 5 2 2" xfId="19241"/>
    <cellStyle name="Input 11 5 2 2 2" xfId="19242"/>
    <cellStyle name="Input 11 5 2 2 2 2" xfId="19243"/>
    <cellStyle name="Input 11 5 2 2 2 3" xfId="19244"/>
    <cellStyle name="Input 11 5 2 2 3" xfId="19245"/>
    <cellStyle name="Input 11 5 2 2 4" xfId="19246"/>
    <cellStyle name="Input 11 5 3" xfId="19247"/>
    <cellStyle name="Input 11 5 3 2" xfId="19248"/>
    <cellStyle name="Input 11 5 3 2 2" xfId="19249"/>
    <cellStyle name="Input 11 5 3 2 2 2" xfId="19250"/>
    <cellStyle name="Input 11 5 3 2 2 3" xfId="19251"/>
    <cellStyle name="Input 11 5 3 2 3" xfId="19252"/>
    <cellStyle name="Input 11 5 3 2 4" xfId="19253"/>
    <cellStyle name="Input 11 5 4" xfId="19254"/>
    <cellStyle name="Input 11 5 4 2" xfId="19255"/>
    <cellStyle name="Input 11 5 4 2 2" xfId="19256"/>
    <cellStyle name="Input 11 5 4 2 2 2" xfId="19257"/>
    <cellStyle name="Input 11 5 4 2 2 3" xfId="19258"/>
    <cellStyle name="Input 11 5 4 2 3" xfId="19259"/>
    <cellStyle name="Input 11 5 4 2 4" xfId="19260"/>
    <cellStyle name="Input 11 5 5" xfId="19261"/>
    <cellStyle name="Input 11 5 5 2" xfId="19262"/>
    <cellStyle name="Input 11 5 5 2 2" xfId="19263"/>
    <cellStyle name="Input 11 5 5 2 2 2" xfId="19264"/>
    <cellStyle name="Input 11 5 5 2 2 3" xfId="19265"/>
    <cellStyle name="Input 11 5 5 2 3" xfId="19266"/>
    <cellStyle name="Input 11 5 5 2 4" xfId="19267"/>
    <cellStyle name="Input 11 5 6" xfId="19268"/>
    <cellStyle name="Input 11 5 6 2" xfId="19269"/>
    <cellStyle name="Input 11 5 6 2 2" xfId="19270"/>
    <cellStyle name="Input 11 5 6 2 2 2" xfId="19271"/>
    <cellStyle name="Input 11 5 6 2 2 3" xfId="19272"/>
    <cellStyle name="Input 11 5 6 2 3" xfId="19273"/>
    <cellStyle name="Input 11 5 6 2 4" xfId="19274"/>
    <cellStyle name="Input 11 5 7" xfId="19275"/>
    <cellStyle name="Input 11 5 7 2" xfId="19276"/>
    <cellStyle name="Input 11 5 7 2 2" xfId="19277"/>
    <cellStyle name="Input 11 5 7 2 2 2" xfId="19278"/>
    <cellStyle name="Input 11 5 7 2 2 3" xfId="19279"/>
    <cellStyle name="Input 11 5 7 2 3" xfId="19280"/>
    <cellStyle name="Input 11 5 7 2 4" xfId="19281"/>
    <cellStyle name="Input 11 5 8" xfId="19282"/>
    <cellStyle name="Input 11 5 8 2" xfId="19283"/>
    <cellStyle name="Input 11 5 8 2 2" xfId="19284"/>
    <cellStyle name="Input 11 5 8 2 2 2" xfId="19285"/>
    <cellStyle name="Input 11 5 8 2 2 3" xfId="19286"/>
    <cellStyle name="Input 11 5 8 2 3" xfId="19287"/>
    <cellStyle name="Input 11 5 8 2 4" xfId="19288"/>
    <cellStyle name="Input 11 5 9" xfId="19289"/>
    <cellStyle name="Input 11 5 9 2" xfId="19290"/>
    <cellStyle name="Input 11 5 9 2 2" xfId="19291"/>
    <cellStyle name="Input 11 5 9 2 3" xfId="19292"/>
    <cellStyle name="Input 11 5 9 3" xfId="19293"/>
    <cellStyle name="Input 11 5 9 4" xfId="19294"/>
    <cellStyle name="Input 11 6" xfId="19295"/>
    <cellStyle name="Input 11 6 2" xfId="19296"/>
    <cellStyle name="Input 11 6 2 2" xfId="19297"/>
    <cellStyle name="Input 11 6 2 2 2" xfId="19298"/>
    <cellStyle name="Input 11 6 2 2 2 2" xfId="19299"/>
    <cellStyle name="Input 11 6 2 2 2 3" xfId="19300"/>
    <cellStyle name="Input 11 6 2 2 3" xfId="19301"/>
    <cellStyle name="Input 11 6 2 2 4" xfId="19302"/>
    <cellStyle name="Input 11 6 3" xfId="19303"/>
    <cellStyle name="Input 11 6 3 2" xfId="19304"/>
    <cellStyle name="Input 11 6 3 2 2" xfId="19305"/>
    <cellStyle name="Input 11 6 3 2 2 2" xfId="19306"/>
    <cellStyle name="Input 11 6 3 2 2 3" xfId="19307"/>
    <cellStyle name="Input 11 6 3 2 3" xfId="19308"/>
    <cellStyle name="Input 11 6 3 2 4" xfId="19309"/>
    <cellStyle name="Input 11 6 4" xfId="19310"/>
    <cellStyle name="Input 11 6 4 2" xfId="19311"/>
    <cellStyle name="Input 11 6 4 2 2" xfId="19312"/>
    <cellStyle name="Input 11 6 4 2 2 2" xfId="19313"/>
    <cellStyle name="Input 11 6 4 2 2 3" xfId="19314"/>
    <cellStyle name="Input 11 6 4 2 3" xfId="19315"/>
    <cellStyle name="Input 11 6 4 2 4" xfId="19316"/>
    <cellStyle name="Input 11 6 5" xfId="19317"/>
    <cellStyle name="Input 11 6 5 2" xfId="19318"/>
    <cellStyle name="Input 11 6 5 2 2" xfId="19319"/>
    <cellStyle name="Input 11 6 5 2 2 2" xfId="19320"/>
    <cellStyle name="Input 11 6 5 2 2 3" xfId="19321"/>
    <cellStyle name="Input 11 6 5 2 3" xfId="19322"/>
    <cellStyle name="Input 11 6 5 2 4" xfId="19323"/>
    <cellStyle name="Input 11 6 6" xfId="19324"/>
    <cellStyle name="Input 11 6 6 2" xfId="19325"/>
    <cellStyle name="Input 11 6 6 2 2" xfId="19326"/>
    <cellStyle name="Input 11 6 6 2 2 2" xfId="19327"/>
    <cellStyle name="Input 11 6 6 2 2 3" xfId="19328"/>
    <cellStyle name="Input 11 6 6 2 3" xfId="19329"/>
    <cellStyle name="Input 11 6 6 2 4" xfId="19330"/>
    <cellStyle name="Input 11 6 7" xfId="19331"/>
    <cellStyle name="Input 11 6 7 2" xfId="19332"/>
    <cellStyle name="Input 11 6 7 2 2" xfId="19333"/>
    <cellStyle name="Input 11 6 7 2 2 2" xfId="19334"/>
    <cellStyle name="Input 11 6 7 2 2 3" xfId="19335"/>
    <cellStyle name="Input 11 6 7 2 3" xfId="19336"/>
    <cellStyle name="Input 11 6 7 2 4" xfId="19337"/>
    <cellStyle name="Input 11 6 8" xfId="19338"/>
    <cellStyle name="Input 11 6 8 2" xfId="19339"/>
    <cellStyle name="Input 11 6 8 2 2" xfId="19340"/>
    <cellStyle name="Input 11 6 8 2 2 2" xfId="19341"/>
    <cellStyle name="Input 11 6 8 2 2 3" xfId="19342"/>
    <cellStyle name="Input 11 6 8 2 3" xfId="19343"/>
    <cellStyle name="Input 11 6 8 2 4" xfId="19344"/>
    <cellStyle name="Input 11 6 9" xfId="19345"/>
    <cellStyle name="Input 11 6 9 2" xfId="19346"/>
    <cellStyle name="Input 11 6 9 2 2" xfId="19347"/>
    <cellStyle name="Input 11 6 9 2 3" xfId="19348"/>
    <cellStyle name="Input 11 6 9 3" xfId="19349"/>
    <cellStyle name="Input 11 6 9 4" xfId="19350"/>
    <cellStyle name="Input 11 7" xfId="19351"/>
    <cellStyle name="Input 11 7 2" xfId="19352"/>
    <cellStyle name="Input 11 7 2 2" xfId="19353"/>
    <cellStyle name="Input 11 7 2 2 2" xfId="19354"/>
    <cellStyle name="Input 11 7 2 2 3" xfId="19355"/>
    <cellStyle name="Input 11 7 2 3" xfId="19356"/>
    <cellStyle name="Input 11 7 2 4" xfId="19357"/>
    <cellStyle name="Input 11 8" xfId="19358"/>
    <cellStyle name="Input 11 8 2" xfId="19359"/>
    <cellStyle name="Input 11 8 2 2" xfId="19360"/>
    <cellStyle name="Input 11 8 2 2 2" xfId="19361"/>
    <cellStyle name="Input 11 8 2 2 3" xfId="19362"/>
    <cellStyle name="Input 11 8 2 3" xfId="19363"/>
    <cellStyle name="Input 11 8 2 4" xfId="19364"/>
    <cellStyle name="Input 11 9" xfId="19365"/>
    <cellStyle name="Input 11 9 2" xfId="19366"/>
    <cellStyle name="Input 11 9 2 2" xfId="19367"/>
    <cellStyle name="Input 11 9 2 3" xfId="19368"/>
    <cellStyle name="Input 11 9 3" xfId="19369"/>
    <cellStyle name="Input 11 9 4" xfId="19370"/>
    <cellStyle name="Input 12" xfId="19371"/>
    <cellStyle name="Input 12 10" xfId="43058"/>
    <cellStyle name="Input 12 2" xfId="19372"/>
    <cellStyle name="Input 12 2 2" xfId="19373"/>
    <cellStyle name="Input 12 2 2 2" xfId="19374"/>
    <cellStyle name="Input 12 2 2 2 2" xfId="19375"/>
    <cellStyle name="Input 12 2 2 2 2 2" xfId="19376"/>
    <cellStyle name="Input 12 2 2 2 2 2 2" xfId="19377"/>
    <cellStyle name="Input 12 2 2 2 2 2 3" xfId="19378"/>
    <cellStyle name="Input 12 2 2 2 2 3" xfId="19379"/>
    <cellStyle name="Input 12 2 2 2 2 4" xfId="19380"/>
    <cellStyle name="Input 12 2 2 3" xfId="19381"/>
    <cellStyle name="Input 12 2 2 3 2" xfId="19382"/>
    <cellStyle name="Input 12 2 2 3 2 2" xfId="19383"/>
    <cellStyle name="Input 12 2 2 3 2 2 2" xfId="19384"/>
    <cellStyle name="Input 12 2 2 3 2 2 3" xfId="19385"/>
    <cellStyle name="Input 12 2 2 3 2 3" xfId="19386"/>
    <cellStyle name="Input 12 2 2 3 2 4" xfId="19387"/>
    <cellStyle name="Input 12 2 2 4" xfId="19388"/>
    <cellStyle name="Input 12 2 2 4 2" xfId="19389"/>
    <cellStyle name="Input 12 2 2 4 2 2" xfId="19390"/>
    <cellStyle name="Input 12 2 2 4 2 2 2" xfId="19391"/>
    <cellStyle name="Input 12 2 2 4 2 2 3" xfId="19392"/>
    <cellStyle name="Input 12 2 2 4 2 3" xfId="19393"/>
    <cellStyle name="Input 12 2 2 4 2 4" xfId="19394"/>
    <cellStyle name="Input 12 2 2 5" xfId="19395"/>
    <cellStyle name="Input 12 2 2 5 2" xfId="19396"/>
    <cellStyle name="Input 12 2 2 5 2 2" xfId="19397"/>
    <cellStyle name="Input 12 2 2 5 2 2 2" xfId="19398"/>
    <cellStyle name="Input 12 2 2 5 2 2 3" xfId="19399"/>
    <cellStyle name="Input 12 2 2 5 2 3" xfId="19400"/>
    <cellStyle name="Input 12 2 2 5 2 4" xfId="19401"/>
    <cellStyle name="Input 12 2 2 6" xfId="19402"/>
    <cellStyle name="Input 12 2 2 6 2" xfId="19403"/>
    <cellStyle name="Input 12 2 2 6 2 2" xfId="19404"/>
    <cellStyle name="Input 12 2 2 6 2 2 2" xfId="19405"/>
    <cellStyle name="Input 12 2 2 6 2 2 3" xfId="19406"/>
    <cellStyle name="Input 12 2 2 6 2 3" xfId="19407"/>
    <cellStyle name="Input 12 2 2 6 2 4" xfId="19408"/>
    <cellStyle name="Input 12 2 2 7" xfId="19409"/>
    <cellStyle name="Input 12 2 2 7 2" xfId="19410"/>
    <cellStyle name="Input 12 2 2 7 2 2" xfId="19411"/>
    <cellStyle name="Input 12 2 2 7 2 2 2" xfId="19412"/>
    <cellStyle name="Input 12 2 2 7 2 2 3" xfId="19413"/>
    <cellStyle name="Input 12 2 2 7 2 3" xfId="19414"/>
    <cellStyle name="Input 12 2 2 7 2 4" xfId="19415"/>
    <cellStyle name="Input 12 2 2 8" xfId="19416"/>
    <cellStyle name="Input 12 2 2 8 2" xfId="19417"/>
    <cellStyle name="Input 12 2 2 8 2 2" xfId="19418"/>
    <cellStyle name="Input 12 2 2 8 2 2 2" xfId="19419"/>
    <cellStyle name="Input 12 2 2 8 2 2 3" xfId="19420"/>
    <cellStyle name="Input 12 2 2 8 2 3" xfId="19421"/>
    <cellStyle name="Input 12 2 2 8 2 4" xfId="19422"/>
    <cellStyle name="Input 12 2 2 9" xfId="19423"/>
    <cellStyle name="Input 12 2 2 9 2" xfId="19424"/>
    <cellStyle name="Input 12 2 2 9 2 2" xfId="19425"/>
    <cellStyle name="Input 12 2 2 9 2 3" xfId="19426"/>
    <cellStyle name="Input 12 2 2 9 3" xfId="19427"/>
    <cellStyle name="Input 12 2 2 9 4" xfId="19428"/>
    <cellStyle name="Input 12 2 3" xfId="19429"/>
    <cellStyle name="Input 12 2 3 2" xfId="19430"/>
    <cellStyle name="Input 12 2 3 2 2" xfId="19431"/>
    <cellStyle name="Input 12 2 3 2 2 2" xfId="19432"/>
    <cellStyle name="Input 12 2 3 2 2 2 2" xfId="19433"/>
    <cellStyle name="Input 12 2 3 2 2 2 3" xfId="19434"/>
    <cellStyle name="Input 12 2 3 2 2 3" xfId="19435"/>
    <cellStyle name="Input 12 2 3 2 2 4" xfId="19436"/>
    <cellStyle name="Input 12 2 3 3" xfId="19437"/>
    <cellStyle name="Input 12 2 3 3 2" xfId="19438"/>
    <cellStyle name="Input 12 2 3 3 2 2" xfId="19439"/>
    <cellStyle name="Input 12 2 3 3 2 2 2" xfId="19440"/>
    <cellStyle name="Input 12 2 3 3 2 2 3" xfId="19441"/>
    <cellStyle name="Input 12 2 3 3 2 3" xfId="19442"/>
    <cellStyle name="Input 12 2 3 3 2 4" xfId="19443"/>
    <cellStyle name="Input 12 2 3 4" xfId="19444"/>
    <cellStyle name="Input 12 2 3 4 2" xfId="19445"/>
    <cellStyle name="Input 12 2 3 4 2 2" xfId="19446"/>
    <cellStyle name="Input 12 2 3 4 2 2 2" xfId="19447"/>
    <cellStyle name="Input 12 2 3 4 2 2 3" xfId="19448"/>
    <cellStyle name="Input 12 2 3 4 2 3" xfId="19449"/>
    <cellStyle name="Input 12 2 3 4 2 4" xfId="19450"/>
    <cellStyle name="Input 12 2 3 5" xfId="19451"/>
    <cellStyle name="Input 12 2 3 5 2" xfId="19452"/>
    <cellStyle name="Input 12 2 3 5 2 2" xfId="19453"/>
    <cellStyle name="Input 12 2 3 5 2 2 2" xfId="19454"/>
    <cellStyle name="Input 12 2 3 5 2 2 3" xfId="19455"/>
    <cellStyle name="Input 12 2 3 5 2 3" xfId="19456"/>
    <cellStyle name="Input 12 2 3 5 2 4" xfId="19457"/>
    <cellStyle name="Input 12 2 3 6" xfId="19458"/>
    <cellStyle name="Input 12 2 3 6 2" xfId="19459"/>
    <cellStyle name="Input 12 2 3 6 2 2" xfId="19460"/>
    <cellStyle name="Input 12 2 3 6 2 2 2" xfId="19461"/>
    <cellStyle name="Input 12 2 3 6 2 2 3" xfId="19462"/>
    <cellStyle name="Input 12 2 3 6 2 3" xfId="19463"/>
    <cellStyle name="Input 12 2 3 6 2 4" xfId="19464"/>
    <cellStyle name="Input 12 2 3 7" xfId="19465"/>
    <cellStyle name="Input 12 2 3 7 2" xfId="19466"/>
    <cellStyle name="Input 12 2 3 7 2 2" xfId="19467"/>
    <cellStyle name="Input 12 2 3 7 2 2 2" xfId="19468"/>
    <cellStyle name="Input 12 2 3 7 2 2 3" xfId="19469"/>
    <cellStyle name="Input 12 2 3 7 2 3" xfId="19470"/>
    <cellStyle name="Input 12 2 3 7 2 4" xfId="19471"/>
    <cellStyle name="Input 12 2 3 8" xfId="19472"/>
    <cellStyle name="Input 12 2 3 8 2" xfId="19473"/>
    <cellStyle name="Input 12 2 3 8 2 2" xfId="19474"/>
    <cellStyle name="Input 12 2 3 8 2 2 2" xfId="19475"/>
    <cellStyle name="Input 12 2 3 8 2 2 3" xfId="19476"/>
    <cellStyle name="Input 12 2 3 8 2 3" xfId="19477"/>
    <cellStyle name="Input 12 2 3 8 2 4" xfId="19478"/>
    <cellStyle name="Input 12 2 3 9" xfId="19479"/>
    <cellStyle name="Input 12 2 3 9 2" xfId="19480"/>
    <cellStyle name="Input 12 2 3 9 2 2" xfId="19481"/>
    <cellStyle name="Input 12 2 3 9 2 3" xfId="19482"/>
    <cellStyle name="Input 12 2 3 9 3" xfId="19483"/>
    <cellStyle name="Input 12 2 3 9 4" xfId="19484"/>
    <cellStyle name="Input 12 2 4" xfId="19485"/>
    <cellStyle name="Input 12 2 4 2" xfId="19486"/>
    <cellStyle name="Input 12 2 4 2 2" xfId="19487"/>
    <cellStyle name="Input 12 2 4 2 2 2" xfId="19488"/>
    <cellStyle name="Input 12 2 4 2 2 2 2" xfId="19489"/>
    <cellStyle name="Input 12 2 4 2 2 2 3" xfId="19490"/>
    <cellStyle name="Input 12 2 4 2 2 3" xfId="19491"/>
    <cellStyle name="Input 12 2 4 2 2 4" xfId="19492"/>
    <cellStyle name="Input 12 2 4 3" xfId="19493"/>
    <cellStyle name="Input 12 2 4 3 2" xfId="19494"/>
    <cellStyle name="Input 12 2 4 3 2 2" xfId="19495"/>
    <cellStyle name="Input 12 2 4 3 2 2 2" xfId="19496"/>
    <cellStyle name="Input 12 2 4 3 2 2 3" xfId="19497"/>
    <cellStyle name="Input 12 2 4 3 2 3" xfId="19498"/>
    <cellStyle name="Input 12 2 4 3 2 4" xfId="19499"/>
    <cellStyle name="Input 12 2 4 4" xfId="19500"/>
    <cellStyle name="Input 12 2 4 4 2" xfId="19501"/>
    <cellStyle name="Input 12 2 4 4 2 2" xfId="19502"/>
    <cellStyle name="Input 12 2 4 4 2 2 2" xfId="19503"/>
    <cellStyle name="Input 12 2 4 4 2 2 3" xfId="19504"/>
    <cellStyle name="Input 12 2 4 4 2 3" xfId="19505"/>
    <cellStyle name="Input 12 2 4 4 2 4" xfId="19506"/>
    <cellStyle name="Input 12 2 4 5" xfId="19507"/>
    <cellStyle name="Input 12 2 4 5 2" xfId="19508"/>
    <cellStyle name="Input 12 2 4 5 2 2" xfId="19509"/>
    <cellStyle name="Input 12 2 4 5 2 2 2" xfId="19510"/>
    <cellStyle name="Input 12 2 4 5 2 2 3" xfId="19511"/>
    <cellStyle name="Input 12 2 4 5 2 3" xfId="19512"/>
    <cellStyle name="Input 12 2 4 5 2 4" xfId="19513"/>
    <cellStyle name="Input 12 2 4 6" xfId="19514"/>
    <cellStyle name="Input 12 2 4 6 2" xfId="19515"/>
    <cellStyle name="Input 12 2 4 6 2 2" xfId="19516"/>
    <cellStyle name="Input 12 2 4 6 2 2 2" xfId="19517"/>
    <cellStyle name="Input 12 2 4 6 2 2 3" xfId="19518"/>
    <cellStyle name="Input 12 2 4 6 2 3" xfId="19519"/>
    <cellStyle name="Input 12 2 4 6 2 4" xfId="19520"/>
    <cellStyle name="Input 12 2 4 7" xfId="19521"/>
    <cellStyle name="Input 12 2 4 7 2" xfId="19522"/>
    <cellStyle name="Input 12 2 4 7 2 2" xfId="19523"/>
    <cellStyle name="Input 12 2 4 7 2 2 2" xfId="19524"/>
    <cellStyle name="Input 12 2 4 7 2 2 3" xfId="19525"/>
    <cellStyle name="Input 12 2 4 7 2 3" xfId="19526"/>
    <cellStyle name="Input 12 2 4 7 2 4" xfId="19527"/>
    <cellStyle name="Input 12 2 4 8" xfId="19528"/>
    <cellStyle name="Input 12 2 4 8 2" xfId="19529"/>
    <cellStyle name="Input 12 2 4 8 2 2" xfId="19530"/>
    <cellStyle name="Input 12 2 4 8 2 2 2" xfId="19531"/>
    <cellStyle name="Input 12 2 4 8 2 2 3" xfId="19532"/>
    <cellStyle name="Input 12 2 4 8 2 3" xfId="19533"/>
    <cellStyle name="Input 12 2 4 8 2 4" xfId="19534"/>
    <cellStyle name="Input 12 2 4 9" xfId="19535"/>
    <cellStyle name="Input 12 2 4 9 2" xfId="19536"/>
    <cellStyle name="Input 12 2 4 9 2 2" xfId="19537"/>
    <cellStyle name="Input 12 2 4 9 2 3" xfId="19538"/>
    <cellStyle name="Input 12 2 4 9 3" xfId="19539"/>
    <cellStyle name="Input 12 2 4 9 4" xfId="19540"/>
    <cellStyle name="Input 12 2 5" xfId="19541"/>
    <cellStyle name="Input 12 2 5 2" xfId="19542"/>
    <cellStyle name="Input 12 2 5 2 2" xfId="19543"/>
    <cellStyle name="Input 12 2 5 2 2 2" xfId="19544"/>
    <cellStyle name="Input 12 2 5 2 2 2 2" xfId="19545"/>
    <cellStyle name="Input 12 2 5 2 2 2 3" xfId="19546"/>
    <cellStyle name="Input 12 2 5 2 2 3" xfId="19547"/>
    <cellStyle name="Input 12 2 5 2 2 4" xfId="19548"/>
    <cellStyle name="Input 12 2 5 3" xfId="19549"/>
    <cellStyle name="Input 12 2 5 3 2" xfId="19550"/>
    <cellStyle name="Input 12 2 5 3 2 2" xfId="19551"/>
    <cellStyle name="Input 12 2 5 3 2 2 2" xfId="19552"/>
    <cellStyle name="Input 12 2 5 3 2 2 3" xfId="19553"/>
    <cellStyle name="Input 12 2 5 3 2 3" xfId="19554"/>
    <cellStyle name="Input 12 2 5 3 2 4" xfId="19555"/>
    <cellStyle name="Input 12 2 5 4" xfId="19556"/>
    <cellStyle name="Input 12 2 5 4 2" xfId="19557"/>
    <cellStyle name="Input 12 2 5 4 2 2" xfId="19558"/>
    <cellStyle name="Input 12 2 5 4 2 2 2" xfId="19559"/>
    <cellStyle name="Input 12 2 5 4 2 2 3" xfId="19560"/>
    <cellStyle name="Input 12 2 5 4 2 3" xfId="19561"/>
    <cellStyle name="Input 12 2 5 4 2 4" xfId="19562"/>
    <cellStyle name="Input 12 2 5 5" xfId="19563"/>
    <cellStyle name="Input 12 2 5 5 2" xfId="19564"/>
    <cellStyle name="Input 12 2 5 5 2 2" xfId="19565"/>
    <cellStyle name="Input 12 2 5 5 2 2 2" xfId="19566"/>
    <cellStyle name="Input 12 2 5 5 2 2 3" xfId="19567"/>
    <cellStyle name="Input 12 2 5 5 2 3" xfId="19568"/>
    <cellStyle name="Input 12 2 5 5 2 4" xfId="19569"/>
    <cellStyle name="Input 12 2 5 6" xfId="19570"/>
    <cellStyle name="Input 12 2 5 6 2" xfId="19571"/>
    <cellStyle name="Input 12 2 5 6 2 2" xfId="19572"/>
    <cellStyle name="Input 12 2 5 6 2 2 2" xfId="19573"/>
    <cellStyle name="Input 12 2 5 6 2 2 3" xfId="19574"/>
    <cellStyle name="Input 12 2 5 6 2 3" xfId="19575"/>
    <cellStyle name="Input 12 2 5 6 2 4" xfId="19576"/>
    <cellStyle name="Input 12 2 5 7" xfId="19577"/>
    <cellStyle name="Input 12 2 5 7 2" xfId="19578"/>
    <cellStyle name="Input 12 2 5 7 2 2" xfId="19579"/>
    <cellStyle name="Input 12 2 5 7 2 2 2" xfId="19580"/>
    <cellStyle name="Input 12 2 5 7 2 2 3" xfId="19581"/>
    <cellStyle name="Input 12 2 5 7 2 3" xfId="19582"/>
    <cellStyle name="Input 12 2 5 7 2 4" xfId="19583"/>
    <cellStyle name="Input 12 2 5 8" xfId="19584"/>
    <cellStyle name="Input 12 2 5 8 2" xfId="19585"/>
    <cellStyle name="Input 12 2 5 8 2 2" xfId="19586"/>
    <cellStyle name="Input 12 2 5 8 2 2 2" xfId="19587"/>
    <cellStyle name="Input 12 2 5 8 2 2 3" xfId="19588"/>
    <cellStyle name="Input 12 2 5 8 2 3" xfId="19589"/>
    <cellStyle name="Input 12 2 5 8 2 4" xfId="19590"/>
    <cellStyle name="Input 12 2 5 9" xfId="19591"/>
    <cellStyle name="Input 12 2 5 9 2" xfId="19592"/>
    <cellStyle name="Input 12 2 5 9 2 2" xfId="19593"/>
    <cellStyle name="Input 12 2 5 9 2 3" xfId="19594"/>
    <cellStyle name="Input 12 2 5 9 3" xfId="19595"/>
    <cellStyle name="Input 12 2 5 9 4" xfId="19596"/>
    <cellStyle name="Input 12 2 6" xfId="19597"/>
    <cellStyle name="Input 12 2 6 2" xfId="19598"/>
    <cellStyle name="Input 12 2 6 2 2" xfId="19599"/>
    <cellStyle name="Input 12 2 6 2 2 2" xfId="19600"/>
    <cellStyle name="Input 12 2 6 2 2 3" xfId="19601"/>
    <cellStyle name="Input 12 2 6 2 3" xfId="19602"/>
    <cellStyle name="Input 12 2 6 2 4" xfId="19603"/>
    <cellStyle name="Input 12 2 7" xfId="19604"/>
    <cellStyle name="Input 12 2 7 2" xfId="19605"/>
    <cellStyle name="Input 12 2 7 2 2" xfId="19606"/>
    <cellStyle name="Input 12 2 7 2 2 2" xfId="19607"/>
    <cellStyle name="Input 12 2 7 2 2 3" xfId="19608"/>
    <cellStyle name="Input 12 2 7 2 3" xfId="19609"/>
    <cellStyle name="Input 12 2 7 2 4" xfId="19610"/>
    <cellStyle name="Input 12 2 8" xfId="19611"/>
    <cellStyle name="Input 12 2 8 2" xfId="19612"/>
    <cellStyle name="Input 12 2 8 2 2" xfId="19613"/>
    <cellStyle name="Input 12 2 8 2 3" xfId="19614"/>
    <cellStyle name="Input 12 2 8 3" xfId="19615"/>
    <cellStyle name="Input 12 2 8 4" xfId="19616"/>
    <cellStyle name="Input 12 3" xfId="19617"/>
    <cellStyle name="Input 12 3 2" xfId="19618"/>
    <cellStyle name="Input 12 3 2 2" xfId="19619"/>
    <cellStyle name="Input 12 3 2 2 2" xfId="19620"/>
    <cellStyle name="Input 12 3 2 2 2 2" xfId="19621"/>
    <cellStyle name="Input 12 3 2 2 2 3" xfId="19622"/>
    <cellStyle name="Input 12 3 2 2 3" xfId="19623"/>
    <cellStyle name="Input 12 3 2 2 4" xfId="19624"/>
    <cellStyle name="Input 12 3 3" xfId="19625"/>
    <cellStyle name="Input 12 3 3 2" xfId="19626"/>
    <cellStyle name="Input 12 3 3 2 2" xfId="19627"/>
    <cellStyle name="Input 12 3 3 2 2 2" xfId="19628"/>
    <cellStyle name="Input 12 3 3 2 2 3" xfId="19629"/>
    <cellStyle name="Input 12 3 3 2 3" xfId="19630"/>
    <cellStyle name="Input 12 3 3 2 4" xfId="19631"/>
    <cellStyle name="Input 12 3 4" xfId="19632"/>
    <cellStyle name="Input 12 3 4 2" xfId="19633"/>
    <cellStyle name="Input 12 3 4 2 2" xfId="19634"/>
    <cellStyle name="Input 12 3 4 2 2 2" xfId="19635"/>
    <cellStyle name="Input 12 3 4 2 2 3" xfId="19636"/>
    <cellStyle name="Input 12 3 4 2 3" xfId="19637"/>
    <cellStyle name="Input 12 3 4 2 4" xfId="19638"/>
    <cellStyle name="Input 12 3 5" xfId="19639"/>
    <cellStyle name="Input 12 3 5 2" xfId="19640"/>
    <cellStyle name="Input 12 3 5 2 2" xfId="19641"/>
    <cellStyle name="Input 12 3 5 2 2 2" xfId="19642"/>
    <cellStyle name="Input 12 3 5 2 2 3" xfId="19643"/>
    <cellStyle name="Input 12 3 5 2 3" xfId="19644"/>
    <cellStyle name="Input 12 3 5 2 4" xfId="19645"/>
    <cellStyle name="Input 12 3 6" xfId="19646"/>
    <cellStyle name="Input 12 3 6 2" xfId="19647"/>
    <cellStyle name="Input 12 3 6 2 2" xfId="19648"/>
    <cellStyle name="Input 12 3 6 2 2 2" xfId="19649"/>
    <cellStyle name="Input 12 3 6 2 2 3" xfId="19650"/>
    <cellStyle name="Input 12 3 6 2 3" xfId="19651"/>
    <cellStyle name="Input 12 3 6 2 4" xfId="19652"/>
    <cellStyle name="Input 12 3 7" xfId="19653"/>
    <cellStyle name="Input 12 3 7 2" xfId="19654"/>
    <cellStyle name="Input 12 3 7 2 2" xfId="19655"/>
    <cellStyle name="Input 12 3 7 2 2 2" xfId="19656"/>
    <cellStyle name="Input 12 3 7 2 2 3" xfId="19657"/>
    <cellStyle name="Input 12 3 7 2 3" xfId="19658"/>
    <cellStyle name="Input 12 3 7 2 4" xfId="19659"/>
    <cellStyle name="Input 12 3 8" xfId="19660"/>
    <cellStyle name="Input 12 3 8 2" xfId="19661"/>
    <cellStyle name="Input 12 3 8 2 2" xfId="19662"/>
    <cellStyle name="Input 12 3 8 2 2 2" xfId="19663"/>
    <cellStyle name="Input 12 3 8 2 2 3" xfId="19664"/>
    <cellStyle name="Input 12 3 8 2 3" xfId="19665"/>
    <cellStyle name="Input 12 3 8 2 4" xfId="19666"/>
    <cellStyle name="Input 12 3 9" xfId="19667"/>
    <cellStyle name="Input 12 3 9 2" xfId="19668"/>
    <cellStyle name="Input 12 3 9 2 2" xfId="19669"/>
    <cellStyle name="Input 12 3 9 2 3" xfId="19670"/>
    <cellStyle name="Input 12 3 9 3" xfId="19671"/>
    <cellStyle name="Input 12 3 9 4" xfId="19672"/>
    <cellStyle name="Input 12 4" xfId="19673"/>
    <cellStyle name="Input 12 4 2" xfId="19674"/>
    <cellStyle name="Input 12 4 2 2" xfId="19675"/>
    <cellStyle name="Input 12 4 2 2 2" xfId="19676"/>
    <cellStyle name="Input 12 4 2 2 2 2" xfId="19677"/>
    <cellStyle name="Input 12 4 2 2 2 3" xfId="19678"/>
    <cellStyle name="Input 12 4 2 2 3" xfId="19679"/>
    <cellStyle name="Input 12 4 2 2 4" xfId="19680"/>
    <cellStyle name="Input 12 4 3" xfId="19681"/>
    <cellStyle name="Input 12 4 3 2" xfId="19682"/>
    <cellStyle name="Input 12 4 3 2 2" xfId="19683"/>
    <cellStyle name="Input 12 4 3 2 2 2" xfId="19684"/>
    <cellStyle name="Input 12 4 3 2 2 3" xfId="19685"/>
    <cellStyle name="Input 12 4 3 2 3" xfId="19686"/>
    <cellStyle name="Input 12 4 3 2 4" xfId="19687"/>
    <cellStyle name="Input 12 4 4" xfId="19688"/>
    <cellStyle name="Input 12 4 4 2" xfId="19689"/>
    <cellStyle name="Input 12 4 4 2 2" xfId="19690"/>
    <cellStyle name="Input 12 4 4 2 2 2" xfId="19691"/>
    <cellStyle name="Input 12 4 4 2 2 3" xfId="19692"/>
    <cellStyle name="Input 12 4 4 2 3" xfId="19693"/>
    <cellStyle name="Input 12 4 4 2 4" xfId="19694"/>
    <cellStyle name="Input 12 4 5" xfId="19695"/>
    <cellStyle name="Input 12 4 5 2" xfId="19696"/>
    <cellStyle name="Input 12 4 5 2 2" xfId="19697"/>
    <cellStyle name="Input 12 4 5 2 2 2" xfId="19698"/>
    <cellStyle name="Input 12 4 5 2 2 3" xfId="19699"/>
    <cellStyle name="Input 12 4 5 2 3" xfId="19700"/>
    <cellStyle name="Input 12 4 5 2 4" xfId="19701"/>
    <cellStyle name="Input 12 4 6" xfId="19702"/>
    <cellStyle name="Input 12 4 6 2" xfId="19703"/>
    <cellStyle name="Input 12 4 6 2 2" xfId="19704"/>
    <cellStyle name="Input 12 4 6 2 2 2" xfId="19705"/>
    <cellStyle name="Input 12 4 6 2 2 3" xfId="19706"/>
    <cellStyle name="Input 12 4 6 2 3" xfId="19707"/>
    <cellStyle name="Input 12 4 6 2 4" xfId="19708"/>
    <cellStyle name="Input 12 4 7" xfId="19709"/>
    <cellStyle name="Input 12 4 7 2" xfId="19710"/>
    <cellStyle name="Input 12 4 7 2 2" xfId="19711"/>
    <cellStyle name="Input 12 4 7 2 2 2" xfId="19712"/>
    <cellStyle name="Input 12 4 7 2 2 3" xfId="19713"/>
    <cellStyle name="Input 12 4 7 2 3" xfId="19714"/>
    <cellStyle name="Input 12 4 7 2 4" xfId="19715"/>
    <cellStyle name="Input 12 4 8" xfId="19716"/>
    <cellStyle name="Input 12 4 8 2" xfId="19717"/>
    <cellStyle name="Input 12 4 8 2 2" xfId="19718"/>
    <cellStyle name="Input 12 4 8 2 2 2" xfId="19719"/>
    <cellStyle name="Input 12 4 8 2 2 3" xfId="19720"/>
    <cellStyle name="Input 12 4 8 2 3" xfId="19721"/>
    <cellStyle name="Input 12 4 8 2 4" xfId="19722"/>
    <cellStyle name="Input 12 4 9" xfId="19723"/>
    <cellStyle name="Input 12 4 9 2" xfId="19724"/>
    <cellStyle name="Input 12 4 9 2 2" xfId="19725"/>
    <cellStyle name="Input 12 4 9 2 3" xfId="19726"/>
    <cellStyle name="Input 12 4 9 3" xfId="19727"/>
    <cellStyle name="Input 12 4 9 4" xfId="19728"/>
    <cellStyle name="Input 12 5" xfId="19729"/>
    <cellStyle name="Input 12 5 2" xfId="19730"/>
    <cellStyle name="Input 12 5 2 2" xfId="19731"/>
    <cellStyle name="Input 12 5 2 2 2" xfId="19732"/>
    <cellStyle name="Input 12 5 2 2 2 2" xfId="19733"/>
    <cellStyle name="Input 12 5 2 2 2 3" xfId="19734"/>
    <cellStyle name="Input 12 5 2 2 3" xfId="19735"/>
    <cellStyle name="Input 12 5 2 2 4" xfId="19736"/>
    <cellStyle name="Input 12 5 3" xfId="19737"/>
    <cellStyle name="Input 12 5 3 2" xfId="19738"/>
    <cellStyle name="Input 12 5 3 2 2" xfId="19739"/>
    <cellStyle name="Input 12 5 3 2 2 2" xfId="19740"/>
    <cellStyle name="Input 12 5 3 2 2 3" xfId="19741"/>
    <cellStyle name="Input 12 5 3 2 3" xfId="19742"/>
    <cellStyle name="Input 12 5 3 2 4" xfId="19743"/>
    <cellStyle name="Input 12 5 4" xfId="19744"/>
    <cellStyle name="Input 12 5 4 2" xfId="19745"/>
    <cellStyle name="Input 12 5 4 2 2" xfId="19746"/>
    <cellStyle name="Input 12 5 4 2 2 2" xfId="19747"/>
    <cellStyle name="Input 12 5 4 2 2 3" xfId="19748"/>
    <cellStyle name="Input 12 5 4 2 3" xfId="19749"/>
    <cellStyle name="Input 12 5 4 2 4" xfId="19750"/>
    <cellStyle name="Input 12 5 5" xfId="19751"/>
    <cellStyle name="Input 12 5 5 2" xfId="19752"/>
    <cellStyle name="Input 12 5 5 2 2" xfId="19753"/>
    <cellStyle name="Input 12 5 5 2 2 2" xfId="19754"/>
    <cellStyle name="Input 12 5 5 2 2 3" xfId="19755"/>
    <cellStyle name="Input 12 5 5 2 3" xfId="19756"/>
    <cellStyle name="Input 12 5 5 2 4" xfId="19757"/>
    <cellStyle name="Input 12 5 6" xfId="19758"/>
    <cellStyle name="Input 12 5 6 2" xfId="19759"/>
    <cellStyle name="Input 12 5 6 2 2" xfId="19760"/>
    <cellStyle name="Input 12 5 6 2 2 2" xfId="19761"/>
    <cellStyle name="Input 12 5 6 2 2 3" xfId="19762"/>
    <cellStyle name="Input 12 5 6 2 3" xfId="19763"/>
    <cellStyle name="Input 12 5 6 2 4" xfId="19764"/>
    <cellStyle name="Input 12 5 7" xfId="19765"/>
    <cellStyle name="Input 12 5 7 2" xfId="19766"/>
    <cellStyle name="Input 12 5 7 2 2" xfId="19767"/>
    <cellStyle name="Input 12 5 7 2 2 2" xfId="19768"/>
    <cellStyle name="Input 12 5 7 2 2 3" xfId="19769"/>
    <cellStyle name="Input 12 5 7 2 3" xfId="19770"/>
    <cellStyle name="Input 12 5 7 2 4" xfId="19771"/>
    <cellStyle name="Input 12 5 8" xfId="19772"/>
    <cellStyle name="Input 12 5 8 2" xfId="19773"/>
    <cellStyle name="Input 12 5 8 2 2" xfId="19774"/>
    <cellStyle name="Input 12 5 8 2 2 2" xfId="19775"/>
    <cellStyle name="Input 12 5 8 2 2 3" xfId="19776"/>
    <cellStyle name="Input 12 5 8 2 3" xfId="19777"/>
    <cellStyle name="Input 12 5 8 2 4" xfId="19778"/>
    <cellStyle name="Input 12 5 9" xfId="19779"/>
    <cellStyle name="Input 12 5 9 2" xfId="19780"/>
    <cellStyle name="Input 12 5 9 2 2" xfId="19781"/>
    <cellStyle name="Input 12 5 9 2 3" xfId="19782"/>
    <cellStyle name="Input 12 5 9 3" xfId="19783"/>
    <cellStyle name="Input 12 5 9 4" xfId="19784"/>
    <cellStyle name="Input 12 6" xfId="19785"/>
    <cellStyle name="Input 12 6 2" xfId="19786"/>
    <cellStyle name="Input 12 6 2 2" xfId="19787"/>
    <cellStyle name="Input 12 6 2 2 2" xfId="19788"/>
    <cellStyle name="Input 12 6 2 2 2 2" xfId="19789"/>
    <cellStyle name="Input 12 6 2 2 2 3" xfId="19790"/>
    <cellStyle name="Input 12 6 2 2 3" xfId="19791"/>
    <cellStyle name="Input 12 6 2 2 4" xfId="19792"/>
    <cellStyle name="Input 12 6 3" xfId="19793"/>
    <cellStyle name="Input 12 6 3 2" xfId="19794"/>
    <cellStyle name="Input 12 6 3 2 2" xfId="19795"/>
    <cellStyle name="Input 12 6 3 2 2 2" xfId="19796"/>
    <cellStyle name="Input 12 6 3 2 2 3" xfId="19797"/>
    <cellStyle name="Input 12 6 3 2 3" xfId="19798"/>
    <cellStyle name="Input 12 6 3 2 4" xfId="19799"/>
    <cellStyle name="Input 12 6 4" xfId="19800"/>
    <cellStyle name="Input 12 6 4 2" xfId="19801"/>
    <cellStyle name="Input 12 6 4 2 2" xfId="19802"/>
    <cellStyle name="Input 12 6 4 2 2 2" xfId="19803"/>
    <cellStyle name="Input 12 6 4 2 2 3" xfId="19804"/>
    <cellStyle name="Input 12 6 4 2 3" xfId="19805"/>
    <cellStyle name="Input 12 6 4 2 4" xfId="19806"/>
    <cellStyle name="Input 12 6 5" xfId="19807"/>
    <cellStyle name="Input 12 6 5 2" xfId="19808"/>
    <cellStyle name="Input 12 6 5 2 2" xfId="19809"/>
    <cellStyle name="Input 12 6 5 2 2 2" xfId="19810"/>
    <cellStyle name="Input 12 6 5 2 2 3" xfId="19811"/>
    <cellStyle name="Input 12 6 5 2 3" xfId="19812"/>
    <cellStyle name="Input 12 6 5 2 4" xfId="19813"/>
    <cellStyle name="Input 12 6 6" xfId="19814"/>
    <cellStyle name="Input 12 6 6 2" xfId="19815"/>
    <cellStyle name="Input 12 6 6 2 2" xfId="19816"/>
    <cellStyle name="Input 12 6 6 2 2 2" xfId="19817"/>
    <cellStyle name="Input 12 6 6 2 2 3" xfId="19818"/>
    <cellStyle name="Input 12 6 6 2 3" xfId="19819"/>
    <cellStyle name="Input 12 6 6 2 4" xfId="19820"/>
    <cellStyle name="Input 12 6 7" xfId="19821"/>
    <cellStyle name="Input 12 6 7 2" xfId="19822"/>
    <cellStyle name="Input 12 6 7 2 2" xfId="19823"/>
    <cellStyle name="Input 12 6 7 2 2 2" xfId="19824"/>
    <cellStyle name="Input 12 6 7 2 2 3" xfId="19825"/>
    <cellStyle name="Input 12 6 7 2 3" xfId="19826"/>
    <cellStyle name="Input 12 6 7 2 4" xfId="19827"/>
    <cellStyle name="Input 12 6 8" xfId="19828"/>
    <cellStyle name="Input 12 6 8 2" xfId="19829"/>
    <cellStyle name="Input 12 6 8 2 2" xfId="19830"/>
    <cellStyle name="Input 12 6 8 2 2 2" xfId="19831"/>
    <cellStyle name="Input 12 6 8 2 2 3" xfId="19832"/>
    <cellStyle name="Input 12 6 8 2 3" xfId="19833"/>
    <cellStyle name="Input 12 6 8 2 4" xfId="19834"/>
    <cellStyle name="Input 12 6 9" xfId="19835"/>
    <cellStyle name="Input 12 6 9 2" xfId="19836"/>
    <cellStyle name="Input 12 6 9 2 2" xfId="19837"/>
    <cellStyle name="Input 12 6 9 2 3" xfId="19838"/>
    <cellStyle name="Input 12 6 9 3" xfId="19839"/>
    <cellStyle name="Input 12 6 9 4" xfId="19840"/>
    <cellStyle name="Input 12 7" xfId="19841"/>
    <cellStyle name="Input 12 7 2" xfId="19842"/>
    <cellStyle name="Input 12 7 2 2" xfId="19843"/>
    <cellStyle name="Input 12 7 2 2 2" xfId="19844"/>
    <cellStyle name="Input 12 7 2 2 3" xfId="19845"/>
    <cellStyle name="Input 12 7 2 3" xfId="19846"/>
    <cellStyle name="Input 12 7 2 4" xfId="19847"/>
    <cellStyle name="Input 12 8" xfId="19848"/>
    <cellStyle name="Input 12 8 2" xfId="19849"/>
    <cellStyle name="Input 12 8 2 2" xfId="19850"/>
    <cellStyle name="Input 12 8 2 2 2" xfId="19851"/>
    <cellStyle name="Input 12 8 2 2 3" xfId="19852"/>
    <cellStyle name="Input 12 8 2 3" xfId="19853"/>
    <cellStyle name="Input 12 8 2 4" xfId="19854"/>
    <cellStyle name="Input 12 9" xfId="19855"/>
    <cellStyle name="Input 12 9 2" xfId="19856"/>
    <cellStyle name="Input 12 9 2 2" xfId="19857"/>
    <cellStyle name="Input 12 9 2 3" xfId="19858"/>
    <cellStyle name="Input 12 9 3" xfId="19859"/>
    <cellStyle name="Input 12 9 4" xfId="19860"/>
    <cellStyle name="Input 13" xfId="19861"/>
    <cellStyle name="Input 13 2" xfId="43059"/>
    <cellStyle name="Input 14" xfId="19862"/>
    <cellStyle name="Input 14 2" xfId="19863"/>
    <cellStyle name="Input 14 2 2" xfId="19864"/>
    <cellStyle name="Input 14 2 2 2" xfId="19865"/>
    <cellStyle name="Input 14 2 2 3" xfId="19866"/>
    <cellStyle name="Input 14 2 3" xfId="19867"/>
    <cellStyle name="Input 14 2 4" xfId="19868"/>
    <cellStyle name="Input 14 3" xfId="43060"/>
    <cellStyle name="Input 15" xfId="19869"/>
    <cellStyle name="Input 15 2" xfId="19870"/>
    <cellStyle name="Input 15 2 2" xfId="19871"/>
    <cellStyle name="Input 15 2 2 2" xfId="19872"/>
    <cellStyle name="Input 15 2 2 3" xfId="19873"/>
    <cellStyle name="Input 15 2 3" xfId="19874"/>
    <cellStyle name="Input 15 2 4" xfId="19875"/>
    <cellStyle name="Input 16" xfId="19876"/>
    <cellStyle name="Input 16 2" xfId="19877"/>
    <cellStyle name="Input 16 2 2" xfId="19878"/>
    <cellStyle name="Input 16 2 2 2" xfId="19879"/>
    <cellStyle name="Input 16 2 2 3" xfId="19880"/>
    <cellStyle name="Input 16 2 3" xfId="19881"/>
    <cellStyle name="Input 16 2 4" xfId="19882"/>
    <cellStyle name="Input 17" xfId="19883"/>
    <cellStyle name="Input 17 2" xfId="19884"/>
    <cellStyle name="Input 17 2 2" xfId="19885"/>
    <cellStyle name="Input 17 2 2 2" xfId="19886"/>
    <cellStyle name="Input 17 2 2 3" xfId="19887"/>
    <cellStyle name="Input 17 2 3" xfId="19888"/>
    <cellStyle name="Input 17 2 4" xfId="19889"/>
    <cellStyle name="Input 18" xfId="19890"/>
    <cellStyle name="Input 18 2" xfId="19891"/>
    <cellStyle name="Input 18 2 2" xfId="19892"/>
    <cellStyle name="Input 18 2 2 2" xfId="19893"/>
    <cellStyle name="Input 18 2 2 3" xfId="19894"/>
    <cellStyle name="Input 18 2 3" xfId="19895"/>
    <cellStyle name="Input 18 2 4" xfId="19896"/>
    <cellStyle name="Input 19" xfId="19897"/>
    <cellStyle name="Input 19 2" xfId="19898"/>
    <cellStyle name="Input 19 2 2" xfId="19899"/>
    <cellStyle name="Input 19 2 2 2" xfId="19900"/>
    <cellStyle name="Input 19 2 2 3" xfId="19901"/>
    <cellStyle name="Input 19 2 3" xfId="19902"/>
    <cellStyle name="Input 19 2 4" xfId="19903"/>
    <cellStyle name="Input 2" xfId="19904"/>
    <cellStyle name="Input 2 10" xfId="19905"/>
    <cellStyle name="Input 2 10 2" xfId="19906"/>
    <cellStyle name="Input 2 10 2 2" xfId="19907"/>
    <cellStyle name="Input 2 10 2 2 2" xfId="19908"/>
    <cellStyle name="Input 2 10 2 2 3" xfId="19909"/>
    <cellStyle name="Input 2 10 2 3" xfId="19910"/>
    <cellStyle name="Input 2 10 2 4" xfId="19911"/>
    <cellStyle name="Input 2 11" xfId="19912"/>
    <cellStyle name="Input 2 11 2" xfId="19913"/>
    <cellStyle name="Input 2 11 2 2" xfId="19914"/>
    <cellStyle name="Input 2 11 2 2 2" xfId="19915"/>
    <cellStyle name="Input 2 11 2 2 3" xfId="19916"/>
    <cellStyle name="Input 2 11 2 3" xfId="19917"/>
    <cellStyle name="Input 2 11 2 4" xfId="19918"/>
    <cellStyle name="Input 2 12" xfId="19919"/>
    <cellStyle name="Input 2 12 2" xfId="19920"/>
    <cellStyle name="Input 2 12 2 2" xfId="19921"/>
    <cellStyle name="Input 2 12 2 3" xfId="19922"/>
    <cellStyle name="Input 2 12 3" xfId="19923"/>
    <cellStyle name="Input 2 12 4" xfId="19924"/>
    <cellStyle name="Input 2 13" xfId="42867"/>
    <cellStyle name="Input 2 14" xfId="42961"/>
    <cellStyle name="Input 2 2" xfId="19925"/>
    <cellStyle name="Input 2 2 2" xfId="19926"/>
    <cellStyle name="Input 2 2 2 2" xfId="19927"/>
    <cellStyle name="Input 2 2 2 2 2" xfId="19928"/>
    <cellStyle name="Input 2 2 2 2 2 2" xfId="19929"/>
    <cellStyle name="Input 2 2 2 2 2 2 2" xfId="19930"/>
    <cellStyle name="Input 2 2 2 2 2 2 3" xfId="19931"/>
    <cellStyle name="Input 2 2 2 2 2 3" xfId="19932"/>
    <cellStyle name="Input 2 2 2 2 2 4" xfId="19933"/>
    <cellStyle name="Input 2 2 2 3" xfId="19934"/>
    <cellStyle name="Input 2 2 2 3 2" xfId="19935"/>
    <cellStyle name="Input 2 2 2 3 2 2" xfId="19936"/>
    <cellStyle name="Input 2 2 2 3 2 2 2" xfId="19937"/>
    <cellStyle name="Input 2 2 2 3 2 2 3" xfId="19938"/>
    <cellStyle name="Input 2 2 2 3 2 3" xfId="19939"/>
    <cellStyle name="Input 2 2 2 3 2 4" xfId="19940"/>
    <cellStyle name="Input 2 2 2 4" xfId="19941"/>
    <cellStyle name="Input 2 2 2 4 2" xfId="19942"/>
    <cellStyle name="Input 2 2 2 4 2 2" xfId="19943"/>
    <cellStyle name="Input 2 2 2 4 2 2 2" xfId="19944"/>
    <cellStyle name="Input 2 2 2 4 2 2 3" xfId="19945"/>
    <cellStyle name="Input 2 2 2 4 2 3" xfId="19946"/>
    <cellStyle name="Input 2 2 2 4 2 4" xfId="19947"/>
    <cellStyle name="Input 2 2 2 5" xfId="19948"/>
    <cellStyle name="Input 2 2 2 5 2" xfId="19949"/>
    <cellStyle name="Input 2 2 2 5 2 2" xfId="19950"/>
    <cellStyle name="Input 2 2 2 5 2 2 2" xfId="19951"/>
    <cellStyle name="Input 2 2 2 5 2 2 3" xfId="19952"/>
    <cellStyle name="Input 2 2 2 5 2 3" xfId="19953"/>
    <cellStyle name="Input 2 2 2 5 2 4" xfId="19954"/>
    <cellStyle name="Input 2 2 2 6" xfId="19955"/>
    <cellStyle name="Input 2 2 2 6 2" xfId="19956"/>
    <cellStyle name="Input 2 2 2 6 2 2" xfId="19957"/>
    <cellStyle name="Input 2 2 2 6 2 2 2" xfId="19958"/>
    <cellStyle name="Input 2 2 2 6 2 2 3" xfId="19959"/>
    <cellStyle name="Input 2 2 2 6 2 3" xfId="19960"/>
    <cellStyle name="Input 2 2 2 6 2 4" xfId="19961"/>
    <cellStyle name="Input 2 2 2 7" xfId="19962"/>
    <cellStyle name="Input 2 2 2 7 2" xfId="19963"/>
    <cellStyle name="Input 2 2 2 7 2 2" xfId="19964"/>
    <cellStyle name="Input 2 2 2 7 2 2 2" xfId="19965"/>
    <cellStyle name="Input 2 2 2 7 2 2 3" xfId="19966"/>
    <cellStyle name="Input 2 2 2 7 2 3" xfId="19967"/>
    <cellStyle name="Input 2 2 2 7 2 4" xfId="19968"/>
    <cellStyle name="Input 2 2 2 8" xfId="19969"/>
    <cellStyle name="Input 2 2 2 8 2" xfId="19970"/>
    <cellStyle name="Input 2 2 2 8 2 2" xfId="19971"/>
    <cellStyle name="Input 2 2 2 8 2 2 2" xfId="19972"/>
    <cellStyle name="Input 2 2 2 8 2 2 3" xfId="19973"/>
    <cellStyle name="Input 2 2 2 8 2 3" xfId="19974"/>
    <cellStyle name="Input 2 2 2 8 2 4" xfId="19975"/>
    <cellStyle name="Input 2 2 2 9" xfId="19976"/>
    <cellStyle name="Input 2 2 2 9 2" xfId="19977"/>
    <cellStyle name="Input 2 2 2 9 2 2" xfId="19978"/>
    <cellStyle name="Input 2 2 2 9 2 3" xfId="19979"/>
    <cellStyle name="Input 2 2 2 9 3" xfId="19980"/>
    <cellStyle name="Input 2 2 2 9 4" xfId="19981"/>
    <cellStyle name="Input 2 2 3" xfId="19982"/>
    <cellStyle name="Input 2 2 3 2" xfId="19983"/>
    <cellStyle name="Input 2 2 3 2 2" xfId="19984"/>
    <cellStyle name="Input 2 2 3 2 2 2" xfId="19985"/>
    <cellStyle name="Input 2 2 3 2 2 2 2" xfId="19986"/>
    <cellStyle name="Input 2 2 3 2 2 2 3" xfId="19987"/>
    <cellStyle name="Input 2 2 3 2 2 3" xfId="19988"/>
    <cellStyle name="Input 2 2 3 2 2 4" xfId="19989"/>
    <cellStyle name="Input 2 2 3 3" xfId="19990"/>
    <cellStyle name="Input 2 2 3 3 2" xfId="19991"/>
    <cellStyle name="Input 2 2 3 3 2 2" xfId="19992"/>
    <cellStyle name="Input 2 2 3 3 2 2 2" xfId="19993"/>
    <cellStyle name="Input 2 2 3 3 2 2 3" xfId="19994"/>
    <cellStyle name="Input 2 2 3 3 2 3" xfId="19995"/>
    <cellStyle name="Input 2 2 3 3 2 4" xfId="19996"/>
    <cellStyle name="Input 2 2 3 4" xfId="19997"/>
    <cellStyle name="Input 2 2 3 4 2" xfId="19998"/>
    <cellStyle name="Input 2 2 3 4 2 2" xfId="19999"/>
    <cellStyle name="Input 2 2 3 4 2 2 2" xfId="20000"/>
    <cellStyle name="Input 2 2 3 4 2 2 3" xfId="20001"/>
    <cellStyle name="Input 2 2 3 4 2 3" xfId="20002"/>
    <cellStyle name="Input 2 2 3 4 2 4" xfId="20003"/>
    <cellStyle name="Input 2 2 3 5" xfId="20004"/>
    <cellStyle name="Input 2 2 3 5 2" xfId="20005"/>
    <cellStyle name="Input 2 2 3 5 2 2" xfId="20006"/>
    <cellStyle name="Input 2 2 3 5 2 2 2" xfId="20007"/>
    <cellStyle name="Input 2 2 3 5 2 2 3" xfId="20008"/>
    <cellStyle name="Input 2 2 3 5 2 3" xfId="20009"/>
    <cellStyle name="Input 2 2 3 5 2 4" xfId="20010"/>
    <cellStyle name="Input 2 2 3 6" xfId="20011"/>
    <cellStyle name="Input 2 2 3 6 2" xfId="20012"/>
    <cellStyle name="Input 2 2 3 6 2 2" xfId="20013"/>
    <cellStyle name="Input 2 2 3 6 2 2 2" xfId="20014"/>
    <cellStyle name="Input 2 2 3 6 2 2 3" xfId="20015"/>
    <cellStyle name="Input 2 2 3 6 2 3" xfId="20016"/>
    <cellStyle name="Input 2 2 3 6 2 4" xfId="20017"/>
    <cellStyle name="Input 2 2 3 7" xfId="20018"/>
    <cellStyle name="Input 2 2 3 7 2" xfId="20019"/>
    <cellStyle name="Input 2 2 3 7 2 2" xfId="20020"/>
    <cellStyle name="Input 2 2 3 7 2 2 2" xfId="20021"/>
    <cellStyle name="Input 2 2 3 7 2 2 3" xfId="20022"/>
    <cellStyle name="Input 2 2 3 7 2 3" xfId="20023"/>
    <cellStyle name="Input 2 2 3 7 2 4" xfId="20024"/>
    <cellStyle name="Input 2 2 3 8" xfId="20025"/>
    <cellStyle name="Input 2 2 3 8 2" xfId="20026"/>
    <cellStyle name="Input 2 2 3 8 2 2" xfId="20027"/>
    <cellStyle name="Input 2 2 3 8 2 2 2" xfId="20028"/>
    <cellStyle name="Input 2 2 3 8 2 2 3" xfId="20029"/>
    <cellStyle name="Input 2 2 3 8 2 3" xfId="20030"/>
    <cellStyle name="Input 2 2 3 8 2 4" xfId="20031"/>
    <cellStyle name="Input 2 2 3 9" xfId="20032"/>
    <cellStyle name="Input 2 2 3 9 2" xfId="20033"/>
    <cellStyle name="Input 2 2 3 9 2 2" xfId="20034"/>
    <cellStyle name="Input 2 2 3 9 2 3" xfId="20035"/>
    <cellStyle name="Input 2 2 3 9 3" xfId="20036"/>
    <cellStyle name="Input 2 2 3 9 4" xfId="20037"/>
    <cellStyle name="Input 2 2 4" xfId="20038"/>
    <cellStyle name="Input 2 2 4 2" xfId="20039"/>
    <cellStyle name="Input 2 2 4 2 2" xfId="20040"/>
    <cellStyle name="Input 2 2 4 2 2 2" xfId="20041"/>
    <cellStyle name="Input 2 2 4 2 2 2 2" xfId="20042"/>
    <cellStyle name="Input 2 2 4 2 2 2 3" xfId="20043"/>
    <cellStyle name="Input 2 2 4 2 2 3" xfId="20044"/>
    <cellStyle name="Input 2 2 4 2 2 4" xfId="20045"/>
    <cellStyle name="Input 2 2 4 3" xfId="20046"/>
    <cellStyle name="Input 2 2 4 3 2" xfId="20047"/>
    <cellStyle name="Input 2 2 4 3 2 2" xfId="20048"/>
    <cellStyle name="Input 2 2 4 3 2 2 2" xfId="20049"/>
    <cellStyle name="Input 2 2 4 3 2 2 3" xfId="20050"/>
    <cellStyle name="Input 2 2 4 3 2 3" xfId="20051"/>
    <cellStyle name="Input 2 2 4 3 2 4" xfId="20052"/>
    <cellStyle name="Input 2 2 4 4" xfId="20053"/>
    <cellStyle name="Input 2 2 4 4 2" xfId="20054"/>
    <cellStyle name="Input 2 2 4 4 2 2" xfId="20055"/>
    <cellStyle name="Input 2 2 4 4 2 2 2" xfId="20056"/>
    <cellStyle name="Input 2 2 4 4 2 2 3" xfId="20057"/>
    <cellStyle name="Input 2 2 4 4 2 3" xfId="20058"/>
    <cellStyle name="Input 2 2 4 4 2 4" xfId="20059"/>
    <cellStyle name="Input 2 2 4 5" xfId="20060"/>
    <cellStyle name="Input 2 2 4 5 2" xfId="20061"/>
    <cellStyle name="Input 2 2 4 5 2 2" xfId="20062"/>
    <cellStyle name="Input 2 2 4 5 2 2 2" xfId="20063"/>
    <cellStyle name="Input 2 2 4 5 2 2 3" xfId="20064"/>
    <cellStyle name="Input 2 2 4 5 2 3" xfId="20065"/>
    <cellStyle name="Input 2 2 4 5 2 4" xfId="20066"/>
    <cellStyle name="Input 2 2 4 6" xfId="20067"/>
    <cellStyle name="Input 2 2 4 6 2" xfId="20068"/>
    <cellStyle name="Input 2 2 4 6 2 2" xfId="20069"/>
    <cellStyle name="Input 2 2 4 6 2 2 2" xfId="20070"/>
    <cellStyle name="Input 2 2 4 6 2 2 3" xfId="20071"/>
    <cellStyle name="Input 2 2 4 6 2 3" xfId="20072"/>
    <cellStyle name="Input 2 2 4 6 2 4" xfId="20073"/>
    <cellStyle name="Input 2 2 4 7" xfId="20074"/>
    <cellStyle name="Input 2 2 4 7 2" xfId="20075"/>
    <cellStyle name="Input 2 2 4 7 2 2" xfId="20076"/>
    <cellStyle name="Input 2 2 4 7 2 2 2" xfId="20077"/>
    <cellStyle name="Input 2 2 4 7 2 2 3" xfId="20078"/>
    <cellStyle name="Input 2 2 4 7 2 3" xfId="20079"/>
    <cellStyle name="Input 2 2 4 7 2 4" xfId="20080"/>
    <cellStyle name="Input 2 2 4 8" xfId="20081"/>
    <cellStyle name="Input 2 2 4 8 2" xfId="20082"/>
    <cellStyle name="Input 2 2 4 8 2 2" xfId="20083"/>
    <cellStyle name="Input 2 2 4 8 2 2 2" xfId="20084"/>
    <cellStyle name="Input 2 2 4 8 2 2 3" xfId="20085"/>
    <cellStyle name="Input 2 2 4 8 2 3" xfId="20086"/>
    <cellStyle name="Input 2 2 4 8 2 4" xfId="20087"/>
    <cellStyle name="Input 2 2 4 9" xfId="20088"/>
    <cellStyle name="Input 2 2 4 9 2" xfId="20089"/>
    <cellStyle name="Input 2 2 4 9 2 2" xfId="20090"/>
    <cellStyle name="Input 2 2 4 9 2 3" xfId="20091"/>
    <cellStyle name="Input 2 2 4 9 3" xfId="20092"/>
    <cellStyle name="Input 2 2 4 9 4" xfId="20093"/>
    <cellStyle name="Input 2 2 5" xfId="20094"/>
    <cellStyle name="Input 2 2 5 2" xfId="20095"/>
    <cellStyle name="Input 2 2 5 2 2" xfId="20096"/>
    <cellStyle name="Input 2 2 5 2 2 2" xfId="20097"/>
    <cellStyle name="Input 2 2 5 2 2 2 2" xfId="20098"/>
    <cellStyle name="Input 2 2 5 2 2 2 3" xfId="20099"/>
    <cellStyle name="Input 2 2 5 2 2 3" xfId="20100"/>
    <cellStyle name="Input 2 2 5 2 2 4" xfId="20101"/>
    <cellStyle name="Input 2 2 5 3" xfId="20102"/>
    <cellStyle name="Input 2 2 5 3 2" xfId="20103"/>
    <cellStyle name="Input 2 2 5 3 2 2" xfId="20104"/>
    <cellStyle name="Input 2 2 5 3 2 2 2" xfId="20105"/>
    <cellStyle name="Input 2 2 5 3 2 2 3" xfId="20106"/>
    <cellStyle name="Input 2 2 5 3 2 3" xfId="20107"/>
    <cellStyle name="Input 2 2 5 3 2 4" xfId="20108"/>
    <cellStyle name="Input 2 2 5 4" xfId="20109"/>
    <cellStyle name="Input 2 2 5 4 2" xfId="20110"/>
    <cellStyle name="Input 2 2 5 4 2 2" xfId="20111"/>
    <cellStyle name="Input 2 2 5 4 2 2 2" xfId="20112"/>
    <cellStyle name="Input 2 2 5 4 2 2 3" xfId="20113"/>
    <cellStyle name="Input 2 2 5 4 2 3" xfId="20114"/>
    <cellStyle name="Input 2 2 5 4 2 4" xfId="20115"/>
    <cellStyle name="Input 2 2 5 5" xfId="20116"/>
    <cellStyle name="Input 2 2 5 5 2" xfId="20117"/>
    <cellStyle name="Input 2 2 5 5 2 2" xfId="20118"/>
    <cellStyle name="Input 2 2 5 5 2 2 2" xfId="20119"/>
    <cellStyle name="Input 2 2 5 5 2 2 3" xfId="20120"/>
    <cellStyle name="Input 2 2 5 5 2 3" xfId="20121"/>
    <cellStyle name="Input 2 2 5 5 2 4" xfId="20122"/>
    <cellStyle name="Input 2 2 5 6" xfId="20123"/>
    <cellStyle name="Input 2 2 5 6 2" xfId="20124"/>
    <cellStyle name="Input 2 2 5 6 2 2" xfId="20125"/>
    <cellStyle name="Input 2 2 5 6 2 2 2" xfId="20126"/>
    <cellStyle name="Input 2 2 5 6 2 2 3" xfId="20127"/>
    <cellStyle name="Input 2 2 5 6 2 3" xfId="20128"/>
    <cellStyle name="Input 2 2 5 6 2 4" xfId="20129"/>
    <cellStyle name="Input 2 2 5 7" xfId="20130"/>
    <cellStyle name="Input 2 2 5 7 2" xfId="20131"/>
    <cellStyle name="Input 2 2 5 7 2 2" xfId="20132"/>
    <cellStyle name="Input 2 2 5 7 2 2 2" xfId="20133"/>
    <cellStyle name="Input 2 2 5 7 2 2 3" xfId="20134"/>
    <cellStyle name="Input 2 2 5 7 2 3" xfId="20135"/>
    <cellStyle name="Input 2 2 5 7 2 4" xfId="20136"/>
    <cellStyle name="Input 2 2 5 8" xfId="20137"/>
    <cellStyle name="Input 2 2 5 8 2" xfId="20138"/>
    <cellStyle name="Input 2 2 5 8 2 2" xfId="20139"/>
    <cellStyle name="Input 2 2 5 8 2 2 2" xfId="20140"/>
    <cellStyle name="Input 2 2 5 8 2 2 3" xfId="20141"/>
    <cellStyle name="Input 2 2 5 8 2 3" xfId="20142"/>
    <cellStyle name="Input 2 2 5 8 2 4" xfId="20143"/>
    <cellStyle name="Input 2 2 5 9" xfId="20144"/>
    <cellStyle name="Input 2 2 5 9 2" xfId="20145"/>
    <cellStyle name="Input 2 2 5 9 2 2" xfId="20146"/>
    <cellStyle name="Input 2 2 5 9 2 3" xfId="20147"/>
    <cellStyle name="Input 2 2 5 9 3" xfId="20148"/>
    <cellStyle name="Input 2 2 5 9 4" xfId="20149"/>
    <cellStyle name="Input 2 2 6" xfId="20150"/>
    <cellStyle name="Input 2 2 6 2" xfId="20151"/>
    <cellStyle name="Input 2 2 6 2 2" xfId="20152"/>
    <cellStyle name="Input 2 2 6 2 2 2" xfId="20153"/>
    <cellStyle name="Input 2 2 6 2 2 3" xfId="20154"/>
    <cellStyle name="Input 2 2 6 2 3" xfId="20155"/>
    <cellStyle name="Input 2 2 6 2 4" xfId="20156"/>
    <cellStyle name="Input 2 2 7" xfId="20157"/>
    <cellStyle name="Input 2 2 7 2" xfId="20158"/>
    <cellStyle name="Input 2 2 7 2 2" xfId="20159"/>
    <cellStyle name="Input 2 2 7 2 2 2" xfId="20160"/>
    <cellStyle name="Input 2 2 7 2 2 3" xfId="20161"/>
    <cellStyle name="Input 2 2 7 2 3" xfId="20162"/>
    <cellStyle name="Input 2 2 7 2 4" xfId="20163"/>
    <cellStyle name="Input 2 3" xfId="20164"/>
    <cellStyle name="Input 2 3 2" xfId="20165"/>
    <cellStyle name="Input 2 3 2 2" xfId="20166"/>
    <cellStyle name="Input 2 3 2 2 2" xfId="20167"/>
    <cellStyle name="Input 2 3 2 2 2 2" xfId="20168"/>
    <cellStyle name="Input 2 3 2 2 2 2 2" xfId="20169"/>
    <cellStyle name="Input 2 3 2 2 2 2 3" xfId="20170"/>
    <cellStyle name="Input 2 3 2 2 2 3" xfId="20171"/>
    <cellStyle name="Input 2 3 2 2 2 4" xfId="20172"/>
    <cellStyle name="Input 2 3 2 3" xfId="20173"/>
    <cellStyle name="Input 2 3 2 3 2" xfId="20174"/>
    <cellStyle name="Input 2 3 2 3 2 2" xfId="20175"/>
    <cellStyle name="Input 2 3 2 3 2 2 2" xfId="20176"/>
    <cellStyle name="Input 2 3 2 3 2 2 3" xfId="20177"/>
    <cellStyle name="Input 2 3 2 3 2 3" xfId="20178"/>
    <cellStyle name="Input 2 3 2 3 2 4" xfId="20179"/>
    <cellStyle name="Input 2 3 2 4" xfId="20180"/>
    <cellStyle name="Input 2 3 2 4 2" xfId="20181"/>
    <cellStyle name="Input 2 3 2 4 2 2" xfId="20182"/>
    <cellStyle name="Input 2 3 2 4 2 2 2" xfId="20183"/>
    <cellStyle name="Input 2 3 2 4 2 2 3" xfId="20184"/>
    <cellStyle name="Input 2 3 2 4 2 3" xfId="20185"/>
    <cellStyle name="Input 2 3 2 4 2 4" xfId="20186"/>
    <cellStyle name="Input 2 3 2 5" xfId="20187"/>
    <cellStyle name="Input 2 3 2 5 2" xfId="20188"/>
    <cellStyle name="Input 2 3 2 5 2 2" xfId="20189"/>
    <cellStyle name="Input 2 3 2 5 2 2 2" xfId="20190"/>
    <cellStyle name="Input 2 3 2 5 2 2 3" xfId="20191"/>
    <cellStyle name="Input 2 3 2 5 2 3" xfId="20192"/>
    <cellStyle name="Input 2 3 2 5 2 4" xfId="20193"/>
    <cellStyle name="Input 2 3 2 6" xfId="20194"/>
    <cellStyle name="Input 2 3 2 6 2" xfId="20195"/>
    <cellStyle name="Input 2 3 2 6 2 2" xfId="20196"/>
    <cellStyle name="Input 2 3 2 6 2 2 2" xfId="20197"/>
    <cellStyle name="Input 2 3 2 6 2 2 3" xfId="20198"/>
    <cellStyle name="Input 2 3 2 6 2 3" xfId="20199"/>
    <cellStyle name="Input 2 3 2 6 2 4" xfId="20200"/>
    <cellStyle name="Input 2 3 2 7" xfId="20201"/>
    <cellStyle name="Input 2 3 2 7 2" xfId="20202"/>
    <cellStyle name="Input 2 3 2 7 2 2" xfId="20203"/>
    <cellStyle name="Input 2 3 2 7 2 2 2" xfId="20204"/>
    <cellStyle name="Input 2 3 2 7 2 2 3" xfId="20205"/>
    <cellStyle name="Input 2 3 2 7 2 3" xfId="20206"/>
    <cellStyle name="Input 2 3 2 7 2 4" xfId="20207"/>
    <cellStyle name="Input 2 3 2 8" xfId="20208"/>
    <cellStyle name="Input 2 3 2 8 2" xfId="20209"/>
    <cellStyle name="Input 2 3 2 8 2 2" xfId="20210"/>
    <cellStyle name="Input 2 3 2 8 2 2 2" xfId="20211"/>
    <cellStyle name="Input 2 3 2 8 2 2 3" xfId="20212"/>
    <cellStyle name="Input 2 3 2 8 2 3" xfId="20213"/>
    <cellStyle name="Input 2 3 2 8 2 4" xfId="20214"/>
    <cellStyle name="Input 2 3 2 9" xfId="20215"/>
    <cellStyle name="Input 2 3 2 9 2" xfId="20216"/>
    <cellStyle name="Input 2 3 2 9 2 2" xfId="20217"/>
    <cellStyle name="Input 2 3 2 9 2 3" xfId="20218"/>
    <cellStyle name="Input 2 3 2 9 3" xfId="20219"/>
    <cellStyle name="Input 2 3 2 9 4" xfId="20220"/>
    <cellStyle name="Input 2 3 3" xfId="20221"/>
    <cellStyle name="Input 2 3 3 2" xfId="20222"/>
    <cellStyle name="Input 2 3 3 2 2" xfId="20223"/>
    <cellStyle name="Input 2 3 3 2 2 2" xfId="20224"/>
    <cellStyle name="Input 2 3 3 2 2 2 2" xfId="20225"/>
    <cellStyle name="Input 2 3 3 2 2 2 3" xfId="20226"/>
    <cellStyle name="Input 2 3 3 2 2 3" xfId="20227"/>
    <cellStyle name="Input 2 3 3 2 2 4" xfId="20228"/>
    <cellStyle name="Input 2 3 3 3" xfId="20229"/>
    <cellStyle name="Input 2 3 3 3 2" xfId="20230"/>
    <cellStyle name="Input 2 3 3 3 2 2" xfId="20231"/>
    <cellStyle name="Input 2 3 3 3 2 2 2" xfId="20232"/>
    <cellStyle name="Input 2 3 3 3 2 2 3" xfId="20233"/>
    <cellStyle name="Input 2 3 3 3 2 3" xfId="20234"/>
    <cellStyle name="Input 2 3 3 3 2 4" xfId="20235"/>
    <cellStyle name="Input 2 3 3 4" xfId="20236"/>
    <cellStyle name="Input 2 3 3 4 2" xfId="20237"/>
    <cellStyle name="Input 2 3 3 4 2 2" xfId="20238"/>
    <cellStyle name="Input 2 3 3 4 2 2 2" xfId="20239"/>
    <cellStyle name="Input 2 3 3 4 2 2 3" xfId="20240"/>
    <cellStyle name="Input 2 3 3 4 2 3" xfId="20241"/>
    <cellStyle name="Input 2 3 3 4 2 4" xfId="20242"/>
    <cellStyle name="Input 2 3 3 5" xfId="20243"/>
    <cellStyle name="Input 2 3 3 5 2" xfId="20244"/>
    <cellStyle name="Input 2 3 3 5 2 2" xfId="20245"/>
    <cellStyle name="Input 2 3 3 5 2 2 2" xfId="20246"/>
    <cellStyle name="Input 2 3 3 5 2 2 3" xfId="20247"/>
    <cellStyle name="Input 2 3 3 5 2 3" xfId="20248"/>
    <cellStyle name="Input 2 3 3 5 2 4" xfId="20249"/>
    <cellStyle name="Input 2 3 3 6" xfId="20250"/>
    <cellStyle name="Input 2 3 3 6 2" xfId="20251"/>
    <cellStyle name="Input 2 3 3 6 2 2" xfId="20252"/>
    <cellStyle name="Input 2 3 3 6 2 2 2" xfId="20253"/>
    <cellStyle name="Input 2 3 3 6 2 2 3" xfId="20254"/>
    <cellStyle name="Input 2 3 3 6 2 3" xfId="20255"/>
    <cellStyle name="Input 2 3 3 6 2 4" xfId="20256"/>
    <cellStyle name="Input 2 3 3 7" xfId="20257"/>
    <cellStyle name="Input 2 3 3 7 2" xfId="20258"/>
    <cellStyle name="Input 2 3 3 7 2 2" xfId="20259"/>
    <cellStyle name="Input 2 3 3 7 2 2 2" xfId="20260"/>
    <cellStyle name="Input 2 3 3 7 2 2 3" xfId="20261"/>
    <cellStyle name="Input 2 3 3 7 2 3" xfId="20262"/>
    <cellStyle name="Input 2 3 3 7 2 4" xfId="20263"/>
    <cellStyle name="Input 2 3 3 8" xfId="20264"/>
    <cellStyle name="Input 2 3 3 8 2" xfId="20265"/>
    <cellStyle name="Input 2 3 3 8 2 2" xfId="20266"/>
    <cellStyle name="Input 2 3 3 8 2 2 2" xfId="20267"/>
    <cellStyle name="Input 2 3 3 8 2 2 3" xfId="20268"/>
    <cellStyle name="Input 2 3 3 8 2 3" xfId="20269"/>
    <cellStyle name="Input 2 3 3 8 2 4" xfId="20270"/>
    <cellStyle name="Input 2 3 3 9" xfId="20271"/>
    <cellStyle name="Input 2 3 3 9 2" xfId="20272"/>
    <cellStyle name="Input 2 3 3 9 2 2" xfId="20273"/>
    <cellStyle name="Input 2 3 3 9 2 3" xfId="20274"/>
    <cellStyle name="Input 2 3 3 9 3" xfId="20275"/>
    <cellStyle name="Input 2 3 3 9 4" xfId="20276"/>
    <cellStyle name="Input 2 3 4" xfId="20277"/>
    <cellStyle name="Input 2 3 4 2" xfId="20278"/>
    <cellStyle name="Input 2 3 4 2 2" xfId="20279"/>
    <cellStyle name="Input 2 3 4 2 2 2" xfId="20280"/>
    <cellStyle name="Input 2 3 4 2 2 2 2" xfId="20281"/>
    <cellStyle name="Input 2 3 4 2 2 2 3" xfId="20282"/>
    <cellStyle name="Input 2 3 4 2 2 3" xfId="20283"/>
    <cellStyle name="Input 2 3 4 2 2 4" xfId="20284"/>
    <cellStyle name="Input 2 3 4 3" xfId="20285"/>
    <cellStyle name="Input 2 3 4 3 2" xfId="20286"/>
    <cellStyle name="Input 2 3 4 3 2 2" xfId="20287"/>
    <cellStyle name="Input 2 3 4 3 2 2 2" xfId="20288"/>
    <cellStyle name="Input 2 3 4 3 2 2 3" xfId="20289"/>
    <cellStyle name="Input 2 3 4 3 2 3" xfId="20290"/>
    <cellStyle name="Input 2 3 4 3 2 4" xfId="20291"/>
    <cellStyle name="Input 2 3 4 4" xfId="20292"/>
    <cellStyle name="Input 2 3 4 4 2" xfId="20293"/>
    <cellStyle name="Input 2 3 4 4 2 2" xfId="20294"/>
    <cellStyle name="Input 2 3 4 4 2 2 2" xfId="20295"/>
    <cellStyle name="Input 2 3 4 4 2 2 3" xfId="20296"/>
    <cellStyle name="Input 2 3 4 4 2 3" xfId="20297"/>
    <cellStyle name="Input 2 3 4 4 2 4" xfId="20298"/>
    <cellStyle name="Input 2 3 4 5" xfId="20299"/>
    <cellStyle name="Input 2 3 4 5 2" xfId="20300"/>
    <cellStyle name="Input 2 3 4 5 2 2" xfId="20301"/>
    <cellStyle name="Input 2 3 4 5 2 2 2" xfId="20302"/>
    <cellStyle name="Input 2 3 4 5 2 2 3" xfId="20303"/>
    <cellStyle name="Input 2 3 4 5 2 3" xfId="20304"/>
    <cellStyle name="Input 2 3 4 5 2 4" xfId="20305"/>
    <cellStyle name="Input 2 3 4 6" xfId="20306"/>
    <cellStyle name="Input 2 3 4 6 2" xfId="20307"/>
    <cellStyle name="Input 2 3 4 6 2 2" xfId="20308"/>
    <cellStyle name="Input 2 3 4 6 2 2 2" xfId="20309"/>
    <cellStyle name="Input 2 3 4 6 2 2 3" xfId="20310"/>
    <cellStyle name="Input 2 3 4 6 2 3" xfId="20311"/>
    <cellStyle name="Input 2 3 4 6 2 4" xfId="20312"/>
    <cellStyle name="Input 2 3 4 7" xfId="20313"/>
    <cellStyle name="Input 2 3 4 7 2" xfId="20314"/>
    <cellStyle name="Input 2 3 4 7 2 2" xfId="20315"/>
    <cellStyle name="Input 2 3 4 7 2 2 2" xfId="20316"/>
    <cellStyle name="Input 2 3 4 7 2 2 3" xfId="20317"/>
    <cellStyle name="Input 2 3 4 7 2 3" xfId="20318"/>
    <cellStyle name="Input 2 3 4 7 2 4" xfId="20319"/>
    <cellStyle name="Input 2 3 4 8" xfId="20320"/>
    <cellStyle name="Input 2 3 4 8 2" xfId="20321"/>
    <cellStyle name="Input 2 3 4 8 2 2" xfId="20322"/>
    <cellStyle name="Input 2 3 4 8 2 2 2" xfId="20323"/>
    <cellStyle name="Input 2 3 4 8 2 2 3" xfId="20324"/>
    <cellStyle name="Input 2 3 4 8 2 3" xfId="20325"/>
    <cellStyle name="Input 2 3 4 8 2 4" xfId="20326"/>
    <cellStyle name="Input 2 3 4 9" xfId="20327"/>
    <cellStyle name="Input 2 3 4 9 2" xfId="20328"/>
    <cellStyle name="Input 2 3 4 9 2 2" xfId="20329"/>
    <cellStyle name="Input 2 3 4 9 2 3" xfId="20330"/>
    <cellStyle name="Input 2 3 4 9 3" xfId="20331"/>
    <cellStyle name="Input 2 3 4 9 4" xfId="20332"/>
    <cellStyle name="Input 2 3 5" xfId="20333"/>
    <cellStyle name="Input 2 3 5 2" xfId="20334"/>
    <cellStyle name="Input 2 3 5 2 2" xfId="20335"/>
    <cellStyle name="Input 2 3 5 2 2 2" xfId="20336"/>
    <cellStyle name="Input 2 3 5 2 2 2 2" xfId="20337"/>
    <cellStyle name="Input 2 3 5 2 2 2 3" xfId="20338"/>
    <cellStyle name="Input 2 3 5 2 2 3" xfId="20339"/>
    <cellStyle name="Input 2 3 5 2 2 4" xfId="20340"/>
    <cellStyle name="Input 2 3 5 3" xfId="20341"/>
    <cellStyle name="Input 2 3 5 3 2" xfId="20342"/>
    <cellStyle name="Input 2 3 5 3 2 2" xfId="20343"/>
    <cellStyle name="Input 2 3 5 3 2 2 2" xfId="20344"/>
    <cellStyle name="Input 2 3 5 3 2 2 3" xfId="20345"/>
    <cellStyle name="Input 2 3 5 3 2 3" xfId="20346"/>
    <cellStyle name="Input 2 3 5 3 2 4" xfId="20347"/>
    <cellStyle name="Input 2 3 5 4" xfId="20348"/>
    <cellStyle name="Input 2 3 5 4 2" xfId="20349"/>
    <cellStyle name="Input 2 3 5 4 2 2" xfId="20350"/>
    <cellStyle name="Input 2 3 5 4 2 2 2" xfId="20351"/>
    <cellStyle name="Input 2 3 5 4 2 2 3" xfId="20352"/>
    <cellStyle name="Input 2 3 5 4 2 3" xfId="20353"/>
    <cellStyle name="Input 2 3 5 4 2 4" xfId="20354"/>
    <cellStyle name="Input 2 3 5 5" xfId="20355"/>
    <cellStyle name="Input 2 3 5 5 2" xfId="20356"/>
    <cellStyle name="Input 2 3 5 5 2 2" xfId="20357"/>
    <cellStyle name="Input 2 3 5 5 2 2 2" xfId="20358"/>
    <cellStyle name="Input 2 3 5 5 2 2 3" xfId="20359"/>
    <cellStyle name="Input 2 3 5 5 2 3" xfId="20360"/>
    <cellStyle name="Input 2 3 5 5 2 4" xfId="20361"/>
    <cellStyle name="Input 2 3 5 6" xfId="20362"/>
    <cellStyle name="Input 2 3 5 6 2" xfId="20363"/>
    <cellStyle name="Input 2 3 5 6 2 2" xfId="20364"/>
    <cellStyle name="Input 2 3 5 6 2 2 2" xfId="20365"/>
    <cellStyle name="Input 2 3 5 6 2 2 3" xfId="20366"/>
    <cellStyle name="Input 2 3 5 6 2 3" xfId="20367"/>
    <cellStyle name="Input 2 3 5 6 2 4" xfId="20368"/>
    <cellStyle name="Input 2 3 5 7" xfId="20369"/>
    <cellStyle name="Input 2 3 5 7 2" xfId="20370"/>
    <cellStyle name="Input 2 3 5 7 2 2" xfId="20371"/>
    <cellStyle name="Input 2 3 5 7 2 2 2" xfId="20372"/>
    <cellStyle name="Input 2 3 5 7 2 2 3" xfId="20373"/>
    <cellStyle name="Input 2 3 5 7 2 3" xfId="20374"/>
    <cellStyle name="Input 2 3 5 7 2 4" xfId="20375"/>
    <cellStyle name="Input 2 3 5 8" xfId="20376"/>
    <cellStyle name="Input 2 3 5 8 2" xfId="20377"/>
    <cellStyle name="Input 2 3 5 8 2 2" xfId="20378"/>
    <cellStyle name="Input 2 3 5 8 2 2 2" xfId="20379"/>
    <cellStyle name="Input 2 3 5 8 2 2 3" xfId="20380"/>
    <cellStyle name="Input 2 3 5 8 2 3" xfId="20381"/>
    <cellStyle name="Input 2 3 5 8 2 4" xfId="20382"/>
    <cellStyle name="Input 2 3 5 9" xfId="20383"/>
    <cellStyle name="Input 2 3 5 9 2" xfId="20384"/>
    <cellStyle name="Input 2 3 5 9 2 2" xfId="20385"/>
    <cellStyle name="Input 2 3 5 9 2 3" xfId="20386"/>
    <cellStyle name="Input 2 3 5 9 3" xfId="20387"/>
    <cellStyle name="Input 2 3 5 9 4" xfId="20388"/>
    <cellStyle name="Input 2 3 6" xfId="20389"/>
    <cellStyle name="Input 2 3 6 2" xfId="20390"/>
    <cellStyle name="Input 2 3 6 2 2" xfId="20391"/>
    <cellStyle name="Input 2 3 6 2 2 2" xfId="20392"/>
    <cellStyle name="Input 2 3 6 2 2 3" xfId="20393"/>
    <cellStyle name="Input 2 3 6 2 3" xfId="20394"/>
    <cellStyle name="Input 2 3 6 2 4" xfId="20395"/>
    <cellStyle name="Input 2 3 7" xfId="20396"/>
    <cellStyle name="Input 2 3 7 2" xfId="20397"/>
    <cellStyle name="Input 2 3 7 2 2" xfId="20398"/>
    <cellStyle name="Input 2 3 7 2 2 2" xfId="20399"/>
    <cellStyle name="Input 2 3 7 2 2 3" xfId="20400"/>
    <cellStyle name="Input 2 3 7 2 3" xfId="20401"/>
    <cellStyle name="Input 2 3 7 2 4" xfId="20402"/>
    <cellStyle name="Input 2 3 8" xfId="20403"/>
    <cellStyle name="Input 2 3 8 2" xfId="20404"/>
    <cellStyle name="Input 2 3 8 2 2" xfId="20405"/>
    <cellStyle name="Input 2 3 8 2 3" xfId="20406"/>
    <cellStyle name="Input 2 3 8 3" xfId="20407"/>
    <cellStyle name="Input 2 3 8 4" xfId="20408"/>
    <cellStyle name="Input 2 4" xfId="20409"/>
    <cellStyle name="Input 2 4 2" xfId="20410"/>
    <cellStyle name="Input 2 4 2 2" xfId="20411"/>
    <cellStyle name="Input 2 4 2 2 2" xfId="20412"/>
    <cellStyle name="Input 2 4 2 2 2 2" xfId="20413"/>
    <cellStyle name="Input 2 4 2 2 2 2 2" xfId="20414"/>
    <cellStyle name="Input 2 4 2 2 2 2 3" xfId="20415"/>
    <cellStyle name="Input 2 4 2 2 2 3" xfId="20416"/>
    <cellStyle name="Input 2 4 2 2 2 4" xfId="20417"/>
    <cellStyle name="Input 2 4 2 3" xfId="20418"/>
    <cellStyle name="Input 2 4 2 3 2" xfId="20419"/>
    <cellStyle name="Input 2 4 2 3 2 2" xfId="20420"/>
    <cellStyle name="Input 2 4 2 3 2 2 2" xfId="20421"/>
    <cellStyle name="Input 2 4 2 3 2 2 3" xfId="20422"/>
    <cellStyle name="Input 2 4 2 3 2 3" xfId="20423"/>
    <cellStyle name="Input 2 4 2 3 2 4" xfId="20424"/>
    <cellStyle name="Input 2 4 2 4" xfId="20425"/>
    <cellStyle name="Input 2 4 2 4 2" xfId="20426"/>
    <cellStyle name="Input 2 4 2 4 2 2" xfId="20427"/>
    <cellStyle name="Input 2 4 2 4 2 2 2" xfId="20428"/>
    <cellStyle name="Input 2 4 2 4 2 2 3" xfId="20429"/>
    <cellStyle name="Input 2 4 2 4 2 3" xfId="20430"/>
    <cellStyle name="Input 2 4 2 4 2 4" xfId="20431"/>
    <cellStyle name="Input 2 4 2 5" xfId="20432"/>
    <cellStyle name="Input 2 4 2 5 2" xfId="20433"/>
    <cellStyle name="Input 2 4 2 5 2 2" xfId="20434"/>
    <cellStyle name="Input 2 4 2 5 2 2 2" xfId="20435"/>
    <cellStyle name="Input 2 4 2 5 2 2 3" xfId="20436"/>
    <cellStyle name="Input 2 4 2 5 2 3" xfId="20437"/>
    <cellStyle name="Input 2 4 2 5 2 4" xfId="20438"/>
    <cellStyle name="Input 2 4 2 6" xfId="20439"/>
    <cellStyle name="Input 2 4 2 6 2" xfId="20440"/>
    <cellStyle name="Input 2 4 2 6 2 2" xfId="20441"/>
    <cellStyle name="Input 2 4 2 6 2 2 2" xfId="20442"/>
    <cellStyle name="Input 2 4 2 6 2 2 3" xfId="20443"/>
    <cellStyle name="Input 2 4 2 6 2 3" xfId="20444"/>
    <cellStyle name="Input 2 4 2 6 2 4" xfId="20445"/>
    <cellStyle name="Input 2 4 2 7" xfId="20446"/>
    <cellStyle name="Input 2 4 2 7 2" xfId="20447"/>
    <cellStyle name="Input 2 4 2 7 2 2" xfId="20448"/>
    <cellStyle name="Input 2 4 2 7 2 2 2" xfId="20449"/>
    <cellStyle name="Input 2 4 2 7 2 2 3" xfId="20450"/>
    <cellStyle name="Input 2 4 2 7 2 3" xfId="20451"/>
    <cellStyle name="Input 2 4 2 7 2 4" xfId="20452"/>
    <cellStyle name="Input 2 4 2 8" xfId="20453"/>
    <cellStyle name="Input 2 4 2 8 2" xfId="20454"/>
    <cellStyle name="Input 2 4 2 8 2 2" xfId="20455"/>
    <cellStyle name="Input 2 4 2 8 2 2 2" xfId="20456"/>
    <cellStyle name="Input 2 4 2 8 2 2 3" xfId="20457"/>
    <cellStyle name="Input 2 4 2 8 2 3" xfId="20458"/>
    <cellStyle name="Input 2 4 2 8 2 4" xfId="20459"/>
    <cellStyle name="Input 2 4 2 9" xfId="20460"/>
    <cellStyle name="Input 2 4 2 9 2" xfId="20461"/>
    <cellStyle name="Input 2 4 2 9 2 2" xfId="20462"/>
    <cellStyle name="Input 2 4 2 9 2 3" xfId="20463"/>
    <cellStyle name="Input 2 4 2 9 3" xfId="20464"/>
    <cellStyle name="Input 2 4 2 9 4" xfId="20465"/>
    <cellStyle name="Input 2 4 3" xfId="20466"/>
    <cellStyle name="Input 2 4 3 2" xfId="20467"/>
    <cellStyle name="Input 2 4 3 2 2" xfId="20468"/>
    <cellStyle name="Input 2 4 3 2 2 2" xfId="20469"/>
    <cellStyle name="Input 2 4 3 2 2 2 2" xfId="20470"/>
    <cellStyle name="Input 2 4 3 2 2 2 3" xfId="20471"/>
    <cellStyle name="Input 2 4 3 2 2 3" xfId="20472"/>
    <cellStyle name="Input 2 4 3 2 2 4" xfId="20473"/>
    <cellStyle name="Input 2 4 3 3" xfId="20474"/>
    <cellStyle name="Input 2 4 3 3 2" xfId="20475"/>
    <cellStyle name="Input 2 4 3 3 2 2" xfId="20476"/>
    <cellStyle name="Input 2 4 3 3 2 2 2" xfId="20477"/>
    <cellStyle name="Input 2 4 3 3 2 2 3" xfId="20478"/>
    <cellStyle name="Input 2 4 3 3 2 3" xfId="20479"/>
    <cellStyle name="Input 2 4 3 3 2 4" xfId="20480"/>
    <cellStyle name="Input 2 4 3 4" xfId="20481"/>
    <cellStyle name="Input 2 4 3 4 2" xfId="20482"/>
    <cellStyle name="Input 2 4 3 4 2 2" xfId="20483"/>
    <cellStyle name="Input 2 4 3 4 2 2 2" xfId="20484"/>
    <cellStyle name="Input 2 4 3 4 2 2 3" xfId="20485"/>
    <cellStyle name="Input 2 4 3 4 2 3" xfId="20486"/>
    <cellStyle name="Input 2 4 3 4 2 4" xfId="20487"/>
    <cellStyle name="Input 2 4 3 5" xfId="20488"/>
    <cellStyle name="Input 2 4 3 5 2" xfId="20489"/>
    <cellStyle name="Input 2 4 3 5 2 2" xfId="20490"/>
    <cellStyle name="Input 2 4 3 5 2 2 2" xfId="20491"/>
    <cellStyle name="Input 2 4 3 5 2 2 3" xfId="20492"/>
    <cellStyle name="Input 2 4 3 5 2 3" xfId="20493"/>
    <cellStyle name="Input 2 4 3 5 2 4" xfId="20494"/>
    <cellStyle name="Input 2 4 3 6" xfId="20495"/>
    <cellStyle name="Input 2 4 3 6 2" xfId="20496"/>
    <cellStyle name="Input 2 4 3 6 2 2" xfId="20497"/>
    <cellStyle name="Input 2 4 3 6 2 2 2" xfId="20498"/>
    <cellStyle name="Input 2 4 3 6 2 2 3" xfId="20499"/>
    <cellStyle name="Input 2 4 3 6 2 3" xfId="20500"/>
    <cellStyle name="Input 2 4 3 6 2 4" xfId="20501"/>
    <cellStyle name="Input 2 4 3 7" xfId="20502"/>
    <cellStyle name="Input 2 4 3 7 2" xfId="20503"/>
    <cellStyle name="Input 2 4 3 7 2 2" xfId="20504"/>
    <cellStyle name="Input 2 4 3 7 2 2 2" xfId="20505"/>
    <cellStyle name="Input 2 4 3 7 2 2 3" xfId="20506"/>
    <cellStyle name="Input 2 4 3 7 2 3" xfId="20507"/>
    <cellStyle name="Input 2 4 3 7 2 4" xfId="20508"/>
    <cellStyle name="Input 2 4 3 8" xfId="20509"/>
    <cellStyle name="Input 2 4 3 8 2" xfId="20510"/>
    <cellStyle name="Input 2 4 3 8 2 2" xfId="20511"/>
    <cellStyle name="Input 2 4 3 8 2 2 2" xfId="20512"/>
    <cellStyle name="Input 2 4 3 8 2 2 3" xfId="20513"/>
    <cellStyle name="Input 2 4 3 8 2 3" xfId="20514"/>
    <cellStyle name="Input 2 4 3 8 2 4" xfId="20515"/>
    <cellStyle name="Input 2 4 3 9" xfId="20516"/>
    <cellStyle name="Input 2 4 3 9 2" xfId="20517"/>
    <cellStyle name="Input 2 4 3 9 2 2" xfId="20518"/>
    <cellStyle name="Input 2 4 3 9 2 3" xfId="20519"/>
    <cellStyle name="Input 2 4 3 9 3" xfId="20520"/>
    <cellStyle name="Input 2 4 3 9 4" xfId="20521"/>
    <cellStyle name="Input 2 4 4" xfId="20522"/>
    <cellStyle name="Input 2 4 4 2" xfId="20523"/>
    <cellStyle name="Input 2 4 4 2 2" xfId="20524"/>
    <cellStyle name="Input 2 4 4 2 2 2" xfId="20525"/>
    <cellStyle name="Input 2 4 4 2 2 2 2" xfId="20526"/>
    <cellStyle name="Input 2 4 4 2 2 2 3" xfId="20527"/>
    <cellStyle name="Input 2 4 4 2 2 3" xfId="20528"/>
    <cellStyle name="Input 2 4 4 2 2 4" xfId="20529"/>
    <cellStyle name="Input 2 4 4 3" xfId="20530"/>
    <cellStyle name="Input 2 4 4 3 2" xfId="20531"/>
    <cellStyle name="Input 2 4 4 3 2 2" xfId="20532"/>
    <cellStyle name="Input 2 4 4 3 2 2 2" xfId="20533"/>
    <cellStyle name="Input 2 4 4 3 2 2 3" xfId="20534"/>
    <cellStyle name="Input 2 4 4 3 2 3" xfId="20535"/>
    <cellStyle name="Input 2 4 4 3 2 4" xfId="20536"/>
    <cellStyle name="Input 2 4 4 4" xfId="20537"/>
    <cellStyle name="Input 2 4 4 4 2" xfId="20538"/>
    <cellStyle name="Input 2 4 4 4 2 2" xfId="20539"/>
    <cellStyle name="Input 2 4 4 4 2 2 2" xfId="20540"/>
    <cellStyle name="Input 2 4 4 4 2 2 3" xfId="20541"/>
    <cellStyle name="Input 2 4 4 4 2 3" xfId="20542"/>
    <cellStyle name="Input 2 4 4 4 2 4" xfId="20543"/>
    <cellStyle name="Input 2 4 4 5" xfId="20544"/>
    <cellStyle name="Input 2 4 4 5 2" xfId="20545"/>
    <cellStyle name="Input 2 4 4 5 2 2" xfId="20546"/>
    <cellStyle name="Input 2 4 4 5 2 2 2" xfId="20547"/>
    <cellStyle name="Input 2 4 4 5 2 2 3" xfId="20548"/>
    <cellStyle name="Input 2 4 4 5 2 3" xfId="20549"/>
    <cellStyle name="Input 2 4 4 5 2 4" xfId="20550"/>
    <cellStyle name="Input 2 4 4 6" xfId="20551"/>
    <cellStyle name="Input 2 4 4 6 2" xfId="20552"/>
    <cellStyle name="Input 2 4 4 6 2 2" xfId="20553"/>
    <cellStyle name="Input 2 4 4 6 2 2 2" xfId="20554"/>
    <cellStyle name="Input 2 4 4 6 2 2 3" xfId="20555"/>
    <cellStyle name="Input 2 4 4 6 2 3" xfId="20556"/>
    <cellStyle name="Input 2 4 4 6 2 4" xfId="20557"/>
    <cellStyle name="Input 2 4 4 7" xfId="20558"/>
    <cellStyle name="Input 2 4 4 7 2" xfId="20559"/>
    <cellStyle name="Input 2 4 4 7 2 2" xfId="20560"/>
    <cellStyle name="Input 2 4 4 7 2 2 2" xfId="20561"/>
    <cellStyle name="Input 2 4 4 7 2 2 3" xfId="20562"/>
    <cellStyle name="Input 2 4 4 7 2 3" xfId="20563"/>
    <cellStyle name="Input 2 4 4 7 2 4" xfId="20564"/>
    <cellStyle name="Input 2 4 4 8" xfId="20565"/>
    <cellStyle name="Input 2 4 4 8 2" xfId="20566"/>
    <cellStyle name="Input 2 4 4 8 2 2" xfId="20567"/>
    <cellStyle name="Input 2 4 4 8 2 2 2" xfId="20568"/>
    <cellStyle name="Input 2 4 4 8 2 2 3" xfId="20569"/>
    <cellStyle name="Input 2 4 4 8 2 3" xfId="20570"/>
    <cellStyle name="Input 2 4 4 8 2 4" xfId="20571"/>
    <cellStyle name="Input 2 4 4 9" xfId="20572"/>
    <cellStyle name="Input 2 4 4 9 2" xfId="20573"/>
    <cellStyle name="Input 2 4 4 9 2 2" xfId="20574"/>
    <cellStyle name="Input 2 4 4 9 2 3" xfId="20575"/>
    <cellStyle name="Input 2 4 4 9 3" xfId="20576"/>
    <cellStyle name="Input 2 4 4 9 4" xfId="20577"/>
    <cellStyle name="Input 2 4 5" xfId="20578"/>
    <cellStyle name="Input 2 4 5 2" xfId="20579"/>
    <cellStyle name="Input 2 4 5 2 2" xfId="20580"/>
    <cellStyle name="Input 2 4 5 2 2 2" xfId="20581"/>
    <cellStyle name="Input 2 4 5 2 2 2 2" xfId="20582"/>
    <cellStyle name="Input 2 4 5 2 2 2 3" xfId="20583"/>
    <cellStyle name="Input 2 4 5 2 2 3" xfId="20584"/>
    <cellStyle name="Input 2 4 5 2 2 4" xfId="20585"/>
    <cellStyle name="Input 2 4 5 3" xfId="20586"/>
    <cellStyle name="Input 2 4 5 3 2" xfId="20587"/>
    <cellStyle name="Input 2 4 5 3 2 2" xfId="20588"/>
    <cellStyle name="Input 2 4 5 3 2 2 2" xfId="20589"/>
    <cellStyle name="Input 2 4 5 3 2 2 3" xfId="20590"/>
    <cellStyle name="Input 2 4 5 3 2 3" xfId="20591"/>
    <cellStyle name="Input 2 4 5 3 2 4" xfId="20592"/>
    <cellStyle name="Input 2 4 5 4" xfId="20593"/>
    <cellStyle name="Input 2 4 5 4 2" xfId="20594"/>
    <cellStyle name="Input 2 4 5 4 2 2" xfId="20595"/>
    <cellStyle name="Input 2 4 5 4 2 2 2" xfId="20596"/>
    <cellStyle name="Input 2 4 5 4 2 2 3" xfId="20597"/>
    <cellStyle name="Input 2 4 5 4 2 3" xfId="20598"/>
    <cellStyle name="Input 2 4 5 4 2 4" xfId="20599"/>
    <cellStyle name="Input 2 4 5 5" xfId="20600"/>
    <cellStyle name="Input 2 4 5 5 2" xfId="20601"/>
    <cellStyle name="Input 2 4 5 5 2 2" xfId="20602"/>
    <cellStyle name="Input 2 4 5 5 2 2 2" xfId="20603"/>
    <cellStyle name="Input 2 4 5 5 2 2 3" xfId="20604"/>
    <cellStyle name="Input 2 4 5 5 2 3" xfId="20605"/>
    <cellStyle name="Input 2 4 5 5 2 4" xfId="20606"/>
    <cellStyle name="Input 2 4 5 6" xfId="20607"/>
    <cellStyle name="Input 2 4 5 6 2" xfId="20608"/>
    <cellStyle name="Input 2 4 5 6 2 2" xfId="20609"/>
    <cellStyle name="Input 2 4 5 6 2 2 2" xfId="20610"/>
    <cellStyle name="Input 2 4 5 6 2 2 3" xfId="20611"/>
    <cellStyle name="Input 2 4 5 6 2 3" xfId="20612"/>
    <cellStyle name="Input 2 4 5 6 2 4" xfId="20613"/>
    <cellStyle name="Input 2 4 5 7" xfId="20614"/>
    <cellStyle name="Input 2 4 5 7 2" xfId="20615"/>
    <cellStyle name="Input 2 4 5 7 2 2" xfId="20616"/>
    <cellStyle name="Input 2 4 5 7 2 2 2" xfId="20617"/>
    <cellStyle name="Input 2 4 5 7 2 2 3" xfId="20618"/>
    <cellStyle name="Input 2 4 5 7 2 3" xfId="20619"/>
    <cellStyle name="Input 2 4 5 7 2 4" xfId="20620"/>
    <cellStyle name="Input 2 4 5 8" xfId="20621"/>
    <cellStyle name="Input 2 4 5 8 2" xfId="20622"/>
    <cellStyle name="Input 2 4 5 8 2 2" xfId="20623"/>
    <cellStyle name="Input 2 4 5 8 2 2 2" xfId="20624"/>
    <cellStyle name="Input 2 4 5 8 2 2 3" xfId="20625"/>
    <cellStyle name="Input 2 4 5 8 2 3" xfId="20626"/>
    <cellStyle name="Input 2 4 5 8 2 4" xfId="20627"/>
    <cellStyle name="Input 2 4 5 9" xfId="20628"/>
    <cellStyle name="Input 2 4 5 9 2" xfId="20629"/>
    <cellStyle name="Input 2 4 5 9 2 2" xfId="20630"/>
    <cellStyle name="Input 2 4 5 9 2 3" xfId="20631"/>
    <cellStyle name="Input 2 4 5 9 3" xfId="20632"/>
    <cellStyle name="Input 2 4 5 9 4" xfId="20633"/>
    <cellStyle name="Input 2 4 6" xfId="20634"/>
    <cellStyle name="Input 2 4 6 2" xfId="20635"/>
    <cellStyle name="Input 2 4 6 2 2" xfId="20636"/>
    <cellStyle name="Input 2 4 6 2 2 2" xfId="20637"/>
    <cellStyle name="Input 2 4 6 2 2 3" xfId="20638"/>
    <cellStyle name="Input 2 4 6 2 3" xfId="20639"/>
    <cellStyle name="Input 2 4 6 2 4" xfId="20640"/>
    <cellStyle name="Input 2 4 7" xfId="20641"/>
    <cellStyle name="Input 2 4 7 2" xfId="20642"/>
    <cellStyle name="Input 2 4 7 2 2" xfId="20643"/>
    <cellStyle name="Input 2 4 7 2 2 2" xfId="20644"/>
    <cellStyle name="Input 2 4 7 2 2 3" xfId="20645"/>
    <cellStyle name="Input 2 4 7 2 3" xfId="20646"/>
    <cellStyle name="Input 2 4 7 2 4" xfId="20647"/>
    <cellStyle name="Input 2 4 8" xfId="20648"/>
    <cellStyle name="Input 2 4 8 2" xfId="20649"/>
    <cellStyle name="Input 2 4 8 2 2" xfId="20650"/>
    <cellStyle name="Input 2 4 8 2 3" xfId="20651"/>
    <cellStyle name="Input 2 4 8 3" xfId="20652"/>
    <cellStyle name="Input 2 4 8 4" xfId="20653"/>
    <cellStyle name="Input 2 5" xfId="20654"/>
    <cellStyle name="Input 2 5 10" xfId="20655"/>
    <cellStyle name="Input 2 5 10 2" xfId="20656"/>
    <cellStyle name="Input 2 5 10 2 2" xfId="20657"/>
    <cellStyle name="Input 2 5 10 2 3" xfId="20658"/>
    <cellStyle name="Input 2 5 10 3" xfId="20659"/>
    <cellStyle name="Input 2 5 10 4" xfId="20660"/>
    <cellStyle name="Input 2 5 2" xfId="20661"/>
    <cellStyle name="Input 2 5 2 10" xfId="20662"/>
    <cellStyle name="Input 2 5 2 10 2" xfId="20663"/>
    <cellStyle name="Input 2 5 2 10 2 2" xfId="20664"/>
    <cellStyle name="Input 2 5 2 10 2 3" xfId="20665"/>
    <cellStyle name="Input 2 5 2 10 3" xfId="20666"/>
    <cellStyle name="Input 2 5 2 10 4" xfId="20667"/>
    <cellStyle name="Input 2 5 2 2" xfId="20668"/>
    <cellStyle name="Input 2 5 2 2 2" xfId="20669"/>
    <cellStyle name="Input 2 5 2 2 2 2" xfId="20670"/>
    <cellStyle name="Input 2 5 2 2 2 2 2" xfId="20671"/>
    <cellStyle name="Input 2 5 2 2 2 2 2 2" xfId="20672"/>
    <cellStyle name="Input 2 5 2 2 2 2 2 3" xfId="20673"/>
    <cellStyle name="Input 2 5 2 2 2 2 3" xfId="20674"/>
    <cellStyle name="Input 2 5 2 2 2 2 4" xfId="20675"/>
    <cellStyle name="Input 2 5 2 2 3" xfId="20676"/>
    <cellStyle name="Input 2 5 2 2 3 2" xfId="20677"/>
    <cellStyle name="Input 2 5 2 2 3 2 2" xfId="20678"/>
    <cellStyle name="Input 2 5 2 2 3 2 2 2" xfId="20679"/>
    <cellStyle name="Input 2 5 2 2 3 2 2 3" xfId="20680"/>
    <cellStyle name="Input 2 5 2 2 3 2 3" xfId="20681"/>
    <cellStyle name="Input 2 5 2 2 3 2 4" xfId="20682"/>
    <cellStyle name="Input 2 5 2 2 4" xfId="20683"/>
    <cellStyle name="Input 2 5 2 2 4 2" xfId="20684"/>
    <cellStyle name="Input 2 5 2 2 4 2 2" xfId="20685"/>
    <cellStyle name="Input 2 5 2 2 4 2 2 2" xfId="20686"/>
    <cellStyle name="Input 2 5 2 2 4 2 2 3" xfId="20687"/>
    <cellStyle name="Input 2 5 2 2 4 2 3" xfId="20688"/>
    <cellStyle name="Input 2 5 2 2 4 2 4" xfId="20689"/>
    <cellStyle name="Input 2 5 2 2 5" xfId="20690"/>
    <cellStyle name="Input 2 5 2 2 5 2" xfId="20691"/>
    <cellStyle name="Input 2 5 2 2 5 2 2" xfId="20692"/>
    <cellStyle name="Input 2 5 2 2 5 2 2 2" xfId="20693"/>
    <cellStyle name="Input 2 5 2 2 5 2 2 3" xfId="20694"/>
    <cellStyle name="Input 2 5 2 2 5 2 3" xfId="20695"/>
    <cellStyle name="Input 2 5 2 2 5 2 4" xfId="20696"/>
    <cellStyle name="Input 2 5 2 2 6" xfId="20697"/>
    <cellStyle name="Input 2 5 2 2 6 2" xfId="20698"/>
    <cellStyle name="Input 2 5 2 2 6 2 2" xfId="20699"/>
    <cellStyle name="Input 2 5 2 2 6 2 2 2" xfId="20700"/>
    <cellStyle name="Input 2 5 2 2 6 2 2 3" xfId="20701"/>
    <cellStyle name="Input 2 5 2 2 6 2 3" xfId="20702"/>
    <cellStyle name="Input 2 5 2 2 6 2 4" xfId="20703"/>
    <cellStyle name="Input 2 5 2 2 7" xfId="20704"/>
    <cellStyle name="Input 2 5 2 2 7 2" xfId="20705"/>
    <cellStyle name="Input 2 5 2 2 7 2 2" xfId="20706"/>
    <cellStyle name="Input 2 5 2 2 7 2 2 2" xfId="20707"/>
    <cellStyle name="Input 2 5 2 2 7 2 2 3" xfId="20708"/>
    <cellStyle name="Input 2 5 2 2 7 2 3" xfId="20709"/>
    <cellStyle name="Input 2 5 2 2 7 2 4" xfId="20710"/>
    <cellStyle name="Input 2 5 2 2 8" xfId="20711"/>
    <cellStyle name="Input 2 5 2 2 8 2" xfId="20712"/>
    <cellStyle name="Input 2 5 2 2 8 2 2" xfId="20713"/>
    <cellStyle name="Input 2 5 2 2 8 2 2 2" xfId="20714"/>
    <cellStyle name="Input 2 5 2 2 8 2 2 3" xfId="20715"/>
    <cellStyle name="Input 2 5 2 2 8 2 3" xfId="20716"/>
    <cellStyle name="Input 2 5 2 2 8 2 4" xfId="20717"/>
    <cellStyle name="Input 2 5 2 2 9" xfId="20718"/>
    <cellStyle name="Input 2 5 2 2 9 2" xfId="20719"/>
    <cellStyle name="Input 2 5 2 2 9 2 2" xfId="20720"/>
    <cellStyle name="Input 2 5 2 2 9 2 3" xfId="20721"/>
    <cellStyle name="Input 2 5 2 2 9 3" xfId="20722"/>
    <cellStyle name="Input 2 5 2 2 9 4" xfId="20723"/>
    <cellStyle name="Input 2 5 2 3" xfId="20724"/>
    <cellStyle name="Input 2 5 2 3 2" xfId="20725"/>
    <cellStyle name="Input 2 5 2 3 2 2" xfId="20726"/>
    <cellStyle name="Input 2 5 2 3 2 2 2" xfId="20727"/>
    <cellStyle name="Input 2 5 2 3 2 2 3" xfId="20728"/>
    <cellStyle name="Input 2 5 2 3 2 3" xfId="20729"/>
    <cellStyle name="Input 2 5 2 3 2 4" xfId="20730"/>
    <cellStyle name="Input 2 5 2 4" xfId="20731"/>
    <cellStyle name="Input 2 5 2 4 2" xfId="20732"/>
    <cellStyle name="Input 2 5 2 4 2 2" xfId="20733"/>
    <cellStyle name="Input 2 5 2 4 2 2 2" xfId="20734"/>
    <cellStyle name="Input 2 5 2 4 2 2 3" xfId="20735"/>
    <cellStyle name="Input 2 5 2 4 2 3" xfId="20736"/>
    <cellStyle name="Input 2 5 2 4 2 4" xfId="20737"/>
    <cellStyle name="Input 2 5 2 5" xfId="20738"/>
    <cellStyle name="Input 2 5 2 5 2" xfId="20739"/>
    <cellStyle name="Input 2 5 2 5 2 2" xfId="20740"/>
    <cellStyle name="Input 2 5 2 5 2 2 2" xfId="20741"/>
    <cellStyle name="Input 2 5 2 5 2 2 3" xfId="20742"/>
    <cellStyle name="Input 2 5 2 5 2 3" xfId="20743"/>
    <cellStyle name="Input 2 5 2 5 2 4" xfId="20744"/>
    <cellStyle name="Input 2 5 2 6" xfId="20745"/>
    <cellStyle name="Input 2 5 2 6 2" xfId="20746"/>
    <cellStyle name="Input 2 5 2 6 2 2" xfId="20747"/>
    <cellStyle name="Input 2 5 2 6 2 2 2" xfId="20748"/>
    <cellStyle name="Input 2 5 2 6 2 2 3" xfId="20749"/>
    <cellStyle name="Input 2 5 2 6 2 3" xfId="20750"/>
    <cellStyle name="Input 2 5 2 6 2 4" xfId="20751"/>
    <cellStyle name="Input 2 5 2 7" xfId="20752"/>
    <cellStyle name="Input 2 5 2 7 2" xfId="20753"/>
    <cellStyle name="Input 2 5 2 7 2 2" xfId="20754"/>
    <cellStyle name="Input 2 5 2 7 2 2 2" xfId="20755"/>
    <cellStyle name="Input 2 5 2 7 2 2 3" xfId="20756"/>
    <cellStyle name="Input 2 5 2 7 2 3" xfId="20757"/>
    <cellStyle name="Input 2 5 2 7 2 4" xfId="20758"/>
    <cellStyle name="Input 2 5 2 8" xfId="20759"/>
    <cellStyle name="Input 2 5 2 8 2" xfId="20760"/>
    <cellStyle name="Input 2 5 2 8 2 2" xfId="20761"/>
    <cellStyle name="Input 2 5 2 8 2 2 2" xfId="20762"/>
    <cellStyle name="Input 2 5 2 8 2 2 3" xfId="20763"/>
    <cellStyle name="Input 2 5 2 8 2 3" xfId="20764"/>
    <cellStyle name="Input 2 5 2 8 2 4" xfId="20765"/>
    <cellStyle name="Input 2 5 2 9" xfId="20766"/>
    <cellStyle name="Input 2 5 2 9 2" xfId="20767"/>
    <cellStyle name="Input 2 5 2 9 2 2" xfId="20768"/>
    <cellStyle name="Input 2 5 2 9 2 2 2" xfId="20769"/>
    <cellStyle name="Input 2 5 2 9 2 2 3" xfId="20770"/>
    <cellStyle name="Input 2 5 2 9 2 3" xfId="20771"/>
    <cellStyle name="Input 2 5 2 9 2 4" xfId="20772"/>
    <cellStyle name="Input 2 5 3" xfId="20773"/>
    <cellStyle name="Input 2 5 3 2" xfId="20774"/>
    <cellStyle name="Input 2 5 3 2 2" xfId="20775"/>
    <cellStyle name="Input 2 5 3 2 2 2" xfId="20776"/>
    <cellStyle name="Input 2 5 3 2 2 2 2" xfId="20777"/>
    <cellStyle name="Input 2 5 3 2 2 2 3" xfId="20778"/>
    <cellStyle name="Input 2 5 3 2 2 3" xfId="20779"/>
    <cellStyle name="Input 2 5 3 2 2 4" xfId="20780"/>
    <cellStyle name="Input 2 5 3 3" xfId="20781"/>
    <cellStyle name="Input 2 5 3 3 2" xfId="20782"/>
    <cellStyle name="Input 2 5 3 3 2 2" xfId="20783"/>
    <cellStyle name="Input 2 5 3 3 2 2 2" xfId="20784"/>
    <cellStyle name="Input 2 5 3 3 2 2 3" xfId="20785"/>
    <cellStyle name="Input 2 5 3 3 2 3" xfId="20786"/>
    <cellStyle name="Input 2 5 3 3 2 4" xfId="20787"/>
    <cellStyle name="Input 2 5 3 4" xfId="20788"/>
    <cellStyle name="Input 2 5 3 4 2" xfId="20789"/>
    <cellStyle name="Input 2 5 3 4 2 2" xfId="20790"/>
    <cellStyle name="Input 2 5 3 4 2 2 2" xfId="20791"/>
    <cellStyle name="Input 2 5 3 4 2 2 3" xfId="20792"/>
    <cellStyle name="Input 2 5 3 4 2 3" xfId="20793"/>
    <cellStyle name="Input 2 5 3 4 2 4" xfId="20794"/>
    <cellStyle name="Input 2 5 3 5" xfId="20795"/>
    <cellStyle name="Input 2 5 3 5 2" xfId="20796"/>
    <cellStyle name="Input 2 5 3 5 2 2" xfId="20797"/>
    <cellStyle name="Input 2 5 3 5 2 2 2" xfId="20798"/>
    <cellStyle name="Input 2 5 3 5 2 2 3" xfId="20799"/>
    <cellStyle name="Input 2 5 3 5 2 3" xfId="20800"/>
    <cellStyle name="Input 2 5 3 5 2 4" xfId="20801"/>
    <cellStyle name="Input 2 5 3 6" xfId="20802"/>
    <cellStyle name="Input 2 5 3 6 2" xfId="20803"/>
    <cellStyle name="Input 2 5 3 6 2 2" xfId="20804"/>
    <cellStyle name="Input 2 5 3 6 2 2 2" xfId="20805"/>
    <cellStyle name="Input 2 5 3 6 2 2 3" xfId="20806"/>
    <cellStyle name="Input 2 5 3 6 2 3" xfId="20807"/>
    <cellStyle name="Input 2 5 3 6 2 4" xfId="20808"/>
    <cellStyle name="Input 2 5 3 7" xfId="20809"/>
    <cellStyle name="Input 2 5 3 7 2" xfId="20810"/>
    <cellStyle name="Input 2 5 3 7 2 2" xfId="20811"/>
    <cellStyle name="Input 2 5 3 7 2 2 2" xfId="20812"/>
    <cellStyle name="Input 2 5 3 7 2 2 3" xfId="20813"/>
    <cellStyle name="Input 2 5 3 7 2 3" xfId="20814"/>
    <cellStyle name="Input 2 5 3 7 2 4" xfId="20815"/>
    <cellStyle name="Input 2 5 3 8" xfId="20816"/>
    <cellStyle name="Input 2 5 3 8 2" xfId="20817"/>
    <cellStyle name="Input 2 5 3 8 2 2" xfId="20818"/>
    <cellStyle name="Input 2 5 3 8 2 2 2" xfId="20819"/>
    <cellStyle name="Input 2 5 3 8 2 2 3" xfId="20820"/>
    <cellStyle name="Input 2 5 3 8 2 3" xfId="20821"/>
    <cellStyle name="Input 2 5 3 8 2 4" xfId="20822"/>
    <cellStyle name="Input 2 5 3 9" xfId="20823"/>
    <cellStyle name="Input 2 5 3 9 2" xfId="20824"/>
    <cellStyle name="Input 2 5 3 9 2 2" xfId="20825"/>
    <cellStyle name="Input 2 5 3 9 2 3" xfId="20826"/>
    <cellStyle name="Input 2 5 3 9 3" xfId="20827"/>
    <cellStyle name="Input 2 5 3 9 4" xfId="20828"/>
    <cellStyle name="Input 2 5 4" xfId="20829"/>
    <cellStyle name="Input 2 5 4 2" xfId="20830"/>
    <cellStyle name="Input 2 5 4 2 2" xfId="20831"/>
    <cellStyle name="Input 2 5 4 2 2 2" xfId="20832"/>
    <cellStyle name="Input 2 5 4 2 2 3" xfId="20833"/>
    <cellStyle name="Input 2 5 4 2 3" xfId="20834"/>
    <cellStyle name="Input 2 5 4 2 4" xfId="20835"/>
    <cellStyle name="Input 2 5 5" xfId="20836"/>
    <cellStyle name="Input 2 5 5 2" xfId="20837"/>
    <cellStyle name="Input 2 5 5 2 2" xfId="20838"/>
    <cellStyle name="Input 2 5 5 2 2 2" xfId="20839"/>
    <cellStyle name="Input 2 5 5 2 2 3" xfId="20840"/>
    <cellStyle name="Input 2 5 5 2 3" xfId="20841"/>
    <cellStyle name="Input 2 5 5 2 4" xfId="20842"/>
    <cellStyle name="Input 2 5 6" xfId="20843"/>
    <cellStyle name="Input 2 5 6 2" xfId="20844"/>
    <cellStyle name="Input 2 5 6 2 2" xfId="20845"/>
    <cellStyle name="Input 2 5 6 2 2 2" xfId="20846"/>
    <cellStyle name="Input 2 5 6 2 2 3" xfId="20847"/>
    <cellStyle name="Input 2 5 6 2 3" xfId="20848"/>
    <cellStyle name="Input 2 5 6 2 4" xfId="20849"/>
    <cellStyle name="Input 2 5 7" xfId="20850"/>
    <cellStyle name="Input 2 5 7 2" xfId="20851"/>
    <cellStyle name="Input 2 5 7 2 2" xfId="20852"/>
    <cellStyle name="Input 2 5 7 2 2 2" xfId="20853"/>
    <cellStyle name="Input 2 5 7 2 2 3" xfId="20854"/>
    <cellStyle name="Input 2 5 7 2 3" xfId="20855"/>
    <cellStyle name="Input 2 5 7 2 4" xfId="20856"/>
    <cellStyle name="Input 2 5 8" xfId="20857"/>
    <cellStyle name="Input 2 5 8 2" xfId="20858"/>
    <cellStyle name="Input 2 5 8 2 2" xfId="20859"/>
    <cellStyle name="Input 2 5 8 2 2 2" xfId="20860"/>
    <cellStyle name="Input 2 5 8 2 2 3" xfId="20861"/>
    <cellStyle name="Input 2 5 8 2 3" xfId="20862"/>
    <cellStyle name="Input 2 5 8 2 4" xfId="20863"/>
    <cellStyle name="Input 2 5 9" xfId="20864"/>
    <cellStyle name="Input 2 5 9 2" xfId="20865"/>
    <cellStyle name="Input 2 5 9 2 2" xfId="20866"/>
    <cellStyle name="Input 2 5 9 2 2 2" xfId="20867"/>
    <cellStyle name="Input 2 5 9 2 2 3" xfId="20868"/>
    <cellStyle name="Input 2 5 9 2 3" xfId="20869"/>
    <cellStyle name="Input 2 5 9 2 4" xfId="20870"/>
    <cellStyle name="Input 2 6" xfId="20871"/>
    <cellStyle name="Input 2 6 2" xfId="20872"/>
    <cellStyle name="Input 2 6 2 2" xfId="20873"/>
    <cellStyle name="Input 2 6 2 2 2" xfId="20874"/>
    <cellStyle name="Input 2 6 2 2 2 2" xfId="20875"/>
    <cellStyle name="Input 2 6 2 2 2 3" xfId="20876"/>
    <cellStyle name="Input 2 6 2 2 3" xfId="20877"/>
    <cellStyle name="Input 2 6 2 2 4" xfId="20878"/>
    <cellStyle name="Input 2 6 3" xfId="20879"/>
    <cellStyle name="Input 2 6 3 2" xfId="20880"/>
    <cellStyle name="Input 2 6 3 2 2" xfId="20881"/>
    <cellStyle name="Input 2 6 3 2 2 2" xfId="20882"/>
    <cellStyle name="Input 2 6 3 2 2 3" xfId="20883"/>
    <cellStyle name="Input 2 6 3 2 3" xfId="20884"/>
    <cellStyle name="Input 2 6 3 2 4" xfId="20885"/>
    <cellStyle name="Input 2 6 4" xfId="20886"/>
    <cellStyle name="Input 2 6 4 2" xfId="20887"/>
    <cellStyle name="Input 2 6 4 2 2" xfId="20888"/>
    <cellStyle name="Input 2 6 4 2 2 2" xfId="20889"/>
    <cellStyle name="Input 2 6 4 2 2 3" xfId="20890"/>
    <cellStyle name="Input 2 6 4 2 3" xfId="20891"/>
    <cellStyle name="Input 2 6 4 2 4" xfId="20892"/>
    <cellStyle name="Input 2 6 5" xfId="20893"/>
    <cellStyle name="Input 2 6 5 2" xfId="20894"/>
    <cellStyle name="Input 2 6 5 2 2" xfId="20895"/>
    <cellStyle name="Input 2 6 5 2 2 2" xfId="20896"/>
    <cellStyle name="Input 2 6 5 2 2 3" xfId="20897"/>
    <cellStyle name="Input 2 6 5 2 3" xfId="20898"/>
    <cellStyle name="Input 2 6 5 2 4" xfId="20899"/>
    <cellStyle name="Input 2 6 6" xfId="20900"/>
    <cellStyle name="Input 2 6 6 2" xfId="20901"/>
    <cellStyle name="Input 2 6 6 2 2" xfId="20902"/>
    <cellStyle name="Input 2 6 6 2 2 2" xfId="20903"/>
    <cellStyle name="Input 2 6 6 2 2 3" xfId="20904"/>
    <cellStyle name="Input 2 6 6 2 3" xfId="20905"/>
    <cellStyle name="Input 2 6 6 2 4" xfId="20906"/>
    <cellStyle name="Input 2 6 7" xfId="20907"/>
    <cellStyle name="Input 2 6 7 2" xfId="20908"/>
    <cellStyle name="Input 2 6 7 2 2" xfId="20909"/>
    <cellStyle name="Input 2 6 7 2 2 2" xfId="20910"/>
    <cellStyle name="Input 2 6 7 2 2 3" xfId="20911"/>
    <cellStyle name="Input 2 6 7 2 3" xfId="20912"/>
    <cellStyle name="Input 2 6 7 2 4" xfId="20913"/>
    <cellStyle name="Input 2 6 8" xfId="20914"/>
    <cellStyle name="Input 2 6 8 2" xfId="20915"/>
    <cellStyle name="Input 2 6 8 2 2" xfId="20916"/>
    <cellStyle name="Input 2 6 8 2 2 2" xfId="20917"/>
    <cellStyle name="Input 2 6 8 2 2 3" xfId="20918"/>
    <cellStyle name="Input 2 6 8 2 3" xfId="20919"/>
    <cellStyle name="Input 2 6 8 2 4" xfId="20920"/>
    <cellStyle name="Input 2 6 9" xfId="20921"/>
    <cellStyle name="Input 2 6 9 2" xfId="20922"/>
    <cellStyle name="Input 2 6 9 2 2" xfId="20923"/>
    <cellStyle name="Input 2 6 9 2 3" xfId="20924"/>
    <cellStyle name="Input 2 6 9 3" xfId="20925"/>
    <cellStyle name="Input 2 6 9 4" xfId="20926"/>
    <cellStyle name="Input 2 7" xfId="20927"/>
    <cellStyle name="Input 2 7 2" xfId="20928"/>
    <cellStyle name="Input 2 7 2 2" xfId="20929"/>
    <cellStyle name="Input 2 7 2 2 2" xfId="20930"/>
    <cellStyle name="Input 2 7 2 2 2 2" xfId="20931"/>
    <cellStyle name="Input 2 7 2 2 2 3" xfId="20932"/>
    <cellStyle name="Input 2 7 2 2 3" xfId="20933"/>
    <cellStyle name="Input 2 7 2 2 4" xfId="20934"/>
    <cellStyle name="Input 2 7 3" xfId="20935"/>
    <cellStyle name="Input 2 7 3 2" xfId="20936"/>
    <cellStyle name="Input 2 7 3 2 2" xfId="20937"/>
    <cellStyle name="Input 2 7 3 2 2 2" xfId="20938"/>
    <cellStyle name="Input 2 7 3 2 2 3" xfId="20939"/>
    <cellStyle name="Input 2 7 3 2 3" xfId="20940"/>
    <cellStyle name="Input 2 7 3 2 4" xfId="20941"/>
    <cellStyle name="Input 2 7 4" xfId="20942"/>
    <cellStyle name="Input 2 7 4 2" xfId="20943"/>
    <cellStyle name="Input 2 7 4 2 2" xfId="20944"/>
    <cellStyle name="Input 2 7 4 2 2 2" xfId="20945"/>
    <cellStyle name="Input 2 7 4 2 2 3" xfId="20946"/>
    <cellStyle name="Input 2 7 4 2 3" xfId="20947"/>
    <cellStyle name="Input 2 7 4 2 4" xfId="20948"/>
    <cellStyle name="Input 2 7 5" xfId="20949"/>
    <cellStyle name="Input 2 7 5 2" xfId="20950"/>
    <cellStyle name="Input 2 7 5 2 2" xfId="20951"/>
    <cellStyle name="Input 2 7 5 2 2 2" xfId="20952"/>
    <cellStyle name="Input 2 7 5 2 2 3" xfId="20953"/>
    <cellStyle name="Input 2 7 5 2 3" xfId="20954"/>
    <cellStyle name="Input 2 7 5 2 4" xfId="20955"/>
    <cellStyle name="Input 2 7 6" xfId="20956"/>
    <cellStyle name="Input 2 7 6 2" xfId="20957"/>
    <cellStyle name="Input 2 7 6 2 2" xfId="20958"/>
    <cellStyle name="Input 2 7 6 2 2 2" xfId="20959"/>
    <cellStyle name="Input 2 7 6 2 2 3" xfId="20960"/>
    <cellStyle name="Input 2 7 6 2 3" xfId="20961"/>
    <cellStyle name="Input 2 7 6 2 4" xfId="20962"/>
    <cellStyle name="Input 2 7 7" xfId="20963"/>
    <cellStyle name="Input 2 7 7 2" xfId="20964"/>
    <cellStyle name="Input 2 7 7 2 2" xfId="20965"/>
    <cellStyle name="Input 2 7 7 2 2 2" xfId="20966"/>
    <cellStyle name="Input 2 7 7 2 2 3" xfId="20967"/>
    <cellStyle name="Input 2 7 7 2 3" xfId="20968"/>
    <cellStyle name="Input 2 7 7 2 4" xfId="20969"/>
    <cellStyle name="Input 2 7 8" xfId="20970"/>
    <cellStyle name="Input 2 7 8 2" xfId="20971"/>
    <cellStyle name="Input 2 7 8 2 2" xfId="20972"/>
    <cellStyle name="Input 2 7 8 2 2 2" xfId="20973"/>
    <cellStyle name="Input 2 7 8 2 2 3" xfId="20974"/>
    <cellStyle name="Input 2 7 8 2 3" xfId="20975"/>
    <cellStyle name="Input 2 7 8 2 4" xfId="20976"/>
    <cellStyle name="Input 2 7 9" xfId="20977"/>
    <cellStyle name="Input 2 7 9 2" xfId="20978"/>
    <cellStyle name="Input 2 7 9 2 2" xfId="20979"/>
    <cellStyle name="Input 2 7 9 2 3" xfId="20980"/>
    <cellStyle name="Input 2 7 9 3" xfId="20981"/>
    <cellStyle name="Input 2 7 9 4" xfId="20982"/>
    <cellStyle name="Input 2 8" xfId="20983"/>
    <cellStyle name="Input 2 8 2" xfId="20984"/>
    <cellStyle name="Input 2 8 2 2" xfId="20985"/>
    <cellStyle name="Input 2 8 2 2 2" xfId="20986"/>
    <cellStyle name="Input 2 8 2 2 2 2" xfId="20987"/>
    <cellStyle name="Input 2 8 2 2 2 3" xfId="20988"/>
    <cellStyle name="Input 2 8 2 2 3" xfId="20989"/>
    <cellStyle name="Input 2 8 2 2 4" xfId="20990"/>
    <cellStyle name="Input 2 8 3" xfId="20991"/>
    <cellStyle name="Input 2 8 3 2" xfId="20992"/>
    <cellStyle name="Input 2 8 3 2 2" xfId="20993"/>
    <cellStyle name="Input 2 8 3 2 2 2" xfId="20994"/>
    <cellStyle name="Input 2 8 3 2 2 3" xfId="20995"/>
    <cellStyle name="Input 2 8 3 2 3" xfId="20996"/>
    <cellStyle name="Input 2 8 3 2 4" xfId="20997"/>
    <cellStyle name="Input 2 8 4" xfId="20998"/>
    <cellStyle name="Input 2 8 4 2" xfId="20999"/>
    <cellStyle name="Input 2 8 4 2 2" xfId="21000"/>
    <cellStyle name="Input 2 8 4 2 2 2" xfId="21001"/>
    <cellStyle name="Input 2 8 4 2 2 3" xfId="21002"/>
    <cellStyle name="Input 2 8 4 2 3" xfId="21003"/>
    <cellStyle name="Input 2 8 4 2 4" xfId="21004"/>
    <cellStyle name="Input 2 8 5" xfId="21005"/>
    <cellStyle name="Input 2 8 5 2" xfId="21006"/>
    <cellStyle name="Input 2 8 5 2 2" xfId="21007"/>
    <cellStyle name="Input 2 8 5 2 2 2" xfId="21008"/>
    <cellStyle name="Input 2 8 5 2 2 3" xfId="21009"/>
    <cellStyle name="Input 2 8 5 2 3" xfId="21010"/>
    <cellStyle name="Input 2 8 5 2 4" xfId="21011"/>
    <cellStyle name="Input 2 8 6" xfId="21012"/>
    <cellStyle name="Input 2 8 6 2" xfId="21013"/>
    <cellStyle name="Input 2 8 6 2 2" xfId="21014"/>
    <cellStyle name="Input 2 8 6 2 2 2" xfId="21015"/>
    <cellStyle name="Input 2 8 6 2 2 3" xfId="21016"/>
    <cellStyle name="Input 2 8 6 2 3" xfId="21017"/>
    <cellStyle name="Input 2 8 6 2 4" xfId="21018"/>
    <cellStyle name="Input 2 8 7" xfId="21019"/>
    <cellStyle name="Input 2 8 7 2" xfId="21020"/>
    <cellStyle name="Input 2 8 7 2 2" xfId="21021"/>
    <cellStyle name="Input 2 8 7 2 2 2" xfId="21022"/>
    <cellStyle name="Input 2 8 7 2 2 3" xfId="21023"/>
    <cellStyle name="Input 2 8 7 2 3" xfId="21024"/>
    <cellStyle name="Input 2 8 7 2 4" xfId="21025"/>
    <cellStyle name="Input 2 8 8" xfId="21026"/>
    <cellStyle name="Input 2 8 8 2" xfId="21027"/>
    <cellStyle name="Input 2 8 8 2 2" xfId="21028"/>
    <cellStyle name="Input 2 8 8 2 2 2" xfId="21029"/>
    <cellStyle name="Input 2 8 8 2 2 3" xfId="21030"/>
    <cellStyle name="Input 2 8 8 2 3" xfId="21031"/>
    <cellStyle name="Input 2 8 8 2 4" xfId="21032"/>
    <cellStyle name="Input 2 8 9" xfId="21033"/>
    <cellStyle name="Input 2 8 9 2" xfId="21034"/>
    <cellStyle name="Input 2 8 9 2 2" xfId="21035"/>
    <cellStyle name="Input 2 8 9 2 3" xfId="21036"/>
    <cellStyle name="Input 2 8 9 3" xfId="21037"/>
    <cellStyle name="Input 2 8 9 4" xfId="21038"/>
    <cellStyle name="Input 2 9" xfId="21039"/>
    <cellStyle name="Input 2 9 2" xfId="21040"/>
    <cellStyle name="Input 2 9 2 2" xfId="21041"/>
    <cellStyle name="Input 2 9 2 2 2" xfId="21042"/>
    <cellStyle name="Input 2 9 2 2 2 2" xfId="21043"/>
    <cellStyle name="Input 2 9 2 2 2 3" xfId="21044"/>
    <cellStyle name="Input 2 9 2 2 3" xfId="21045"/>
    <cellStyle name="Input 2 9 2 2 4" xfId="21046"/>
    <cellStyle name="Input 2 9 3" xfId="21047"/>
    <cellStyle name="Input 2 9 3 2" xfId="21048"/>
    <cellStyle name="Input 2 9 3 2 2" xfId="21049"/>
    <cellStyle name="Input 2 9 3 2 2 2" xfId="21050"/>
    <cellStyle name="Input 2 9 3 2 2 3" xfId="21051"/>
    <cellStyle name="Input 2 9 3 2 3" xfId="21052"/>
    <cellStyle name="Input 2 9 3 2 4" xfId="21053"/>
    <cellStyle name="Input 2 9 4" xfId="21054"/>
    <cellStyle name="Input 2 9 4 2" xfId="21055"/>
    <cellStyle name="Input 2 9 4 2 2" xfId="21056"/>
    <cellStyle name="Input 2 9 4 2 2 2" xfId="21057"/>
    <cellStyle name="Input 2 9 4 2 2 3" xfId="21058"/>
    <cellStyle name="Input 2 9 4 2 3" xfId="21059"/>
    <cellStyle name="Input 2 9 4 2 4" xfId="21060"/>
    <cellStyle name="Input 2 9 5" xfId="21061"/>
    <cellStyle name="Input 2 9 5 2" xfId="21062"/>
    <cellStyle name="Input 2 9 5 2 2" xfId="21063"/>
    <cellStyle name="Input 2 9 5 2 2 2" xfId="21064"/>
    <cellStyle name="Input 2 9 5 2 2 3" xfId="21065"/>
    <cellStyle name="Input 2 9 5 2 3" xfId="21066"/>
    <cellStyle name="Input 2 9 5 2 4" xfId="21067"/>
    <cellStyle name="Input 2 9 6" xfId="21068"/>
    <cellStyle name="Input 2 9 6 2" xfId="21069"/>
    <cellStyle name="Input 2 9 6 2 2" xfId="21070"/>
    <cellStyle name="Input 2 9 6 2 2 2" xfId="21071"/>
    <cellStyle name="Input 2 9 6 2 2 3" xfId="21072"/>
    <cellStyle name="Input 2 9 6 2 3" xfId="21073"/>
    <cellStyle name="Input 2 9 6 2 4" xfId="21074"/>
    <cellStyle name="Input 2 9 7" xfId="21075"/>
    <cellStyle name="Input 2 9 7 2" xfId="21076"/>
    <cellStyle name="Input 2 9 7 2 2" xfId="21077"/>
    <cellStyle name="Input 2 9 7 2 2 2" xfId="21078"/>
    <cellStyle name="Input 2 9 7 2 2 3" xfId="21079"/>
    <cellStyle name="Input 2 9 7 2 3" xfId="21080"/>
    <cellStyle name="Input 2 9 7 2 4" xfId="21081"/>
    <cellStyle name="Input 2 9 8" xfId="21082"/>
    <cellStyle name="Input 2 9 8 2" xfId="21083"/>
    <cellStyle name="Input 2 9 8 2 2" xfId="21084"/>
    <cellStyle name="Input 2 9 8 2 2 2" xfId="21085"/>
    <cellStyle name="Input 2 9 8 2 2 3" xfId="21086"/>
    <cellStyle name="Input 2 9 8 2 3" xfId="21087"/>
    <cellStyle name="Input 2 9 8 2 4" xfId="21088"/>
    <cellStyle name="Input 2 9 9" xfId="21089"/>
    <cellStyle name="Input 2 9 9 2" xfId="21090"/>
    <cellStyle name="Input 2 9 9 2 2" xfId="21091"/>
    <cellStyle name="Input 2 9 9 2 3" xfId="21092"/>
    <cellStyle name="Input 2 9 9 3" xfId="21093"/>
    <cellStyle name="Input 2 9 9 4" xfId="21094"/>
    <cellStyle name="Input 3" xfId="21095"/>
    <cellStyle name="Input 3 10" xfId="42960"/>
    <cellStyle name="Input 3 11" xfId="43062"/>
    <cellStyle name="Input 3 2" xfId="21096"/>
    <cellStyle name="Input 3 2 2" xfId="21097"/>
    <cellStyle name="Input 3 2 2 2" xfId="21098"/>
    <cellStyle name="Input 3 2 2 2 2" xfId="21099"/>
    <cellStyle name="Input 3 2 2 2 2 2" xfId="21100"/>
    <cellStyle name="Input 3 2 2 2 2 2 2" xfId="21101"/>
    <cellStyle name="Input 3 2 2 2 2 2 3" xfId="21102"/>
    <cellStyle name="Input 3 2 2 2 2 3" xfId="21103"/>
    <cellStyle name="Input 3 2 2 2 2 4" xfId="21104"/>
    <cellStyle name="Input 3 2 2 3" xfId="21105"/>
    <cellStyle name="Input 3 2 2 3 2" xfId="21106"/>
    <cellStyle name="Input 3 2 2 3 2 2" xfId="21107"/>
    <cellStyle name="Input 3 2 2 3 2 2 2" xfId="21108"/>
    <cellStyle name="Input 3 2 2 3 2 2 3" xfId="21109"/>
    <cellStyle name="Input 3 2 2 3 2 3" xfId="21110"/>
    <cellStyle name="Input 3 2 2 3 2 4" xfId="21111"/>
    <cellStyle name="Input 3 2 2 4" xfId="21112"/>
    <cellStyle name="Input 3 2 2 4 2" xfId="21113"/>
    <cellStyle name="Input 3 2 2 4 2 2" xfId="21114"/>
    <cellStyle name="Input 3 2 2 4 2 2 2" xfId="21115"/>
    <cellStyle name="Input 3 2 2 4 2 2 3" xfId="21116"/>
    <cellStyle name="Input 3 2 2 4 2 3" xfId="21117"/>
    <cellStyle name="Input 3 2 2 4 2 4" xfId="21118"/>
    <cellStyle name="Input 3 2 2 5" xfId="21119"/>
    <cellStyle name="Input 3 2 2 5 2" xfId="21120"/>
    <cellStyle name="Input 3 2 2 5 2 2" xfId="21121"/>
    <cellStyle name="Input 3 2 2 5 2 2 2" xfId="21122"/>
    <cellStyle name="Input 3 2 2 5 2 2 3" xfId="21123"/>
    <cellStyle name="Input 3 2 2 5 2 3" xfId="21124"/>
    <cellStyle name="Input 3 2 2 5 2 4" xfId="21125"/>
    <cellStyle name="Input 3 2 2 6" xfId="21126"/>
    <cellStyle name="Input 3 2 2 6 2" xfId="21127"/>
    <cellStyle name="Input 3 2 2 6 2 2" xfId="21128"/>
    <cellStyle name="Input 3 2 2 6 2 2 2" xfId="21129"/>
    <cellStyle name="Input 3 2 2 6 2 2 3" xfId="21130"/>
    <cellStyle name="Input 3 2 2 6 2 3" xfId="21131"/>
    <cellStyle name="Input 3 2 2 6 2 4" xfId="21132"/>
    <cellStyle name="Input 3 2 2 7" xfId="21133"/>
    <cellStyle name="Input 3 2 2 7 2" xfId="21134"/>
    <cellStyle name="Input 3 2 2 7 2 2" xfId="21135"/>
    <cellStyle name="Input 3 2 2 7 2 2 2" xfId="21136"/>
    <cellStyle name="Input 3 2 2 7 2 2 3" xfId="21137"/>
    <cellStyle name="Input 3 2 2 7 2 3" xfId="21138"/>
    <cellStyle name="Input 3 2 2 7 2 4" xfId="21139"/>
    <cellStyle name="Input 3 2 2 8" xfId="21140"/>
    <cellStyle name="Input 3 2 2 8 2" xfId="21141"/>
    <cellStyle name="Input 3 2 2 8 2 2" xfId="21142"/>
    <cellStyle name="Input 3 2 2 8 2 2 2" xfId="21143"/>
    <cellStyle name="Input 3 2 2 8 2 2 3" xfId="21144"/>
    <cellStyle name="Input 3 2 2 8 2 3" xfId="21145"/>
    <cellStyle name="Input 3 2 2 8 2 4" xfId="21146"/>
    <cellStyle name="Input 3 2 2 9" xfId="21147"/>
    <cellStyle name="Input 3 2 2 9 2" xfId="21148"/>
    <cellStyle name="Input 3 2 2 9 2 2" xfId="21149"/>
    <cellStyle name="Input 3 2 2 9 2 3" xfId="21150"/>
    <cellStyle name="Input 3 2 2 9 3" xfId="21151"/>
    <cellStyle name="Input 3 2 2 9 4" xfId="21152"/>
    <cellStyle name="Input 3 2 3" xfId="21153"/>
    <cellStyle name="Input 3 2 3 2" xfId="21154"/>
    <cellStyle name="Input 3 2 3 2 2" xfId="21155"/>
    <cellStyle name="Input 3 2 3 2 2 2" xfId="21156"/>
    <cellStyle name="Input 3 2 3 2 2 2 2" xfId="21157"/>
    <cellStyle name="Input 3 2 3 2 2 2 3" xfId="21158"/>
    <cellStyle name="Input 3 2 3 2 2 3" xfId="21159"/>
    <cellStyle name="Input 3 2 3 2 2 4" xfId="21160"/>
    <cellStyle name="Input 3 2 3 3" xfId="21161"/>
    <cellStyle name="Input 3 2 3 3 2" xfId="21162"/>
    <cellStyle name="Input 3 2 3 3 2 2" xfId="21163"/>
    <cellStyle name="Input 3 2 3 3 2 2 2" xfId="21164"/>
    <cellStyle name="Input 3 2 3 3 2 2 3" xfId="21165"/>
    <cellStyle name="Input 3 2 3 3 2 3" xfId="21166"/>
    <cellStyle name="Input 3 2 3 3 2 4" xfId="21167"/>
    <cellStyle name="Input 3 2 3 4" xfId="21168"/>
    <cellStyle name="Input 3 2 3 4 2" xfId="21169"/>
    <cellStyle name="Input 3 2 3 4 2 2" xfId="21170"/>
    <cellStyle name="Input 3 2 3 4 2 2 2" xfId="21171"/>
    <cellStyle name="Input 3 2 3 4 2 2 3" xfId="21172"/>
    <cellStyle name="Input 3 2 3 4 2 3" xfId="21173"/>
    <cellStyle name="Input 3 2 3 4 2 4" xfId="21174"/>
    <cellStyle name="Input 3 2 3 5" xfId="21175"/>
    <cellStyle name="Input 3 2 3 5 2" xfId="21176"/>
    <cellStyle name="Input 3 2 3 5 2 2" xfId="21177"/>
    <cellStyle name="Input 3 2 3 5 2 2 2" xfId="21178"/>
    <cellStyle name="Input 3 2 3 5 2 2 3" xfId="21179"/>
    <cellStyle name="Input 3 2 3 5 2 3" xfId="21180"/>
    <cellStyle name="Input 3 2 3 5 2 4" xfId="21181"/>
    <cellStyle name="Input 3 2 3 6" xfId="21182"/>
    <cellStyle name="Input 3 2 3 6 2" xfId="21183"/>
    <cellStyle name="Input 3 2 3 6 2 2" xfId="21184"/>
    <cellStyle name="Input 3 2 3 6 2 2 2" xfId="21185"/>
    <cellStyle name="Input 3 2 3 6 2 2 3" xfId="21186"/>
    <cellStyle name="Input 3 2 3 6 2 3" xfId="21187"/>
    <cellStyle name="Input 3 2 3 6 2 4" xfId="21188"/>
    <cellStyle name="Input 3 2 3 7" xfId="21189"/>
    <cellStyle name="Input 3 2 3 7 2" xfId="21190"/>
    <cellStyle name="Input 3 2 3 7 2 2" xfId="21191"/>
    <cellStyle name="Input 3 2 3 7 2 2 2" xfId="21192"/>
    <cellStyle name="Input 3 2 3 7 2 2 3" xfId="21193"/>
    <cellStyle name="Input 3 2 3 7 2 3" xfId="21194"/>
    <cellStyle name="Input 3 2 3 7 2 4" xfId="21195"/>
    <cellStyle name="Input 3 2 3 8" xfId="21196"/>
    <cellStyle name="Input 3 2 3 8 2" xfId="21197"/>
    <cellStyle name="Input 3 2 3 8 2 2" xfId="21198"/>
    <cellStyle name="Input 3 2 3 8 2 2 2" xfId="21199"/>
    <cellStyle name="Input 3 2 3 8 2 2 3" xfId="21200"/>
    <cellStyle name="Input 3 2 3 8 2 3" xfId="21201"/>
    <cellStyle name="Input 3 2 3 8 2 4" xfId="21202"/>
    <cellStyle name="Input 3 2 3 9" xfId="21203"/>
    <cellStyle name="Input 3 2 3 9 2" xfId="21204"/>
    <cellStyle name="Input 3 2 3 9 2 2" xfId="21205"/>
    <cellStyle name="Input 3 2 3 9 2 3" xfId="21206"/>
    <cellStyle name="Input 3 2 3 9 3" xfId="21207"/>
    <cellStyle name="Input 3 2 3 9 4" xfId="21208"/>
    <cellStyle name="Input 3 2 4" xfId="21209"/>
    <cellStyle name="Input 3 2 4 2" xfId="21210"/>
    <cellStyle name="Input 3 2 4 2 2" xfId="21211"/>
    <cellStyle name="Input 3 2 4 2 2 2" xfId="21212"/>
    <cellStyle name="Input 3 2 4 2 2 2 2" xfId="21213"/>
    <cellStyle name="Input 3 2 4 2 2 2 3" xfId="21214"/>
    <cellStyle name="Input 3 2 4 2 2 3" xfId="21215"/>
    <cellStyle name="Input 3 2 4 2 2 4" xfId="21216"/>
    <cellStyle name="Input 3 2 4 3" xfId="21217"/>
    <cellStyle name="Input 3 2 4 3 2" xfId="21218"/>
    <cellStyle name="Input 3 2 4 3 2 2" xfId="21219"/>
    <cellStyle name="Input 3 2 4 3 2 2 2" xfId="21220"/>
    <cellStyle name="Input 3 2 4 3 2 2 3" xfId="21221"/>
    <cellStyle name="Input 3 2 4 3 2 3" xfId="21222"/>
    <cellStyle name="Input 3 2 4 3 2 4" xfId="21223"/>
    <cellStyle name="Input 3 2 4 4" xfId="21224"/>
    <cellStyle name="Input 3 2 4 4 2" xfId="21225"/>
    <cellStyle name="Input 3 2 4 4 2 2" xfId="21226"/>
    <cellStyle name="Input 3 2 4 4 2 2 2" xfId="21227"/>
    <cellStyle name="Input 3 2 4 4 2 2 3" xfId="21228"/>
    <cellStyle name="Input 3 2 4 4 2 3" xfId="21229"/>
    <cellStyle name="Input 3 2 4 4 2 4" xfId="21230"/>
    <cellStyle name="Input 3 2 4 5" xfId="21231"/>
    <cellStyle name="Input 3 2 4 5 2" xfId="21232"/>
    <cellStyle name="Input 3 2 4 5 2 2" xfId="21233"/>
    <cellStyle name="Input 3 2 4 5 2 2 2" xfId="21234"/>
    <cellStyle name="Input 3 2 4 5 2 2 3" xfId="21235"/>
    <cellStyle name="Input 3 2 4 5 2 3" xfId="21236"/>
    <cellStyle name="Input 3 2 4 5 2 4" xfId="21237"/>
    <cellStyle name="Input 3 2 4 6" xfId="21238"/>
    <cellStyle name="Input 3 2 4 6 2" xfId="21239"/>
    <cellStyle name="Input 3 2 4 6 2 2" xfId="21240"/>
    <cellStyle name="Input 3 2 4 6 2 2 2" xfId="21241"/>
    <cellStyle name="Input 3 2 4 6 2 2 3" xfId="21242"/>
    <cellStyle name="Input 3 2 4 6 2 3" xfId="21243"/>
    <cellStyle name="Input 3 2 4 6 2 4" xfId="21244"/>
    <cellStyle name="Input 3 2 4 7" xfId="21245"/>
    <cellStyle name="Input 3 2 4 7 2" xfId="21246"/>
    <cellStyle name="Input 3 2 4 7 2 2" xfId="21247"/>
    <cellStyle name="Input 3 2 4 7 2 2 2" xfId="21248"/>
    <cellStyle name="Input 3 2 4 7 2 2 3" xfId="21249"/>
    <cellStyle name="Input 3 2 4 7 2 3" xfId="21250"/>
    <cellStyle name="Input 3 2 4 7 2 4" xfId="21251"/>
    <cellStyle name="Input 3 2 4 8" xfId="21252"/>
    <cellStyle name="Input 3 2 4 8 2" xfId="21253"/>
    <cellStyle name="Input 3 2 4 8 2 2" xfId="21254"/>
    <cellStyle name="Input 3 2 4 8 2 2 2" xfId="21255"/>
    <cellStyle name="Input 3 2 4 8 2 2 3" xfId="21256"/>
    <cellStyle name="Input 3 2 4 8 2 3" xfId="21257"/>
    <cellStyle name="Input 3 2 4 8 2 4" xfId="21258"/>
    <cellStyle name="Input 3 2 4 9" xfId="21259"/>
    <cellStyle name="Input 3 2 4 9 2" xfId="21260"/>
    <cellStyle name="Input 3 2 4 9 2 2" xfId="21261"/>
    <cellStyle name="Input 3 2 4 9 2 3" xfId="21262"/>
    <cellStyle name="Input 3 2 4 9 3" xfId="21263"/>
    <cellStyle name="Input 3 2 4 9 4" xfId="21264"/>
    <cellStyle name="Input 3 2 5" xfId="21265"/>
    <cellStyle name="Input 3 2 5 2" xfId="21266"/>
    <cellStyle name="Input 3 2 5 2 2" xfId="21267"/>
    <cellStyle name="Input 3 2 5 2 2 2" xfId="21268"/>
    <cellStyle name="Input 3 2 5 2 2 2 2" xfId="21269"/>
    <cellStyle name="Input 3 2 5 2 2 2 3" xfId="21270"/>
    <cellStyle name="Input 3 2 5 2 2 3" xfId="21271"/>
    <cellStyle name="Input 3 2 5 2 2 4" xfId="21272"/>
    <cellStyle name="Input 3 2 5 3" xfId="21273"/>
    <cellStyle name="Input 3 2 5 3 2" xfId="21274"/>
    <cellStyle name="Input 3 2 5 3 2 2" xfId="21275"/>
    <cellStyle name="Input 3 2 5 3 2 2 2" xfId="21276"/>
    <cellStyle name="Input 3 2 5 3 2 2 3" xfId="21277"/>
    <cellStyle name="Input 3 2 5 3 2 3" xfId="21278"/>
    <cellStyle name="Input 3 2 5 3 2 4" xfId="21279"/>
    <cellStyle name="Input 3 2 5 4" xfId="21280"/>
    <cellStyle name="Input 3 2 5 4 2" xfId="21281"/>
    <cellStyle name="Input 3 2 5 4 2 2" xfId="21282"/>
    <cellStyle name="Input 3 2 5 4 2 2 2" xfId="21283"/>
    <cellStyle name="Input 3 2 5 4 2 2 3" xfId="21284"/>
    <cellStyle name="Input 3 2 5 4 2 3" xfId="21285"/>
    <cellStyle name="Input 3 2 5 4 2 4" xfId="21286"/>
    <cellStyle name="Input 3 2 5 5" xfId="21287"/>
    <cellStyle name="Input 3 2 5 5 2" xfId="21288"/>
    <cellStyle name="Input 3 2 5 5 2 2" xfId="21289"/>
    <cellStyle name="Input 3 2 5 5 2 2 2" xfId="21290"/>
    <cellStyle name="Input 3 2 5 5 2 2 3" xfId="21291"/>
    <cellStyle name="Input 3 2 5 5 2 3" xfId="21292"/>
    <cellStyle name="Input 3 2 5 5 2 4" xfId="21293"/>
    <cellStyle name="Input 3 2 5 6" xfId="21294"/>
    <cellStyle name="Input 3 2 5 6 2" xfId="21295"/>
    <cellStyle name="Input 3 2 5 6 2 2" xfId="21296"/>
    <cellStyle name="Input 3 2 5 6 2 2 2" xfId="21297"/>
    <cellStyle name="Input 3 2 5 6 2 2 3" xfId="21298"/>
    <cellStyle name="Input 3 2 5 6 2 3" xfId="21299"/>
    <cellStyle name="Input 3 2 5 6 2 4" xfId="21300"/>
    <cellStyle name="Input 3 2 5 7" xfId="21301"/>
    <cellStyle name="Input 3 2 5 7 2" xfId="21302"/>
    <cellStyle name="Input 3 2 5 7 2 2" xfId="21303"/>
    <cellStyle name="Input 3 2 5 7 2 2 2" xfId="21304"/>
    <cellStyle name="Input 3 2 5 7 2 2 3" xfId="21305"/>
    <cellStyle name="Input 3 2 5 7 2 3" xfId="21306"/>
    <cellStyle name="Input 3 2 5 7 2 4" xfId="21307"/>
    <cellStyle name="Input 3 2 5 8" xfId="21308"/>
    <cellStyle name="Input 3 2 5 8 2" xfId="21309"/>
    <cellStyle name="Input 3 2 5 8 2 2" xfId="21310"/>
    <cellStyle name="Input 3 2 5 8 2 2 2" xfId="21311"/>
    <cellStyle name="Input 3 2 5 8 2 2 3" xfId="21312"/>
    <cellStyle name="Input 3 2 5 8 2 3" xfId="21313"/>
    <cellStyle name="Input 3 2 5 8 2 4" xfId="21314"/>
    <cellStyle name="Input 3 2 5 9" xfId="21315"/>
    <cellStyle name="Input 3 2 5 9 2" xfId="21316"/>
    <cellStyle name="Input 3 2 5 9 2 2" xfId="21317"/>
    <cellStyle name="Input 3 2 5 9 2 3" xfId="21318"/>
    <cellStyle name="Input 3 2 5 9 3" xfId="21319"/>
    <cellStyle name="Input 3 2 5 9 4" xfId="21320"/>
    <cellStyle name="Input 3 2 6" xfId="21321"/>
    <cellStyle name="Input 3 2 6 2" xfId="21322"/>
    <cellStyle name="Input 3 2 6 2 2" xfId="21323"/>
    <cellStyle name="Input 3 2 6 2 2 2" xfId="21324"/>
    <cellStyle name="Input 3 2 6 2 2 3" xfId="21325"/>
    <cellStyle name="Input 3 2 6 2 3" xfId="21326"/>
    <cellStyle name="Input 3 2 6 2 4" xfId="21327"/>
    <cellStyle name="Input 3 2 7" xfId="21328"/>
    <cellStyle name="Input 3 2 7 2" xfId="21329"/>
    <cellStyle name="Input 3 2 7 2 2" xfId="21330"/>
    <cellStyle name="Input 3 2 7 2 2 2" xfId="21331"/>
    <cellStyle name="Input 3 2 7 2 2 3" xfId="21332"/>
    <cellStyle name="Input 3 2 7 2 3" xfId="21333"/>
    <cellStyle name="Input 3 2 7 2 4" xfId="21334"/>
    <cellStyle name="Input 3 2 8" xfId="21335"/>
    <cellStyle name="Input 3 2 8 2" xfId="21336"/>
    <cellStyle name="Input 3 2 8 2 2" xfId="21337"/>
    <cellStyle name="Input 3 2 8 2 3" xfId="21338"/>
    <cellStyle name="Input 3 2 8 3" xfId="21339"/>
    <cellStyle name="Input 3 2 8 4" xfId="21340"/>
    <cellStyle name="Input 3 3" xfId="21341"/>
    <cellStyle name="Input 3 3 2" xfId="21342"/>
    <cellStyle name="Input 3 3 2 2" xfId="21343"/>
    <cellStyle name="Input 3 3 2 2 2" xfId="21344"/>
    <cellStyle name="Input 3 3 2 2 2 2" xfId="21345"/>
    <cellStyle name="Input 3 3 2 2 2 3" xfId="21346"/>
    <cellStyle name="Input 3 3 2 2 3" xfId="21347"/>
    <cellStyle name="Input 3 3 2 2 4" xfId="21348"/>
    <cellStyle name="Input 3 3 3" xfId="21349"/>
    <cellStyle name="Input 3 3 3 2" xfId="21350"/>
    <cellStyle name="Input 3 3 3 2 2" xfId="21351"/>
    <cellStyle name="Input 3 3 3 2 2 2" xfId="21352"/>
    <cellStyle name="Input 3 3 3 2 2 3" xfId="21353"/>
    <cellStyle name="Input 3 3 3 2 3" xfId="21354"/>
    <cellStyle name="Input 3 3 3 2 4" xfId="21355"/>
    <cellStyle name="Input 3 3 4" xfId="21356"/>
    <cellStyle name="Input 3 3 4 2" xfId="21357"/>
    <cellStyle name="Input 3 3 4 2 2" xfId="21358"/>
    <cellStyle name="Input 3 3 4 2 2 2" xfId="21359"/>
    <cellStyle name="Input 3 3 4 2 2 3" xfId="21360"/>
    <cellStyle name="Input 3 3 4 2 3" xfId="21361"/>
    <cellStyle name="Input 3 3 4 2 4" xfId="21362"/>
    <cellStyle name="Input 3 3 5" xfId="21363"/>
    <cellStyle name="Input 3 3 5 2" xfId="21364"/>
    <cellStyle name="Input 3 3 5 2 2" xfId="21365"/>
    <cellStyle name="Input 3 3 5 2 2 2" xfId="21366"/>
    <cellStyle name="Input 3 3 5 2 2 3" xfId="21367"/>
    <cellStyle name="Input 3 3 5 2 3" xfId="21368"/>
    <cellStyle name="Input 3 3 5 2 4" xfId="21369"/>
    <cellStyle name="Input 3 3 6" xfId="21370"/>
    <cellStyle name="Input 3 3 6 2" xfId="21371"/>
    <cellStyle name="Input 3 3 6 2 2" xfId="21372"/>
    <cellStyle name="Input 3 3 6 2 2 2" xfId="21373"/>
    <cellStyle name="Input 3 3 6 2 2 3" xfId="21374"/>
    <cellStyle name="Input 3 3 6 2 3" xfId="21375"/>
    <cellStyle name="Input 3 3 6 2 4" xfId="21376"/>
    <cellStyle name="Input 3 3 7" xfId="21377"/>
    <cellStyle name="Input 3 3 7 2" xfId="21378"/>
    <cellStyle name="Input 3 3 7 2 2" xfId="21379"/>
    <cellStyle name="Input 3 3 7 2 2 2" xfId="21380"/>
    <cellStyle name="Input 3 3 7 2 2 3" xfId="21381"/>
    <cellStyle name="Input 3 3 7 2 3" xfId="21382"/>
    <cellStyle name="Input 3 3 7 2 4" xfId="21383"/>
    <cellStyle name="Input 3 3 8" xfId="21384"/>
    <cellStyle name="Input 3 3 8 2" xfId="21385"/>
    <cellStyle name="Input 3 3 8 2 2" xfId="21386"/>
    <cellStyle name="Input 3 3 8 2 2 2" xfId="21387"/>
    <cellStyle name="Input 3 3 8 2 2 3" xfId="21388"/>
    <cellStyle name="Input 3 3 8 2 3" xfId="21389"/>
    <cellStyle name="Input 3 3 8 2 4" xfId="21390"/>
    <cellStyle name="Input 3 3 9" xfId="21391"/>
    <cellStyle name="Input 3 3 9 2" xfId="21392"/>
    <cellStyle name="Input 3 3 9 2 2" xfId="21393"/>
    <cellStyle name="Input 3 3 9 2 3" xfId="21394"/>
    <cellStyle name="Input 3 3 9 3" xfId="21395"/>
    <cellStyle name="Input 3 3 9 4" xfId="21396"/>
    <cellStyle name="Input 3 4" xfId="21397"/>
    <cellStyle name="Input 3 4 2" xfId="21398"/>
    <cellStyle name="Input 3 4 2 2" xfId="21399"/>
    <cellStyle name="Input 3 4 2 2 2" xfId="21400"/>
    <cellStyle name="Input 3 4 2 2 2 2" xfId="21401"/>
    <cellStyle name="Input 3 4 2 2 2 3" xfId="21402"/>
    <cellStyle name="Input 3 4 2 2 3" xfId="21403"/>
    <cellStyle name="Input 3 4 2 2 4" xfId="21404"/>
    <cellStyle name="Input 3 4 3" xfId="21405"/>
    <cellStyle name="Input 3 4 3 2" xfId="21406"/>
    <cellStyle name="Input 3 4 3 2 2" xfId="21407"/>
    <cellStyle name="Input 3 4 3 2 2 2" xfId="21408"/>
    <cellStyle name="Input 3 4 3 2 2 3" xfId="21409"/>
    <cellStyle name="Input 3 4 3 2 3" xfId="21410"/>
    <cellStyle name="Input 3 4 3 2 4" xfId="21411"/>
    <cellStyle name="Input 3 4 4" xfId="21412"/>
    <cellStyle name="Input 3 4 4 2" xfId="21413"/>
    <cellStyle name="Input 3 4 4 2 2" xfId="21414"/>
    <cellStyle name="Input 3 4 4 2 2 2" xfId="21415"/>
    <cellStyle name="Input 3 4 4 2 2 3" xfId="21416"/>
    <cellStyle name="Input 3 4 4 2 3" xfId="21417"/>
    <cellStyle name="Input 3 4 4 2 4" xfId="21418"/>
    <cellStyle name="Input 3 4 5" xfId="21419"/>
    <cellStyle name="Input 3 4 5 2" xfId="21420"/>
    <cellStyle name="Input 3 4 5 2 2" xfId="21421"/>
    <cellStyle name="Input 3 4 5 2 2 2" xfId="21422"/>
    <cellStyle name="Input 3 4 5 2 2 3" xfId="21423"/>
    <cellStyle name="Input 3 4 5 2 3" xfId="21424"/>
    <cellStyle name="Input 3 4 5 2 4" xfId="21425"/>
    <cellStyle name="Input 3 4 6" xfId="21426"/>
    <cellStyle name="Input 3 4 6 2" xfId="21427"/>
    <cellStyle name="Input 3 4 6 2 2" xfId="21428"/>
    <cellStyle name="Input 3 4 6 2 2 2" xfId="21429"/>
    <cellStyle name="Input 3 4 6 2 2 3" xfId="21430"/>
    <cellStyle name="Input 3 4 6 2 3" xfId="21431"/>
    <cellStyle name="Input 3 4 6 2 4" xfId="21432"/>
    <cellStyle name="Input 3 4 7" xfId="21433"/>
    <cellStyle name="Input 3 4 7 2" xfId="21434"/>
    <cellStyle name="Input 3 4 7 2 2" xfId="21435"/>
    <cellStyle name="Input 3 4 7 2 2 2" xfId="21436"/>
    <cellStyle name="Input 3 4 7 2 2 3" xfId="21437"/>
    <cellStyle name="Input 3 4 7 2 3" xfId="21438"/>
    <cellStyle name="Input 3 4 7 2 4" xfId="21439"/>
    <cellStyle name="Input 3 4 8" xfId="21440"/>
    <cellStyle name="Input 3 4 8 2" xfId="21441"/>
    <cellStyle name="Input 3 4 8 2 2" xfId="21442"/>
    <cellStyle name="Input 3 4 8 2 2 2" xfId="21443"/>
    <cellStyle name="Input 3 4 8 2 2 3" xfId="21444"/>
    <cellStyle name="Input 3 4 8 2 3" xfId="21445"/>
    <cellStyle name="Input 3 4 8 2 4" xfId="21446"/>
    <cellStyle name="Input 3 4 9" xfId="21447"/>
    <cellStyle name="Input 3 4 9 2" xfId="21448"/>
    <cellStyle name="Input 3 4 9 2 2" xfId="21449"/>
    <cellStyle name="Input 3 4 9 2 3" xfId="21450"/>
    <cellStyle name="Input 3 4 9 3" xfId="21451"/>
    <cellStyle name="Input 3 4 9 4" xfId="21452"/>
    <cellStyle name="Input 3 5" xfId="21453"/>
    <cellStyle name="Input 3 5 2" xfId="21454"/>
    <cellStyle name="Input 3 5 2 2" xfId="21455"/>
    <cellStyle name="Input 3 5 2 2 2" xfId="21456"/>
    <cellStyle name="Input 3 5 2 2 2 2" xfId="21457"/>
    <cellStyle name="Input 3 5 2 2 2 3" xfId="21458"/>
    <cellStyle name="Input 3 5 2 2 3" xfId="21459"/>
    <cellStyle name="Input 3 5 2 2 4" xfId="21460"/>
    <cellStyle name="Input 3 5 3" xfId="21461"/>
    <cellStyle name="Input 3 5 3 2" xfId="21462"/>
    <cellStyle name="Input 3 5 3 2 2" xfId="21463"/>
    <cellStyle name="Input 3 5 3 2 2 2" xfId="21464"/>
    <cellStyle name="Input 3 5 3 2 2 3" xfId="21465"/>
    <cellStyle name="Input 3 5 3 2 3" xfId="21466"/>
    <cellStyle name="Input 3 5 3 2 4" xfId="21467"/>
    <cellStyle name="Input 3 5 4" xfId="21468"/>
    <cellStyle name="Input 3 5 4 2" xfId="21469"/>
    <cellStyle name="Input 3 5 4 2 2" xfId="21470"/>
    <cellStyle name="Input 3 5 4 2 2 2" xfId="21471"/>
    <cellStyle name="Input 3 5 4 2 2 3" xfId="21472"/>
    <cellStyle name="Input 3 5 4 2 3" xfId="21473"/>
    <cellStyle name="Input 3 5 4 2 4" xfId="21474"/>
    <cellStyle name="Input 3 5 5" xfId="21475"/>
    <cellStyle name="Input 3 5 5 2" xfId="21476"/>
    <cellStyle name="Input 3 5 5 2 2" xfId="21477"/>
    <cellStyle name="Input 3 5 5 2 2 2" xfId="21478"/>
    <cellStyle name="Input 3 5 5 2 2 3" xfId="21479"/>
    <cellStyle name="Input 3 5 5 2 3" xfId="21480"/>
    <cellStyle name="Input 3 5 5 2 4" xfId="21481"/>
    <cellStyle name="Input 3 5 6" xfId="21482"/>
    <cellStyle name="Input 3 5 6 2" xfId="21483"/>
    <cellStyle name="Input 3 5 6 2 2" xfId="21484"/>
    <cellStyle name="Input 3 5 6 2 2 2" xfId="21485"/>
    <cellStyle name="Input 3 5 6 2 2 3" xfId="21486"/>
    <cellStyle name="Input 3 5 6 2 3" xfId="21487"/>
    <cellStyle name="Input 3 5 6 2 4" xfId="21488"/>
    <cellStyle name="Input 3 5 7" xfId="21489"/>
    <cellStyle name="Input 3 5 7 2" xfId="21490"/>
    <cellStyle name="Input 3 5 7 2 2" xfId="21491"/>
    <cellStyle name="Input 3 5 7 2 2 2" xfId="21492"/>
    <cellStyle name="Input 3 5 7 2 2 3" xfId="21493"/>
    <cellStyle name="Input 3 5 7 2 3" xfId="21494"/>
    <cellStyle name="Input 3 5 7 2 4" xfId="21495"/>
    <cellStyle name="Input 3 5 8" xfId="21496"/>
    <cellStyle name="Input 3 5 8 2" xfId="21497"/>
    <cellStyle name="Input 3 5 8 2 2" xfId="21498"/>
    <cellStyle name="Input 3 5 8 2 2 2" xfId="21499"/>
    <cellStyle name="Input 3 5 8 2 2 3" xfId="21500"/>
    <cellStyle name="Input 3 5 8 2 3" xfId="21501"/>
    <cellStyle name="Input 3 5 8 2 4" xfId="21502"/>
    <cellStyle name="Input 3 5 9" xfId="21503"/>
    <cellStyle name="Input 3 5 9 2" xfId="21504"/>
    <cellStyle name="Input 3 5 9 2 2" xfId="21505"/>
    <cellStyle name="Input 3 5 9 2 3" xfId="21506"/>
    <cellStyle name="Input 3 5 9 3" xfId="21507"/>
    <cellStyle name="Input 3 5 9 4" xfId="21508"/>
    <cellStyle name="Input 3 6" xfId="21509"/>
    <cellStyle name="Input 3 6 2" xfId="21510"/>
    <cellStyle name="Input 3 6 2 2" xfId="21511"/>
    <cellStyle name="Input 3 6 2 2 2" xfId="21512"/>
    <cellStyle name="Input 3 6 2 2 2 2" xfId="21513"/>
    <cellStyle name="Input 3 6 2 2 2 3" xfId="21514"/>
    <cellStyle name="Input 3 6 2 2 3" xfId="21515"/>
    <cellStyle name="Input 3 6 2 2 4" xfId="21516"/>
    <cellStyle name="Input 3 6 3" xfId="21517"/>
    <cellStyle name="Input 3 6 3 2" xfId="21518"/>
    <cellStyle name="Input 3 6 3 2 2" xfId="21519"/>
    <cellStyle name="Input 3 6 3 2 2 2" xfId="21520"/>
    <cellStyle name="Input 3 6 3 2 2 3" xfId="21521"/>
    <cellStyle name="Input 3 6 3 2 3" xfId="21522"/>
    <cellStyle name="Input 3 6 3 2 4" xfId="21523"/>
    <cellStyle name="Input 3 6 4" xfId="21524"/>
    <cellStyle name="Input 3 6 4 2" xfId="21525"/>
    <cellStyle name="Input 3 6 4 2 2" xfId="21526"/>
    <cellStyle name="Input 3 6 4 2 2 2" xfId="21527"/>
    <cellStyle name="Input 3 6 4 2 2 3" xfId="21528"/>
    <cellStyle name="Input 3 6 4 2 3" xfId="21529"/>
    <cellStyle name="Input 3 6 4 2 4" xfId="21530"/>
    <cellStyle name="Input 3 6 5" xfId="21531"/>
    <cellStyle name="Input 3 6 5 2" xfId="21532"/>
    <cellStyle name="Input 3 6 5 2 2" xfId="21533"/>
    <cellStyle name="Input 3 6 5 2 2 2" xfId="21534"/>
    <cellStyle name="Input 3 6 5 2 2 3" xfId="21535"/>
    <cellStyle name="Input 3 6 5 2 3" xfId="21536"/>
    <cellStyle name="Input 3 6 5 2 4" xfId="21537"/>
    <cellStyle name="Input 3 6 6" xfId="21538"/>
    <cellStyle name="Input 3 6 6 2" xfId="21539"/>
    <cellStyle name="Input 3 6 6 2 2" xfId="21540"/>
    <cellStyle name="Input 3 6 6 2 2 2" xfId="21541"/>
    <cellStyle name="Input 3 6 6 2 2 3" xfId="21542"/>
    <cellStyle name="Input 3 6 6 2 3" xfId="21543"/>
    <cellStyle name="Input 3 6 6 2 4" xfId="21544"/>
    <cellStyle name="Input 3 6 7" xfId="21545"/>
    <cellStyle name="Input 3 6 7 2" xfId="21546"/>
    <cellStyle name="Input 3 6 7 2 2" xfId="21547"/>
    <cellStyle name="Input 3 6 7 2 2 2" xfId="21548"/>
    <cellStyle name="Input 3 6 7 2 2 3" xfId="21549"/>
    <cellStyle name="Input 3 6 7 2 3" xfId="21550"/>
    <cellStyle name="Input 3 6 7 2 4" xfId="21551"/>
    <cellStyle name="Input 3 6 8" xfId="21552"/>
    <cellStyle name="Input 3 6 8 2" xfId="21553"/>
    <cellStyle name="Input 3 6 8 2 2" xfId="21554"/>
    <cellStyle name="Input 3 6 8 2 2 2" xfId="21555"/>
    <cellStyle name="Input 3 6 8 2 2 3" xfId="21556"/>
    <cellStyle name="Input 3 6 8 2 3" xfId="21557"/>
    <cellStyle name="Input 3 6 8 2 4" xfId="21558"/>
    <cellStyle name="Input 3 6 9" xfId="21559"/>
    <cellStyle name="Input 3 6 9 2" xfId="21560"/>
    <cellStyle name="Input 3 6 9 2 2" xfId="21561"/>
    <cellStyle name="Input 3 6 9 2 3" xfId="21562"/>
    <cellStyle name="Input 3 6 9 3" xfId="21563"/>
    <cellStyle name="Input 3 6 9 4" xfId="21564"/>
    <cellStyle name="Input 3 7" xfId="21565"/>
    <cellStyle name="Input 3 7 2" xfId="21566"/>
    <cellStyle name="Input 3 7 2 2" xfId="21567"/>
    <cellStyle name="Input 3 7 2 2 2" xfId="21568"/>
    <cellStyle name="Input 3 7 2 2 3" xfId="21569"/>
    <cellStyle name="Input 3 7 2 3" xfId="21570"/>
    <cellStyle name="Input 3 7 2 4" xfId="21571"/>
    <cellStyle name="Input 3 8" xfId="21572"/>
    <cellStyle name="Input 3 8 2" xfId="21573"/>
    <cellStyle name="Input 3 8 2 2" xfId="21574"/>
    <cellStyle name="Input 3 8 2 2 2" xfId="21575"/>
    <cellStyle name="Input 3 8 2 2 3" xfId="21576"/>
    <cellStyle name="Input 3 8 2 3" xfId="21577"/>
    <cellStyle name="Input 3 8 2 4" xfId="21578"/>
    <cellStyle name="Input 3 9" xfId="42868"/>
    <cellStyle name="Input 3_CTI Q2 2011 bod fin pkg detail with back up" xfId="21579"/>
    <cellStyle name="Input 4" xfId="21580"/>
    <cellStyle name="Input 4 10" xfId="42869"/>
    <cellStyle name="Input 4 11" xfId="42958"/>
    <cellStyle name="Input 4 12" xfId="43063"/>
    <cellStyle name="Input 4 2" xfId="21581"/>
    <cellStyle name="Input 4 2 2" xfId="21582"/>
    <cellStyle name="Input 4 2 2 2" xfId="21583"/>
    <cellStyle name="Input 4 2 2 2 2" xfId="21584"/>
    <cellStyle name="Input 4 2 2 2 2 2" xfId="21585"/>
    <cellStyle name="Input 4 2 2 2 2 2 2" xfId="21586"/>
    <cellStyle name="Input 4 2 2 2 2 2 3" xfId="21587"/>
    <cellStyle name="Input 4 2 2 2 2 3" xfId="21588"/>
    <cellStyle name="Input 4 2 2 2 2 4" xfId="21589"/>
    <cellStyle name="Input 4 2 2 3" xfId="21590"/>
    <cellStyle name="Input 4 2 2 3 2" xfId="21591"/>
    <cellStyle name="Input 4 2 2 3 2 2" xfId="21592"/>
    <cellStyle name="Input 4 2 2 3 2 2 2" xfId="21593"/>
    <cellStyle name="Input 4 2 2 3 2 2 3" xfId="21594"/>
    <cellStyle name="Input 4 2 2 3 2 3" xfId="21595"/>
    <cellStyle name="Input 4 2 2 3 2 4" xfId="21596"/>
    <cellStyle name="Input 4 2 2 4" xfId="21597"/>
    <cellStyle name="Input 4 2 2 4 2" xfId="21598"/>
    <cellStyle name="Input 4 2 2 4 2 2" xfId="21599"/>
    <cellStyle name="Input 4 2 2 4 2 2 2" xfId="21600"/>
    <cellStyle name="Input 4 2 2 4 2 2 3" xfId="21601"/>
    <cellStyle name="Input 4 2 2 4 2 3" xfId="21602"/>
    <cellStyle name="Input 4 2 2 4 2 4" xfId="21603"/>
    <cellStyle name="Input 4 2 2 5" xfId="21604"/>
    <cellStyle name="Input 4 2 2 5 2" xfId="21605"/>
    <cellStyle name="Input 4 2 2 5 2 2" xfId="21606"/>
    <cellStyle name="Input 4 2 2 5 2 2 2" xfId="21607"/>
    <cellStyle name="Input 4 2 2 5 2 2 3" xfId="21608"/>
    <cellStyle name="Input 4 2 2 5 2 3" xfId="21609"/>
    <cellStyle name="Input 4 2 2 5 2 4" xfId="21610"/>
    <cellStyle name="Input 4 2 2 6" xfId="21611"/>
    <cellStyle name="Input 4 2 2 6 2" xfId="21612"/>
    <cellStyle name="Input 4 2 2 6 2 2" xfId="21613"/>
    <cellStyle name="Input 4 2 2 6 2 2 2" xfId="21614"/>
    <cellStyle name="Input 4 2 2 6 2 2 3" xfId="21615"/>
    <cellStyle name="Input 4 2 2 6 2 3" xfId="21616"/>
    <cellStyle name="Input 4 2 2 6 2 4" xfId="21617"/>
    <cellStyle name="Input 4 2 2 7" xfId="21618"/>
    <cellStyle name="Input 4 2 2 7 2" xfId="21619"/>
    <cellStyle name="Input 4 2 2 7 2 2" xfId="21620"/>
    <cellStyle name="Input 4 2 2 7 2 2 2" xfId="21621"/>
    <cellStyle name="Input 4 2 2 7 2 2 3" xfId="21622"/>
    <cellStyle name="Input 4 2 2 7 2 3" xfId="21623"/>
    <cellStyle name="Input 4 2 2 7 2 4" xfId="21624"/>
    <cellStyle name="Input 4 2 2 8" xfId="21625"/>
    <cellStyle name="Input 4 2 2 8 2" xfId="21626"/>
    <cellStyle name="Input 4 2 2 8 2 2" xfId="21627"/>
    <cellStyle name="Input 4 2 2 8 2 2 2" xfId="21628"/>
    <cellStyle name="Input 4 2 2 8 2 2 3" xfId="21629"/>
    <cellStyle name="Input 4 2 2 8 2 3" xfId="21630"/>
    <cellStyle name="Input 4 2 2 8 2 4" xfId="21631"/>
    <cellStyle name="Input 4 2 2 9" xfId="21632"/>
    <cellStyle name="Input 4 2 2 9 2" xfId="21633"/>
    <cellStyle name="Input 4 2 2 9 2 2" xfId="21634"/>
    <cellStyle name="Input 4 2 2 9 2 3" xfId="21635"/>
    <cellStyle name="Input 4 2 2 9 3" xfId="21636"/>
    <cellStyle name="Input 4 2 2 9 4" xfId="21637"/>
    <cellStyle name="Input 4 2 3" xfId="21638"/>
    <cellStyle name="Input 4 2 3 2" xfId="21639"/>
    <cellStyle name="Input 4 2 3 2 2" xfId="21640"/>
    <cellStyle name="Input 4 2 3 2 2 2" xfId="21641"/>
    <cellStyle name="Input 4 2 3 2 2 2 2" xfId="21642"/>
    <cellStyle name="Input 4 2 3 2 2 2 3" xfId="21643"/>
    <cellStyle name="Input 4 2 3 2 2 3" xfId="21644"/>
    <cellStyle name="Input 4 2 3 2 2 4" xfId="21645"/>
    <cellStyle name="Input 4 2 3 3" xfId="21646"/>
    <cellStyle name="Input 4 2 3 3 2" xfId="21647"/>
    <cellStyle name="Input 4 2 3 3 2 2" xfId="21648"/>
    <cellStyle name="Input 4 2 3 3 2 2 2" xfId="21649"/>
    <cellStyle name="Input 4 2 3 3 2 2 3" xfId="21650"/>
    <cellStyle name="Input 4 2 3 3 2 3" xfId="21651"/>
    <cellStyle name="Input 4 2 3 3 2 4" xfId="21652"/>
    <cellStyle name="Input 4 2 3 4" xfId="21653"/>
    <cellStyle name="Input 4 2 3 4 2" xfId="21654"/>
    <cellStyle name="Input 4 2 3 4 2 2" xfId="21655"/>
    <cellStyle name="Input 4 2 3 4 2 2 2" xfId="21656"/>
    <cellStyle name="Input 4 2 3 4 2 2 3" xfId="21657"/>
    <cellStyle name="Input 4 2 3 4 2 3" xfId="21658"/>
    <cellStyle name="Input 4 2 3 4 2 4" xfId="21659"/>
    <cellStyle name="Input 4 2 3 5" xfId="21660"/>
    <cellStyle name="Input 4 2 3 5 2" xfId="21661"/>
    <cellStyle name="Input 4 2 3 5 2 2" xfId="21662"/>
    <cellStyle name="Input 4 2 3 5 2 2 2" xfId="21663"/>
    <cellStyle name="Input 4 2 3 5 2 2 3" xfId="21664"/>
    <cellStyle name="Input 4 2 3 5 2 3" xfId="21665"/>
    <cellStyle name="Input 4 2 3 5 2 4" xfId="21666"/>
    <cellStyle name="Input 4 2 3 6" xfId="21667"/>
    <cellStyle name="Input 4 2 3 6 2" xfId="21668"/>
    <cellStyle name="Input 4 2 3 6 2 2" xfId="21669"/>
    <cellStyle name="Input 4 2 3 6 2 2 2" xfId="21670"/>
    <cellStyle name="Input 4 2 3 6 2 2 3" xfId="21671"/>
    <cellStyle name="Input 4 2 3 6 2 3" xfId="21672"/>
    <cellStyle name="Input 4 2 3 6 2 4" xfId="21673"/>
    <cellStyle name="Input 4 2 3 7" xfId="21674"/>
    <cellStyle name="Input 4 2 3 7 2" xfId="21675"/>
    <cellStyle name="Input 4 2 3 7 2 2" xfId="21676"/>
    <cellStyle name="Input 4 2 3 7 2 2 2" xfId="21677"/>
    <cellStyle name="Input 4 2 3 7 2 2 3" xfId="21678"/>
    <cellStyle name="Input 4 2 3 7 2 3" xfId="21679"/>
    <cellStyle name="Input 4 2 3 7 2 4" xfId="21680"/>
    <cellStyle name="Input 4 2 3 8" xfId="21681"/>
    <cellStyle name="Input 4 2 3 8 2" xfId="21682"/>
    <cellStyle name="Input 4 2 3 8 2 2" xfId="21683"/>
    <cellStyle name="Input 4 2 3 8 2 2 2" xfId="21684"/>
    <cellStyle name="Input 4 2 3 8 2 2 3" xfId="21685"/>
    <cellStyle name="Input 4 2 3 8 2 3" xfId="21686"/>
    <cellStyle name="Input 4 2 3 8 2 4" xfId="21687"/>
    <cellStyle name="Input 4 2 3 9" xfId="21688"/>
    <cellStyle name="Input 4 2 3 9 2" xfId="21689"/>
    <cellStyle name="Input 4 2 3 9 2 2" xfId="21690"/>
    <cellStyle name="Input 4 2 3 9 2 3" xfId="21691"/>
    <cellStyle name="Input 4 2 3 9 3" xfId="21692"/>
    <cellStyle name="Input 4 2 3 9 4" xfId="21693"/>
    <cellStyle name="Input 4 2 4" xfId="21694"/>
    <cellStyle name="Input 4 2 4 2" xfId="21695"/>
    <cellStyle name="Input 4 2 4 2 2" xfId="21696"/>
    <cellStyle name="Input 4 2 4 2 2 2" xfId="21697"/>
    <cellStyle name="Input 4 2 4 2 2 2 2" xfId="21698"/>
    <cellStyle name="Input 4 2 4 2 2 2 3" xfId="21699"/>
    <cellStyle name="Input 4 2 4 2 2 3" xfId="21700"/>
    <cellStyle name="Input 4 2 4 2 2 4" xfId="21701"/>
    <cellStyle name="Input 4 2 4 3" xfId="21702"/>
    <cellStyle name="Input 4 2 4 3 2" xfId="21703"/>
    <cellStyle name="Input 4 2 4 3 2 2" xfId="21704"/>
    <cellStyle name="Input 4 2 4 3 2 2 2" xfId="21705"/>
    <cellStyle name="Input 4 2 4 3 2 2 3" xfId="21706"/>
    <cellStyle name="Input 4 2 4 3 2 3" xfId="21707"/>
    <cellStyle name="Input 4 2 4 3 2 4" xfId="21708"/>
    <cellStyle name="Input 4 2 4 4" xfId="21709"/>
    <cellStyle name="Input 4 2 4 4 2" xfId="21710"/>
    <cellStyle name="Input 4 2 4 4 2 2" xfId="21711"/>
    <cellStyle name="Input 4 2 4 4 2 2 2" xfId="21712"/>
    <cellStyle name="Input 4 2 4 4 2 2 3" xfId="21713"/>
    <cellStyle name="Input 4 2 4 4 2 3" xfId="21714"/>
    <cellStyle name="Input 4 2 4 4 2 4" xfId="21715"/>
    <cellStyle name="Input 4 2 4 5" xfId="21716"/>
    <cellStyle name="Input 4 2 4 5 2" xfId="21717"/>
    <cellStyle name="Input 4 2 4 5 2 2" xfId="21718"/>
    <cellStyle name="Input 4 2 4 5 2 2 2" xfId="21719"/>
    <cellStyle name="Input 4 2 4 5 2 2 3" xfId="21720"/>
    <cellStyle name="Input 4 2 4 5 2 3" xfId="21721"/>
    <cellStyle name="Input 4 2 4 5 2 4" xfId="21722"/>
    <cellStyle name="Input 4 2 4 6" xfId="21723"/>
    <cellStyle name="Input 4 2 4 6 2" xfId="21724"/>
    <cellStyle name="Input 4 2 4 6 2 2" xfId="21725"/>
    <cellStyle name="Input 4 2 4 6 2 2 2" xfId="21726"/>
    <cellStyle name="Input 4 2 4 6 2 2 3" xfId="21727"/>
    <cellStyle name="Input 4 2 4 6 2 3" xfId="21728"/>
    <cellStyle name="Input 4 2 4 6 2 4" xfId="21729"/>
    <cellStyle name="Input 4 2 4 7" xfId="21730"/>
    <cellStyle name="Input 4 2 4 7 2" xfId="21731"/>
    <cellStyle name="Input 4 2 4 7 2 2" xfId="21732"/>
    <cellStyle name="Input 4 2 4 7 2 2 2" xfId="21733"/>
    <cellStyle name="Input 4 2 4 7 2 2 3" xfId="21734"/>
    <cellStyle name="Input 4 2 4 7 2 3" xfId="21735"/>
    <cellStyle name="Input 4 2 4 7 2 4" xfId="21736"/>
    <cellStyle name="Input 4 2 4 8" xfId="21737"/>
    <cellStyle name="Input 4 2 4 8 2" xfId="21738"/>
    <cellStyle name="Input 4 2 4 8 2 2" xfId="21739"/>
    <cellStyle name="Input 4 2 4 8 2 2 2" xfId="21740"/>
    <cellStyle name="Input 4 2 4 8 2 2 3" xfId="21741"/>
    <cellStyle name="Input 4 2 4 8 2 3" xfId="21742"/>
    <cellStyle name="Input 4 2 4 8 2 4" xfId="21743"/>
    <cellStyle name="Input 4 2 4 9" xfId="21744"/>
    <cellStyle name="Input 4 2 4 9 2" xfId="21745"/>
    <cellStyle name="Input 4 2 4 9 2 2" xfId="21746"/>
    <cellStyle name="Input 4 2 4 9 2 3" xfId="21747"/>
    <cellStyle name="Input 4 2 4 9 3" xfId="21748"/>
    <cellStyle name="Input 4 2 4 9 4" xfId="21749"/>
    <cellStyle name="Input 4 2 5" xfId="21750"/>
    <cellStyle name="Input 4 2 5 2" xfId="21751"/>
    <cellStyle name="Input 4 2 5 2 2" xfId="21752"/>
    <cellStyle name="Input 4 2 5 2 2 2" xfId="21753"/>
    <cellStyle name="Input 4 2 5 2 2 2 2" xfId="21754"/>
    <cellStyle name="Input 4 2 5 2 2 2 3" xfId="21755"/>
    <cellStyle name="Input 4 2 5 2 2 3" xfId="21756"/>
    <cellStyle name="Input 4 2 5 2 2 4" xfId="21757"/>
    <cellStyle name="Input 4 2 5 3" xfId="21758"/>
    <cellStyle name="Input 4 2 5 3 2" xfId="21759"/>
    <cellStyle name="Input 4 2 5 3 2 2" xfId="21760"/>
    <cellStyle name="Input 4 2 5 3 2 2 2" xfId="21761"/>
    <cellStyle name="Input 4 2 5 3 2 2 3" xfId="21762"/>
    <cellStyle name="Input 4 2 5 3 2 3" xfId="21763"/>
    <cellStyle name="Input 4 2 5 3 2 4" xfId="21764"/>
    <cellStyle name="Input 4 2 5 4" xfId="21765"/>
    <cellStyle name="Input 4 2 5 4 2" xfId="21766"/>
    <cellStyle name="Input 4 2 5 4 2 2" xfId="21767"/>
    <cellStyle name="Input 4 2 5 4 2 2 2" xfId="21768"/>
    <cellStyle name="Input 4 2 5 4 2 2 3" xfId="21769"/>
    <cellStyle name="Input 4 2 5 4 2 3" xfId="21770"/>
    <cellStyle name="Input 4 2 5 4 2 4" xfId="21771"/>
    <cellStyle name="Input 4 2 5 5" xfId="21772"/>
    <cellStyle name="Input 4 2 5 5 2" xfId="21773"/>
    <cellStyle name="Input 4 2 5 5 2 2" xfId="21774"/>
    <cellStyle name="Input 4 2 5 5 2 2 2" xfId="21775"/>
    <cellStyle name="Input 4 2 5 5 2 2 3" xfId="21776"/>
    <cellStyle name="Input 4 2 5 5 2 3" xfId="21777"/>
    <cellStyle name="Input 4 2 5 5 2 4" xfId="21778"/>
    <cellStyle name="Input 4 2 5 6" xfId="21779"/>
    <cellStyle name="Input 4 2 5 6 2" xfId="21780"/>
    <cellStyle name="Input 4 2 5 6 2 2" xfId="21781"/>
    <cellStyle name="Input 4 2 5 6 2 2 2" xfId="21782"/>
    <cellStyle name="Input 4 2 5 6 2 2 3" xfId="21783"/>
    <cellStyle name="Input 4 2 5 6 2 3" xfId="21784"/>
    <cellStyle name="Input 4 2 5 6 2 4" xfId="21785"/>
    <cellStyle name="Input 4 2 5 7" xfId="21786"/>
    <cellStyle name="Input 4 2 5 7 2" xfId="21787"/>
    <cellStyle name="Input 4 2 5 7 2 2" xfId="21788"/>
    <cellStyle name="Input 4 2 5 7 2 2 2" xfId="21789"/>
    <cellStyle name="Input 4 2 5 7 2 2 3" xfId="21790"/>
    <cellStyle name="Input 4 2 5 7 2 3" xfId="21791"/>
    <cellStyle name="Input 4 2 5 7 2 4" xfId="21792"/>
    <cellStyle name="Input 4 2 5 8" xfId="21793"/>
    <cellStyle name="Input 4 2 5 8 2" xfId="21794"/>
    <cellStyle name="Input 4 2 5 8 2 2" xfId="21795"/>
    <cellStyle name="Input 4 2 5 8 2 2 2" xfId="21796"/>
    <cellStyle name="Input 4 2 5 8 2 2 3" xfId="21797"/>
    <cellStyle name="Input 4 2 5 8 2 3" xfId="21798"/>
    <cellStyle name="Input 4 2 5 8 2 4" xfId="21799"/>
    <cellStyle name="Input 4 2 5 9" xfId="21800"/>
    <cellStyle name="Input 4 2 5 9 2" xfId="21801"/>
    <cellStyle name="Input 4 2 5 9 2 2" xfId="21802"/>
    <cellStyle name="Input 4 2 5 9 2 3" xfId="21803"/>
    <cellStyle name="Input 4 2 5 9 3" xfId="21804"/>
    <cellStyle name="Input 4 2 5 9 4" xfId="21805"/>
    <cellStyle name="Input 4 2 6" xfId="21806"/>
    <cellStyle name="Input 4 2 6 2" xfId="21807"/>
    <cellStyle name="Input 4 2 6 2 2" xfId="21808"/>
    <cellStyle name="Input 4 2 6 2 2 2" xfId="21809"/>
    <cellStyle name="Input 4 2 6 2 2 3" xfId="21810"/>
    <cellStyle name="Input 4 2 6 2 3" xfId="21811"/>
    <cellStyle name="Input 4 2 6 2 4" xfId="21812"/>
    <cellStyle name="Input 4 2 7" xfId="21813"/>
    <cellStyle name="Input 4 2 7 2" xfId="21814"/>
    <cellStyle name="Input 4 2 7 2 2" xfId="21815"/>
    <cellStyle name="Input 4 2 7 2 2 2" xfId="21816"/>
    <cellStyle name="Input 4 2 7 2 2 3" xfId="21817"/>
    <cellStyle name="Input 4 2 7 2 3" xfId="21818"/>
    <cellStyle name="Input 4 2 7 2 4" xfId="21819"/>
    <cellStyle name="Input 4 2 8" xfId="21820"/>
    <cellStyle name="Input 4 2 8 2" xfId="21821"/>
    <cellStyle name="Input 4 2 8 2 2" xfId="21822"/>
    <cellStyle name="Input 4 2 8 2 3" xfId="21823"/>
    <cellStyle name="Input 4 2 8 3" xfId="21824"/>
    <cellStyle name="Input 4 2 8 4" xfId="21825"/>
    <cellStyle name="Input 4 3" xfId="21826"/>
    <cellStyle name="Input 4 3 2" xfId="21827"/>
    <cellStyle name="Input 4 3 2 2" xfId="21828"/>
    <cellStyle name="Input 4 3 2 2 2" xfId="21829"/>
    <cellStyle name="Input 4 3 2 2 2 2" xfId="21830"/>
    <cellStyle name="Input 4 3 2 2 2 3" xfId="21831"/>
    <cellStyle name="Input 4 3 2 2 3" xfId="21832"/>
    <cellStyle name="Input 4 3 2 2 4" xfId="21833"/>
    <cellStyle name="Input 4 3 3" xfId="21834"/>
    <cellStyle name="Input 4 3 3 2" xfId="21835"/>
    <cellStyle name="Input 4 3 3 2 2" xfId="21836"/>
    <cellStyle name="Input 4 3 3 2 2 2" xfId="21837"/>
    <cellStyle name="Input 4 3 3 2 2 3" xfId="21838"/>
    <cellStyle name="Input 4 3 3 2 3" xfId="21839"/>
    <cellStyle name="Input 4 3 3 2 4" xfId="21840"/>
    <cellStyle name="Input 4 3 4" xfId="21841"/>
    <cellStyle name="Input 4 3 4 2" xfId="21842"/>
    <cellStyle name="Input 4 3 4 2 2" xfId="21843"/>
    <cellStyle name="Input 4 3 4 2 2 2" xfId="21844"/>
    <cellStyle name="Input 4 3 4 2 2 3" xfId="21845"/>
    <cellStyle name="Input 4 3 4 2 3" xfId="21846"/>
    <cellStyle name="Input 4 3 4 2 4" xfId="21847"/>
    <cellStyle name="Input 4 3 5" xfId="21848"/>
    <cellStyle name="Input 4 3 5 2" xfId="21849"/>
    <cellStyle name="Input 4 3 5 2 2" xfId="21850"/>
    <cellStyle name="Input 4 3 5 2 2 2" xfId="21851"/>
    <cellStyle name="Input 4 3 5 2 2 3" xfId="21852"/>
    <cellStyle name="Input 4 3 5 2 3" xfId="21853"/>
    <cellStyle name="Input 4 3 5 2 4" xfId="21854"/>
    <cellStyle name="Input 4 3 6" xfId="21855"/>
    <cellStyle name="Input 4 3 6 2" xfId="21856"/>
    <cellStyle name="Input 4 3 6 2 2" xfId="21857"/>
    <cellStyle name="Input 4 3 6 2 2 2" xfId="21858"/>
    <cellStyle name="Input 4 3 6 2 2 3" xfId="21859"/>
    <cellStyle name="Input 4 3 6 2 3" xfId="21860"/>
    <cellStyle name="Input 4 3 6 2 4" xfId="21861"/>
    <cellStyle name="Input 4 3 7" xfId="21862"/>
    <cellStyle name="Input 4 3 7 2" xfId="21863"/>
    <cellStyle name="Input 4 3 7 2 2" xfId="21864"/>
    <cellStyle name="Input 4 3 7 2 2 2" xfId="21865"/>
    <cellStyle name="Input 4 3 7 2 2 3" xfId="21866"/>
    <cellStyle name="Input 4 3 7 2 3" xfId="21867"/>
    <cellStyle name="Input 4 3 7 2 4" xfId="21868"/>
    <cellStyle name="Input 4 3 8" xfId="21869"/>
    <cellStyle name="Input 4 3 8 2" xfId="21870"/>
    <cellStyle name="Input 4 3 8 2 2" xfId="21871"/>
    <cellStyle name="Input 4 3 8 2 2 2" xfId="21872"/>
    <cellStyle name="Input 4 3 8 2 2 3" xfId="21873"/>
    <cellStyle name="Input 4 3 8 2 3" xfId="21874"/>
    <cellStyle name="Input 4 3 8 2 4" xfId="21875"/>
    <cellStyle name="Input 4 3 9" xfId="21876"/>
    <cellStyle name="Input 4 3 9 2" xfId="21877"/>
    <cellStyle name="Input 4 3 9 2 2" xfId="21878"/>
    <cellStyle name="Input 4 3 9 2 3" xfId="21879"/>
    <cellStyle name="Input 4 3 9 3" xfId="21880"/>
    <cellStyle name="Input 4 3 9 4" xfId="21881"/>
    <cellStyle name="Input 4 4" xfId="21882"/>
    <cellStyle name="Input 4 4 2" xfId="21883"/>
    <cellStyle name="Input 4 4 2 2" xfId="21884"/>
    <cellStyle name="Input 4 4 2 2 2" xfId="21885"/>
    <cellStyle name="Input 4 4 2 2 2 2" xfId="21886"/>
    <cellStyle name="Input 4 4 2 2 2 3" xfId="21887"/>
    <cellStyle name="Input 4 4 2 2 3" xfId="21888"/>
    <cellStyle name="Input 4 4 2 2 4" xfId="21889"/>
    <cellStyle name="Input 4 4 3" xfId="21890"/>
    <cellStyle name="Input 4 4 3 2" xfId="21891"/>
    <cellStyle name="Input 4 4 3 2 2" xfId="21892"/>
    <cellStyle name="Input 4 4 3 2 2 2" xfId="21893"/>
    <cellStyle name="Input 4 4 3 2 2 3" xfId="21894"/>
    <cellStyle name="Input 4 4 3 2 3" xfId="21895"/>
    <cellStyle name="Input 4 4 3 2 4" xfId="21896"/>
    <cellStyle name="Input 4 4 4" xfId="21897"/>
    <cellStyle name="Input 4 4 4 2" xfId="21898"/>
    <cellStyle name="Input 4 4 4 2 2" xfId="21899"/>
    <cellStyle name="Input 4 4 4 2 2 2" xfId="21900"/>
    <cellStyle name="Input 4 4 4 2 2 3" xfId="21901"/>
    <cellStyle name="Input 4 4 4 2 3" xfId="21902"/>
    <cellStyle name="Input 4 4 4 2 4" xfId="21903"/>
    <cellStyle name="Input 4 4 5" xfId="21904"/>
    <cellStyle name="Input 4 4 5 2" xfId="21905"/>
    <cellStyle name="Input 4 4 5 2 2" xfId="21906"/>
    <cellStyle name="Input 4 4 5 2 2 2" xfId="21907"/>
    <cellStyle name="Input 4 4 5 2 2 3" xfId="21908"/>
    <cellStyle name="Input 4 4 5 2 3" xfId="21909"/>
    <cellStyle name="Input 4 4 5 2 4" xfId="21910"/>
    <cellStyle name="Input 4 4 6" xfId="21911"/>
    <cellStyle name="Input 4 4 6 2" xfId="21912"/>
    <cellStyle name="Input 4 4 6 2 2" xfId="21913"/>
    <cellStyle name="Input 4 4 6 2 2 2" xfId="21914"/>
    <cellStyle name="Input 4 4 6 2 2 3" xfId="21915"/>
    <cellStyle name="Input 4 4 6 2 3" xfId="21916"/>
    <cellStyle name="Input 4 4 6 2 4" xfId="21917"/>
    <cellStyle name="Input 4 4 7" xfId="21918"/>
    <cellStyle name="Input 4 4 7 2" xfId="21919"/>
    <cellStyle name="Input 4 4 7 2 2" xfId="21920"/>
    <cellStyle name="Input 4 4 7 2 2 2" xfId="21921"/>
    <cellStyle name="Input 4 4 7 2 2 3" xfId="21922"/>
    <cellStyle name="Input 4 4 7 2 3" xfId="21923"/>
    <cellStyle name="Input 4 4 7 2 4" xfId="21924"/>
    <cellStyle name="Input 4 4 8" xfId="21925"/>
    <cellStyle name="Input 4 4 8 2" xfId="21926"/>
    <cellStyle name="Input 4 4 8 2 2" xfId="21927"/>
    <cellStyle name="Input 4 4 8 2 2 2" xfId="21928"/>
    <cellStyle name="Input 4 4 8 2 2 3" xfId="21929"/>
    <cellStyle name="Input 4 4 8 2 3" xfId="21930"/>
    <cellStyle name="Input 4 4 8 2 4" xfId="21931"/>
    <cellStyle name="Input 4 4 9" xfId="21932"/>
    <cellStyle name="Input 4 4 9 2" xfId="21933"/>
    <cellStyle name="Input 4 4 9 2 2" xfId="21934"/>
    <cellStyle name="Input 4 4 9 2 3" xfId="21935"/>
    <cellStyle name="Input 4 4 9 3" xfId="21936"/>
    <cellStyle name="Input 4 4 9 4" xfId="21937"/>
    <cellStyle name="Input 4 5" xfId="21938"/>
    <cellStyle name="Input 4 5 2" xfId="21939"/>
    <cellStyle name="Input 4 5 2 2" xfId="21940"/>
    <cellStyle name="Input 4 5 2 2 2" xfId="21941"/>
    <cellStyle name="Input 4 5 2 2 2 2" xfId="21942"/>
    <cellStyle name="Input 4 5 2 2 2 3" xfId="21943"/>
    <cellStyle name="Input 4 5 2 2 3" xfId="21944"/>
    <cellStyle name="Input 4 5 2 2 4" xfId="21945"/>
    <cellStyle name="Input 4 5 3" xfId="21946"/>
    <cellStyle name="Input 4 5 3 2" xfId="21947"/>
    <cellStyle name="Input 4 5 3 2 2" xfId="21948"/>
    <cellStyle name="Input 4 5 3 2 2 2" xfId="21949"/>
    <cellStyle name="Input 4 5 3 2 2 3" xfId="21950"/>
    <cellStyle name="Input 4 5 3 2 3" xfId="21951"/>
    <cellStyle name="Input 4 5 3 2 4" xfId="21952"/>
    <cellStyle name="Input 4 5 4" xfId="21953"/>
    <cellStyle name="Input 4 5 4 2" xfId="21954"/>
    <cellStyle name="Input 4 5 4 2 2" xfId="21955"/>
    <cellStyle name="Input 4 5 4 2 2 2" xfId="21956"/>
    <cellStyle name="Input 4 5 4 2 2 3" xfId="21957"/>
    <cellStyle name="Input 4 5 4 2 3" xfId="21958"/>
    <cellStyle name="Input 4 5 4 2 4" xfId="21959"/>
    <cellStyle name="Input 4 5 5" xfId="21960"/>
    <cellStyle name="Input 4 5 5 2" xfId="21961"/>
    <cellStyle name="Input 4 5 5 2 2" xfId="21962"/>
    <cellStyle name="Input 4 5 5 2 2 2" xfId="21963"/>
    <cellStyle name="Input 4 5 5 2 2 3" xfId="21964"/>
    <cellStyle name="Input 4 5 5 2 3" xfId="21965"/>
    <cellStyle name="Input 4 5 5 2 4" xfId="21966"/>
    <cellStyle name="Input 4 5 6" xfId="21967"/>
    <cellStyle name="Input 4 5 6 2" xfId="21968"/>
    <cellStyle name="Input 4 5 6 2 2" xfId="21969"/>
    <cellStyle name="Input 4 5 6 2 2 2" xfId="21970"/>
    <cellStyle name="Input 4 5 6 2 2 3" xfId="21971"/>
    <cellStyle name="Input 4 5 6 2 3" xfId="21972"/>
    <cellStyle name="Input 4 5 6 2 4" xfId="21973"/>
    <cellStyle name="Input 4 5 7" xfId="21974"/>
    <cellStyle name="Input 4 5 7 2" xfId="21975"/>
    <cellStyle name="Input 4 5 7 2 2" xfId="21976"/>
    <cellStyle name="Input 4 5 7 2 2 2" xfId="21977"/>
    <cellStyle name="Input 4 5 7 2 2 3" xfId="21978"/>
    <cellStyle name="Input 4 5 7 2 3" xfId="21979"/>
    <cellStyle name="Input 4 5 7 2 4" xfId="21980"/>
    <cellStyle name="Input 4 5 8" xfId="21981"/>
    <cellStyle name="Input 4 5 8 2" xfId="21982"/>
    <cellStyle name="Input 4 5 8 2 2" xfId="21983"/>
    <cellStyle name="Input 4 5 8 2 2 2" xfId="21984"/>
    <cellStyle name="Input 4 5 8 2 2 3" xfId="21985"/>
    <cellStyle name="Input 4 5 8 2 3" xfId="21986"/>
    <cellStyle name="Input 4 5 8 2 4" xfId="21987"/>
    <cellStyle name="Input 4 5 9" xfId="21988"/>
    <cellStyle name="Input 4 5 9 2" xfId="21989"/>
    <cellStyle name="Input 4 5 9 2 2" xfId="21990"/>
    <cellStyle name="Input 4 5 9 2 3" xfId="21991"/>
    <cellStyle name="Input 4 5 9 3" xfId="21992"/>
    <cellStyle name="Input 4 5 9 4" xfId="21993"/>
    <cellStyle name="Input 4 6" xfId="21994"/>
    <cellStyle name="Input 4 6 2" xfId="21995"/>
    <cellStyle name="Input 4 6 2 2" xfId="21996"/>
    <cellStyle name="Input 4 6 2 2 2" xfId="21997"/>
    <cellStyle name="Input 4 6 2 2 2 2" xfId="21998"/>
    <cellStyle name="Input 4 6 2 2 2 3" xfId="21999"/>
    <cellStyle name="Input 4 6 2 2 3" xfId="22000"/>
    <cellStyle name="Input 4 6 2 2 4" xfId="22001"/>
    <cellStyle name="Input 4 6 3" xfId="22002"/>
    <cellStyle name="Input 4 6 3 2" xfId="22003"/>
    <cellStyle name="Input 4 6 3 2 2" xfId="22004"/>
    <cellStyle name="Input 4 6 3 2 2 2" xfId="22005"/>
    <cellStyle name="Input 4 6 3 2 2 3" xfId="22006"/>
    <cellStyle name="Input 4 6 3 2 3" xfId="22007"/>
    <cellStyle name="Input 4 6 3 2 4" xfId="22008"/>
    <cellStyle name="Input 4 6 4" xfId="22009"/>
    <cellStyle name="Input 4 6 4 2" xfId="22010"/>
    <cellStyle name="Input 4 6 4 2 2" xfId="22011"/>
    <cellStyle name="Input 4 6 4 2 2 2" xfId="22012"/>
    <cellStyle name="Input 4 6 4 2 2 3" xfId="22013"/>
    <cellStyle name="Input 4 6 4 2 3" xfId="22014"/>
    <cellStyle name="Input 4 6 4 2 4" xfId="22015"/>
    <cellStyle name="Input 4 6 5" xfId="22016"/>
    <cellStyle name="Input 4 6 5 2" xfId="22017"/>
    <cellStyle name="Input 4 6 5 2 2" xfId="22018"/>
    <cellStyle name="Input 4 6 5 2 2 2" xfId="22019"/>
    <cellStyle name="Input 4 6 5 2 2 3" xfId="22020"/>
    <cellStyle name="Input 4 6 5 2 3" xfId="22021"/>
    <cellStyle name="Input 4 6 5 2 4" xfId="22022"/>
    <cellStyle name="Input 4 6 6" xfId="22023"/>
    <cellStyle name="Input 4 6 6 2" xfId="22024"/>
    <cellStyle name="Input 4 6 6 2 2" xfId="22025"/>
    <cellStyle name="Input 4 6 6 2 2 2" xfId="22026"/>
    <cellStyle name="Input 4 6 6 2 2 3" xfId="22027"/>
    <cellStyle name="Input 4 6 6 2 3" xfId="22028"/>
    <cellStyle name="Input 4 6 6 2 4" xfId="22029"/>
    <cellStyle name="Input 4 6 7" xfId="22030"/>
    <cellStyle name="Input 4 6 7 2" xfId="22031"/>
    <cellStyle name="Input 4 6 7 2 2" xfId="22032"/>
    <cellStyle name="Input 4 6 7 2 2 2" xfId="22033"/>
    <cellStyle name="Input 4 6 7 2 2 3" xfId="22034"/>
    <cellStyle name="Input 4 6 7 2 3" xfId="22035"/>
    <cellStyle name="Input 4 6 7 2 4" xfId="22036"/>
    <cellStyle name="Input 4 6 8" xfId="22037"/>
    <cellStyle name="Input 4 6 8 2" xfId="22038"/>
    <cellStyle name="Input 4 6 8 2 2" xfId="22039"/>
    <cellStyle name="Input 4 6 8 2 2 2" xfId="22040"/>
    <cellStyle name="Input 4 6 8 2 2 3" xfId="22041"/>
    <cellStyle name="Input 4 6 8 2 3" xfId="22042"/>
    <cellStyle name="Input 4 6 8 2 4" xfId="22043"/>
    <cellStyle name="Input 4 6 9" xfId="22044"/>
    <cellStyle name="Input 4 6 9 2" xfId="22045"/>
    <cellStyle name="Input 4 6 9 2 2" xfId="22046"/>
    <cellStyle name="Input 4 6 9 2 3" xfId="22047"/>
    <cellStyle name="Input 4 6 9 3" xfId="22048"/>
    <cellStyle name="Input 4 6 9 4" xfId="22049"/>
    <cellStyle name="Input 4 7" xfId="22050"/>
    <cellStyle name="Input 4 7 2" xfId="22051"/>
    <cellStyle name="Input 4 7 2 2" xfId="22052"/>
    <cellStyle name="Input 4 7 2 2 2" xfId="22053"/>
    <cellStyle name="Input 4 7 2 2 3" xfId="22054"/>
    <cellStyle name="Input 4 7 2 3" xfId="22055"/>
    <cellStyle name="Input 4 7 2 4" xfId="22056"/>
    <cellStyle name="Input 4 8" xfId="22057"/>
    <cellStyle name="Input 4 8 2" xfId="22058"/>
    <cellStyle name="Input 4 8 2 2" xfId="22059"/>
    <cellStyle name="Input 4 8 2 2 2" xfId="22060"/>
    <cellStyle name="Input 4 8 2 2 3" xfId="22061"/>
    <cellStyle name="Input 4 8 2 3" xfId="22062"/>
    <cellStyle name="Input 4 8 2 4" xfId="22063"/>
    <cellStyle name="Input 4 9" xfId="22064"/>
    <cellStyle name="Input 4 9 2" xfId="22065"/>
    <cellStyle name="Input 4 9 2 2" xfId="22066"/>
    <cellStyle name="Input 4 9 2 3" xfId="22067"/>
    <cellStyle name="Input 4 9 3" xfId="22068"/>
    <cellStyle name="Input 4 9 4" xfId="22069"/>
    <cellStyle name="Input 5" xfId="22070"/>
    <cellStyle name="Input 5 10" xfId="42870"/>
    <cellStyle name="Input 5 11" xfId="42957"/>
    <cellStyle name="Input 5 12" xfId="43064"/>
    <cellStyle name="Input 5 2" xfId="22071"/>
    <cellStyle name="Input 5 2 2" xfId="22072"/>
    <cellStyle name="Input 5 2 2 2" xfId="22073"/>
    <cellStyle name="Input 5 2 2 2 2" xfId="22074"/>
    <cellStyle name="Input 5 2 2 2 2 2" xfId="22075"/>
    <cellStyle name="Input 5 2 2 2 2 2 2" xfId="22076"/>
    <cellStyle name="Input 5 2 2 2 2 2 3" xfId="22077"/>
    <cellStyle name="Input 5 2 2 2 2 3" xfId="22078"/>
    <cellStyle name="Input 5 2 2 2 2 4" xfId="22079"/>
    <cellStyle name="Input 5 2 2 3" xfId="22080"/>
    <cellStyle name="Input 5 2 2 3 2" xfId="22081"/>
    <cellStyle name="Input 5 2 2 3 2 2" xfId="22082"/>
    <cellStyle name="Input 5 2 2 3 2 2 2" xfId="22083"/>
    <cellStyle name="Input 5 2 2 3 2 2 3" xfId="22084"/>
    <cellStyle name="Input 5 2 2 3 2 3" xfId="22085"/>
    <cellStyle name="Input 5 2 2 3 2 4" xfId="22086"/>
    <cellStyle name="Input 5 2 2 4" xfId="22087"/>
    <cellStyle name="Input 5 2 2 4 2" xfId="22088"/>
    <cellStyle name="Input 5 2 2 4 2 2" xfId="22089"/>
    <cellStyle name="Input 5 2 2 4 2 2 2" xfId="22090"/>
    <cellStyle name="Input 5 2 2 4 2 2 3" xfId="22091"/>
    <cellStyle name="Input 5 2 2 4 2 3" xfId="22092"/>
    <cellStyle name="Input 5 2 2 4 2 4" xfId="22093"/>
    <cellStyle name="Input 5 2 2 5" xfId="22094"/>
    <cellStyle name="Input 5 2 2 5 2" xfId="22095"/>
    <cellStyle name="Input 5 2 2 5 2 2" xfId="22096"/>
    <cellStyle name="Input 5 2 2 5 2 2 2" xfId="22097"/>
    <cellStyle name="Input 5 2 2 5 2 2 3" xfId="22098"/>
    <cellStyle name="Input 5 2 2 5 2 3" xfId="22099"/>
    <cellStyle name="Input 5 2 2 5 2 4" xfId="22100"/>
    <cellStyle name="Input 5 2 2 6" xfId="22101"/>
    <cellStyle name="Input 5 2 2 6 2" xfId="22102"/>
    <cellStyle name="Input 5 2 2 6 2 2" xfId="22103"/>
    <cellStyle name="Input 5 2 2 6 2 2 2" xfId="22104"/>
    <cellStyle name="Input 5 2 2 6 2 2 3" xfId="22105"/>
    <cellStyle name="Input 5 2 2 6 2 3" xfId="22106"/>
    <cellStyle name="Input 5 2 2 6 2 4" xfId="22107"/>
    <cellStyle name="Input 5 2 2 7" xfId="22108"/>
    <cellStyle name="Input 5 2 2 7 2" xfId="22109"/>
    <cellStyle name="Input 5 2 2 7 2 2" xfId="22110"/>
    <cellStyle name="Input 5 2 2 7 2 2 2" xfId="22111"/>
    <cellStyle name="Input 5 2 2 7 2 2 3" xfId="22112"/>
    <cellStyle name="Input 5 2 2 7 2 3" xfId="22113"/>
    <cellStyle name="Input 5 2 2 7 2 4" xfId="22114"/>
    <cellStyle name="Input 5 2 2 8" xfId="22115"/>
    <cellStyle name="Input 5 2 2 8 2" xfId="22116"/>
    <cellStyle name="Input 5 2 2 8 2 2" xfId="22117"/>
    <cellStyle name="Input 5 2 2 8 2 2 2" xfId="22118"/>
    <cellStyle name="Input 5 2 2 8 2 2 3" xfId="22119"/>
    <cellStyle name="Input 5 2 2 8 2 3" xfId="22120"/>
    <cellStyle name="Input 5 2 2 8 2 4" xfId="22121"/>
    <cellStyle name="Input 5 2 2 9" xfId="22122"/>
    <cellStyle name="Input 5 2 2 9 2" xfId="22123"/>
    <cellStyle name="Input 5 2 2 9 2 2" xfId="22124"/>
    <cellStyle name="Input 5 2 2 9 2 3" xfId="22125"/>
    <cellStyle name="Input 5 2 2 9 3" xfId="22126"/>
    <cellStyle name="Input 5 2 2 9 4" xfId="22127"/>
    <cellStyle name="Input 5 2 3" xfId="22128"/>
    <cellStyle name="Input 5 2 3 2" xfId="22129"/>
    <cellStyle name="Input 5 2 3 2 2" xfId="22130"/>
    <cellStyle name="Input 5 2 3 2 2 2" xfId="22131"/>
    <cellStyle name="Input 5 2 3 2 2 2 2" xfId="22132"/>
    <cellStyle name="Input 5 2 3 2 2 2 3" xfId="22133"/>
    <cellStyle name="Input 5 2 3 2 2 3" xfId="22134"/>
    <cellStyle name="Input 5 2 3 2 2 4" xfId="22135"/>
    <cellStyle name="Input 5 2 3 3" xfId="22136"/>
    <cellStyle name="Input 5 2 3 3 2" xfId="22137"/>
    <cellStyle name="Input 5 2 3 3 2 2" xfId="22138"/>
    <cellStyle name="Input 5 2 3 3 2 2 2" xfId="22139"/>
    <cellStyle name="Input 5 2 3 3 2 2 3" xfId="22140"/>
    <cellStyle name="Input 5 2 3 3 2 3" xfId="22141"/>
    <cellStyle name="Input 5 2 3 3 2 4" xfId="22142"/>
    <cellStyle name="Input 5 2 3 4" xfId="22143"/>
    <cellStyle name="Input 5 2 3 4 2" xfId="22144"/>
    <cellStyle name="Input 5 2 3 4 2 2" xfId="22145"/>
    <cellStyle name="Input 5 2 3 4 2 2 2" xfId="22146"/>
    <cellStyle name="Input 5 2 3 4 2 2 3" xfId="22147"/>
    <cellStyle name="Input 5 2 3 4 2 3" xfId="22148"/>
    <cellStyle name="Input 5 2 3 4 2 4" xfId="22149"/>
    <cellStyle name="Input 5 2 3 5" xfId="22150"/>
    <cellStyle name="Input 5 2 3 5 2" xfId="22151"/>
    <cellStyle name="Input 5 2 3 5 2 2" xfId="22152"/>
    <cellStyle name="Input 5 2 3 5 2 2 2" xfId="22153"/>
    <cellStyle name="Input 5 2 3 5 2 2 3" xfId="22154"/>
    <cellStyle name="Input 5 2 3 5 2 3" xfId="22155"/>
    <cellStyle name="Input 5 2 3 5 2 4" xfId="22156"/>
    <cellStyle name="Input 5 2 3 6" xfId="22157"/>
    <cellStyle name="Input 5 2 3 6 2" xfId="22158"/>
    <cellStyle name="Input 5 2 3 6 2 2" xfId="22159"/>
    <cellStyle name="Input 5 2 3 6 2 2 2" xfId="22160"/>
    <cellStyle name="Input 5 2 3 6 2 2 3" xfId="22161"/>
    <cellStyle name="Input 5 2 3 6 2 3" xfId="22162"/>
    <cellStyle name="Input 5 2 3 6 2 4" xfId="22163"/>
    <cellStyle name="Input 5 2 3 7" xfId="22164"/>
    <cellStyle name="Input 5 2 3 7 2" xfId="22165"/>
    <cellStyle name="Input 5 2 3 7 2 2" xfId="22166"/>
    <cellStyle name="Input 5 2 3 7 2 2 2" xfId="22167"/>
    <cellStyle name="Input 5 2 3 7 2 2 3" xfId="22168"/>
    <cellStyle name="Input 5 2 3 7 2 3" xfId="22169"/>
    <cellStyle name="Input 5 2 3 7 2 4" xfId="22170"/>
    <cellStyle name="Input 5 2 3 8" xfId="22171"/>
    <cellStyle name="Input 5 2 3 8 2" xfId="22172"/>
    <cellStyle name="Input 5 2 3 8 2 2" xfId="22173"/>
    <cellStyle name="Input 5 2 3 8 2 2 2" xfId="22174"/>
    <cellStyle name="Input 5 2 3 8 2 2 3" xfId="22175"/>
    <cellStyle name="Input 5 2 3 8 2 3" xfId="22176"/>
    <cellStyle name="Input 5 2 3 8 2 4" xfId="22177"/>
    <cellStyle name="Input 5 2 3 9" xfId="22178"/>
    <cellStyle name="Input 5 2 3 9 2" xfId="22179"/>
    <cellStyle name="Input 5 2 3 9 2 2" xfId="22180"/>
    <cellStyle name="Input 5 2 3 9 2 3" xfId="22181"/>
    <cellStyle name="Input 5 2 3 9 3" xfId="22182"/>
    <cellStyle name="Input 5 2 3 9 4" xfId="22183"/>
    <cellStyle name="Input 5 2 4" xfId="22184"/>
    <cellStyle name="Input 5 2 4 2" xfId="22185"/>
    <cellStyle name="Input 5 2 4 2 2" xfId="22186"/>
    <cellStyle name="Input 5 2 4 2 2 2" xfId="22187"/>
    <cellStyle name="Input 5 2 4 2 2 2 2" xfId="22188"/>
    <cellStyle name="Input 5 2 4 2 2 2 3" xfId="22189"/>
    <cellStyle name="Input 5 2 4 2 2 3" xfId="22190"/>
    <cellStyle name="Input 5 2 4 2 2 4" xfId="22191"/>
    <cellStyle name="Input 5 2 4 3" xfId="22192"/>
    <cellStyle name="Input 5 2 4 3 2" xfId="22193"/>
    <cellStyle name="Input 5 2 4 3 2 2" xfId="22194"/>
    <cellStyle name="Input 5 2 4 3 2 2 2" xfId="22195"/>
    <cellStyle name="Input 5 2 4 3 2 2 3" xfId="22196"/>
    <cellStyle name="Input 5 2 4 3 2 3" xfId="22197"/>
    <cellStyle name="Input 5 2 4 3 2 4" xfId="22198"/>
    <cellStyle name="Input 5 2 4 4" xfId="22199"/>
    <cellStyle name="Input 5 2 4 4 2" xfId="22200"/>
    <cellStyle name="Input 5 2 4 4 2 2" xfId="22201"/>
    <cellStyle name="Input 5 2 4 4 2 2 2" xfId="22202"/>
    <cellStyle name="Input 5 2 4 4 2 2 3" xfId="22203"/>
    <cellStyle name="Input 5 2 4 4 2 3" xfId="22204"/>
    <cellStyle name="Input 5 2 4 4 2 4" xfId="22205"/>
    <cellStyle name="Input 5 2 4 5" xfId="22206"/>
    <cellStyle name="Input 5 2 4 5 2" xfId="22207"/>
    <cellStyle name="Input 5 2 4 5 2 2" xfId="22208"/>
    <cellStyle name="Input 5 2 4 5 2 2 2" xfId="22209"/>
    <cellStyle name="Input 5 2 4 5 2 2 3" xfId="22210"/>
    <cellStyle name="Input 5 2 4 5 2 3" xfId="22211"/>
    <cellStyle name="Input 5 2 4 5 2 4" xfId="22212"/>
    <cellStyle name="Input 5 2 4 6" xfId="22213"/>
    <cellStyle name="Input 5 2 4 6 2" xfId="22214"/>
    <cellStyle name="Input 5 2 4 6 2 2" xfId="22215"/>
    <cellStyle name="Input 5 2 4 6 2 2 2" xfId="22216"/>
    <cellStyle name="Input 5 2 4 6 2 2 3" xfId="22217"/>
    <cellStyle name="Input 5 2 4 6 2 3" xfId="22218"/>
    <cellStyle name="Input 5 2 4 6 2 4" xfId="22219"/>
    <cellStyle name="Input 5 2 4 7" xfId="22220"/>
    <cellStyle name="Input 5 2 4 7 2" xfId="22221"/>
    <cellStyle name="Input 5 2 4 7 2 2" xfId="22222"/>
    <cellStyle name="Input 5 2 4 7 2 2 2" xfId="22223"/>
    <cellStyle name="Input 5 2 4 7 2 2 3" xfId="22224"/>
    <cellStyle name="Input 5 2 4 7 2 3" xfId="22225"/>
    <cellStyle name="Input 5 2 4 7 2 4" xfId="22226"/>
    <cellStyle name="Input 5 2 4 8" xfId="22227"/>
    <cellStyle name="Input 5 2 4 8 2" xfId="22228"/>
    <cellStyle name="Input 5 2 4 8 2 2" xfId="22229"/>
    <cellStyle name="Input 5 2 4 8 2 2 2" xfId="22230"/>
    <cellStyle name="Input 5 2 4 8 2 2 3" xfId="22231"/>
    <cellStyle name="Input 5 2 4 8 2 3" xfId="22232"/>
    <cellStyle name="Input 5 2 4 8 2 4" xfId="22233"/>
    <cellStyle name="Input 5 2 4 9" xfId="22234"/>
    <cellStyle name="Input 5 2 4 9 2" xfId="22235"/>
    <cellStyle name="Input 5 2 4 9 2 2" xfId="22236"/>
    <cellStyle name="Input 5 2 4 9 2 3" xfId="22237"/>
    <cellStyle name="Input 5 2 4 9 3" xfId="22238"/>
    <cellStyle name="Input 5 2 4 9 4" xfId="22239"/>
    <cellStyle name="Input 5 2 5" xfId="22240"/>
    <cellStyle name="Input 5 2 5 2" xfId="22241"/>
    <cellStyle name="Input 5 2 5 2 2" xfId="22242"/>
    <cellStyle name="Input 5 2 5 2 2 2" xfId="22243"/>
    <cellStyle name="Input 5 2 5 2 2 2 2" xfId="22244"/>
    <cellStyle name="Input 5 2 5 2 2 2 3" xfId="22245"/>
    <cellStyle name="Input 5 2 5 2 2 3" xfId="22246"/>
    <cellStyle name="Input 5 2 5 2 2 4" xfId="22247"/>
    <cellStyle name="Input 5 2 5 3" xfId="22248"/>
    <cellStyle name="Input 5 2 5 3 2" xfId="22249"/>
    <cellStyle name="Input 5 2 5 3 2 2" xfId="22250"/>
    <cellStyle name="Input 5 2 5 3 2 2 2" xfId="22251"/>
    <cellStyle name="Input 5 2 5 3 2 2 3" xfId="22252"/>
    <cellStyle name="Input 5 2 5 3 2 3" xfId="22253"/>
    <cellStyle name="Input 5 2 5 3 2 4" xfId="22254"/>
    <cellStyle name="Input 5 2 5 4" xfId="22255"/>
    <cellStyle name="Input 5 2 5 4 2" xfId="22256"/>
    <cellStyle name="Input 5 2 5 4 2 2" xfId="22257"/>
    <cellStyle name="Input 5 2 5 4 2 2 2" xfId="22258"/>
    <cellStyle name="Input 5 2 5 4 2 2 3" xfId="22259"/>
    <cellStyle name="Input 5 2 5 4 2 3" xfId="22260"/>
    <cellStyle name="Input 5 2 5 4 2 4" xfId="22261"/>
    <cellStyle name="Input 5 2 5 5" xfId="22262"/>
    <cellStyle name="Input 5 2 5 5 2" xfId="22263"/>
    <cellStyle name="Input 5 2 5 5 2 2" xfId="22264"/>
    <cellStyle name="Input 5 2 5 5 2 2 2" xfId="22265"/>
    <cellStyle name="Input 5 2 5 5 2 2 3" xfId="22266"/>
    <cellStyle name="Input 5 2 5 5 2 3" xfId="22267"/>
    <cellStyle name="Input 5 2 5 5 2 4" xfId="22268"/>
    <cellStyle name="Input 5 2 5 6" xfId="22269"/>
    <cellStyle name="Input 5 2 5 6 2" xfId="22270"/>
    <cellStyle name="Input 5 2 5 6 2 2" xfId="22271"/>
    <cellStyle name="Input 5 2 5 6 2 2 2" xfId="22272"/>
    <cellStyle name="Input 5 2 5 6 2 2 3" xfId="22273"/>
    <cellStyle name="Input 5 2 5 6 2 3" xfId="22274"/>
    <cellStyle name="Input 5 2 5 6 2 4" xfId="22275"/>
    <cellStyle name="Input 5 2 5 7" xfId="22276"/>
    <cellStyle name="Input 5 2 5 7 2" xfId="22277"/>
    <cellStyle name="Input 5 2 5 7 2 2" xfId="22278"/>
    <cellStyle name="Input 5 2 5 7 2 2 2" xfId="22279"/>
    <cellStyle name="Input 5 2 5 7 2 2 3" xfId="22280"/>
    <cellStyle name="Input 5 2 5 7 2 3" xfId="22281"/>
    <cellStyle name="Input 5 2 5 7 2 4" xfId="22282"/>
    <cellStyle name="Input 5 2 5 8" xfId="22283"/>
    <cellStyle name="Input 5 2 5 8 2" xfId="22284"/>
    <cellStyle name="Input 5 2 5 8 2 2" xfId="22285"/>
    <cellStyle name="Input 5 2 5 8 2 2 2" xfId="22286"/>
    <cellStyle name="Input 5 2 5 8 2 2 3" xfId="22287"/>
    <cellStyle name="Input 5 2 5 8 2 3" xfId="22288"/>
    <cellStyle name="Input 5 2 5 8 2 4" xfId="22289"/>
    <cellStyle name="Input 5 2 5 9" xfId="22290"/>
    <cellStyle name="Input 5 2 5 9 2" xfId="22291"/>
    <cellStyle name="Input 5 2 5 9 2 2" xfId="22292"/>
    <cellStyle name="Input 5 2 5 9 2 3" xfId="22293"/>
    <cellStyle name="Input 5 2 5 9 3" xfId="22294"/>
    <cellStyle name="Input 5 2 5 9 4" xfId="22295"/>
    <cellStyle name="Input 5 2 6" xfId="22296"/>
    <cellStyle name="Input 5 2 6 2" xfId="22297"/>
    <cellStyle name="Input 5 2 6 2 2" xfId="22298"/>
    <cellStyle name="Input 5 2 6 2 2 2" xfId="22299"/>
    <cellStyle name="Input 5 2 6 2 2 3" xfId="22300"/>
    <cellStyle name="Input 5 2 6 2 3" xfId="22301"/>
    <cellStyle name="Input 5 2 6 2 4" xfId="22302"/>
    <cellStyle name="Input 5 2 7" xfId="22303"/>
    <cellStyle name="Input 5 2 7 2" xfId="22304"/>
    <cellStyle name="Input 5 2 7 2 2" xfId="22305"/>
    <cellStyle name="Input 5 2 7 2 2 2" xfId="22306"/>
    <cellStyle name="Input 5 2 7 2 2 3" xfId="22307"/>
    <cellStyle name="Input 5 2 7 2 3" xfId="22308"/>
    <cellStyle name="Input 5 2 7 2 4" xfId="22309"/>
    <cellStyle name="Input 5 2 8" xfId="22310"/>
    <cellStyle name="Input 5 2 8 2" xfId="22311"/>
    <cellStyle name="Input 5 2 8 2 2" xfId="22312"/>
    <cellStyle name="Input 5 2 8 2 3" xfId="22313"/>
    <cellStyle name="Input 5 2 8 3" xfId="22314"/>
    <cellStyle name="Input 5 2 8 4" xfId="22315"/>
    <cellStyle name="Input 5 3" xfId="22316"/>
    <cellStyle name="Input 5 3 2" xfId="22317"/>
    <cellStyle name="Input 5 3 2 2" xfId="22318"/>
    <cellStyle name="Input 5 3 2 2 2" xfId="22319"/>
    <cellStyle name="Input 5 3 2 2 2 2" xfId="22320"/>
    <cellStyle name="Input 5 3 2 2 2 3" xfId="22321"/>
    <cellStyle name="Input 5 3 2 2 3" xfId="22322"/>
    <cellStyle name="Input 5 3 2 2 4" xfId="22323"/>
    <cellStyle name="Input 5 3 3" xfId="22324"/>
    <cellStyle name="Input 5 3 3 2" xfId="22325"/>
    <cellStyle name="Input 5 3 3 2 2" xfId="22326"/>
    <cellStyle name="Input 5 3 3 2 2 2" xfId="22327"/>
    <cellStyle name="Input 5 3 3 2 2 3" xfId="22328"/>
    <cellStyle name="Input 5 3 3 2 3" xfId="22329"/>
    <cellStyle name="Input 5 3 3 2 4" xfId="22330"/>
    <cellStyle name="Input 5 3 4" xfId="22331"/>
    <cellStyle name="Input 5 3 4 2" xfId="22332"/>
    <cellStyle name="Input 5 3 4 2 2" xfId="22333"/>
    <cellStyle name="Input 5 3 4 2 2 2" xfId="22334"/>
    <cellStyle name="Input 5 3 4 2 2 3" xfId="22335"/>
    <cellStyle name="Input 5 3 4 2 3" xfId="22336"/>
    <cellStyle name="Input 5 3 4 2 4" xfId="22337"/>
    <cellStyle name="Input 5 3 5" xfId="22338"/>
    <cellStyle name="Input 5 3 5 2" xfId="22339"/>
    <cellStyle name="Input 5 3 5 2 2" xfId="22340"/>
    <cellStyle name="Input 5 3 5 2 2 2" xfId="22341"/>
    <cellStyle name="Input 5 3 5 2 2 3" xfId="22342"/>
    <cellStyle name="Input 5 3 5 2 3" xfId="22343"/>
    <cellStyle name="Input 5 3 5 2 4" xfId="22344"/>
    <cellStyle name="Input 5 3 6" xfId="22345"/>
    <cellStyle name="Input 5 3 6 2" xfId="22346"/>
    <cellStyle name="Input 5 3 6 2 2" xfId="22347"/>
    <cellStyle name="Input 5 3 6 2 2 2" xfId="22348"/>
    <cellStyle name="Input 5 3 6 2 2 3" xfId="22349"/>
    <cellStyle name="Input 5 3 6 2 3" xfId="22350"/>
    <cellStyle name="Input 5 3 6 2 4" xfId="22351"/>
    <cellStyle name="Input 5 3 7" xfId="22352"/>
    <cellStyle name="Input 5 3 7 2" xfId="22353"/>
    <cellStyle name="Input 5 3 7 2 2" xfId="22354"/>
    <cellStyle name="Input 5 3 7 2 2 2" xfId="22355"/>
    <cellStyle name="Input 5 3 7 2 2 3" xfId="22356"/>
    <cellStyle name="Input 5 3 7 2 3" xfId="22357"/>
    <cellStyle name="Input 5 3 7 2 4" xfId="22358"/>
    <cellStyle name="Input 5 3 8" xfId="22359"/>
    <cellStyle name="Input 5 3 8 2" xfId="22360"/>
    <cellStyle name="Input 5 3 8 2 2" xfId="22361"/>
    <cellStyle name="Input 5 3 8 2 2 2" xfId="22362"/>
    <cellStyle name="Input 5 3 8 2 2 3" xfId="22363"/>
    <cellStyle name="Input 5 3 8 2 3" xfId="22364"/>
    <cellStyle name="Input 5 3 8 2 4" xfId="22365"/>
    <cellStyle name="Input 5 3 9" xfId="22366"/>
    <cellStyle name="Input 5 3 9 2" xfId="22367"/>
    <cellStyle name="Input 5 3 9 2 2" xfId="22368"/>
    <cellStyle name="Input 5 3 9 2 3" xfId="22369"/>
    <cellStyle name="Input 5 3 9 3" xfId="22370"/>
    <cellStyle name="Input 5 3 9 4" xfId="22371"/>
    <cellStyle name="Input 5 4" xfId="22372"/>
    <cellStyle name="Input 5 4 2" xfId="22373"/>
    <cellStyle name="Input 5 4 2 2" xfId="22374"/>
    <cellStyle name="Input 5 4 2 2 2" xfId="22375"/>
    <cellStyle name="Input 5 4 2 2 2 2" xfId="22376"/>
    <cellStyle name="Input 5 4 2 2 2 3" xfId="22377"/>
    <cellStyle name="Input 5 4 2 2 3" xfId="22378"/>
    <cellStyle name="Input 5 4 2 2 4" xfId="22379"/>
    <cellStyle name="Input 5 4 3" xfId="22380"/>
    <cellStyle name="Input 5 4 3 2" xfId="22381"/>
    <cellStyle name="Input 5 4 3 2 2" xfId="22382"/>
    <cellStyle name="Input 5 4 3 2 2 2" xfId="22383"/>
    <cellStyle name="Input 5 4 3 2 2 3" xfId="22384"/>
    <cellStyle name="Input 5 4 3 2 3" xfId="22385"/>
    <cellStyle name="Input 5 4 3 2 4" xfId="22386"/>
    <cellStyle name="Input 5 4 4" xfId="22387"/>
    <cellStyle name="Input 5 4 4 2" xfId="22388"/>
    <cellStyle name="Input 5 4 4 2 2" xfId="22389"/>
    <cellStyle name="Input 5 4 4 2 2 2" xfId="22390"/>
    <cellStyle name="Input 5 4 4 2 2 3" xfId="22391"/>
    <cellStyle name="Input 5 4 4 2 3" xfId="22392"/>
    <cellStyle name="Input 5 4 4 2 4" xfId="22393"/>
    <cellStyle name="Input 5 4 5" xfId="22394"/>
    <cellStyle name="Input 5 4 5 2" xfId="22395"/>
    <cellStyle name="Input 5 4 5 2 2" xfId="22396"/>
    <cellStyle name="Input 5 4 5 2 2 2" xfId="22397"/>
    <cellStyle name="Input 5 4 5 2 2 3" xfId="22398"/>
    <cellStyle name="Input 5 4 5 2 3" xfId="22399"/>
    <cellStyle name="Input 5 4 5 2 4" xfId="22400"/>
    <cellStyle name="Input 5 4 6" xfId="22401"/>
    <cellStyle name="Input 5 4 6 2" xfId="22402"/>
    <cellStyle name="Input 5 4 6 2 2" xfId="22403"/>
    <cellStyle name="Input 5 4 6 2 2 2" xfId="22404"/>
    <cellStyle name="Input 5 4 6 2 2 3" xfId="22405"/>
    <cellStyle name="Input 5 4 6 2 3" xfId="22406"/>
    <cellStyle name="Input 5 4 6 2 4" xfId="22407"/>
    <cellStyle name="Input 5 4 7" xfId="22408"/>
    <cellStyle name="Input 5 4 7 2" xfId="22409"/>
    <cellStyle name="Input 5 4 7 2 2" xfId="22410"/>
    <cellStyle name="Input 5 4 7 2 2 2" xfId="22411"/>
    <cellStyle name="Input 5 4 7 2 2 3" xfId="22412"/>
    <cellStyle name="Input 5 4 7 2 3" xfId="22413"/>
    <cellStyle name="Input 5 4 7 2 4" xfId="22414"/>
    <cellStyle name="Input 5 4 8" xfId="22415"/>
    <cellStyle name="Input 5 4 8 2" xfId="22416"/>
    <cellStyle name="Input 5 4 8 2 2" xfId="22417"/>
    <cellStyle name="Input 5 4 8 2 2 2" xfId="22418"/>
    <cellStyle name="Input 5 4 8 2 2 3" xfId="22419"/>
    <cellStyle name="Input 5 4 8 2 3" xfId="22420"/>
    <cellStyle name="Input 5 4 8 2 4" xfId="22421"/>
    <cellStyle name="Input 5 4 9" xfId="22422"/>
    <cellStyle name="Input 5 4 9 2" xfId="22423"/>
    <cellStyle name="Input 5 4 9 2 2" xfId="22424"/>
    <cellStyle name="Input 5 4 9 2 3" xfId="22425"/>
    <cellStyle name="Input 5 4 9 3" xfId="22426"/>
    <cellStyle name="Input 5 4 9 4" xfId="22427"/>
    <cellStyle name="Input 5 5" xfId="22428"/>
    <cellStyle name="Input 5 5 2" xfId="22429"/>
    <cellStyle name="Input 5 5 2 2" xfId="22430"/>
    <cellStyle name="Input 5 5 2 2 2" xfId="22431"/>
    <cellStyle name="Input 5 5 2 2 2 2" xfId="22432"/>
    <cellStyle name="Input 5 5 2 2 2 3" xfId="22433"/>
    <cellStyle name="Input 5 5 2 2 3" xfId="22434"/>
    <cellStyle name="Input 5 5 2 2 4" xfId="22435"/>
    <cellStyle name="Input 5 5 3" xfId="22436"/>
    <cellStyle name="Input 5 5 3 2" xfId="22437"/>
    <cellStyle name="Input 5 5 3 2 2" xfId="22438"/>
    <cellStyle name="Input 5 5 3 2 2 2" xfId="22439"/>
    <cellStyle name="Input 5 5 3 2 2 3" xfId="22440"/>
    <cellStyle name="Input 5 5 3 2 3" xfId="22441"/>
    <cellStyle name="Input 5 5 3 2 4" xfId="22442"/>
    <cellStyle name="Input 5 5 4" xfId="22443"/>
    <cellStyle name="Input 5 5 4 2" xfId="22444"/>
    <cellStyle name="Input 5 5 4 2 2" xfId="22445"/>
    <cellStyle name="Input 5 5 4 2 2 2" xfId="22446"/>
    <cellStyle name="Input 5 5 4 2 2 3" xfId="22447"/>
    <cellStyle name="Input 5 5 4 2 3" xfId="22448"/>
    <cellStyle name="Input 5 5 4 2 4" xfId="22449"/>
    <cellStyle name="Input 5 5 5" xfId="22450"/>
    <cellStyle name="Input 5 5 5 2" xfId="22451"/>
    <cellStyle name="Input 5 5 5 2 2" xfId="22452"/>
    <cellStyle name="Input 5 5 5 2 2 2" xfId="22453"/>
    <cellStyle name="Input 5 5 5 2 2 3" xfId="22454"/>
    <cellStyle name="Input 5 5 5 2 3" xfId="22455"/>
    <cellStyle name="Input 5 5 5 2 4" xfId="22456"/>
    <cellStyle name="Input 5 5 6" xfId="22457"/>
    <cellStyle name="Input 5 5 6 2" xfId="22458"/>
    <cellStyle name="Input 5 5 6 2 2" xfId="22459"/>
    <cellStyle name="Input 5 5 6 2 2 2" xfId="22460"/>
    <cellStyle name="Input 5 5 6 2 2 3" xfId="22461"/>
    <cellStyle name="Input 5 5 6 2 3" xfId="22462"/>
    <cellStyle name="Input 5 5 6 2 4" xfId="22463"/>
    <cellStyle name="Input 5 5 7" xfId="22464"/>
    <cellStyle name="Input 5 5 7 2" xfId="22465"/>
    <cellStyle name="Input 5 5 7 2 2" xfId="22466"/>
    <cellStyle name="Input 5 5 7 2 2 2" xfId="22467"/>
    <cellStyle name="Input 5 5 7 2 2 3" xfId="22468"/>
    <cellStyle name="Input 5 5 7 2 3" xfId="22469"/>
    <cellStyle name="Input 5 5 7 2 4" xfId="22470"/>
    <cellStyle name="Input 5 5 8" xfId="22471"/>
    <cellStyle name="Input 5 5 8 2" xfId="22472"/>
    <cellStyle name="Input 5 5 8 2 2" xfId="22473"/>
    <cellStyle name="Input 5 5 8 2 2 2" xfId="22474"/>
    <cellStyle name="Input 5 5 8 2 2 3" xfId="22475"/>
    <cellStyle name="Input 5 5 8 2 3" xfId="22476"/>
    <cellStyle name="Input 5 5 8 2 4" xfId="22477"/>
    <cellStyle name="Input 5 5 9" xfId="22478"/>
    <cellStyle name="Input 5 5 9 2" xfId="22479"/>
    <cellStyle name="Input 5 5 9 2 2" xfId="22480"/>
    <cellStyle name="Input 5 5 9 2 3" xfId="22481"/>
    <cellStyle name="Input 5 5 9 3" xfId="22482"/>
    <cellStyle name="Input 5 5 9 4" xfId="22483"/>
    <cellStyle name="Input 5 6" xfId="22484"/>
    <cellStyle name="Input 5 6 2" xfId="22485"/>
    <cellStyle name="Input 5 6 2 2" xfId="22486"/>
    <cellStyle name="Input 5 6 2 2 2" xfId="22487"/>
    <cellStyle name="Input 5 6 2 2 2 2" xfId="22488"/>
    <cellStyle name="Input 5 6 2 2 2 3" xfId="22489"/>
    <cellStyle name="Input 5 6 2 2 3" xfId="22490"/>
    <cellStyle name="Input 5 6 2 2 4" xfId="22491"/>
    <cellStyle name="Input 5 6 3" xfId="22492"/>
    <cellStyle name="Input 5 6 3 2" xfId="22493"/>
    <cellStyle name="Input 5 6 3 2 2" xfId="22494"/>
    <cellStyle name="Input 5 6 3 2 2 2" xfId="22495"/>
    <cellStyle name="Input 5 6 3 2 2 3" xfId="22496"/>
    <cellStyle name="Input 5 6 3 2 3" xfId="22497"/>
    <cellStyle name="Input 5 6 3 2 4" xfId="22498"/>
    <cellStyle name="Input 5 6 4" xfId="22499"/>
    <cellStyle name="Input 5 6 4 2" xfId="22500"/>
    <cellStyle name="Input 5 6 4 2 2" xfId="22501"/>
    <cellStyle name="Input 5 6 4 2 2 2" xfId="22502"/>
    <cellStyle name="Input 5 6 4 2 2 3" xfId="22503"/>
    <cellStyle name="Input 5 6 4 2 3" xfId="22504"/>
    <cellStyle name="Input 5 6 4 2 4" xfId="22505"/>
    <cellStyle name="Input 5 6 5" xfId="22506"/>
    <cellStyle name="Input 5 6 5 2" xfId="22507"/>
    <cellStyle name="Input 5 6 5 2 2" xfId="22508"/>
    <cellStyle name="Input 5 6 5 2 2 2" xfId="22509"/>
    <cellStyle name="Input 5 6 5 2 2 3" xfId="22510"/>
    <cellStyle name="Input 5 6 5 2 3" xfId="22511"/>
    <cellStyle name="Input 5 6 5 2 4" xfId="22512"/>
    <cellStyle name="Input 5 6 6" xfId="22513"/>
    <cellStyle name="Input 5 6 6 2" xfId="22514"/>
    <cellStyle name="Input 5 6 6 2 2" xfId="22515"/>
    <cellStyle name="Input 5 6 6 2 2 2" xfId="22516"/>
    <cellStyle name="Input 5 6 6 2 2 3" xfId="22517"/>
    <cellStyle name="Input 5 6 6 2 3" xfId="22518"/>
    <cellStyle name="Input 5 6 6 2 4" xfId="22519"/>
    <cellStyle name="Input 5 6 7" xfId="22520"/>
    <cellStyle name="Input 5 6 7 2" xfId="22521"/>
    <cellStyle name="Input 5 6 7 2 2" xfId="22522"/>
    <cellStyle name="Input 5 6 7 2 2 2" xfId="22523"/>
    <cellStyle name="Input 5 6 7 2 2 3" xfId="22524"/>
    <cellStyle name="Input 5 6 7 2 3" xfId="22525"/>
    <cellStyle name="Input 5 6 7 2 4" xfId="22526"/>
    <cellStyle name="Input 5 6 8" xfId="22527"/>
    <cellStyle name="Input 5 6 8 2" xfId="22528"/>
    <cellStyle name="Input 5 6 8 2 2" xfId="22529"/>
    <cellStyle name="Input 5 6 8 2 2 2" xfId="22530"/>
    <cellStyle name="Input 5 6 8 2 2 3" xfId="22531"/>
    <cellStyle name="Input 5 6 8 2 3" xfId="22532"/>
    <cellStyle name="Input 5 6 8 2 4" xfId="22533"/>
    <cellStyle name="Input 5 6 9" xfId="22534"/>
    <cellStyle name="Input 5 6 9 2" xfId="22535"/>
    <cellStyle name="Input 5 6 9 2 2" xfId="22536"/>
    <cellStyle name="Input 5 6 9 2 3" xfId="22537"/>
    <cellStyle name="Input 5 6 9 3" xfId="22538"/>
    <cellStyle name="Input 5 6 9 4" xfId="22539"/>
    <cellStyle name="Input 5 7" xfId="22540"/>
    <cellStyle name="Input 5 7 2" xfId="22541"/>
    <cellStyle name="Input 5 7 2 2" xfId="22542"/>
    <cellStyle name="Input 5 7 2 2 2" xfId="22543"/>
    <cellStyle name="Input 5 7 2 2 3" xfId="22544"/>
    <cellStyle name="Input 5 7 2 3" xfId="22545"/>
    <cellStyle name="Input 5 7 2 4" xfId="22546"/>
    <cellStyle name="Input 5 8" xfId="22547"/>
    <cellStyle name="Input 5 8 2" xfId="22548"/>
    <cellStyle name="Input 5 8 2 2" xfId="22549"/>
    <cellStyle name="Input 5 8 2 2 2" xfId="22550"/>
    <cellStyle name="Input 5 8 2 2 3" xfId="22551"/>
    <cellStyle name="Input 5 8 2 3" xfId="22552"/>
    <cellStyle name="Input 5 8 2 4" xfId="22553"/>
    <cellStyle name="Input 5 9" xfId="22554"/>
    <cellStyle name="Input 5 9 2" xfId="22555"/>
    <cellStyle name="Input 5 9 2 2" xfId="22556"/>
    <cellStyle name="Input 5 9 2 3" xfId="22557"/>
    <cellStyle name="Input 5 9 3" xfId="22558"/>
    <cellStyle name="Input 5 9 4" xfId="22559"/>
    <cellStyle name="Input 6" xfId="22560"/>
    <cellStyle name="Input 6 10" xfId="43065"/>
    <cellStyle name="Input 6 2" xfId="22561"/>
    <cellStyle name="Input 6 2 2" xfId="22562"/>
    <cellStyle name="Input 6 2 2 2" xfId="22563"/>
    <cellStyle name="Input 6 2 2 2 2" xfId="22564"/>
    <cellStyle name="Input 6 2 2 2 2 2" xfId="22565"/>
    <cellStyle name="Input 6 2 2 2 2 2 2" xfId="22566"/>
    <cellStyle name="Input 6 2 2 2 2 2 3" xfId="22567"/>
    <cellStyle name="Input 6 2 2 2 2 3" xfId="22568"/>
    <cellStyle name="Input 6 2 2 2 2 4" xfId="22569"/>
    <cellStyle name="Input 6 2 2 3" xfId="22570"/>
    <cellStyle name="Input 6 2 2 3 2" xfId="22571"/>
    <cellStyle name="Input 6 2 2 3 2 2" xfId="22572"/>
    <cellStyle name="Input 6 2 2 3 2 2 2" xfId="22573"/>
    <cellStyle name="Input 6 2 2 3 2 2 3" xfId="22574"/>
    <cellStyle name="Input 6 2 2 3 2 3" xfId="22575"/>
    <cellStyle name="Input 6 2 2 3 2 4" xfId="22576"/>
    <cellStyle name="Input 6 2 2 4" xfId="22577"/>
    <cellStyle name="Input 6 2 2 4 2" xfId="22578"/>
    <cellStyle name="Input 6 2 2 4 2 2" xfId="22579"/>
    <cellStyle name="Input 6 2 2 4 2 2 2" xfId="22580"/>
    <cellStyle name="Input 6 2 2 4 2 2 3" xfId="22581"/>
    <cellStyle name="Input 6 2 2 4 2 3" xfId="22582"/>
    <cellStyle name="Input 6 2 2 4 2 4" xfId="22583"/>
    <cellStyle name="Input 6 2 2 5" xfId="22584"/>
    <cellStyle name="Input 6 2 2 5 2" xfId="22585"/>
    <cellStyle name="Input 6 2 2 5 2 2" xfId="22586"/>
    <cellStyle name="Input 6 2 2 5 2 2 2" xfId="22587"/>
    <cellStyle name="Input 6 2 2 5 2 2 3" xfId="22588"/>
    <cellStyle name="Input 6 2 2 5 2 3" xfId="22589"/>
    <cellStyle name="Input 6 2 2 5 2 4" xfId="22590"/>
    <cellStyle name="Input 6 2 2 6" xfId="22591"/>
    <cellStyle name="Input 6 2 2 6 2" xfId="22592"/>
    <cellStyle name="Input 6 2 2 6 2 2" xfId="22593"/>
    <cellStyle name="Input 6 2 2 6 2 2 2" xfId="22594"/>
    <cellStyle name="Input 6 2 2 6 2 2 3" xfId="22595"/>
    <cellStyle name="Input 6 2 2 6 2 3" xfId="22596"/>
    <cellStyle name="Input 6 2 2 6 2 4" xfId="22597"/>
    <cellStyle name="Input 6 2 2 7" xfId="22598"/>
    <cellStyle name="Input 6 2 2 7 2" xfId="22599"/>
    <cellStyle name="Input 6 2 2 7 2 2" xfId="22600"/>
    <cellStyle name="Input 6 2 2 7 2 2 2" xfId="22601"/>
    <cellStyle name="Input 6 2 2 7 2 2 3" xfId="22602"/>
    <cellStyle name="Input 6 2 2 7 2 3" xfId="22603"/>
    <cellStyle name="Input 6 2 2 7 2 4" xfId="22604"/>
    <cellStyle name="Input 6 2 2 8" xfId="22605"/>
    <cellStyle name="Input 6 2 2 8 2" xfId="22606"/>
    <cellStyle name="Input 6 2 2 8 2 2" xfId="22607"/>
    <cellStyle name="Input 6 2 2 8 2 2 2" xfId="22608"/>
    <cellStyle name="Input 6 2 2 8 2 2 3" xfId="22609"/>
    <cellStyle name="Input 6 2 2 8 2 3" xfId="22610"/>
    <cellStyle name="Input 6 2 2 8 2 4" xfId="22611"/>
    <cellStyle name="Input 6 2 2 9" xfId="22612"/>
    <cellStyle name="Input 6 2 2 9 2" xfId="22613"/>
    <cellStyle name="Input 6 2 2 9 2 2" xfId="22614"/>
    <cellStyle name="Input 6 2 2 9 2 3" xfId="22615"/>
    <cellStyle name="Input 6 2 2 9 3" xfId="22616"/>
    <cellStyle name="Input 6 2 2 9 4" xfId="22617"/>
    <cellStyle name="Input 6 2 3" xfId="22618"/>
    <cellStyle name="Input 6 2 3 2" xfId="22619"/>
    <cellStyle name="Input 6 2 3 2 2" xfId="22620"/>
    <cellStyle name="Input 6 2 3 2 2 2" xfId="22621"/>
    <cellStyle name="Input 6 2 3 2 2 2 2" xfId="22622"/>
    <cellStyle name="Input 6 2 3 2 2 2 3" xfId="22623"/>
    <cellStyle name="Input 6 2 3 2 2 3" xfId="22624"/>
    <cellStyle name="Input 6 2 3 2 2 4" xfId="22625"/>
    <cellStyle name="Input 6 2 3 3" xfId="22626"/>
    <cellStyle name="Input 6 2 3 3 2" xfId="22627"/>
    <cellStyle name="Input 6 2 3 3 2 2" xfId="22628"/>
    <cellStyle name="Input 6 2 3 3 2 2 2" xfId="22629"/>
    <cellStyle name="Input 6 2 3 3 2 2 3" xfId="22630"/>
    <cellStyle name="Input 6 2 3 3 2 3" xfId="22631"/>
    <cellStyle name="Input 6 2 3 3 2 4" xfId="22632"/>
    <cellStyle name="Input 6 2 3 4" xfId="22633"/>
    <cellStyle name="Input 6 2 3 4 2" xfId="22634"/>
    <cellStyle name="Input 6 2 3 4 2 2" xfId="22635"/>
    <cellStyle name="Input 6 2 3 4 2 2 2" xfId="22636"/>
    <cellStyle name="Input 6 2 3 4 2 2 3" xfId="22637"/>
    <cellStyle name="Input 6 2 3 4 2 3" xfId="22638"/>
    <cellStyle name="Input 6 2 3 4 2 4" xfId="22639"/>
    <cellStyle name="Input 6 2 3 5" xfId="22640"/>
    <cellStyle name="Input 6 2 3 5 2" xfId="22641"/>
    <cellStyle name="Input 6 2 3 5 2 2" xfId="22642"/>
    <cellStyle name="Input 6 2 3 5 2 2 2" xfId="22643"/>
    <cellStyle name="Input 6 2 3 5 2 2 3" xfId="22644"/>
    <cellStyle name="Input 6 2 3 5 2 3" xfId="22645"/>
    <cellStyle name="Input 6 2 3 5 2 4" xfId="22646"/>
    <cellStyle name="Input 6 2 3 6" xfId="22647"/>
    <cellStyle name="Input 6 2 3 6 2" xfId="22648"/>
    <cellStyle name="Input 6 2 3 6 2 2" xfId="22649"/>
    <cellStyle name="Input 6 2 3 6 2 2 2" xfId="22650"/>
    <cellStyle name="Input 6 2 3 6 2 2 3" xfId="22651"/>
    <cellStyle name="Input 6 2 3 6 2 3" xfId="22652"/>
    <cellStyle name="Input 6 2 3 6 2 4" xfId="22653"/>
    <cellStyle name="Input 6 2 3 7" xfId="22654"/>
    <cellStyle name="Input 6 2 3 7 2" xfId="22655"/>
    <cellStyle name="Input 6 2 3 7 2 2" xfId="22656"/>
    <cellStyle name="Input 6 2 3 7 2 2 2" xfId="22657"/>
    <cellStyle name="Input 6 2 3 7 2 2 3" xfId="22658"/>
    <cellStyle name="Input 6 2 3 7 2 3" xfId="22659"/>
    <cellStyle name="Input 6 2 3 7 2 4" xfId="22660"/>
    <cellStyle name="Input 6 2 3 8" xfId="22661"/>
    <cellStyle name="Input 6 2 3 8 2" xfId="22662"/>
    <cellStyle name="Input 6 2 3 8 2 2" xfId="22663"/>
    <cellStyle name="Input 6 2 3 8 2 2 2" xfId="22664"/>
    <cellStyle name="Input 6 2 3 8 2 2 3" xfId="22665"/>
    <cellStyle name="Input 6 2 3 8 2 3" xfId="22666"/>
    <cellStyle name="Input 6 2 3 8 2 4" xfId="22667"/>
    <cellStyle name="Input 6 2 3 9" xfId="22668"/>
    <cellStyle name="Input 6 2 3 9 2" xfId="22669"/>
    <cellStyle name="Input 6 2 3 9 2 2" xfId="22670"/>
    <cellStyle name="Input 6 2 3 9 2 3" xfId="22671"/>
    <cellStyle name="Input 6 2 3 9 3" xfId="22672"/>
    <cellStyle name="Input 6 2 3 9 4" xfId="22673"/>
    <cellStyle name="Input 6 2 4" xfId="22674"/>
    <cellStyle name="Input 6 2 4 2" xfId="22675"/>
    <cellStyle name="Input 6 2 4 2 2" xfId="22676"/>
    <cellStyle name="Input 6 2 4 2 2 2" xfId="22677"/>
    <cellStyle name="Input 6 2 4 2 2 2 2" xfId="22678"/>
    <cellStyle name="Input 6 2 4 2 2 2 3" xfId="22679"/>
    <cellStyle name="Input 6 2 4 2 2 3" xfId="22680"/>
    <cellStyle name="Input 6 2 4 2 2 4" xfId="22681"/>
    <cellStyle name="Input 6 2 4 3" xfId="22682"/>
    <cellStyle name="Input 6 2 4 3 2" xfId="22683"/>
    <cellStyle name="Input 6 2 4 3 2 2" xfId="22684"/>
    <cellStyle name="Input 6 2 4 3 2 2 2" xfId="22685"/>
    <cellStyle name="Input 6 2 4 3 2 2 3" xfId="22686"/>
    <cellStyle name="Input 6 2 4 3 2 3" xfId="22687"/>
    <cellStyle name="Input 6 2 4 3 2 4" xfId="22688"/>
    <cellStyle name="Input 6 2 4 4" xfId="22689"/>
    <cellStyle name="Input 6 2 4 4 2" xfId="22690"/>
    <cellStyle name="Input 6 2 4 4 2 2" xfId="22691"/>
    <cellStyle name="Input 6 2 4 4 2 2 2" xfId="22692"/>
    <cellStyle name="Input 6 2 4 4 2 2 3" xfId="22693"/>
    <cellStyle name="Input 6 2 4 4 2 3" xfId="22694"/>
    <cellStyle name="Input 6 2 4 4 2 4" xfId="22695"/>
    <cellStyle name="Input 6 2 4 5" xfId="22696"/>
    <cellStyle name="Input 6 2 4 5 2" xfId="22697"/>
    <cellStyle name="Input 6 2 4 5 2 2" xfId="22698"/>
    <cellStyle name="Input 6 2 4 5 2 2 2" xfId="22699"/>
    <cellStyle name="Input 6 2 4 5 2 2 3" xfId="22700"/>
    <cellStyle name="Input 6 2 4 5 2 3" xfId="22701"/>
    <cellStyle name="Input 6 2 4 5 2 4" xfId="22702"/>
    <cellStyle name="Input 6 2 4 6" xfId="22703"/>
    <cellStyle name="Input 6 2 4 6 2" xfId="22704"/>
    <cellStyle name="Input 6 2 4 6 2 2" xfId="22705"/>
    <cellStyle name="Input 6 2 4 6 2 2 2" xfId="22706"/>
    <cellStyle name="Input 6 2 4 6 2 2 3" xfId="22707"/>
    <cellStyle name="Input 6 2 4 6 2 3" xfId="22708"/>
    <cellStyle name="Input 6 2 4 6 2 4" xfId="22709"/>
    <cellStyle name="Input 6 2 4 7" xfId="22710"/>
    <cellStyle name="Input 6 2 4 7 2" xfId="22711"/>
    <cellStyle name="Input 6 2 4 7 2 2" xfId="22712"/>
    <cellStyle name="Input 6 2 4 7 2 2 2" xfId="22713"/>
    <cellStyle name="Input 6 2 4 7 2 2 3" xfId="22714"/>
    <cellStyle name="Input 6 2 4 7 2 3" xfId="22715"/>
    <cellStyle name="Input 6 2 4 7 2 4" xfId="22716"/>
    <cellStyle name="Input 6 2 4 8" xfId="22717"/>
    <cellStyle name="Input 6 2 4 8 2" xfId="22718"/>
    <cellStyle name="Input 6 2 4 8 2 2" xfId="22719"/>
    <cellStyle name="Input 6 2 4 8 2 2 2" xfId="22720"/>
    <cellStyle name="Input 6 2 4 8 2 2 3" xfId="22721"/>
    <cellStyle name="Input 6 2 4 8 2 3" xfId="22722"/>
    <cellStyle name="Input 6 2 4 8 2 4" xfId="22723"/>
    <cellStyle name="Input 6 2 4 9" xfId="22724"/>
    <cellStyle name="Input 6 2 4 9 2" xfId="22725"/>
    <cellStyle name="Input 6 2 4 9 2 2" xfId="22726"/>
    <cellStyle name="Input 6 2 4 9 2 3" xfId="22727"/>
    <cellStyle name="Input 6 2 4 9 3" xfId="22728"/>
    <cellStyle name="Input 6 2 4 9 4" xfId="22729"/>
    <cellStyle name="Input 6 2 5" xfId="22730"/>
    <cellStyle name="Input 6 2 5 2" xfId="22731"/>
    <cellStyle name="Input 6 2 5 2 2" xfId="22732"/>
    <cellStyle name="Input 6 2 5 2 2 2" xfId="22733"/>
    <cellStyle name="Input 6 2 5 2 2 2 2" xfId="22734"/>
    <cellStyle name="Input 6 2 5 2 2 2 3" xfId="22735"/>
    <cellStyle name="Input 6 2 5 2 2 3" xfId="22736"/>
    <cellStyle name="Input 6 2 5 2 2 4" xfId="22737"/>
    <cellStyle name="Input 6 2 5 3" xfId="22738"/>
    <cellStyle name="Input 6 2 5 3 2" xfId="22739"/>
    <cellStyle name="Input 6 2 5 3 2 2" xfId="22740"/>
    <cellStyle name="Input 6 2 5 3 2 2 2" xfId="22741"/>
    <cellStyle name="Input 6 2 5 3 2 2 3" xfId="22742"/>
    <cellStyle name="Input 6 2 5 3 2 3" xfId="22743"/>
    <cellStyle name="Input 6 2 5 3 2 4" xfId="22744"/>
    <cellStyle name="Input 6 2 5 4" xfId="22745"/>
    <cellStyle name="Input 6 2 5 4 2" xfId="22746"/>
    <cellStyle name="Input 6 2 5 4 2 2" xfId="22747"/>
    <cellStyle name="Input 6 2 5 4 2 2 2" xfId="22748"/>
    <cellStyle name="Input 6 2 5 4 2 2 3" xfId="22749"/>
    <cellStyle name="Input 6 2 5 4 2 3" xfId="22750"/>
    <cellStyle name="Input 6 2 5 4 2 4" xfId="22751"/>
    <cellStyle name="Input 6 2 5 5" xfId="22752"/>
    <cellStyle name="Input 6 2 5 5 2" xfId="22753"/>
    <cellStyle name="Input 6 2 5 5 2 2" xfId="22754"/>
    <cellStyle name="Input 6 2 5 5 2 2 2" xfId="22755"/>
    <cellStyle name="Input 6 2 5 5 2 2 3" xfId="22756"/>
    <cellStyle name="Input 6 2 5 5 2 3" xfId="22757"/>
    <cellStyle name="Input 6 2 5 5 2 4" xfId="22758"/>
    <cellStyle name="Input 6 2 5 6" xfId="22759"/>
    <cellStyle name="Input 6 2 5 6 2" xfId="22760"/>
    <cellStyle name="Input 6 2 5 6 2 2" xfId="22761"/>
    <cellStyle name="Input 6 2 5 6 2 2 2" xfId="22762"/>
    <cellStyle name="Input 6 2 5 6 2 2 3" xfId="22763"/>
    <cellStyle name="Input 6 2 5 6 2 3" xfId="22764"/>
    <cellStyle name="Input 6 2 5 6 2 4" xfId="22765"/>
    <cellStyle name="Input 6 2 5 7" xfId="22766"/>
    <cellStyle name="Input 6 2 5 7 2" xfId="22767"/>
    <cellStyle name="Input 6 2 5 7 2 2" xfId="22768"/>
    <cellStyle name="Input 6 2 5 7 2 2 2" xfId="22769"/>
    <cellStyle name="Input 6 2 5 7 2 2 3" xfId="22770"/>
    <cellStyle name="Input 6 2 5 7 2 3" xfId="22771"/>
    <cellStyle name="Input 6 2 5 7 2 4" xfId="22772"/>
    <cellStyle name="Input 6 2 5 8" xfId="22773"/>
    <cellStyle name="Input 6 2 5 8 2" xfId="22774"/>
    <cellStyle name="Input 6 2 5 8 2 2" xfId="22775"/>
    <cellStyle name="Input 6 2 5 8 2 2 2" xfId="22776"/>
    <cellStyle name="Input 6 2 5 8 2 2 3" xfId="22777"/>
    <cellStyle name="Input 6 2 5 8 2 3" xfId="22778"/>
    <cellStyle name="Input 6 2 5 8 2 4" xfId="22779"/>
    <cellStyle name="Input 6 2 5 9" xfId="22780"/>
    <cellStyle name="Input 6 2 5 9 2" xfId="22781"/>
    <cellStyle name="Input 6 2 5 9 2 2" xfId="22782"/>
    <cellStyle name="Input 6 2 5 9 2 3" xfId="22783"/>
    <cellStyle name="Input 6 2 5 9 3" xfId="22784"/>
    <cellStyle name="Input 6 2 5 9 4" xfId="22785"/>
    <cellStyle name="Input 6 2 6" xfId="22786"/>
    <cellStyle name="Input 6 2 6 2" xfId="22787"/>
    <cellStyle name="Input 6 2 6 2 2" xfId="22788"/>
    <cellStyle name="Input 6 2 6 2 2 2" xfId="22789"/>
    <cellStyle name="Input 6 2 6 2 2 3" xfId="22790"/>
    <cellStyle name="Input 6 2 6 2 3" xfId="22791"/>
    <cellStyle name="Input 6 2 6 2 4" xfId="22792"/>
    <cellStyle name="Input 6 2 7" xfId="22793"/>
    <cellStyle name="Input 6 2 7 2" xfId="22794"/>
    <cellStyle name="Input 6 2 7 2 2" xfId="22795"/>
    <cellStyle name="Input 6 2 7 2 2 2" xfId="22796"/>
    <cellStyle name="Input 6 2 7 2 2 3" xfId="22797"/>
    <cellStyle name="Input 6 2 7 2 3" xfId="22798"/>
    <cellStyle name="Input 6 2 7 2 4" xfId="22799"/>
    <cellStyle name="Input 6 2 8" xfId="22800"/>
    <cellStyle name="Input 6 2 8 2" xfId="22801"/>
    <cellStyle name="Input 6 2 8 2 2" xfId="22802"/>
    <cellStyle name="Input 6 2 8 2 3" xfId="22803"/>
    <cellStyle name="Input 6 2 8 3" xfId="22804"/>
    <cellStyle name="Input 6 2 8 4" xfId="22805"/>
    <cellStyle name="Input 6 3" xfId="22806"/>
    <cellStyle name="Input 6 3 2" xfId="22807"/>
    <cellStyle name="Input 6 3 2 2" xfId="22808"/>
    <cellStyle name="Input 6 3 2 2 2" xfId="22809"/>
    <cellStyle name="Input 6 3 2 2 2 2" xfId="22810"/>
    <cellStyle name="Input 6 3 2 2 2 3" xfId="22811"/>
    <cellStyle name="Input 6 3 2 2 3" xfId="22812"/>
    <cellStyle name="Input 6 3 2 2 4" xfId="22813"/>
    <cellStyle name="Input 6 3 3" xfId="22814"/>
    <cellStyle name="Input 6 3 3 2" xfId="22815"/>
    <cellStyle name="Input 6 3 3 2 2" xfId="22816"/>
    <cellStyle name="Input 6 3 3 2 2 2" xfId="22817"/>
    <cellStyle name="Input 6 3 3 2 2 3" xfId="22818"/>
    <cellStyle name="Input 6 3 3 2 3" xfId="22819"/>
    <cellStyle name="Input 6 3 3 2 4" xfId="22820"/>
    <cellStyle name="Input 6 3 4" xfId="22821"/>
    <cellStyle name="Input 6 3 4 2" xfId="22822"/>
    <cellStyle name="Input 6 3 4 2 2" xfId="22823"/>
    <cellStyle name="Input 6 3 4 2 2 2" xfId="22824"/>
    <cellStyle name="Input 6 3 4 2 2 3" xfId="22825"/>
    <cellStyle name="Input 6 3 4 2 3" xfId="22826"/>
    <cellStyle name="Input 6 3 4 2 4" xfId="22827"/>
    <cellStyle name="Input 6 3 5" xfId="22828"/>
    <cellStyle name="Input 6 3 5 2" xfId="22829"/>
    <cellStyle name="Input 6 3 5 2 2" xfId="22830"/>
    <cellStyle name="Input 6 3 5 2 2 2" xfId="22831"/>
    <cellStyle name="Input 6 3 5 2 2 3" xfId="22832"/>
    <cellStyle name="Input 6 3 5 2 3" xfId="22833"/>
    <cellStyle name="Input 6 3 5 2 4" xfId="22834"/>
    <cellStyle name="Input 6 3 6" xfId="22835"/>
    <cellStyle name="Input 6 3 6 2" xfId="22836"/>
    <cellStyle name="Input 6 3 6 2 2" xfId="22837"/>
    <cellStyle name="Input 6 3 6 2 2 2" xfId="22838"/>
    <cellStyle name="Input 6 3 6 2 2 3" xfId="22839"/>
    <cellStyle name="Input 6 3 6 2 3" xfId="22840"/>
    <cellStyle name="Input 6 3 6 2 4" xfId="22841"/>
    <cellStyle name="Input 6 3 7" xfId="22842"/>
    <cellStyle name="Input 6 3 7 2" xfId="22843"/>
    <cellStyle name="Input 6 3 7 2 2" xfId="22844"/>
    <cellStyle name="Input 6 3 7 2 2 2" xfId="22845"/>
    <cellStyle name="Input 6 3 7 2 2 3" xfId="22846"/>
    <cellStyle name="Input 6 3 7 2 3" xfId="22847"/>
    <cellStyle name="Input 6 3 7 2 4" xfId="22848"/>
    <cellStyle name="Input 6 3 8" xfId="22849"/>
    <cellStyle name="Input 6 3 8 2" xfId="22850"/>
    <cellStyle name="Input 6 3 8 2 2" xfId="22851"/>
    <cellStyle name="Input 6 3 8 2 2 2" xfId="22852"/>
    <cellStyle name="Input 6 3 8 2 2 3" xfId="22853"/>
    <cellStyle name="Input 6 3 8 2 3" xfId="22854"/>
    <cellStyle name="Input 6 3 8 2 4" xfId="22855"/>
    <cellStyle name="Input 6 3 9" xfId="22856"/>
    <cellStyle name="Input 6 3 9 2" xfId="22857"/>
    <cellStyle name="Input 6 3 9 2 2" xfId="22858"/>
    <cellStyle name="Input 6 3 9 2 3" xfId="22859"/>
    <cellStyle name="Input 6 3 9 3" xfId="22860"/>
    <cellStyle name="Input 6 3 9 4" xfId="22861"/>
    <cellStyle name="Input 6 4" xfId="22862"/>
    <cellStyle name="Input 6 4 2" xfId="22863"/>
    <cellStyle name="Input 6 4 2 2" xfId="22864"/>
    <cellStyle name="Input 6 4 2 2 2" xfId="22865"/>
    <cellStyle name="Input 6 4 2 2 2 2" xfId="22866"/>
    <cellStyle name="Input 6 4 2 2 2 3" xfId="22867"/>
    <cellStyle name="Input 6 4 2 2 3" xfId="22868"/>
    <cellStyle name="Input 6 4 2 2 4" xfId="22869"/>
    <cellStyle name="Input 6 4 3" xfId="22870"/>
    <cellStyle name="Input 6 4 3 2" xfId="22871"/>
    <cellStyle name="Input 6 4 3 2 2" xfId="22872"/>
    <cellStyle name="Input 6 4 3 2 2 2" xfId="22873"/>
    <cellStyle name="Input 6 4 3 2 2 3" xfId="22874"/>
    <cellStyle name="Input 6 4 3 2 3" xfId="22875"/>
    <cellStyle name="Input 6 4 3 2 4" xfId="22876"/>
    <cellStyle name="Input 6 4 4" xfId="22877"/>
    <cellStyle name="Input 6 4 4 2" xfId="22878"/>
    <cellStyle name="Input 6 4 4 2 2" xfId="22879"/>
    <cellStyle name="Input 6 4 4 2 2 2" xfId="22880"/>
    <cellStyle name="Input 6 4 4 2 2 3" xfId="22881"/>
    <cellStyle name="Input 6 4 4 2 3" xfId="22882"/>
    <cellStyle name="Input 6 4 4 2 4" xfId="22883"/>
    <cellStyle name="Input 6 4 5" xfId="22884"/>
    <cellStyle name="Input 6 4 5 2" xfId="22885"/>
    <cellStyle name="Input 6 4 5 2 2" xfId="22886"/>
    <cellStyle name="Input 6 4 5 2 2 2" xfId="22887"/>
    <cellStyle name="Input 6 4 5 2 2 3" xfId="22888"/>
    <cellStyle name="Input 6 4 5 2 3" xfId="22889"/>
    <cellStyle name="Input 6 4 5 2 4" xfId="22890"/>
    <cellStyle name="Input 6 4 6" xfId="22891"/>
    <cellStyle name="Input 6 4 6 2" xfId="22892"/>
    <cellStyle name="Input 6 4 6 2 2" xfId="22893"/>
    <cellStyle name="Input 6 4 6 2 2 2" xfId="22894"/>
    <cellStyle name="Input 6 4 6 2 2 3" xfId="22895"/>
    <cellStyle name="Input 6 4 6 2 3" xfId="22896"/>
    <cellStyle name="Input 6 4 6 2 4" xfId="22897"/>
    <cellStyle name="Input 6 4 7" xfId="22898"/>
    <cellStyle name="Input 6 4 7 2" xfId="22899"/>
    <cellStyle name="Input 6 4 7 2 2" xfId="22900"/>
    <cellStyle name="Input 6 4 7 2 2 2" xfId="22901"/>
    <cellStyle name="Input 6 4 7 2 2 3" xfId="22902"/>
    <cellStyle name="Input 6 4 7 2 3" xfId="22903"/>
    <cellStyle name="Input 6 4 7 2 4" xfId="22904"/>
    <cellStyle name="Input 6 4 8" xfId="22905"/>
    <cellStyle name="Input 6 4 8 2" xfId="22906"/>
    <cellStyle name="Input 6 4 8 2 2" xfId="22907"/>
    <cellStyle name="Input 6 4 8 2 2 2" xfId="22908"/>
    <cellStyle name="Input 6 4 8 2 2 3" xfId="22909"/>
    <cellStyle name="Input 6 4 8 2 3" xfId="22910"/>
    <cellStyle name="Input 6 4 8 2 4" xfId="22911"/>
    <cellStyle name="Input 6 4 9" xfId="22912"/>
    <cellStyle name="Input 6 4 9 2" xfId="22913"/>
    <cellStyle name="Input 6 4 9 2 2" xfId="22914"/>
    <cellStyle name="Input 6 4 9 2 3" xfId="22915"/>
    <cellStyle name="Input 6 4 9 3" xfId="22916"/>
    <cellStyle name="Input 6 4 9 4" xfId="22917"/>
    <cellStyle name="Input 6 5" xfId="22918"/>
    <cellStyle name="Input 6 5 2" xfId="22919"/>
    <cellStyle name="Input 6 5 2 2" xfId="22920"/>
    <cellStyle name="Input 6 5 2 2 2" xfId="22921"/>
    <cellStyle name="Input 6 5 2 2 2 2" xfId="22922"/>
    <cellStyle name="Input 6 5 2 2 2 3" xfId="22923"/>
    <cellStyle name="Input 6 5 2 2 3" xfId="22924"/>
    <cellStyle name="Input 6 5 2 2 4" xfId="22925"/>
    <cellStyle name="Input 6 5 3" xfId="22926"/>
    <cellStyle name="Input 6 5 3 2" xfId="22927"/>
    <cellStyle name="Input 6 5 3 2 2" xfId="22928"/>
    <cellStyle name="Input 6 5 3 2 2 2" xfId="22929"/>
    <cellStyle name="Input 6 5 3 2 2 3" xfId="22930"/>
    <cellStyle name="Input 6 5 3 2 3" xfId="22931"/>
    <cellStyle name="Input 6 5 3 2 4" xfId="22932"/>
    <cellStyle name="Input 6 5 4" xfId="22933"/>
    <cellStyle name="Input 6 5 4 2" xfId="22934"/>
    <cellStyle name="Input 6 5 4 2 2" xfId="22935"/>
    <cellStyle name="Input 6 5 4 2 2 2" xfId="22936"/>
    <cellStyle name="Input 6 5 4 2 2 3" xfId="22937"/>
    <cellStyle name="Input 6 5 4 2 3" xfId="22938"/>
    <cellStyle name="Input 6 5 4 2 4" xfId="22939"/>
    <cellStyle name="Input 6 5 5" xfId="22940"/>
    <cellStyle name="Input 6 5 5 2" xfId="22941"/>
    <cellStyle name="Input 6 5 5 2 2" xfId="22942"/>
    <cellStyle name="Input 6 5 5 2 2 2" xfId="22943"/>
    <cellStyle name="Input 6 5 5 2 2 3" xfId="22944"/>
    <cellStyle name="Input 6 5 5 2 3" xfId="22945"/>
    <cellStyle name="Input 6 5 5 2 4" xfId="22946"/>
    <cellStyle name="Input 6 5 6" xfId="22947"/>
    <cellStyle name="Input 6 5 6 2" xfId="22948"/>
    <cellStyle name="Input 6 5 6 2 2" xfId="22949"/>
    <cellStyle name="Input 6 5 6 2 2 2" xfId="22950"/>
    <cellStyle name="Input 6 5 6 2 2 3" xfId="22951"/>
    <cellStyle name="Input 6 5 6 2 3" xfId="22952"/>
    <cellStyle name="Input 6 5 6 2 4" xfId="22953"/>
    <cellStyle name="Input 6 5 7" xfId="22954"/>
    <cellStyle name="Input 6 5 7 2" xfId="22955"/>
    <cellStyle name="Input 6 5 7 2 2" xfId="22956"/>
    <cellStyle name="Input 6 5 7 2 2 2" xfId="22957"/>
    <cellStyle name="Input 6 5 7 2 2 3" xfId="22958"/>
    <cellStyle name="Input 6 5 7 2 3" xfId="22959"/>
    <cellStyle name="Input 6 5 7 2 4" xfId="22960"/>
    <cellStyle name="Input 6 5 8" xfId="22961"/>
    <cellStyle name="Input 6 5 8 2" xfId="22962"/>
    <cellStyle name="Input 6 5 8 2 2" xfId="22963"/>
    <cellStyle name="Input 6 5 8 2 2 2" xfId="22964"/>
    <cellStyle name="Input 6 5 8 2 2 3" xfId="22965"/>
    <cellStyle name="Input 6 5 8 2 3" xfId="22966"/>
    <cellStyle name="Input 6 5 8 2 4" xfId="22967"/>
    <cellStyle name="Input 6 5 9" xfId="22968"/>
    <cellStyle name="Input 6 5 9 2" xfId="22969"/>
    <cellStyle name="Input 6 5 9 2 2" xfId="22970"/>
    <cellStyle name="Input 6 5 9 2 3" xfId="22971"/>
    <cellStyle name="Input 6 5 9 3" xfId="22972"/>
    <cellStyle name="Input 6 5 9 4" xfId="22973"/>
    <cellStyle name="Input 6 6" xfId="22974"/>
    <cellStyle name="Input 6 6 2" xfId="22975"/>
    <cellStyle name="Input 6 6 2 2" xfId="22976"/>
    <cellStyle name="Input 6 6 2 2 2" xfId="22977"/>
    <cellStyle name="Input 6 6 2 2 2 2" xfId="22978"/>
    <cellStyle name="Input 6 6 2 2 2 3" xfId="22979"/>
    <cellStyle name="Input 6 6 2 2 3" xfId="22980"/>
    <cellStyle name="Input 6 6 2 2 4" xfId="22981"/>
    <cellStyle name="Input 6 6 3" xfId="22982"/>
    <cellStyle name="Input 6 6 3 2" xfId="22983"/>
    <cellStyle name="Input 6 6 3 2 2" xfId="22984"/>
    <cellStyle name="Input 6 6 3 2 2 2" xfId="22985"/>
    <cellStyle name="Input 6 6 3 2 2 3" xfId="22986"/>
    <cellStyle name="Input 6 6 3 2 3" xfId="22987"/>
    <cellStyle name="Input 6 6 3 2 4" xfId="22988"/>
    <cellStyle name="Input 6 6 4" xfId="22989"/>
    <cellStyle name="Input 6 6 4 2" xfId="22990"/>
    <cellStyle name="Input 6 6 4 2 2" xfId="22991"/>
    <cellStyle name="Input 6 6 4 2 2 2" xfId="22992"/>
    <cellStyle name="Input 6 6 4 2 2 3" xfId="22993"/>
    <cellStyle name="Input 6 6 4 2 3" xfId="22994"/>
    <cellStyle name="Input 6 6 4 2 4" xfId="22995"/>
    <cellStyle name="Input 6 6 5" xfId="22996"/>
    <cellStyle name="Input 6 6 5 2" xfId="22997"/>
    <cellStyle name="Input 6 6 5 2 2" xfId="22998"/>
    <cellStyle name="Input 6 6 5 2 2 2" xfId="22999"/>
    <cellStyle name="Input 6 6 5 2 2 3" xfId="23000"/>
    <cellStyle name="Input 6 6 5 2 3" xfId="23001"/>
    <cellStyle name="Input 6 6 5 2 4" xfId="23002"/>
    <cellStyle name="Input 6 6 6" xfId="23003"/>
    <cellStyle name="Input 6 6 6 2" xfId="23004"/>
    <cellStyle name="Input 6 6 6 2 2" xfId="23005"/>
    <cellStyle name="Input 6 6 6 2 2 2" xfId="23006"/>
    <cellStyle name="Input 6 6 6 2 2 3" xfId="23007"/>
    <cellStyle name="Input 6 6 6 2 3" xfId="23008"/>
    <cellStyle name="Input 6 6 6 2 4" xfId="23009"/>
    <cellStyle name="Input 6 6 7" xfId="23010"/>
    <cellStyle name="Input 6 6 7 2" xfId="23011"/>
    <cellStyle name="Input 6 6 7 2 2" xfId="23012"/>
    <cellStyle name="Input 6 6 7 2 2 2" xfId="23013"/>
    <cellStyle name="Input 6 6 7 2 2 3" xfId="23014"/>
    <cellStyle name="Input 6 6 7 2 3" xfId="23015"/>
    <cellStyle name="Input 6 6 7 2 4" xfId="23016"/>
    <cellStyle name="Input 6 6 8" xfId="23017"/>
    <cellStyle name="Input 6 6 8 2" xfId="23018"/>
    <cellStyle name="Input 6 6 8 2 2" xfId="23019"/>
    <cellStyle name="Input 6 6 8 2 2 2" xfId="23020"/>
    <cellStyle name="Input 6 6 8 2 2 3" xfId="23021"/>
    <cellStyle name="Input 6 6 8 2 3" xfId="23022"/>
    <cellStyle name="Input 6 6 8 2 4" xfId="23023"/>
    <cellStyle name="Input 6 6 9" xfId="23024"/>
    <cellStyle name="Input 6 6 9 2" xfId="23025"/>
    <cellStyle name="Input 6 6 9 2 2" xfId="23026"/>
    <cellStyle name="Input 6 6 9 2 3" xfId="23027"/>
    <cellStyle name="Input 6 6 9 3" xfId="23028"/>
    <cellStyle name="Input 6 6 9 4" xfId="23029"/>
    <cellStyle name="Input 6 7" xfId="23030"/>
    <cellStyle name="Input 6 7 2" xfId="23031"/>
    <cellStyle name="Input 6 7 2 2" xfId="23032"/>
    <cellStyle name="Input 6 7 2 2 2" xfId="23033"/>
    <cellStyle name="Input 6 7 2 2 3" xfId="23034"/>
    <cellStyle name="Input 6 7 2 3" xfId="23035"/>
    <cellStyle name="Input 6 7 2 4" xfId="23036"/>
    <cellStyle name="Input 6 8" xfId="23037"/>
    <cellStyle name="Input 6 8 2" xfId="23038"/>
    <cellStyle name="Input 6 8 2 2" xfId="23039"/>
    <cellStyle name="Input 6 8 2 2 2" xfId="23040"/>
    <cellStyle name="Input 6 8 2 2 3" xfId="23041"/>
    <cellStyle name="Input 6 8 2 3" xfId="23042"/>
    <cellStyle name="Input 6 8 2 4" xfId="23043"/>
    <cellStyle name="Input 6 9" xfId="23044"/>
    <cellStyle name="Input 6 9 2" xfId="23045"/>
    <cellStyle name="Input 6 9 2 2" xfId="23046"/>
    <cellStyle name="Input 6 9 2 3" xfId="23047"/>
    <cellStyle name="Input 6 9 3" xfId="23048"/>
    <cellStyle name="Input 6 9 4" xfId="23049"/>
    <cellStyle name="Input 7" xfId="23050"/>
    <cellStyle name="Input 7 10" xfId="43066"/>
    <cellStyle name="Input 7 2" xfId="23051"/>
    <cellStyle name="Input 7 2 2" xfId="23052"/>
    <cellStyle name="Input 7 2 2 2" xfId="23053"/>
    <cellStyle name="Input 7 2 2 2 2" xfId="23054"/>
    <cellStyle name="Input 7 2 2 2 2 2" xfId="23055"/>
    <cellStyle name="Input 7 2 2 2 2 2 2" xfId="23056"/>
    <cellStyle name="Input 7 2 2 2 2 2 3" xfId="23057"/>
    <cellStyle name="Input 7 2 2 2 2 3" xfId="23058"/>
    <cellStyle name="Input 7 2 2 2 2 4" xfId="23059"/>
    <cellStyle name="Input 7 2 2 3" xfId="23060"/>
    <cellStyle name="Input 7 2 2 3 2" xfId="23061"/>
    <cellStyle name="Input 7 2 2 3 2 2" xfId="23062"/>
    <cellStyle name="Input 7 2 2 3 2 2 2" xfId="23063"/>
    <cellStyle name="Input 7 2 2 3 2 2 3" xfId="23064"/>
    <cellStyle name="Input 7 2 2 3 2 3" xfId="23065"/>
    <cellStyle name="Input 7 2 2 3 2 4" xfId="23066"/>
    <cellStyle name="Input 7 2 2 4" xfId="23067"/>
    <cellStyle name="Input 7 2 2 4 2" xfId="23068"/>
    <cellStyle name="Input 7 2 2 4 2 2" xfId="23069"/>
    <cellStyle name="Input 7 2 2 4 2 2 2" xfId="23070"/>
    <cellStyle name="Input 7 2 2 4 2 2 3" xfId="23071"/>
    <cellStyle name="Input 7 2 2 4 2 3" xfId="23072"/>
    <cellStyle name="Input 7 2 2 4 2 4" xfId="23073"/>
    <cellStyle name="Input 7 2 2 5" xfId="23074"/>
    <cellStyle name="Input 7 2 2 5 2" xfId="23075"/>
    <cellStyle name="Input 7 2 2 5 2 2" xfId="23076"/>
    <cellStyle name="Input 7 2 2 5 2 2 2" xfId="23077"/>
    <cellStyle name="Input 7 2 2 5 2 2 3" xfId="23078"/>
    <cellStyle name="Input 7 2 2 5 2 3" xfId="23079"/>
    <cellStyle name="Input 7 2 2 5 2 4" xfId="23080"/>
    <cellStyle name="Input 7 2 2 6" xfId="23081"/>
    <cellStyle name="Input 7 2 2 6 2" xfId="23082"/>
    <cellStyle name="Input 7 2 2 6 2 2" xfId="23083"/>
    <cellStyle name="Input 7 2 2 6 2 2 2" xfId="23084"/>
    <cellStyle name="Input 7 2 2 6 2 2 3" xfId="23085"/>
    <cellStyle name="Input 7 2 2 6 2 3" xfId="23086"/>
    <cellStyle name="Input 7 2 2 6 2 4" xfId="23087"/>
    <cellStyle name="Input 7 2 2 7" xfId="23088"/>
    <cellStyle name="Input 7 2 2 7 2" xfId="23089"/>
    <cellStyle name="Input 7 2 2 7 2 2" xfId="23090"/>
    <cellStyle name="Input 7 2 2 7 2 2 2" xfId="23091"/>
    <cellStyle name="Input 7 2 2 7 2 2 3" xfId="23092"/>
    <cellStyle name="Input 7 2 2 7 2 3" xfId="23093"/>
    <cellStyle name="Input 7 2 2 7 2 4" xfId="23094"/>
    <cellStyle name="Input 7 2 2 8" xfId="23095"/>
    <cellStyle name="Input 7 2 2 8 2" xfId="23096"/>
    <cellStyle name="Input 7 2 2 8 2 2" xfId="23097"/>
    <cellStyle name="Input 7 2 2 8 2 2 2" xfId="23098"/>
    <cellStyle name="Input 7 2 2 8 2 2 3" xfId="23099"/>
    <cellStyle name="Input 7 2 2 8 2 3" xfId="23100"/>
    <cellStyle name="Input 7 2 2 8 2 4" xfId="23101"/>
    <cellStyle name="Input 7 2 2 9" xfId="23102"/>
    <cellStyle name="Input 7 2 2 9 2" xfId="23103"/>
    <cellStyle name="Input 7 2 2 9 2 2" xfId="23104"/>
    <cellStyle name="Input 7 2 2 9 2 3" xfId="23105"/>
    <cellStyle name="Input 7 2 2 9 3" xfId="23106"/>
    <cellStyle name="Input 7 2 2 9 4" xfId="23107"/>
    <cellStyle name="Input 7 2 3" xfId="23108"/>
    <cellStyle name="Input 7 2 3 2" xfId="23109"/>
    <cellStyle name="Input 7 2 3 2 2" xfId="23110"/>
    <cellStyle name="Input 7 2 3 2 2 2" xfId="23111"/>
    <cellStyle name="Input 7 2 3 2 2 2 2" xfId="23112"/>
    <cellStyle name="Input 7 2 3 2 2 2 3" xfId="23113"/>
    <cellStyle name="Input 7 2 3 2 2 3" xfId="23114"/>
    <cellStyle name="Input 7 2 3 2 2 4" xfId="23115"/>
    <cellStyle name="Input 7 2 3 3" xfId="23116"/>
    <cellStyle name="Input 7 2 3 3 2" xfId="23117"/>
    <cellStyle name="Input 7 2 3 3 2 2" xfId="23118"/>
    <cellStyle name="Input 7 2 3 3 2 2 2" xfId="23119"/>
    <cellStyle name="Input 7 2 3 3 2 2 3" xfId="23120"/>
    <cellStyle name="Input 7 2 3 3 2 3" xfId="23121"/>
    <cellStyle name="Input 7 2 3 3 2 4" xfId="23122"/>
    <cellStyle name="Input 7 2 3 4" xfId="23123"/>
    <cellStyle name="Input 7 2 3 4 2" xfId="23124"/>
    <cellStyle name="Input 7 2 3 4 2 2" xfId="23125"/>
    <cellStyle name="Input 7 2 3 4 2 2 2" xfId="23126"/>
    <cellStyle name="Input 7 2 3 4 2 2 3" xfId="23127"/>
    <cellStyle name="Input 7 2 3 4 2 3" xfId="23128"/>
    <cellStyle name="Input 7 2 3 4 2 4" xfId="23129"/>
    <cellStyle name="Input 7 2 3 5" xfId="23130"/>
    <cellStyle name="Input 7 2 3 5 2" xfId="23131"/>
    <cellStyle name="Input 7 2 3 5 2 2" xfId="23132"/>
    <cellStyle name="Input 7 2 3 5 2 2 2" xfId="23133"/>
    <cellStyle name="Input 7 2 3 5 2 2 3" xfId="23134"/>
    <cellStyle name="Input 7 2 3 5 2 3" xfId="23135"/>
    <cellStyle name="Input 7 2 3 5 2 4" xfId="23136"/>
    <cellStyle name="Input 7 2 3 6" xfId="23137"/>
    <cellStyle name="Input 7 2 3 6 2" xfId="23138"/>
    <cellStyle name="Input 7 2 3 6 2 2" xfId="23139"/>
    <cellStyle name="Input 7 2 3 6 2 2 2" xfId="23140"/>
    <cellStyle name="Input 7 2 3 6 2 2 3" xfId="23141"/>
    <cellStyle name="Input 7 2 3 6 2 3" xfId="23142"/>
    <cellStyle name="Input 7 2 3 6 2 4" xfId="23143"/>
    <cellStyle name="Input 7 2 3 7" xfId="23144"/>
    <cellStyle name="Input 7 2 3 7 2" xfId="23145"/>
    <cellStyle name="Input 7 2 3 7 2 2" xfId="23146"/>
    <cellStyle name="Input 7 2 3 7 2 2 2" xfId="23147"/>
    <cellStyle name="Input 7 2 3 7 2 2 3" xfId="23148"/>
    <cellStyle name="Input 7 2 3 7 2 3" xfId="23149"/>
    <cellStyle name="Input 7 2 3 7 2 4" xfId="23150"/>
    <cellStyle name="Input 7 2 3 8" xfId="23151"/>
    <cellStyle name="Input 7 2 3 8 2" xfId="23152"/>
    <cellStyle name="Input 7 2 3 8 2 2" xfId="23153"/>
    <cellStyle name="Input 7 2 3 8 2 2 2" xfId="23154"/>
    <cellStyle name="Input 7 2 3 8 2 2 3" xfId="23155"/>
    <cellStyle name="Input 7 2 3 8 2 3" xfId="23156"/>
    <cellStyle name="Input 7 2 3 8 2 4" xfId="23157"/>
    <cellStyle name="Input 7 2 3 9" xfId="23158"/>
    <cellStyle name="Input 7 2 3 9 2" xfId="23159"/>
    <cellStyle name="Input 7 2 3 9 2 2" xfId="23160"/>
    <cellStyle name="Input 7 2 3 9 2 3" xfId="23161"/>
    <cellStyle name="Input 7 2 3 9 3" xfId="23162"/>
    <cellStyle name="Input 7 2 3 9 4" xfId="23163"/>
    <cellStyle name="Input 7 2 4" xfId="23164"/>
    <cellStyle name="Input 7 2 4 2" xfId="23165"/>
    <cellStyle name="Input 7 2 4 2 2" xfId="23166"/>
    <cellStyle name="Input 7 2 4 2 2 2" xfId="23167"/>
    <cellStyle name="Input 7 2 4 2 2 2 2" xfId="23168"/>
    <cellStyle name="Input 7 2 4 2 2 2 3" xfId="23169"/>
    <cellStyle name="Input 7 2 4 2 2 3" xfId="23170"/>
    <cellStyle name="Input 7 2 4 2 2 4" xfId="23171"/>
    <cellStyle name="Input 7 2 4 3" xfId="23172"/>
    <cellStyle name="Input 7 2 4 3 2" xfId="23173"/>
    <cellStyle name="Input 7 2 4 3 2 2" xfId="23174"/>
    <cellStyle name="Input 7 2 4 3 2 2 2" xfId="23175"/>
    <cellStyle name="Input 7 2 4 3 2 2 3" xfId="23176"/>
    <cellStyle name="Input 7 2 4 3 2 3" xfId="23177"/>
    <cellStyle name="Input 7 2 4 3 2 4" xfId="23178"/>
    <cellStyle name="Input 7 2 4 4" xfId="23179"/>
    <cellStyle name="Input 7 2 4 4 2" xfId="23180"/>
    <cellStyle name="Input 7 2 4 4 2 2" xfId="23181"/>
    <cellStyle name="Input 7 2 4 4 2 2 2" xfId="23182"/>
    <cellStyle name="Input 7 2 4 4 2 2 3" xfId="23183"/>
    <cellStyle name="Input 7 2 4 4 2 3" xfId="23184"/>
    <cellStyle name="Input 7 2 4 4 2 4" xfId="23185"/>
    <cellStyle name="Input 7 2 4 5" xfId="23186"/>
    <cellStyle name="Input 7 2 4 5 2" xfId="23187"/>
    <cellStyle name="Input 7 2 4 5 2 2" xfId="23188"/>
    <cellStyle name="Input 7 2 4 5 2 2 2" xfId="23189"/>
    <cellStyle name="Input 7 2 4 5 2 2 3" xfId="23190"/>
    <cellStyle name="Input 7 2 4 5 2 3" xfId="23191"/>
    <cellStyle name="Input 7 2 4 5 2 4" xfId="23192"/>
    <cellStyle name="Input 7 2 4 6" xfId="23193"/>
    <cellStyle name="Input 7 2 4 6 2" xfId="23194"/>
    <cellStyle name="Input 7 2 4 6 2 2" xfId="23195"/>
    <cellStyle name="Input 7 2 4 6 2 2 2" xfId="23196"/>
    <cellStyle name="Input 7 2 4 6 2 2 3" xfId="23197"/>
    <cellStyle name="Input 7 2 4 6 2 3" xfId="23198"/>
    <cellStyle name="Input 7 2 4 6 2 4" xfId="23199"/>
    <cellStyle name="Input 7 2 4 7" xfId="23200"/>
    <cellStyle name="Input 7 2 4 7 2" xfId="23201"/>
    <cellStyle name="Input 7 2 4 7 2 2" xfId="23202"/>
    <cellStyle name="Input 7 2 4 7 2 2 2" xfId="23203"/>
    <cellStyle name="Input 7 2 4 7 2 2 3" xfId="23204"/>
    <cellStyle name="Input 7 2 4 7 2 3" xfId="23205"/>
    <cellStyle name="Input 7 2 4 7 2 4" xfId="23206"/>
    <cellStyle name="Input 7 2 4 8" xfId="23207"/>
    <cellStyle name="Input 7 2 4 8 2" xfId="23208"/>
    <cellStyle name="Input 7 2 4 8 2 2" xfId="23209"/>
    <cellStyle name="Input 7 2 4 8 2 2 2" xfId="23210"/>
    <cellStyle name="Input 7 2 4 8 2 2 3" xfId="23211"/>
    <cellStyle name="Input 7 2 4 8 2 3" xfId="23212"/>
    <cellStyle name="Input 7 2 4 8 2 4" xfId="23213"/>
    <cellStyle name="Input 7 2 4 9" xfId="23214"/>
    <cellStyle name="Input 7 2 4 9 2" xfId="23215"/>
    <cellStyle name="Input 7 2 4 9 2 2" xfId="23216"/>
    <cellStyle name="Input 7 2 4 9 2 3" xfId="23217"/>
    <cellStyle name="Input 7 2 4 9 3" xfId="23218"/>
    <cellStyle name="Input 7 2 4 9 4" xfId="23219"/>
    <cellStyle name="Input 7 2 5" xfId="23220"/>
    <cellStyle name="Input 7 2 5 2" xfId="23221"/>
    <cellStyle name="Input 7 2 5 2 2" xfId="23222"/>
    <cellStyle name="Input 7 2 5 2 2 2" xfId="23223"/>
    <cellStyle name="Input 7 2 5 2 2 2 2" xfId="23224"/>
    <cellStyle name="Input 7 2 5 2 2 2 3" xfId="23225"/>
    <cellStyle name="Input 7 2 5 2 2 3" xfId="23226"/>
    <cellStyle name="Input 7 2 5 2 2 4" xfId="23227"/>
    <cellStyle name="Input 7 2 5 3" xfId="23228"/>
    <cellStyle name="Input 7 2 5 3 2" xfId="23229"/>
    <cellStyle name="Input 7 2 5 3 2 2" xfId="23230"/>
    <cellStyle name="Input 7 2 5 3 2 2 2" xfId="23231"/>
    <cellStyle name="Input 7 2 5 3 2 2 3" xfId="23232"/>
    <cellStyle name="Input 7 2 5 3 2 3" xfId="23233"/>
    <cellStyle name="Input 7 2 5 3 2 4" xfId="23234"/>
    <cellStyle name="Input 7 2 5 4" xfId="23235"/>
    <cellStyle name="Input 7 2 5 4 2" xfId="23236"/>
    <cellStyle name="Input 7 2 5 4 2 2" xfId="23237"/>
    <cellStyle name="Input 7 2 5 4 2 2 2" xfId="23238"/>
    <cellStyle name="Input 7 2 5 4 2 2 3" xfId="23239"/>
    <cellStyle name="Input 7 2 5 4 2 3" xfId="23240"/>
    <cellStyle name="Input 7 2 5 4 2 4" xfId="23241"/>
    <cellStyle name="Input 7 2 5 5" xfId="23242"/>
    <cellStyle name="Input 7 2 5 5 2" xfId="23243"/>
    <cellStyle name="Input 7 2 5 5 2 2" xfId="23244"/>
    <cellStyle name="Input 7 2 5 5 2 2 2" xfId="23245"/>
    <cellStyle name="Input 7 2 5 5 2 2 3" xfId="23246"/>
    <cellStyle name="Input 7 2 5 5 2 3" xfId="23247"/>
    <cellStyle name="Input 7 2 5 5 2 4" xfId="23248"/>
    <cellStyle name="Input 7 2 5 6" xfId="23249"/>
    <cellStyle name="Input 7 2 5 6 2" xfId="23250"/>
    <cellStyle name="Input 7 2 5 6 2 2" xfId="23251"/>
    <cellStyle name="Input 7 2 5 6 2 2 2" xfId="23252"/>
    <cellStyle name="Input 7 2 5 6 2 2 3" xfId="23253"/>
    <cellStyle name="Input 7 2 5 6 2 3" xfId="23254"/>
    <cellStyle name="Input 7 2 5 6 2 4" xfId="23255"/>
    <cellStyle name="Input 7 2 5 7" xfId="23256"/>
    <cellStyle name="Input 7 2 5 7 2" xfId="23257"/>
    <cellStyle name="Input 7 2 5 7 2 2" xfId="23258"/>
    <cellStyle name="Input 7 2 5 7 2 2 2" xfId="23259"/>
    <cellStyle name="Input 7 2 5 7 2 2 3" xfId="23260"/>
    <cellStyle name="Input 7 2 5 7 2 3" xfId="23261"/>
    <cellStyle name="Input 7 2 5 7 2 4" xfId="23262"/>
    <cellStyle name="Input 7 2 5 8" xfId="23263"/>
    <cellStyle name="Input 7 2 5 8 2" xfId="23264"/>
    <cellStyle name="Input 7 2 5 8 2 2" xfId="23265"/>
    <cellStyle name="Input 7 2 5 8 2 2 2" xfId="23266"/>
    <cellStyle name="Input 7 2 5 8 2 2 3" xfId="23267"/>
    <cellStyle name="Input 7 2 5 8 2 3" xfId="23268"/>
    <cellStyle name="Input 7 2 5 8 2 4" xfId="23269"/>
    <cellStyle name="Input 7 2 5 9" xfId="23270"/>
    <cellStyle name="Input 7 2 5 9 2" xfId="23271"/>
    <cellStyle name="Input 7 2 5 9 2 2" xfId="23272"/>
    <cellStyle name="Input 7 2 5 9 2 3" xfId="23273"/>
    <cellStyle name="Input 7 2 5 9 3" xfId="23274"/>
    <cellStyle name="Input 7 2 5 9 4" xfId="23275"/>
    <cellStyle name="Input 7 2 6" xfId="23276"/>
    <cellStyle name="Input 7 2 6 2" xfId="23277"/>
    <cellStyle name="Input 7 2 6 2 2" xfId="23278"/>
    <cellStyle name="Input 7 2 6 2 2 2" xfId="23279"/>
    <cellStyle name="Input 7 2 6 2 2 3" xfId="23280"/>
    <cellStyle name="Input 7 2 6 2 3" xfId="23281"/>
    <cellStyle name="Input 7 2 6 2 4" xfId="23282"/>
    <cellStyle name="Input 7 2 7" xfId="23283"/>
    <cellStyle name="Input 7 2 7 2" xfId="23284"/>
    <cellStyle name="Input 7 2 7 2 2" xfId="23285"/>
    <cellStyle name="Input 7 2 7 2 2 2" xfId="23286"/>
    <cellStyle name="Input 7 2 7 2 2 3" xfId="23287"/>
    <cellStyle name="Input 7 2 7 2 3" xfId="23288"/>
    <cellStyle name="Input 7 2 7 2 4" xfId="23289"/>
    <cellStyle name="Input 7 2 8" xfId="23290"/>
    <cellStyle name="Input 7 2 8 2" xfId="23291"/>
    <cellStyle name="Input 7 2 8 2 2" xfId="23292"/>
    <cellStyle name="Input 7 2 8 2 3" xfId="23293"/>
    <cellStyle name="Input 7 2 8 3" xfId="23294"/>
    <cellStyle name="Input 7 2 8 4" xfId="23295"/>
    <cellStyle name="Input 7 3" xfId="23296"/>
    <cellStyle name="Input 7 3 2" xfId="23297"/>
    <cellStyle name="Input 7 3 2 2" xfId="23298"/>
    <cellStyle name="Input 7 3 2 2 2" xfId="23299"/>
    <cellStyle name="Input 7 3 2 2 2 2" xfId="23300"/>
    <cellStyle name="Input 7 3 2 2 2 3" xfId="23301"/>
    <cellStyle name="Input 7 3 2 2 3" xfId="23302"/>
    <cellStyle name="Input 7 3 2 2 4" xfId="23303"/>
    <cellStyle name="Input 7 3 3" xfId="23304"/>
    <cellStyle name="Input 7 3 3 2" xfId="23305"/>
    <cellStyle name="Input 7 3 3 2 2" xfId="23306"/>
    <cellStyle name="Input 7 3 3 2 2 2" xfId="23307"/>
    <cellStyle name="Input 7 3 3 2 2 3" xfId="23308"/>
    <cellStyle name="Input 7 3 3 2 3" xfId="23309"/>
    <cellStyle name="Input 7 3 3 2 4" xfId="23310"/>
    <cellStyle name="Input 7 3 4" xfId="23311"/>
    <cellStyle name="Input 7 3 4 2" xfId="23312"/>
    <cellStyle name="Input 7 3 4 2 2" xfId="23313"/>
    <cellStyle name="Input 7 3 4 2 2 2" xfId="23314"/>
    <cellStyle name="Input 7 3 4 2 2 3" xfId="23315"/>
    <cellStyle name="Input 7 3 4 2 3" xfId="23316"/>
    <cellStyle name="Input 7 3 4 2 4" xfId="23317"/>
    <cellStyle name="Input 7 3 5" xfId="23318"/>
    <cellStyle name="Input 7 3 5 2" xfId="23319"/>
    <cellStyle name="Input 7 3 5 2 2" xfId="23320"/>
    <cellStyle name="Input 7 3 5 2 2 2" xfId="23321"/>
    <cellStyle name="Input 7 3 5 2 2 3" xfId="23322"/>
    <cellStyle name="Input 7 3 5 2 3" xfId="23323"/>
    <cellStyle name="Input 7 3 5 2 4" xfId="23324"/>
    <cellStyle name="Input 7 3 6" xfId="23325"/>
    <cellStyle name="Input 7 3 6 2" xfId="23326"/>
    <cellStyle name="Input 7 3 6 2 2" xfId="23327"/>
    <cellStyle name="Input 7 3 6 2 2 2" xfId="23328"/>
    <cellStyle name="Input 7 3 6 2 2 3" xfId="23329"/>
    <cellStyle name="Input 7 3 6 2 3" xfId="23330"/>
    <cellStyle name="Input 7 3 6 2 4" xfId="23331"/>
    <cellStyle name="Input 7 3 7" xfId="23332"/>
    <cellStyle name="Input 7 3 7 2" xfId="23333"/>
    <cellStyle name="Input 7 3 7 2 2" xfId="23334"/>
    <cellStyle name="Input 7 3 7 2 2 2" xfId="23335"/>
    <cellStyle name="Input 7 3 7 2 2 3" xfId="23336"/>
    <cellStyle name="Input 7 3 7 2 3" xfId="23337"/>
    <cellStyle name="Input 7 3 7 2 4" xfId="23338"/>
    <cellStyle name="Input 7 3 8" xfId="23339"/>
    <cellStyle name="Input 7 3 8 2" xfId="23340"/>
    <cellStyle name="Input 7 3 8 2 2" xfId="23341"/>
    <cellStyle name="Input 7 3 8 2 2 2" xfId="23342"/>
    <cellStyle name="Input 7 3 8 2 2 3" xfId="23343"/>
    <cellStyle name="Input 7 3 8 2 3" xfId="23344"/>
    <cellStyle name="Input 7 3 8 2 4" xfId="23345"/>
    <cellStyle name="Input 7 3 9" xfId="23346"/>
    <cellStyle name="Input 7 3 9 2" xfId="23347"/>
    <cellStyle name="Input 7 3 9 2 2" xfId="23348"/>
    <cellStyle name="Input 7 3 9 2 3" xfId="23349"/>
    <cellStyle name="Input 7 3 9 3" xfId="23350"/>
    <cellStyle name="Input 7 3 9 4" xfId="23351"/>
    <cellStyle name="Input 7 4" xfId="23352"/>
    <cellStyle name="Input 7 4 2" xfId="23353"/>
    <cellStyle name="Input 7 4 2 2" xfId="23354"/>
    <cellStyle name="Input 7 4 2 2 2" xfId="23355"/>
    <cellStyle name="Input 7 4 2 2 2 2" xfId="23356"/>
    <cellStyle name="Input 7 4 2 2 2 3" xfId="23357"/>
    <cellStyle name="Input 7 4 2 2 3" xfId="23358"/>
    <cellStyle name="Input 7 4 2 2 4" xfId="23359"/>
    <cellStyle name="Input 7 4 3" xfId="23360"/>
    <cellStyle name="Input 7 4 3 2" xfId="23361"/>
    <cellStyle name="Input 7 4 3 2 2" xfId="23362"/>
    <cellStyle name="Input 7 4 3 2 2 2" xfId="23363"/>
    <cellStyle name="Input 7 4 3 2 2 3" xfId="23364"/>
    <cellStyle name="Input 7 4 3 2 3" xfId="23365"/>
    <cellStyle name="Input 7 4 3 2 4" xfId="23366"/>
    <cellStyle name="Input 7 4 4" xfId="23367"/>
    <cellStyle name="Input 7 4 4 2" xfId="23368"/>
    <cellStyle name="Input 7 4 4 2 2" xfId="23369"/>
    <cellStyle name="Input 7 4 4 2 2 2" xfId="23370"/>
    <cellStyle name="Input 7 4 4 2 2 3" xfId="23371"/>
    <cellStyle name="Input 7 4 4 2 3" xfId="23372"/>
    <cellStyle name="Input 7 4 4 2 4" xfId="23373"/>
    <cellStyle name="Input 7 4 5" xfId="23374"/>
    <cellStyle name="Input 7 4 5 2" xfId="23375"/>
    <cellStyle name="Input 7 4 5 2 2" xfId="23376"/>
    <cellStyle name="Input 7 4 5 2 2 2" xfId="23377"/>
    <cellStyle name="Input 7 4 5 2 2 3" xfId="23378"/>
    <cellStyle name="Input 7 4 5 2 3" xfId="23379"/>
    <cellStyle name="Input 7 4 5 2 4" xfId="23380"/>
    <cellStyle name="Input 7 4 6" xfId="23381"/>
    <cellStyle name="Input 7 4 6 2" xfId="23382"/>
    <cellStyle name="Input 7 4 6 2 2" xfId="23383"/>
    <cellStyle name="Input 7 4 6 2 2 2" xfId="23384"/>
    <cellStyle name="Input 7 4 6 2 2 3" xfId="23385"/>
    <cellStyle name="Input 7 4 6 2 3" xfId="23386"/>
    <cellStyle name="Input 7 4 6 2 4" xfId="23387"/>
    <cellStyle name="Input 7 4 7" xfId="23388"/>
    <cellStyle name="Input 7 4 7 2" xfId="23389"/>
    <cellStyle name="Input 7 4 7 2 2" xfId="23390"/>
    <cellStyle name="Input 7 4 7 2 2 2" xfId="23391"/>
    <cellStyle name="Input 7 4 7 2 2 3" xfId="23392"/>
    <cellStyle name="Input 7 4 7 2 3" xfId="23393"/>
    <cellStyle name="Input 7 4 7 2 4" xfId="23394"/>
    <cellStyle name="Input 7 4 8" xfId="23395"/>
    <cellStyle name="Input 7 4 8 2" xfId="23396"/>
    <cellStyle name="Input 7 4 8 2 2" xfId="23397"/>
    <cellStyle name="Input 7 4 8 2 2 2" xfId="23398"/>
    <cellStyle name="Input 7 4 8 2 2 3" xfId="23399"/>
    <cellStyle name="Input 7 4 8 2 3" xfId="23400"/>
    <cellStyle name="Input 7 4 8 2 4" xfId="23401"/>
    <cellStyle name="Input 7 4 9" xfId="23402"/>
    <cellStyle name="Input 7 4 9 2" xfId="23403"/>
    <cellStyle name="Input 7 4 9 2 2" xfId="23404"/>
    <cellStyle name="Input 7 4 9 2 3" xfId="23405"/>
    <cellStyle name="Input 7 4 9 3" xfId="23406"/>
    <cellStyle name="Input 7 4 9 4" xfId="23407"/>
    <cellStyle name="Input 7 5" xfId="23408"/>
    <cellStyle name="Input 7 5 2" xfId="23409"/>
    <cellStyle name="Input 7 5 2 2" xfId="23410"/>
    <cellStyle name="Input 7 5 2 2 2" xfId="23411"/>
    <cellStyle name="Input 7 5 2 2 2 2" xfId="23412"/>
    <cellStyle name="Input 7 5 2 2 2 3" xfId="23413"/>
    <cellStyle name="Input 7 5 2 2 3" xfId="23414"/>
    <cellStyle name="Input 7 5 2 2 4" xfId="23415"/>
    <cellStyle name="Input 7 5 3" xfId="23416"/>
    <cellStyle name="Input 7 5 3 2" xfId="23417"/>
    <cellStyle name="Input 7 5 3 2 2" xfId="23418"/>
    <cellStyle name="Input 7 5 3 2 2 2" xfId="23419"/>
    <cellStyle name="Input 7 5 3 2 2 3" xfId="23420"/>
    <cellStyle name="Input 7 5 3 2 3" xfId="23421"/>
    <cellStyle name="Input 7 5 3 2 4" xfId="23422"/>
    <cellStyle name="Input 7 5 4" xfId="23423"/>
    <cellStyle name="Input 7 5 4 2" xfId="23424"/>
    <cellStyle name="Input 7 5 4 2 2" xfId="23425"/>
    <cellStyle name="Input 7 5 4 2 2 2" xfId="23426"/>
    <cellStyle name="Input 7 5 4 2 2 3" xfId="23427"/>
    <cellStyle name="Input 7 5 4 2 3" xfId="23428"/>
    <cellStyle name="Input 7 5 4 2 4" xfId="23429"/>
    <cellStyle name="Input 7 5 5" xfId="23430"/>
    <cellStyle name="Input 7 5 5 2" xfId="23431"/>
    <cellStyle name="Input 7 5 5 2 2" xfId="23432"/>
    <cellStyle name="Input 7 5 5 2 2 2" xfId="23433"/>
    <cellStyle name="Input 7 5 5 2 2 3" xfId="23434"/>
    <cellStyle name="Input 7 5 5 2 3" xfId="23435"/>
    <cellStyle name="Input 7 5 5 2 4" xfId="23436"/>
    <cellStyle name="Input 7 5 6" xfId="23437"/>
    <cellStyle name="Input 7 5 6 2" xfId="23438"/>
    <cellStyle name="Input 7 5 6 2 2" xfId="23439"/>
    <cellStyle name="Input 7 5 6 2 2 2" xfId="23440"/>
    <cellStyle name="Input 7 5 6 2 2 3" xfId="23441"/>
    <cellStyle name="Input 7 5 6 2 3" xfId="23442"/>
    <cellStyle name="Input 7 5 6 2 4" xfId="23443"/>
    <cellStyle name="Input 7 5 7" xfId="23444"/>
    <cellStyle name="Input 7 5 7 2" xfId="23445"/>
    <cellStyle name="Input 7 5 7 2 2" xfId="23446"/>
    <cellStyle name="Input 7 5 7 2 2 2" xfId="23447"/>
    <cellStyle name="Input 7 5 7 2 2 3" xfId="23448"/>
    <cellStyle name="Input 7 5 7 2 3" xfId="23449"/>
    <cellStyle name="Input 7 5 7 2 4" xfId="23450"/>
    <cellStyle name="Input 7 5 8" xfId="23451"/>
    <cellStyle name="Input 7 5 8 2" xfId="23452"/>
    <cellStyle name="Input 7 5 8 2 2" xfId="23453"/>
    <cellStyle name="Input 7 5 8 2 2 2" xfId="23454"/>
    <cellStyle name="Input 7 5 8 2 2 3" xfId="23455"/>
    <cellStyle name="Input 7 5 8 2 3" xfId="23456"/>
    <cellStyle name="Input 7 5 8 2 4" xfId="23457"/>
    <cellStyle name="Input 7 5 9" xfId="23458"/>
    <cellStyle name="Input 7 5 9 2" xfId="23459"/>
    <cellStyle name="Input 7 5 9 2 2" xfId="23460"/>
    <cellStyle name="Input 7 5 9 2 3" xfId="23461"/>
    <cellStyle name="Input 7 5 9 3" xfId="23462"/>
    <cellStyle name="Input 7 5 9 4" xfId="23463"/>
    <cellStyle name="Input 7 6" xfId="23464"/>
    <cellStyle name="Input 7 6 2" xfId="23465"/>
    <cellStyle name="Input 7 6 2 2" xfId="23466"/>
    <cellStyle name="Input 7 6 2 2 2" xfId="23467"/>
    <cellStyle name="Input 7 6 2 2 2 2" xfId="23468"/>
    <cellStyle name="Input 7 6 2 2 2 3" xfId="23469"/>
    <cellStyle name="Input 7 6 2 2 3" xfId="23470"/>
    <cellStyle name="Input 7 6 2 2 4" xfId="23471"/>
    <cellStyle name="Input 7 6 3" xfId="23472"/>
    <cellStyle name="Input 7 6 3 2" xfId="23473"/>
    <cellStyle name="Input 7 6 3 2 2" xfId="23474"/>
    <cellStyle name="Input 7 6 3 2 2 2" xfId="23475"/>
    <cellStyle name="Input 7 6 3 2 2 3" xfId="23476"/>
    <cellStyle name="Input 7 6 3 2 3" xfId="23477"/>
    <cellStyle name="Input 7 6 3 2 4" xfId="23478"/>
    <cellStyle name="Input 7 6 4" xfId="23479"/>
    <cellStyle name="Input 7 6 4 2" xfId="23480"/>
    <cellStyle name="Input 7 6 4 2 2" xfId="23481"/>
    <cellStyle name="Input 7 6 4 2 2 2" xfId="23482"/>
    <cellStyle name="Input 7 6 4 2 2 3" xfId="23483"/>
    <cellStyle name="Input 7 6 4 2 3" xfId="23484"/>
    <cellStyle name="Input 7 6 4 2 4" xfId="23485"/>
    <cellStyle name="Input 7 6 5" xfId="23486"/>
    <cellStyle name="Input 7 6 5 2" xfId="23487"/>
    <cellStyle name="Input 7 6 5 2 2" xfId="23488"/>
    <cellStyle name="Input 7 6 5 2 2 2" xfId="23489"/>
    <cellStyle name="Input 7 6 5 2 2 3" xfId="23490"/>
    <cellStyle name="Input 7 6 5 2 3" xfId="23491"/>
    <cellStyle name="Input 7 6 5 2 4" xfId="23492"/>
    <cellStyle name="Input 7 6 6" xfId="23493"/>
    <cellStyle name="Input 7 6 6 2" xfId="23494"/>
    <cellStyle name="Input 7 6 6 2 2" xfId="23495"/>
    <cellStyle name="Input 7 6 6 2 2 2" xfId="23496"/>
    <cellStyle name="Input 7 6 6 2 2 3" xfId="23497"/>
    <cellStyle name="Input 7 6 6 2 3" xfId="23498"/>
    <cellStyle name="Input 7 6 6 2 4" xfId="23499"/>
    <cellStyle name="Input 7 6 7" xfId="23500"/>
    <cellStyle name="Input 7 6 7 2" xfId="23501"/>
    <cellStyle name="Input 7 6 7 2 2" xfId="23502"/>
    <cellStyle name="Input 7 6 7 2 2 2" xfId="23503"/>
    <cellStyle name="Input 7 6 7 2 2 3" xfId="23504"/>
    <cellStyle name="Input 7 6 7 2 3" xfId="23505"/>
    <cellStyle name="Input 7 6 7 2 4" xfId="23506"/>
    <cellStyle name="Input 7 6 8" xfId="23507"/>
    <cellStyle name="Input 7 6 8 2" xfId="23508"/>
    <cellStyle name="Input 7 6 8 2 2" xfId="23509"/>
    <cellStyle name="Input 7 6 8 2 2 2" xfId="23510"/>
    <cellStyle name="Input 7 6 8 2 2 3" xfId="23511"/>
    <cellStyle name="Input 7 6 8 2 3" xfId="23512"/>
    <cellStyle name="Input 7 6 8 2 4" xfId="23513"/>
    <cellStyle name="Input 7 6 9" xfId="23514"/>
    <cellStyle name="Input 7 6 9 2" xfId="23515"/>
    <cellStyle name="Input 7 6 9 2 2" xfId="23516"/>
    <cellStyle name="Input 7 6 9 2 3" xfId="23517"/>
    <cellStyle name="Input 7 6 9 3" xfId="23518"/>
    <cellStyle name="Input 7 6 9 4" xfId="23519"/>
    <cellStyle name="Input 7 7" xfId="23520"/>
    <cellStyle name="Input 7 7 2" xfId="23521"/>
    <cellStyle name="Input 7 7 2 2" xfId="23522"/>
    <cellStyle name="Input 7 7 2 2 2" xfId="23523"/>
    <cellStyle name="Input 7 7 2 2 3" xfId="23524"/>
    <cellStyle name="Input 7 7 2 3" xfId="23525"/>
    <cellStyle name="Input 7 7 2 4" xfId="23526"/>
    <cellStyle name="Input 7 8" xfId="23527"/>
    <cellStyle name="Input 7 8 2" xfId="23528"/>
    <cellStyle name="Input 7 8 2 2" xfId="23529"/>
    <cellStyle name="Input 7 8 2 2 2" xfId="23530"/>
    <cellStyle name="Input 7 8 2 2 3" xfId="23531"/>
    <cellStyle name="Input 7 8 2 3" xfId="23532"/>
    <cellStyle name="Input 7 8 2 4" xfId="23533"/>
    <cellStyle name="Input 7 9" xfId="23534"/>
    <cellStyle name="Input 7 9 2" xfId="23535"/>
    <cellStyle name="Input 7 9 2 2" xfId="23536"/>
    <cellStyle name="Input 7 9 2 3" xfId="23537"/>
    <cellStyle name="Input 7 9 3" xfId="23538"/>
    <cellStyle name="Input 7 9 4" xfId="23539"/>
    <cellStyle name="Input 8" xfId="23540"/>
    <cellStyle name="Input 8 10" xfId="43067"/>
    <cellStyle name="Input 8 2" xfId="23541"/>
    <cellStyle name="Input 8 2 2" xfId="23542"/>
    <cellStyle name="Input 8 2 2 2" xfId="23543"/>
    <cellStyle name="Input 8 2 2 2 2" xfId="23544"/>
    <cellStyle name="Input 8 2 2 2 2 2" xfId="23545"/>
    <cellStyle name="Input 8 2 2 2 2 2 2" xfId="23546"/>
    <cellStyle name="Input 8 2 2 2 2 2 3" xfId="23547"/>
    <cellStyle name="Input 8 2 2 2 2 3" xfId="23548"/>
    <cellStyle name="Input 8 2 2 2 2 4" xfId="23549"/>
    <cellStyle name="Input 8 2 2 3" xfId="23550"/>
    <cellStyle name="Input 8 2 2 3 2" xfId="23551"/>
    <cellStyle name="Input 8 2 2 3 2 2" xfId="23552"/>
    <cellStyle name="Input 8 2 2 3 2 2 2" xfId="23553"/>
    <cellStyle name="Input 8 2 2 3 2 2 3" xfId="23554"/>
    <cellStyle name="Input 8 2 2 3 2 3" xfId="23555"/>
    <cellStyle name="Input 8 2 2 3 2 4" xfId="23556"/>
    <cellStyle name="Input 8 2 2 4" xfId="23557"/>
    <cellStyle name="Input 8 2 2 4 2" xfId="23558"/>
    <cellStyle name="Input 8 2 2 4 2 2" xfId="23559"/>
    <cellStyle name="Input 8 2 2 4 2 2 2" xfId="23560"/>
    <cellStyle name="Input 8 2 2 4 2 2 3" xfId="23561"/>
    <cellStyle name="Input 8 2 2 4 2 3" xfId="23562"/>
    <cellStyle name="Input 8 2 2 4 2 4" xfId="23563"/>
    <cellStyle name="Input 8 2 2 5" xfId="23564"/>
    <cellStyle name="Input 8 2 2 5 2" xfId="23565"/>
    <cellStyle name="Input 8 2 2 5 2 2" xfId="23566"/>
    <cellStyle name="Input 8 2 2 5 2 2 2" xfId="23567"/>
    <cellStyle name="Input 8 2 2 5 2 2 3" xfId="23568"/>
    <cellStyle name="Input 8 2 2 5 2 3" xfId="23569"/>
    <cellStyle name="Input 8 2 2 5 2 4" xfId="23570"/>
    <cellStyle name="Input 8 2 2 6" xfId="23571"/>
    <cellStyle name="Input 8 2 2 6 2" xfId="23572"/>
    <cellStyle name="Input 8 2 2 6 2 2" xfId="23573"/>
    <cellStyle name="Input 8 2 2 6 2 2 2" xfId="23574"/>
    <cellStyle name="Input 8 2 2 6 2 2 3" xfId="23575"/>
    <cellStyle name="Input 8 2 2 6 2 3" xfId="23576"/>
    <cellStyle name="Input 8 2 2 6 2 4" xfId="23577"/>
    <cellStyle name="Input 8 2 2 7" xfId="23578"/>
    <cellStyle name="Input 8 2 2 7 2" xfId="23579"/>
    <cellStyle name="Input 8 2 2 7 2 2" xfId="23580"/>
    <cellStyle name="Input 8 2 2 7 2 2 2" xfId="23581"/>
    <cellStyle name="Input 8 2 2 7 2 2 3" xfId="23582"/>
    <cellStyle name="Input 8 2 2 7 2 3" xfId="23583"/>
    <cellStyle name="Input 8 2 2 7 2 4" xfId="23584"/>
    <cellStyle name="Input 8 2 2 8" xfId="23585"/>
    <cellStyle name="Input 8 2 2 8 2" xfId="23586"/>
    <cellStyle name="Input 8 2 2 8 2 2" xfId="23587"/>
    <cellStyle name="Input 8 2 2 8 2 2 2" xfId="23588"/>
    <cellStyle name="Input 8 2 2 8 2 2 3" xfId="23589"/>
    <cellStyle name="Input 8 2 2 8 2 3" xfId="23590"/>
    <cellStyle name="Input 8 2 2 8 2 4" xfId="23591"/>
    <cellStyle name="Input 8 2 2 9" xfId="23592"/>
    <cellStyle name="Input 8 2 2 9 2" xfId="23593"/>
    <cellStyle name="Input 8 2 2 9 2 2" xfId="23594"/>
    <cellStyle name="Input 8 2 2 9 2 3" xfId="23595"/>
    <cellStyle name="Input 8 2 2 9 3" xfId="23596"/>
    <cellStyle name="Input 8 2 2 9 4" xfId="23597"/>
    <cellStyle name="Input 8 2 3" xfId="23598"/>
    <cellStyle name="Input 8 2 3 2" xfId="23599"/>
    <cellStyle name="Input 8 2 3 2 2" xfId="23600"/>
    <cellStyle name="Input 8 2 3 2 2 2" xfId="23601"/>
    <cellStyle name="Input 8 2 3 2 2 2 2" xfId="23602"/>
    <cellStyle name="Input 8 2 3 2 2 2 3" xfId="23603"/>
    <cellStyle name="Input 8 2 3 2 2 3" xfId="23604"/>
    <cellStyle name="Input 8 2 3 2 2 4" xfId="23605"/>
    <cellStyle name="Input 8 2 3 3" xfId="23606"/>
    <cellStyle name="Input 8 2 3 3 2" xfId="23607"/>
    <cellStyle name="Input 8 2 3 3 2 2" xfId="23608"/>
    <cellStyle name="Input 8 2 3 3 2 2 2" xfId="23609"/>
    <cellStyle name="Input 8 2 3 3 2 2 3" xfId="23610"/>
    <cellStyle name="Input 8 2 3 3 2 3" xfId="23611"/>
    <cellStyle name="Input 8 2 3 3 2 4" xfId="23612"/>
    <cellStyle name="Input 8 2 3 4" xfId="23613"/>
    <cellStyle name="Input 8 2 3 4 2" xfId="23614"/>
    <cellStyle name="Input 8 2 3 4 2 2" xfId="23615"/>
    <cellStyle name="Input 8 2 3 4 2 2 2" xfId="23616"/>
    <cellStyle name="Input 8 2 3 4 2 2 3" xfId="23617"/>
    <cellStyle name="Input 8 2 3 4 2 3" xfId="23618"/>
    <cellStyle name="Input 8 2 3 4 2 4" xfId="23619"/>
    <cellStyle name="Input 8 2 3 5" xfId="23620"/>
    <cellStyle name="Input 8 2 3 5 2" xfId="23621"/>
    <cellStyle name="Input 8 2 3 5 2 2" xfId="23622"/>
    <cellStyle name="Input 8 2 3 5 2 2 2" xfId="23623"/>
    <cellStyle name="Input 8 2 3 5 2 2 3" xfId="23624"/>
    <cellStyle name="Input 8 2 3 5 2 3" xfId="23625"/>
    <cellStyle name="Input 8 2 3 5 2 4" xfId="23626"/>
    <cellStyle name="Input 8 2 3 6" xfId="23627"/>
    <cellStyle name="Input 8 2 3 6 2" xfId="23628"/>
    <cellStyle name="Input 8 2 3 6 2 2" xfId="23629"/>
    <cellStyle name="Input 8 2 3 6 2 2 2" xfId="23630"/>
    <cellStyle name="Input 8 2 3 6 2 2 3" xfId="23631"/>
    <cellStyle name="Input 8 2 3 6 2 3" xfId="23632"/>
    <cellStyle name="Input 8 2 3 6 2 4" xfId="23633"/>
    <cellStyle name="Input 8 2 3 7" xfId="23634"/>
    <cellStyle name="Input 8 2 3 7 2" xfId="23635"/>
    <cellStyle name="Input 8 2 3 7 2 2" xfId="23636"/>
    <cellStyle name="Input 8 2 3 7 2 2 2" xfId="23637"/>
    <cellStyle name="Input 8 2 3 7 2 2 3" xfId="23638"/>
    <cellStyle name="Input 8 2 3 7 2 3" xfId="23639"/>
    <cellStyle name="Input 8 2 3 7 2 4" xfId="23640"/>
    <cellStyle name="Input 8 2 3 8" xfId="23641"/>
    <cellStyle name="Input 8 2 3 8 2" xfId="23642"/>
    <cellStyle name="Input 8 2 3 8 2 2" xfId="23643"/>
    <cellStyle name="Input 8 2 3 8 2 2 2" xfId="23644"/>
    <cellStyle name="Input 8 2 3 8 2 2 3" xfId="23645"/>
    <cellStyle name="Input 8 2 3 8 2 3" xfId="23646"/>
    <cellStyle name="Input 8 2 3 8 2 4" xfId="23647"/>
    <cellStyle name="Input 8 2 3 9" xfId="23648"/>
    <cellStyle name="Input 8 2 3 9 2" xfId="23649"/>
    <cellStyle name="Input 8 2 3 9 2 2" xfId="23650"/>
    <cellStyle name="Input 8 2 3 9 2 3" xfId="23651"/>
    <cellStyle name="Input 8 2 3 9 3" xfId="23652"/>
    <cellStyle name="Input 8 2 3 9 4" xfId="23653"/>
    <cellStyle name="Input 8 2 4" xfId="23654"/>
    <cellStyle name="Input 8 2 4 2" xfId="23655"/>
    <cellStyle name="Input 8 2 4 2 2" xfId="23656"/>
    <cellStyle name="Input 8 2 4 2 2 2" xfId="23657"/>
    <cellStyle name="Input 8 2 4 2 2 2 2" xfId="23658"/>
    <cellStyle name="Input 8 2 4 2 2 2 3" xfId="23659"/>
    <cellStyle name="Input 8 2 4 2 2 3" xfId="23660"/>
    <cellStyle name="Input 8 2 4 2 2 4" xfId="23661"/>
    <cellStyle name="Input 8 2 4 3" xfId="23662"/>
    <cellStyle name="Input 8 2 4 3 2" xfId="23663"/>
    <cellStyle name="Input 8 2 4 3 2 2" xfId="23664"/>
    <cellStyle name="Input 8 2 4 3 2 2 2" xfId="23665"/>
    <cellStyle name="Input 8 2 4 3 2 2 3" xfId="23666"/>
    <cellStyle name="Input 8 2 4 3 2 3" xfId="23667"/>
    <cellStyle name="Input 8 2 4 3 2 4" xfId="23668"/>
    <cellStyle name="Input 8 2 4 4" xfId="23669"/>
    <cellStyle name="Input 8 2 4 4 2" xfId="23670"/>
    <cellStyle name="Input 8 2 4 4 2 2" xfId="23671"/>
    <cellStyle name="Input 8 2 4 4 2 2 2" xfId="23672"/>
    <cellStyle name="Input 8 2 4 4 2 2 3" xfId="23673"/>
    <cellStyle name="Input 8 2 4 4 2 3" xfId="23674"/>
    <cellStyle name="Input 8 2 4 4 2 4" xfId="23675"/>
    <cellStyle name="Input 8 2 4 5" xfId="23676"/>
    <cellStyle name="Input 8 2 4 5 2" xfId="23677"/>
    <cellStyle name="Input 8 2 4 5 2 2" xfId="23678"/>
    <cellStyle name="Input 8 2 4 5 2 2 2" xfId="23679"/>
    <cellStyle name="Input 8 2 4 5 2 2 3" xfId="23680"/>
    <cellStyle name="Input 8 2 4 5 2 3" xfId="23681"/>
    <cellStyle name="Input 8 2 4 5 2 4" xfId="23682"/>
    <cellStyle name="Input 8 2 4 6" xfId="23683"/>
    <cellStyle name="Input 8 2 4 6 2" xfId="23684"/>
    <cellStyle name="Input 8 2 4 6 2 2" xfId="23685"/>
    <cellStyle name="Input 8 2 4 6 2 2 2" xfId="23686"/>
    <cellStyle name="Input 8 2 4 6 2 2 3" xfId="23687"/>
    <cellStyle name="Input 8 2 4 6 2 3" xfId="23688"/>
    <cellStyle name="Input 8 2 4 6 2 4" xfId="23689"/>
    <cellStyle name="Input 8 2 4 7" xfId="23690"/>
    <cellStyle name="Input 8 2 4 7 2" xfId="23691"/>
    <cellStyle name="Input 8 2 4 7 2 2" xfId="23692"/>
    <cellStyle name="Input 8 2 4 7 2 2 2" xfId="23693"/>
    <cellStyle name="Input 8 2 4 7 2 2 3" xfId="23694"/>
    <cellStyle name="Input 8 2 4 7 2 3" xfId="23695"/>
    <cellStyle name="Input 8 2 4 7 2 4" xfId="23696"/>
    <cellStyle name="Input 8 2 4 8" xfId="23697"/>
    <cellStyle name="Input 8 2 4 8 2" xfId="23698"/>
    <cellStyle name="Input 8 2 4 8 2 2" xfId="23699"/>
    <cellStyle name="Input 8 2 4 8 2 2 2" xfId="23700"/>
    <cellStyle name="Input 8 2 4 8 2 2 3" xfId="23701"/>
    <cellStyle name="Input 8 2 4 8 2 3" xfId="23702"/>
    <cellStyle name="Input 8 2 4 8 2 4" xfId="23703"/>
    <cellStyle name="Input 8 2 4 9" xfId="23704"/>
    <cellStyle name="Input 8 2 4 9 2" xfId="23705"/>
    <cellStyle name="Input 8 2 4 9 2 2" xfId="23706"/>
    <cellStyle name="Input 8 2 4 9 2 3" xfId="23707"/>
    <cellStyle name="Input 8 2 4 9 3" xfId="23708"/>
    <cellStyle name="Input 8 2 4 9 4" xfId="23709"/>
    <cellStyle name="Input 8 2 5" xfId="23710"/>
    <cellStyle name="Input 8 2 5 2" xfId="23711"/>
    <cellStyle name="Input 8 2 5 2 2" xfId="23712"/>
    <cellStyle name="Input 8 2 5 2 2 2" xfId="23713"/>
    <cellStyle name="Input 8 2 5 2 2 2 2" xfId="23714"/>
    <cellStyle name="Input 8 2 5 2 2 2 3" xfId="23715"/>
    <cellStyle name="Input 8 2 5 2 2 3" xfId="23716"/>
    <cellStyle name="Input 8 2 5 2 2 4" xfId="23717"/>
    <cellStyle name="Input 8 2 5 3" xfId="23718"/>
    <cellStyle name="Input 8 2 5 3 2" xfId="23719"/>
    <cellStyle name="Input 8 2 5 3 2 2" xfId="23720"/>
    <cellStyle name="Input 8 2 5 3 2 2 2" xfId="23721"/>
    <cellStyle name="Input 8 2 5 3 2 2 3" xfId="23722"/>
    <cellStyle name="Input 8 2 5 3 2 3" xfId="23723"/>
    <cellStyle name="Input 8 2 5 3 2 4" xfId="23724"/>
    <cellStyle name="Input 8 2 5 4" xfId="23725"/>
    <cellStyle name="Input 8 2 5 4 2" xfId="23726"/>
    <cellStyle name="Input 8 2 5 4 2 2" xfId="23727"/>
    <cellStyle name="Input 8 2 5 4 2 2 2" xfId="23728"/>
    <cellStyle name="Input 8 2 5 4 2 2 3" xfId="23729"/>
    <cellStyle name="Input 8 2 5 4 2 3" xfId="23730"/>
    <cellStyle name="Input 8 2 5 4 2 4" xfId="23731"/>
    <cellStyle name="Input 8 2 5 5" xfId="23732"/>
    <cellStyle name="Input 8 2 5 5 2" xfId="23733"/>
    <cellStyle name="Input 8 2 5 5 2 2" xfId="23734"/>
    <cellStyle name="Input 8 2 5 5 2 2 2" xfId="23735"/>
    <cellStyle name="Input 8 2 5 5 2 2 3" xfId="23736"/>
    <cellStyle name="Input 8 2 5 5 2 3" xfId="23737"/>
    <cellStyle name="Input 8 2 5 5 2 4" xfId="23738"/>
    <cellStyle name="Input 8 2 5 6" xfId="23739"/>
    <cellStyle name="Input 8 2 5 6 2" xfId="23740"/>
    <cellStyle name="Input 8 2 5 6 2 2" xfId="23741"/>
    <cellStyle name="Input 8 2 5 6 2 2 2" xfId="23742"/>
    <cellStyle name="Input 8 2 5 6 2 2 3" xfId="23743"/>
    <cellStyle name="Input 8 2 5 6 2 3" xfId="23744"/>
    <cellStyle name="Input 8 2 5 6 2 4" xfId="23745"/>
    <cellStyle name="Input 8 2 5 7" xfId="23746"/>
    <cellStyle name="Input 8 2 5 7 2" xfId="23747"/>
    <cellStyle name="Input 8 2 5 7 2 2" xfId="23748"/>
    <cellStyle name="Input 8 2 5 7 2 2 2" xfId="23749"/>
    <cellStyle name="Input 8 2 5 7 2 2 3" xfId="23750"/>
    <cellStyle name="Input 8 2 5 7 2 3" xfId="23751"/>
    <cellStyle name="Input 8 2 5 7 2 4" xfId="23752"/>
    <cellStyle name="Input 8 2 5 8" xfId="23753"/>
    <cellStyle name="Input 8 2 5 8 2" xfId="23754"/>
    <cellStyle name="Input 8 2 5 8 2 2" xfId="23755"/>
    <cellStyle name="Input 8 2 5 8 2 2 2" xfId="23756"/>
    <cellStyle name="Input 8 2 5 8 2 2 3" xfId="23757"/>
    <cellStyle name="Input 8 2 5 8 2 3" xfId="23758"/>
    <cellStyle name="Input 8 2 5 8 2 4" xfId="23759"/>
    <cellStyle name="Input 8 2 5 9" xfId="23760"/>
    <cellStyle name="Input 8 2 5 9 2" xfId="23761"/>
    <cellStyle name="Input 8 2 5 9 2 2" xfId="23762"/>
    <cellStyle name="Input 8 2 5 9 2 3" xfId="23763"/>
    <cellStyle name="Input 8 2 5 9 3" xfId="23764"/>
    <cellStyle name="Input 8 2 5 9 4" xfId="23765"/>
    <cellStyle name="Input 8 2 6" xfId="23766"/>
    <cellStyle name="Input 8 2 6 2" xfId="23767"/>
    <cellStyle name="Input 8 2 6 2 2" xfId="23768"/>
    <cellStyle name="Input 8 2 6 2 2 2" xfId="23769"/>
    <cellStyle name="Input 8 2 6 2 2 3" xfId="23770"/>
    <cellStyle name="Input 8 2 6 2 3" xfId="23771"/>
    <cellStyle name="Input 8 2 6 2 4" xfId="23772"/>
    <cellStyle name="Input 8 2 7" xfId="23773"/>
    <cellStyle name="Input 8 2 7 2" xfId="23774"/>
    <cellStyle name="Input 8 2 7 2 2" xfId="23775"/>
    <cellStyle name="Input 8 2 7 2 2 2" xfId="23776"/>
    <cellStyle name="Input 8 2 7 2 2 3" xfId="23777"/>
    <cellStyle name="Input 8 2 7 2 3" xfId="23778"/>
    <cellStyle name="Input 8 2 7 2 4" xfId="23779"/>
    <cellStyle name="Input 8 2 8" xfId="23780"/>
    <cellStyle name="Input 8 2 8 2" xfId="23781"/>
    <cellStyle name="Input 8 2 8 2 2" xfId="23782"/>
    <cellStyle name="Input 8 2 8 2 3" xfId="23783"/>
    <cellStyle name="Input 8 2 8 3" xfId="23784"/>
    <cellStyle name="Input 8 2 8 4" xfId="23785"/>
    <cellStyle name="Input 8 3" xfId="23786"/>
    <cellStyle name="Input 8 3 2" xfId="23787"/>
    <cellStyle name="Input 8 3 2 2" xfId="23788"/>
    <cellStyle name="Input 8 3 2 2 2" xfId="23789"/>
    <cellStyle name="Input 8 3 2 2 2 2" xfId="23790"/>
    <cellStyle name="Input 8 3 2 2 2 3" xfId="23791"/>
    <cellStyle name="Input 8 3 2 2 3" xfId="23792"/>
    <cellStyle name="Input 8 3 2 2 4" xfId="23793"/>
    <cellStyle name="Input 8 3 3" xfId="23794"/>
    <cellStyle name="Input 8 3 3 2" xfId="23795"/>
    <cellStyle name="Input 8 3 3 2 2" xfId="23796"/>
    <cellStyle name="Input 8 3 3 2 2 2" xfId="23797"/>
    <cellStyle name="Input 8 3 3 2 2 3" xfId="23798"/>
    <cellStyle name="Input 8 3 3 2 3" xfId="23799"/>
    <cellStyle name="Input 8 3 3 2 4" xfId="23800"/>
    <cellStyle name="Input 8 3 4" xfId="23801"/>
    <cellStyle name="Input 8 3 4 2" xfId="23802"/>
    <cellStyle name="Input 8 3 4 2 2" xfId="23803"/>
    <cellStyle name="Input 8 3 4 2 2 2" xfId="23804"/>
    <cellStyle name="Input 8 3 4 2 2 3" xfId="23805"/>
    <cellStyle name="Input 8 3 4 2 3" xfId="23806"/>
    <cellStyle name="Input 8 3 4 2 4" xfId="23807"/>
    <cellStyle name="Input 8 3 5" xfId="23808"/>
    <cellStyle name="Input 8 3 5 2" xfId="23809"/>
    <cellStyle name="Input 8 3 5 2 2" xfId="23810"/>
    <cellStyle name="Input 8 3 5 2 2 2" xfId="23811"/>
    <cellStyle name="Input 8 3 5 2 2 3" xfId="23812"/>
    <cellStyle name="Input 8 3 5 2 3" xfId="23813"/>
    <cellStyle name="Input 8 3 5 2 4" xfId="23814"/>
    <cellStyle name="Input 8 3 6" xfId="23815"/>
    <cellStyle name="Input 8 3 6 2" xfId="23816"/>
    <cellStyle name="Input 8 3 6 2 2" xfId="23817"/>
    <cellStyle name="Input 8 3 6 2 2 2" xfId="23818"/>
    <cellStyle name="Input 8 3 6 2 2 3" xfId="23819"/>
    <cellStyle name="Input 8 3 6 2 3" xfId="23820"/>
    <cellStyle name="Input 8 3 6 2 4" xfId="23821"/>
    <cellStyle name="Input 8 3 7" xfId="23822"/>
    <cellStyle name="Input 8 3 7 2" xfId="23823"/>
    <cellStyle name="Input 8 3 7 2 2" xfId="23824"/>
    <cellStyle name="Input 8 3 7 2 2 2" xfId="23825"/>
    <cellStyle name="Input 8 3 7 2 2 3" xfId="23826"/>
    <cellStyle name="Input 8 3 7 2 3" xfId="23827"/>
    <cellStyle name="Input 8 3 7 2 4" xfId="23828"/>
    <cellStyle name="Input 8 3 8" xfId="23829"/>
    <cellStyle name="Input 8 3 8 2" xfId="23830"/>
    <cellStyle name="Input 8 3 8 2 2" xfId="23831"/>
    <cellStyle name="Input 8 3 8 2 2 2" xfId="23832"/>
    <cellStyle name="Input 8 3 8 2 2 3" xfId="23833"/>
    <cellStyle name="Input 8 3 8 2 3" xfId="23834"/>
    <cellStyle name="Input 8 3 8 2 4" xfId="23835"/>
    <cellStyle name="Input 8 3 9" xfId="23836"/>
    <cellStyle name="Input 8 3 9 2" xfId="23837"/>
    <cellStyle name="Input 8 3 9 2 2" xfId="23838"/>
    <cellStyle name="Input 8 3 9 2 3" xfId="23839"/>
    <cellStyle name="Input 8 3 9 3" xfId="23840"/>
    <cellStyle name="Input 8 3 9 4" xfId="23841"/>
    <cellStyle name="Input 8 4" xfId="23842"/>
    <cellStyle name="Input 8 4 2" xfId="23843"/>
    <cellStyle name="Input 8 4 2 2" xfId="23844"/>
    <cellStyle name="Input 8 4 2 2 2" xfId="23845"/>
    <cellStyle name="Input 8 4 2 2 2 2" xfId="23846"/>
    <cellStyle name="Input 8 4 2 2 2 3" xfId="23847"/>
    <cellStyle name="Input 8 4 2 2 3" xfId="23848"/>
    <cellStyle name="Input 8 4 2 2 4" xfId="23849"/>
    <cellStyle name="Input 8 4 3" xfId="23850"/>
    <cellStyle name="Input 8 4 3 2" xfId="23851"/>
    <cellStyle name="Input 8 4 3 2 2" xfId="23852"/>
    <cellStyle name="Input 8 4 3 2 2 2" xfId="23853"/>
    <cellStyle name="Input 8 4 3 2 2 3" xfId="23854"/>
    <cellStyle name="Input 8 4 3 2 3" xfId="23855"/>
    <cellStyle name="Input 8 4 3 2 4" xfId="23856"/>
    <cellStyle name="Input 8 4 4" xfId="23857"/>
    <cellStyle name="Input 8 4 4 2" xfId="23858"/>
    <cellStyle name="Input 8 4 4 2 2" xfId="23859"/>
    <cellStyle name="Input 8 4 4 2 2 2" xfId="23860"/>
    <cellStyle name="Input 8 4 4 2 2 3" xfId="23861"/>
    <cellStyle name="Input 8 4 4 2 3" xfId="23862"/>
    <cellStyle name="Input 8 4 4 2 4" xfId="23863"/>
    <cellStyle name="Input 8 4 5" xfId="23864"/>
    <cellStyle name="Input 8 4 5 2" xfId="23865"/>
    <cellStyle name="Input 8 4 5 2 2" xfId="23866"/>
    <cellStyle name="Input 8 4 5 2 2 2" xfId="23867"/>
    <cellStyle name="Input 8 4 5 2 2 3" xfId="23868"/>
    <cellStyle name="Input 8 4 5 2 3" xfId="23869"/>
    <cellStyle name="Input 8 4 5 2 4" xfId="23870"/>
    <cellStyle name="Input 8 4 6" xfId="23871"/>
    <cellStyle name="Input 8 4 6 2" xfId="23872"/>
    <cellStyle name="Input 8 4 6 2 2" xfId="23873"/>
    <cellStyle name="Input 8 4 6 2 2 2" xfId="23874"/>
    <cellStyle name="Input 8 4 6 2 2 3" xfId="23875"/>
    <cellStyle name="Input 8 4 6 2 3" xfId="23876"/>
    <cellStyle name="Input 8 4 6 2 4" xfId="23877"/>
    <cellStyle name="Input 8 4 7" xfId="23878"/>
    <cellStyle name="Input 8 4 7 2" xfId="23879"/>
    <cellStyle name="Input 8 4 7 2 2" xfId="23880"/>
    <cellStyle name="Input 8 4 7 2 2 2" xfId="23881"/>
    <cellStyle name="Input 8 4 7 2 2 3" xfId="23882"/>
    <cellStyle name="Input 8 4 7 2 3" xfId="23883"/>
    <cellStyle name="Input 8 4 7 2 4" xfId="23884"/>
    <cellStyle name="Input 8 4 8" xfId="23885"/>
    <cellStyle name="Input 8 4 8 2" xfId="23886"/>
    <cellStyle name="Input 8 4 8 2 2" xfId="23887"/>
    <cellStyle name="Input 8 4 8 2 2 2" xfId="23888"/>
    <cellStyle name="Input 8 4 8 2 2 3" xfId="23889"/>
    <cellStyle name="Input 8 4 8 2 3" xfId="23890"/>
    <cellStyle name="Input 8 4 8 2 4" xfId="23891"/>
    <cellStyle name="Input 8 4 9" xfId="23892"/>
    <cellStyle name="Input 8 4 9 2" xfId="23893"/>
    <cellStyle name="Input 8 4 9 2 2" xfId="23894"/>
    <cellStyle name="Input 8 4 9 2 3" xfId="23895"/>
    <cellStyle name="Input 8 4 9 3" xfId="23896"/>
    <cellStyle name="Input 8 4 9 4" xfId="23897"/>
    <cellStyle name="Input 8 5" xfId="23898"/>
    <cellStyle name="Input 8 5 2" xfId="23899"/>
    <cellStyle name="Input 8 5 2 2" xfId="23900"/>
    <cellStyle name="Input 8 5 2 2 2" xfId="23901"/>
    <cellStyle name="Input 8 5 2 2 2 2" xfId="23902"/>
    <cellStyle name="Input 8 5 2 2 2 3" xfId="23903"/>
    <cellStyle name="Input 8 5 2 2 3" xfId="23904"/>
    <cellStyle name="Input 8 5 2 2 4" xfId="23905"/>
    <cellStyle name="Input 8 5 3" xfId="23906"/>
    <cellStyle name="Input 8 5 3 2" xfId="23907"/>
    <cellStyle name="Input 8 5 3 2 2" xfId="23908"/>
    <cellStyle name="Input 8 5 3 2 2 2" xfId="23909"/>
    <cellStyle name="Input 8 5 3 2 2 3" xfId="23910"/>
    <cellStyle name="Input 8 5 3 2 3" xfId="23911"/>
    <cellStyle name="Input 8 5 3 2 4" xfId="23912"/>
    <cellStyle name="Input 8 5 4" xfId="23913"/>
    <cellStyle name="Input 8 5 4 2" xfId="23914"/>
    <cellStyle name="Input 8 5 4 2 2" xfId="23915"/>
    <cellStyle name="Input 8 5 4 2 2 2" xfId="23916"/>
    <cellStyle name="Input 8 5 4 2 2 3" xfId="23917"/>
    <cellStyle name="Input 8 5 4 2 3" xfId="23918"/>
    <cellStyle name="Input 8 5 4 2 4" xfId="23919"/>
    <cellStyle name="Input 8 5 5" xfId="23920"/>
    <cellStyle name="Input 8 5 5 2" xfId="23921"/>
    <cellStyle name="Input 8 5 5 2 2" xfId="23922"/>
    <cellStyle name="Input 8 5 5 2 2 2" xfId="23923"/>
    <cellStyle name="Input 8 5 5 2 2 3" xfId="23924"/>
    <cellStyle name="Input 8 5 5 2 3" xfId="23925"/>
    <cellStyle name="Input 8 5 5 2 4" xfId="23926"/>
    <cellStyle name="Input 8 5 6" xfId="23927"/>
    <cellStyle name="Input 8 5 6 2" xfId="23928"/>
    <cellStyle name="Input 8 5 6 2 2" xfId="23929"/>
    <cellStyle name="Input 8 5 6 2 2 2" xfId="23930"/>
    <cellStyle name="Input 8 5 6 2 2 3" xfId="23931"/>
    <cellStyle name="Input 8 5 6 2 3" xfId="23932"/>
    <cellStyle name="Input 8 5 6 2 4" xfId="23933"/>
    <cellStyle name="Input 8 5 7" xfId="23934"/>
    <cellStyle name="Input 8 5 7 2" xfId="23935"/>
    <cellStyle name="Input 8 5 7 2 2" xfId="23936"/>
    <cellStyle name="Input 8 5 7 2 2 2" xfId="23937"/>
    <cellStyle name="Input 8 5 7 2 2 3" xfId="23938"/>
    <cellStyle name="Input 8 5 7 2 3" xfId="23939"/>
    <cellStyle name="Input 8 5 7 2 4" xfId="23940"/>
    <cellStyle name="Input 8 5 8" xfId="23941"/>
    <cellStyle name="Input 8 5 8 2" xfId="23942"/>
    <cellStyle name="Input 8 5 8 2 2" xfId="23943"/>
    <cellStyle name="Input 8 5 8 2 2 2" xfId="23944"/>
    <cellStyle name="Input 8 5 8 2 2 3" xfId="23945"/>
    <cellStyle name="Input 8 5 8 2 3" xfId="23946"/>
    <cellStyle name="Input 8 5 8 2 4" xfId="23947"/>
    <cellStyle name="Input 8 5 9" xfId="23948"/>
    <cellStyle name="Input 8 5 9 2" xfId="23949"/>
    <cellStyle name="Input 8 5 9 2 2" xfId="23950"/>
    <cellStyle name="Input 8 5 9 2 3" xfId="23951"/>
    <cellStyle name="Input 8 5 9 3" xfId="23952"/>
    <cellStyle name="Input 8 5 9 4" xfId="23953"/>
    <cellStyle name="Input 8 6" xfId="23954"/>
    <cellStyle name="Input 8 6 2" xfId="23955"/>
    <cellStyle name="Input 8 6 2 2" xfId="23956"/>
    <cellStyle name="Input 8 6 2 2 2" xfId="23957"/>
    <cellStyle name="Input 8 6 2 2 2 2" xfId="23958"/>
    <cellStyle name="Input 8 6 2 2 2 3" xfId="23959"/>
    <cellStyle name="Input 8 6 2 2 3" xfId="23960"/>
    <cellStyle name="Input 8 6 2 2 4" xfId="23961"/>
    <cellStyle name="Input 8 6 3" xfId="23962"/>
    <cellStyle name="Input 8 6 3 2" xfId="23963"/>
    <cellStyle name="Input 8 6 3 2 2" xfId="23964"/>
    <cellStyle name="Input 8 6 3 2 2 2" xfId="23965"/>
    <cellStyle name="Input 8 6 3 2 2 3" xfId="23966"/>
    <cellStyle name="Input 8 6 3 2 3" xfId="23967"/>
    <cellStyle name="Input 8 6 3 2 4" xfId="23968"/>
    <cellStyle name="Input 8 6 4" xfId="23969"/>
    <cellStyle name="Input 8 6 4 2" xfId="23970"/>
    <cellStyle name="Input 8 6 4 2 2" xfId="23971"/>
    <cellStyle name="Input 8 6 4 2 2 2" xfId="23972"/>
    <cellStyle name="Input 8 6 4 2 2 3" xfId="23973"/>
    <cellStyle name="Input 8 6 4 2 3" xfId="23974"/>
    <cellStyle name="Input 8 6 4 2 4" xfId="23975"/>
    <cellStyle name="Input 8 6 5" xfId="23976"/>
    <cellStyle name="Input 8 6 5 2" xfId="23977"/>
    <cellStyle name="Input 8 6 5 2 2" xfId="23978"/>
    <cellStyle name="Input 8 6 5 2 2 2" xfId="23979"/>
    <cellStyle name="Input 8 6 5 2 2 3" xfId="23980"/>
    <cellStyle name="Input 8 6 5 2 3" xfId="23981"/>
    <cellStyle name="Input 8 6 5 2 4" xfId="23982"/>
    <cellStyle name="Input 8 6 6" xfId="23983"/>
    <cellStyle name="Input 8 6 6 2" xfId="23984"/>
    <cellStyle name="Input 8 6 6 2 2" xfId="23985"/>
    <cellStyle name="Input 8 6 6 2 2 2" xfId="23986"/>
    <cellStyle name="Input 8 6 6 2 2 3" xfId="23987"/>
    <cellStyle name="Input 8 6 6 2 3" xfId="23988"/>
    <cellStyle name="Input 8 6 6 2 4" xfId="23989"/>
    <cellStyle name="Input 8 6 7" xfId="23990"/>
    <cellStyle name="Input 8 6 7 2" xfId="23991"/>
    <cellStyle name="Input 8 6 7 2 2" xfId="23992"/>
    <cellStyle name="Input 8 6 7 2 2 2" xfId="23993"/>
    <cellStyle name="Input 8 6 7 2 2 3" xfId="23994"/>
    <cellStyle name="Input 8 6 7 2 3" xfId="23995"/>
    <cellStyle name="Input 8 6 7 2 4" xfId="23996"/>
    <cellStyle name="Input 8 6 8" xfId="23997"/>
    <cellStyle name="Input 8 6 8 2" xfId="23998"/>
    <cellStyle name="Input 8 6 8 2 2" xfId="23999"/>
    <cellStyle name="Input 8 6 8 2 2 2" xfId="24000"/>
    <cellStyle name="Input 8 6 8 2 2 3" xfId="24001"/>
    <cellStyle name="Input 8 6 8 2 3" xfId="24002"/>
    <cellStyle name="Input 8 6 8 2 4" xfId="24003"/>
    <cellStyle name="Input 8 6 9" xfId="24004"/>
    <cellStyle name="Input 8 6 9 2" xfId="24005"/>
    <cellStyle name="Input 8 6 9 2 2" xfId="24006"/>
    <cellStyle name="Input 8 6 9 2 3" xfId="24007"/>
    <cellStyle name="Input 8 6 9 3" xfId="24008"/>
    <cellStyle name="Input 8 6 9 4" xfId="24009"/>
    <cellStyle name="Input 8 7" xfId="24010"/>
    <cellStyle name="Input 8 7 2" xfId="24011"/>
    <cellStyle name="Input 8 7 2 2" xfId="24012"/>
    <cellStyle name="Input 8 7 2 2 2" xfId="24013"/>
    <cellStyle name="Input 8 7 2 2 3" xfId="24014"/>
    <cellStyle name="Input 8 7 2 3" xfId="24015"/>
    <cellStyle name="Input 8 7 2 4" xfId="24016"/>
    <cellStyle name="Input 8 8" xfId="24017"/>
    <cellStyle name="Input 8 8 2" xfId="24018"/>
    <cellStyle name="Input 8 8 2 2" xfId="24019"/>
    <cellStyle name="Input 8 8 2 2 2" xfId="24020"/>
    <cellStyle name="Input 8 8 2 2 3" xfId="24021"/>
    <cellStyle name="Input 8 8 2 3" xfId="24022"/>
    <cellStyle name="Input 8 8 2 4" xfId="24023"/>
    <cellStyle name="Input 8 9" xfId="24024"/>
    <cellStyle name="Input 8 9 2" xfId="24025"/>
    <cellStyle name="Input 8 9 2 2" xfId="24026"/>
    <cellStyle name="Input 8 9 2 3" xfId="24027"/>
    <cellStyle name="Input 8 9 3" xfId="24028"/>
    <cellStyle name="Input 8 9 4" xfId="24029"/>
    <cellStyle name="Input 9" xfId="24030"/>
    <cellStyle name="Input 9 10" xfId="43068"/>
    <cellStyle name="Input 9 2" xfId="24031"/>
    <cellStyle name="Input 9 2 2" xfId="24032"/>
    <cellStyle name="Input 9 2 2 2" xfId="24033"/>
    <cellStyle name="Input 9 2 2 2 2" xfId="24034"/>
    <cellStyle name="Input 9 2 2 2 2 2" xfId="24035"/>
    <cellStyle name="Input 9 2 2 2 2 2 2" xfId="24036"/>
    <cellStyle name="Input 9 2 2 2 2 2 3" xfId="24037"/>
    <cellStyle name="Input 9 2 2 2 2 3" xfId="24038"/>
    <cellStyle name="Input 9 2 2 2 2 4" xfId="24039"/>
    <cellStyle name="Input 9 2 2 3" xfId="24040"/>
    <cellStyle name="Input 9 2 2 3 2" xfId="24041"/>
    <cellStyle name="Input 9 2 2 3 2 2" xfId="24042"/>
    <cellStyle name="Input 9 2 2 3 2 2 2" xfId="24043"/>
    <cellStyle name="Input 9 2 2 3 2 2 3" xfId="24044"/>
    <cellStyle name="Input 9 2 2 3 2 3" xfId="24045"/>
    <cellStyle name="Input 9 2 2 3 2 4" xfId="24046"/>
    <cellStyle name="Input 9 2 2 4" xfId="24047"/>
    <cellStyle name="Input 9 2 2 4 2" xfId="24048"/>
    <cellStyle name="Input 9 2 2 4 2 2" xfId="24049"/>
    <cellStyle name="Input 9 2 2 4 2 2 2" xfId="24050"/>
    <cellStyle name="Input 9 2 2 4 2 2 3" xfId="24051"/>
    <cellStyle name="Input 9 2 2 4 2 3" xfId="24052"/>
    <cellStyle name="Input 9 2 2 4 2 4" xfId="24053"/>
    <cellStyle name="Input 9 2 2 5" xfId="24054"/>
    <cellStyle name="Input 9 2 2 5 2" xfId="24055"/>
    <cellStyle name="Input 9 2 2 5 2 2" xfId="24056"/>
    <cellStyle name="Input 9 2 2 5 2 2 2" xfId="24057"/>
    <cellStyle name="Input 9 2 2 5 2 2 3" xfId="24058"/>
    <cellStyle name="Input 9 2 2 5 2 3" xfId="24059"/>
    <cellStyle name="Input 9 2 2 5 2 4" xfId="24060"/>
    <cellStyle name="Input 9 2 2 6" xfId="24061"/>
    <cellStyle name="Input 9 2 2 6 2" xfId="24062"/>
    <cellStyle name="Input 9 2 2 6 2 2" xfId="24063"/>
    <cellStyle name="Input 9 2 2 6 2 2 2" xfId="24064"/>
    <cellStyle name="Input 9 2 2 6 2 2 3" xfId="24065"/>
    <cellStyle name="Input 9 2 2 6 2 3" xfId="24066"/>
    <cellStyle name="Input 9 2 2 6 2 4" xfId="24067"/>
    <cellStyle name="Input 9 2 2 7" xfId="24068"/>
    <cellStyle name="Input 9 2 2 7 2" xfId="24069"/>
    <cellStyle name="Input 9 2 2 7 2 2" xfId="24070"/>
    <cellStyle name="Input 9 2 2 7 2 2 2" xfId="24071"/>
    <cellStyle name="Input 9 2 2 7 2 2 3" xfId="24072"/>
    <cellStyle name="Input 9 2 2 7 2 3" xfId="24073"/>
    <cellStyle name="Input 9 2 2 7 2 4" xfId="24074"/>
    <cellStyle name="Input 9 2 2 8" xfId="24075"/>
    <cellStyle name="Input 9 2 2 8 2" xfId="24076"/>
    <cellStyle name="Input 9 2 2 8 2 2" xfId="24077"/>
    <cellStyle name="Input 9 2 2 8 2 2 2" xfId="24078"/>
    <cellStyle name="Input 9 2 2 8 2 2 3" xfId="24079"/>
    <cellStyle name="Input 9 2 2 8 2 3" xfId="24080"/>
    <cellStyle name="Input 9 2 2 8 2 4" xfId="24081"/>
    <cellStyle name="Input 9 2 2 9" xfId="24082"/>
    <cellStyle name="Input 9 2 2 9 2" xfId="24083"/>
    <cellStyle name="Input 9 2 2 9 2 2" xfId="24084"/>
    <cellStyle name="Input 9 2 2 9 2 3" xfId="24085"/>
    <cellStyle name="Input 9 2 2 9 3" xfId="24086"/>
    <cellStyle name="Input 9 2 2 9 4" xfId="24087"/>
    <cellStyle name="Input 9 2 3" xfId="24088"/>
    <cellStyle name="Input 9 2 3 2" xfId="24089"/>
    <cellStyle name="Input 9 2 3 2 2" xfId="24090"/>
    <cellStyle name="Input 9 2 3 2 2 2" xfId="24091"/>
    <cellStyle name="Input 9 2 3 2 2 2 2" xfId="24092"/>
    <cellStyle name="Input 9 2 3 2 2 2 3" xfId="24093"/>
    <cellStyle name="Input 9 2 3 2 2 3" xfId="24094"/>
    <cellStyle name="Input 9 2 3 2 2 4" xfId="24095"/>
    <cellStyle name="Input 9 2 3 3" xfId="24096"/>
    <cellStyle name="Input 9 2 3 3 2" xfId="24097"/>
    <cellStyle name="Input 9 2 3 3 2 2" xfId="24098"/>
    <cellStyle name="Input 9 2 3 3 2 2 2" xfId="24099"/>
    <cellStyle name="Input 9 2 3 3 2 2 3" xfId="24100"/>
    <cellStyle name="Input 9 2 3 3 2 3" xfId="24101"/>
    <cellStyle name="Input 9 2 3 3 2 4" xfId="24102"/>
    <cellStyle name="Input 9 2 3 4" xfId="24103"/>
    <cellStyle name="Input 9 2 3 4 2" xfId="24104"/>
    <cellStyle name="Input 9 2 3 4 2 2" xfId="24105"/>
    <cellStyle name="Input 9 2 3 4 2 2 2" xfId="24106"/>
    <cellStyle name="Input 9 2 3 4 2 2 3" xfId="24107"/>
    <cellStyle name="Input 9 2 3 4 2 3" xfId="24108"/>
    <cellStyle name="Input 9 2 3 4 2 4" xfId="24109"/>
    <cellStyle name="Input 9 2 3 5" xfId="24110"/>
    <cellStyle name="Input 9 2 3 5 2" xfId="24111"/>
    <cellStyle name="Input 9 2 3 5 2 2" xfId="24112"/>
    <cellStyle name="Input 9 2 3 5 2 2 2" xfId="24113"/>
    <cellStyle name="Input 9 2 3 5 2 2 3" xfId="24114"/>
    <cellStyle name="Input 9 2 3 5 2 3" xfId="24115"/>
    <cellStyle name="Input 9 2 3 5 2 4" xfId="24116"/>
    <cellStyle name="Input 9 2 3 6" xfId="24117"/>
    <cellStyle name="Input 9 2 3 6 2" xfId="24118"/>
    <cellStyle name="Input 9 2 3 6 2 2" xfId="24119"/>
    <cellStyle name="Input 9 2 3 6 2 2 2" xfId="24120"/>
    <cellStyle name="Input 9 2 3 6 2 2 3" xfId="24121"/>
    <cellStyle name="Input 9 2 3 6 2 3" xfId="24122"/>
    <cellStyle name="Input 9 2 3 6 2 4" xfId="24123"/>
    <cellStyle name="Input 9 2 3 7" xfId="24124"/>
    <cellStyle name="Input 9 2 3 7 2" xfId="24125"/>
    <cellStyle name="Input 9 2 3 7 2 2" xfId="24126"/>
    <cellStyle name="Input 9 2 3 7 2 2 2" xfId="24127"/>
    <cellStyle name="Input 9 2 3 7 2 2 3" xfId="24128"/>
    <cellStyle name="Input 9 2 3 7 2 3" xfId="24129"/>
    <cellStyle name="Input 9 2 3 7 2 4" xfId="24130"/>
    <cellStyle name="Input 9 2 3 8" xfId="24131"/>
    <cellStyle name="Input 9 2 3 8 2" xfId="24132"/>
    <cellStyle name="Input 9 2 3 8 2 2" xfId="24133"/>
    <cellStyle name="Input 9 2 3 8 2 2 2" xfId="24134"/>
    <cellStyle name="Input 9 2 3 8 2 2 3" xfId="24135"/>
    <cellStyle name="Input 9 2 3 8 2 3" xfId="24136"/>
    <cellStyle name="Input 9 2 3 8 2 4" xfId="24137"/>
    <cellStyle name="Input 9 2 3 9" xfId="24138"/>
    <cellStyle name="Input 9 2 3 9 2" xfId="24139"/>
    <cellStyle name="Input 9 2 3 9 2 2" xfId="24140"/>
    <cellStyle name="Input 9 2 3 9 2 3" xfId="24141"/>
    <cellStyle name="Input 9 2 3 9 3" xfId="24142"/>
    <cellStyle name="Input 9 2 3 9 4" xfId="24143"/>
    <cellStyle name="Input 9 2 4" xfId="24144"/>
    <cellStyle name="Input 9 2 4 2" xfId="24145"/>
    <cellStyle name="Input 9 2 4 2 2" xfId="24146"/>
    <cellStyle name="Input 9 2 4 2 2 2" xfId="24147"/>
    <cellStyle name="Input 9 2 4 2 2 2 2" xfId="24148"/>
    <cellStyle name="Input 9 2 4 2 2 2 3" xfId="24149"/>
    <cellStyle name="Input 9 2 4 2 2 3" xfId="24150"/>
    <cellStyle name="Input 9 2 4 2 2 4" xfId="24151"/>
    <cellStyle name="Input 9 2 4 3" xfId="24152"/>
    <cellStyle name="Input 9 2 4 3 2" xfId="24153"/>
    <cellStyle name="Input 9 2 4 3 2 2" xfId="24154"/>
    <cellStyle name="Input 9 2 4 3 2 2 2" xfId="24155"/>
    <cellStyle name="Input 9 2 4 3 2 2 3" xfId="24156"/>
    <cellStyle name="Input 9 2 4 3 2 3" xfId="24157"/>
    <cellStyle name="Input 9 2 4 3 2 4" xfId="24158"/>
    <cellStyle name="Input 9 2 4 4" xfId="24159"/>
    <cellStyle name="Input 9 2 4 4 2" xfId="24160"/>
    <cellStyle name="Input 9 2 4 4 2 2" xfId="24161"/>
    <cellStyle name="Input 9 2 4 4 2 2 2" xfId="24162"/>
    <cellStyle name="Input 9 2 4 4 2 2 3" xfId="24163"/>
    <cellStyle name="Input 9 2 4 4 2 3" xfId="24164"/>
    <cellStyle name="Input 9 2 4 4 2 4" xfId="24165"/>
    <cellStyle name="Input 9 2 4 5" xfId="24166"/>
    <cellStyle name="Input 9 2 4 5 2" xfId="24167"/>
    <cellStyle name="Input 9 2 4 5 2 2" xfId="24168"/>
    <cellStyle name="Input 9 2 4 5 2 2 2" xfId="24169"/>
    <cellStyle name="Input 9 2 4 5 2 2 3" xfId="24170"/>
    <cellStyle name="Input 9 2 4 5 2 3" xfId="24171"/>
    <cellStyle name="Input 9 2 4 5 2 4" xfId="24172"/>
    <cellStyle name="Input 9 2 4 6" xfId="24173"/>
    <cellStyle name="Input 9 2 4 6 2" xfId="24174"/>
    <cellStyle name="Input 9 2 4 6 2 2" xfId="24175"/>
    <cellStyle name="Input 9 2 4 6 2 2 2" xfId="24176"/>
    <cellStyle name="Input 9 2 4 6 2 2 3" xfId="24177"/>
    <cellStyle name="Input 9 2 4 6 2 3" xfId="24178"/>
    <cellStyle name="Input 9 2 4 6 2 4" xfId="24179"/>
    <cellStyle name="Input 9 2 4 7" xfId="24180"/>
    <cellStyle name="Input 9 2 4 7 2" xfId="24181"/>
    <cellStyle name="Input 9 2 4 7 2 2" xfId="24182"/>
    <cellStyle name="Input 9 2 4 7 2 2 2" xfId="24183"/>
    <cellStyle name="Input 9 2 4 7 2 2 3" xfId="24184"/>
    <cellStyle name="Input 9 2 4 7 2 3" xfId="24185"/>
    <cellStyle name="Input 9 2 4 7 2 4" xfId="24186"/>
    <cellStyle name="Input 9 2 4 8" xfId="24187"/>
    <cellStyle name="Input 9 2 4 8 2" xfId="24188"/>
    <cellStyle name="Input 9 2 4 8 2 2" xfId="24189"/>
    <cellStyle name="Input 9 2 4 8 2 2 2" xfId="24190"/>
    <cellStyle name="Input 9 2 4 8 2 2 3" xfId="24191"/>
    <cellStyle name="Input 9 2 4 8 2 3" xfId="24192"/>
    <cellStyle name="Input 9 2 4 8 2 4" xfId="24193"/>
    <cellStyle name="Input 9 2 4 9" xfId="24194"/>
    <cellStyle name="Input 9 2 4 9 2" xfId="24195"/>
    <cellStyle name="Input 9 2 4 9 2 2" xfId="24196"/>
    <cellStyle name="Input 9 2 4 9 2 3" xfId="24197"/>
    <cellStyle name="Input 9 2 4 9 3" xfId="24198"/>
    <cellStyle name="Input 9 2 4 9 4" xfId="24199"/>
    <cellStyle name="Input 9 2 5" xfId="24200"/>
    <cellStyle name="Input 9 2 5 2" xfId="24201"/>
    <cellStyle name="Input 9 2 5 2 2" xfId="24202"/>
    <cellStyle name="Input 9 2 5 2 2 2" xfId="24203"/>
    <cellStyle name="Input 9 2 5 2 2 2 2" xfId="24204"/>
    <cellStyle name="Input 9 2 5 2 2 2 3" xfId="24205"/>
    <cellStyle name="Input 9 2 5 2 2 3" xfId="24206"/>
    <cellStyle name="Input 9 2 5 2 2 4" xfId="24207"/>
    <cellStyle name="Input 9 2 5 3" xfId="24208"/>
    <cellStyle name="Input 9 2 5 3 2" xfId="24209"/>
    <cellStyle name="Input 9 2 5 3 2 2" xfId="24210"/>
    <cellStyle name="Input 9 2 5 3 2 2 2" xfId="24211"/>
    <cellStyle name="Input 9 2 5 3 2 2 3" xfId="24212"/>
    <cellStyle name="Input 9 2 5 3 2 3" xfId="24213"/>
    <cellStyle name="Input 9 2 5 3 2 4" xfId="24214"/>
    <cellStyle name="Input 9 2 5 4" xfId="24215"/>
    <cellStyle name="Input 9 2 5 4 2" xfId="24216"/>
    <cellStyle name="Input 9 2 5 4 2 2" xfId="24217"/>
    <cellStyle name="Input 9 2 5 4 2 2 2" xfId="24218"/>
    <cellStyle name="Input 9 2 5 4 2 2 3" xfId="24219"/>
    <cellStyle name="Input 9 2 5 4 2 3" xfId="24220"/>
    <cellStyle name="Input 9 2 5 4 2 4" xfId="24221"/>
    <cellStyle name="Input 9 2 5 5" xfId="24222"/>
    <cellStyle name="Input 9 2 5 5 2" xfId="24223"/>
    <cellStyle name="Input 9 2 5 5 2 2" xfId="24224"/>
    <cellStyle name="Input 9 2 5 5 2 2 2" xfId="24225"/>
    <cellStyle name="Input 9 2 5 5 2 2 3" xfId="24226"/>
    <cellStyle name="Input 9 2 5 5 2 3" xfId="24227"/>
    <cellStyle name="Input 9 2 5 5 2 4" xfId="24228"/>
    <cellStyle name="Input 9 2 5 6" xfId="24229"/>
    <cellStyle name="Input 9 2 5 6 2" xfId="24230"/>
    <cellStyle name="Input 9 2 5 6 2 2" xfId="24231"/>
    <cellStyle name="Input 9 2 5 6 2 2 2" xfId="24232"/>
    <cellStyle name="Input 9 2 5 6 2 2 3" xfId="24233"/>
    <cellStyle name="Input 9 2 5 6 2 3" xfId="24234"/>
    <cellStyle name="Input 9 2 5 6 2 4" xfId="24235"/>
    <cellStyle name="Input 9 2 5 7" xfId="24236"/>
    <cellStyle name="Input 9 2 5 7 2" xfId="24237"/>
    <cellStyle name="Input 9 2 5 7 2 2" xfId="24238"/>
    <cellStyle name="Input 9 2 5 7 2 2 2" xfId="24239"/>
    <cellStyle name="Input 9 2 5 7 2 2 3" xfId="24240"/>
    <cellStyle name="Input 9 2 5 7 2 3" xfId="24241"/>
    <cellStyle name="Input 9 2 5 7 2 4" xfId="24242"/>
    <cellStyle name="Input 9 2 5 8" xfId="24243"/>
    <cellStyle name="Input 9 2 5 8 2" xfId="24244"/>
    <cellStyle name="Input 9 2 5 8 2 2" xfId="24245"/>
    <cellStyle name="Input 9 2 5 8 2 2 2" xfId="24246"/>
    <cellStyle name="Input 9 2 5 8 2 2 3" xfId="24247"/>
    <cellStyle name="Input 9 2 5 8 2 3" xfId="24248"/>
    <cellStyle name="Input 9 2 5 8 2 4" xfId="24249"/>
    <cellStyle name="Input 9 2 5 9" xfId="24250"/>
    <cellStyle name="Input 9 2 5 9 2" xfId="24251"/>
    <cellStyle name="Input 9 2 5 9 2 2" xfId="24252"/>
    <cellStyle name="Input 9 2 5 9 2 3" xfId="24253"/>
    <cellStyle name="Input 9 2 5 9 3" xfId="24254"/>
    <cellStyle name="Input 9 2 5 9 4" xfId="24255"/>
    <cellStyle name="Input 9 2 6" xfId="24256"/>
    <cellStyle name="Input 9 2 6 2" xfId="24257"/>
    <cellStyle name="Input 9 2 6 2 2" xfId="24258"/>
    <cellStyle name="Input 9 2 6 2 2 2" xfId="24259"/>
    <cellStyle name="Input 9 2 6 2 2 3" xfId="24260"/>
    <cellStyle name="Input 9 2 6 2 3" xfId="24261"/>
    <cellStyle name="Input 9 2 6 2 4" xfId="24262"/>
    <cellStyle name="Input 9 2 7" xfId="24263"/>
    <cellStyle name="Input 9 2 7 2" xfId="24264"/>
    <cellStyle name="Input 9 2 7 2 2" xfId="24265"/>
    <cellStyle name="Input 9 2 7 2 2 2" xfId="24266"/>
    <cellStyle name="Input 9 2 7 2 2 3" xfId="24267"/>
    <cellStyle name="Input 9 2 7 2 3" xfId="24268"/>
    <cellStyle name="Input 9 2 7 2 4" xfId="24269"/>
    <cellStyle name="Input 9 2 8" xfId="24270"/>
    <cellStyle name="Input 9 2 8 2" xfId="24271"/>
    <cellStyle name="Input 9 2 8 2 2" xfId="24272"/>
    <cellStyle name="Input 9 2 8 2 3" xfId="24273"/>
    <cellStyle name="Input 9 2 8 3" xfId="24274"/>
    <cellStyle name="Input 9 2 8 4" xfId="24275"/>
    <cellStyle name="Input 9 3" xfId="24276"/>
    <cellStyle name="Input 9 3 2" xfId="24277"/>
    <cellStyle name="Input 9 3 2 2" xfId="24278"/>
    <cellStyle name="Input 9 3 2 2 2" xfId="24279"/>
    <cellStyle name="Input 9 3 2 2 2 2" xfId="24280"/>
    <cellStyle name="Input 9 3 2 2 2 3" xfId="24281"/>
    <cellStyle name="Input 9 3 2 2 3" xfId="24282"/>
    <cellStyle name="Input 9 3 2 2 4" xfId="24283"/>
    <cellStyle name="Input 9 3 3" xfId="24284"/>
    <cellStyle name="Input 9 3 3 2" xfId="24285"/>
    <cellStyle name="Input 9 3 3 2 2" xfId="24286"/>
    <cellStyle name="Input 9 3 3 2 2 2" xfId="24287"/>
    <cellStyle name="Input 9 3 3 2 2 3" xfId="24288"/>
    <cellStyle name="Input 9 3 3 2 3" xfId="24289"/>
    <cellStyle name="Input 9 3 3 2 4" xfId="24290"/>
    <cellStyle name="Input 9 3 4" xfId="24291"/>
    <cellStyle name="Input 9 3 4 2" xfId="24292"/>
    <cellStyle name="Input 9 3 4 2 2" xfId="24293"/>
    <cellStyle name="Input 9 3 4 2 2 2" xfId="24294"/>
    <cellStyle name="Input 9 3 4 2 2 3" xfId="24295"/>
    <cellStyle name="Input 9 3 4 2 3" xfId="24296"/>
    <cellStyle name="Input 9 3 4 2 4" xfId="24297"/>
    <cellStyle name="Input 9 3 5" xfId="24298"/>
    <cellStyle name="Input 9 3 5 2" xfId="24299"/>
    <cellStyle name="Input 9 3 5 2 2" xfId="24300"/>
    <cellStyle name="Input 9 3 5 2 2 2" xfId="24301"/>
    <cellStyle name="Input 9 3 5 2 2 3" xfId="24302"/>
    <cellStyle name="Input 9 3 5 2 3" xfId="24303"/>
    <cellStyle name="Input 9 3 5 2 4" xfId="24304"/>
    <cellStyle name="Input 9 3 6" xfId="24305"/>
    <cellStyle name="Input 9 3 6 2" xfId="24306"/>
    <cellStyle name="Input 9 3 6 2 2" xfId="24307"/>
    <cellStyle name="Input 9 3 6 2 2 2" xfId="24308"/>
    <cellStyle name="Input 9 3 6 2 2 3" xfId="24309"/>
    <cellStyle name="Input 9 3 6 2 3" xfId="24310"/>
    <cellStyle name="Input 9 3 6 2 4" xfId="24311"/>
    <cellStyle name="Input 9 3 7" xfId="24312"/>
    <cellStyle name="Input 9 3 7 2" xfId="24313"/>
    <cellStyle name="Input 9 3 7 2 2" xfId="24314"/>
    <cellStyle name="Input 9 3 7 2 2 2" xfId="24315"/>
    <cellStyle name="Input 9 3 7 2 2 3" xfId="24316"/>
    <cellStyle name="Input 9 3 7 2 3" xfId="24317"/>
    <cellStyle name="Input 9 3 7 2 4" xfId="24318"/>
    <cellStyle name="Input 9 3 8" xfId="24319"/>
    <cellStyle name="Input 9 3 8 2" xfId="24320"/>
    <cellStyle name="Input 9 3 8 2 2" xfId="24321"/>
    <cellStyle name="Input 9 3 8 2 2 2" xfId="24322"/>
    <cellStyle name="Input 9 3 8 2 2 3" xfId="24323"/>
    <cellStyle name="Input 9 3 8 2 3" xfId="24324"/>
    <cellStyle name="Input 9 3 8 2 4" xfId="24325"/>
    <cellStyle name="Input 9 3 9" xfId="24326"/>
    <cellStyle name="Input 9 3 9 2" xfId="24327"/>
    <cellStyle name="Input 9 3 9 2 2" xfId="24328"/>
    <cellStyle name="Input 9 3 9 2 3" xfId="24329"/>
    <cellStyle name="Input 9 3 9 3" xfId="24330"/>
    <cellStyle name="Input 9 3 9 4" xfId="24331"/>
    <cellStyle name="Input 9 4" xfId="24332"/>
    <cellStyle name="Input 9 4 2" xfId="24333"/>
    <cellStyle name="Input 9 4 2 2" xfId="24334"/>
    <cellStyle name="Input 9 4 2 2 2" xfId="24335"/>
    <cellStyle name="Input 9 4 2 2 2 2" xfId="24336"/>
    <cellStyle name="Input 9 4 2 2 2 3" xfId="24337"/>
    <cellStyle name="Input 9 4 2 2 3" xfId="24338"/>
    <cellStyle name="Input 9 4 2 2 4" xfId="24339"/>
    <cellStyle name="Input 9 4 3" xfId="24340"/>
    <cellStyle name="Input 9 4 3 2" xfId="24341"/>
    <cellStyle name="Input 9 4 3 2 2" xfId="24342"/>
    <cellStyle name="Input 9 4 3 2 2 2" xfId="24343"/>
    <cellStyle name="Input 9 4 3 2 2 3" xfId="24344"/>
    <cellStyle name="Input 9 4 3 2 3" xfId="24345"/>
    <cellStyle name="Input 9 4 3 2 4" xfId="24346"/>
    <cellStyle name="Input 9 4 4" xfId="24347"/>
    <cellStyle name="Input 9 4 4 2" xfId="24348"/>
    <cellStyle name="Input 9 4 4 2 2" xfId="24349"/>
    <cellStyle name="Input 9 4 4 2 2 2" xfId="24350"/>
    <cellStyle name="Input 9 4 4 2 2 3" xfId="24351"/>
    <cellStyle name="Input 9 4 4 2 3" xfId="24352"/>
    <cellStyle name="Input 9 4 4 2 4" xfId="24353"/>
    <cellStyle name="Input 9 4 5" xfId="24354"/>
    <cellStyle name="Input 9 4 5 2" xfId="24355"/>
    <cellStyle name="Input 9 4 5 2 2" xfId="24356"/>
    <cellStyle name="Input 9 4 5 2 2 2" xfId="24357"/>
    <cellStyle name="Input 9 4 5 2 2 3" xfId="24358"/>
    <cellStyle name="Input 9 4 5 2 3" xfId="24359"/>
    <cellStyle name="Input 9 4 5 2 4" xfId="24360"/>
    <cellStyle name="Input 9 4 6" xfId="24361"/>
    <cellStyle name="Input 9 4 6 2" xfId="24362"/>
    <cellStyle name="Input 9 4 6 2 2" xfId="24363"/>
    <cellStyle name="Input 9 4 6 2 2 2" xfId="24364"/>
    <cellStyle name="Input 9 4 6 2 2 3" xfId="24365"/>
    <cellStyle name="Input 9 4 6 2 3" xfId="24366"/>
    <cellStyle name="Input 9 4 6 2 4" xfId="24367"/>
    <cellStyle name="Input 9 4 7" xfId="24368"/>
    <cellStyle name="Input 9 4 7 2" xfId="24369"/>
    <cellStyle name="Input 9 4 7 2 2" xfId="24370"/>
    <cellStyle name="Input 9 4 7 2 2 2" xfId="24371"/>
    <cellStyle name="Input 9 4 7 2 2 3" xfId="24372"/>
    <cellStyle name="Input 9 4 7 2 3" xfId="24373"/>
    <cellStyle name="Input 9 4 7 2 4" xfId="24374"/>
    <cellStyle name="Input 9 4 8" xfId="24375"/>
    <cellStyle name="Input 9 4 8 2" xfId="24376"/>
    <cellStyle name="Input 9 4 8 2 2" xfId="24377"/>
    <cellStyle name="Input 9 4 8 2 2 2" xfId="24378"/>
    <cellStyle name="Input 9 4 8 2 2 3" xfId="24379"/>
    <cellStyle name="Input 9 4 8 2 3" xfId="24380"/>
    <cellStyle name="Input 9 4 8 2 4" xfId="24381"/>
    <cellStyle name="Input 9 4 9" xfId="24382"/>
    <cellStyle name="Input 9 4 9 2" xfId="24383"/>
    <cellStyle name="Input 9 4 9 2 2" xfId="24384"/>
    <cellStyle name="Input 9 4 9 2 3" xfId="24385"/>
    <cellStyle name="Input 9 4 9 3" xfId="24386"/>
    <cellStyle name="Input 9 4 9 4" xfId="24387"/>
    <cellStyle name="Input 9 5" xfId="24388"/>
    <cellStyle name="Input 9 5 2" xfId="24389"/>
    <cellStyle name="Input 9 5 2 2" xfId="24390"/>
    <cellStyle name="Input 9 5 2 2 2" xfId="24391"/>
    <cellStyle name="Input 9 5 2 2 2 2" xfId="24392"/>
    <cellStyle name="Input 9 5 2 2 2 3" xfId="24393"/>
    <cellStyle name="Input 9 5 2 2 3" xfId="24394"/>
    <cellStyle name="Input 9 5 2 2 4" xfId="24395"/>
    <cellStyle name="Input 9 5 3" xfId="24396"/>
    <cellStyle name="Input 9 5 3 2" xfId="24397"/>
    <cellStyle name="Input 9 5 3 2 2" xfId="24398"/>
    <cellStyle name="Input 9 5 3 2 2 2" xfId="24399"/>
    <cellStyle name="Input 9 5 3 2 2 3" xfId="24400"/>
    <cellStyle name="Input 9 5 3 2 3" xfId="24401"/>
    <cellStyle name="Input 9 5 3 2 4" xfId="24402"/>
    <cellStyle name="Input 9 5 4" xfId="24403"/>
    <cellStyle name="Input 9 5 4 2" xfId="24404"/>
    <cellStyle name="Input 9 5 4 2 2" xfId="24405"/>
    <cellStyle name="Input 9 5 4 2 2 2" xfId="24406"/>
    <cellStyle name="Input 9 5 4 2 2 3" xfId="24407"/>
    <cellStyle name="Input 9 5 4 2 3" xfId="24408"/>
    <cellStyle name="Input 9 5 4 2 4" xfId="24409"/>
    <cellStyle name="Input 9 5 5" xfId="24410"/>
    <cellStyle name="Input 9 5 5 2" xfId="24411"/>
    <cellStyle name="Input 9 5 5 2 2" xfId="24412"/>
    <cellStyle name="Input 9 5 5 2 2 2" xfId="24413"/>
    <cellStyle name="Input 9 5 5 2 2 3" xfId="24414"/>
    <cellStyle name="Input 9 5 5 2 3" xfId="24415"/>
    <cellStyle name="Input 9 5 5 2 4" xfId="24416"/>
    <cellStyle name="Input 9 5 6" xfId="24417"/>
    <cellStyle name="Input 9 5 6 2" xfId="24418"/>
    <cellStyle name="Input 9 5 6 2 2" xfId="24419"/>
    <cellStyle name="Input 9 5 6 2 2 2" xfId="24420"/>
    <cellStyle name="Input 9 5 6 2 2 3" xfId="24421"/>
    <cellStyle name="Input 9 5 6 2 3" xfId="24422"/>
    <cellStyle name="Input 9 5 6 2 4" xfId="24423"/>
    <cellStyle name="Input 9 5 7" xfId="24424"/>
    <cellStyle name="Input 9 5 7 2" xfId="24425"/>
    <cellStyle name="Input 9 5 7 2 2" xfId="24426"/>
    <cellStyle name="Input 9 5 7 2 2 2" xfId="24427"/>
    <cellStyle name="Input 9 5 7 2 2 3" xfId="24428"/>
    <cellStyle name="Input 9 5 7 2 3" xfId="24429"/>
    <cellStyle name="Input 9 5 7 2 4" xfId="24430"/>
    <cellStyle name="Input 9 5 8" xfId="24431"/>
    <cellStyle name="Input 9 5 8 2" xfId="24432"/>
    <cellStyle name="Input 9 5 8 2 2" xfId="24433"/>
    <cellStyle name="Input 9 5 8 2 2 2" xfId="24434"/>
    <cellStyle name="Input 9 5 8 2 2 3" xfId="24435"/>
    <cellStyle name="Input 9 5 8 2 3" xfId="24436"/>
    <cellStyle name="Input 9 5 8 2 4" xfId="24437"/>
    <cellStyle name="Input 9 5 9" xfId="24438"/>
    <cellStyle name="Input 9 5 9 2" xfId="24439"/>
    <cellStyle name="Input 9 5 9 2 2" xfId="24440"/>
    <cellStyle name="Input 9 5 9 2 3" xfId="24441"/>
    <cellStyle name="Input 9 5 9 3" xfId="24442"/>
    <cellStyle name="Input 9 5 9 4" xfId="24443"/>
    <cellStyle name="Input 9 6" xfId="24444"/>
    <cellStyle name="Input 9 6 2" xfId="24445"/>
    <cellStyle name="Input 9 6 2 2" xfId="24446"/>
    <cellStyle name="Input 9 6 2 2 2" xfId="24447"/>
    <cellStyle name="Input 9 6 2 2 2 2" xfId="24448"/>
    <cellStyle name="Input 9 6 2 2 2 3" xfId="24449"/>
    <cellStyle name="Input 9 6 2 2 3" xfId="24450"/>
    <cellStyle name="Input 9 6 2 2 4" xfId="24451"/>
    <cellStyle name="Input 9 6 3" xfId="24452"/>
    <cellStyle name="Input 9 6 3 2" xfId="24453"/>
    <cellStyle name="Input 9 6 3 2 2" xfId="24454"/>
    <cellStyle name="Input 9 6 3 2 2 2" xfId="24455"/>
    <cellStyle name="Input 9 6 3 2 2 3" xfId="24456"/>
    <cellStyle name="Input 9 6 3 2 3" xfId="24457"/>
    <cellStyle name="Input 9 6 3 2 4" xfId="24458"/>
    <cellStyle name="Input 9 6 4" xfId="24459"/>
    <cellStyle name="Input 9 6 4 2" xfId="24460"/>
    <cellStyle name="Input 9 6 4 2 2" xfId="24461"/>
    <cellStyle name="Input 9 6 4 2 2 2" xfId="24462"/>
    <cellStyle name="Input 9 6 4 2 2 3" xfId="24463"/>
    <cellStyle name="Input 9 6 4 2 3" xfId="24464"/>
    <cellStyle name="Input 9 6 4 2 4" xfId="24465"/>
    <cellStyle name="Input 9 6 5" xfId="24466"/>
    <cellStyle name="Input 9 6 5 2" xfId="24467"/>
    <cellStyle name="Input 9 6 5 2 2" xfId="24468"/>
    <cellStyle name="Input 9 6 5 2 2 2" xfId="24469"/>
    <cellStyle name="Input 9 6 5 2 2 3" xfId="24470"/>
    <cellStyle name="Input 9 6 5 2 3" xfId="24471"/>
    <cellStyle name="Input 9 6 5 2 4" xfId="24472"/>
    <cellStyle name="Input 9 6 6" xfId="24473"/>
    <cellStyle name="Input 9 6 6 2" xfId="24474"/>
    <cellStyle name="Input 9 6 6 2 2" xfId="24475"/>
    <cellStyle name="Input 9 6 6 2 2 2" xfId="24476"/>
    <cellStyle name="Input 9 6 6 2 2 3" xfId="24477"/>
    <cellStyle name="Input 9 6 6 2 3" xfId="24478"/>
    <cellStyle name="Input 9 6 6 2 4" xfId="24479"/>
    <cellStyle name="Input 9 6 7" xfId="24480"/>
    <cellStyle name="Input 9 6 7 2" xfId="24481"/>
    <cellStyle name="Input 9 6 7 2 2" xfId="24482"/>
    <cellStyle name="Input 9 6 7 2 2 2" xfId="24483"/>
    <cellStyle name="Input 9 6 7 2 2 3" xfId="24484"/>
    <cellStyle name="Input 9 6 7 2 3" xfId="24485"/>
    <cellStyle name="Input 9 6 7 2 4" xfId="24486"/>
    <cellStyle name="Input 9 6 8" xfId="24487"/>
    <cellStyle name="Input 9 6 8 2" xfId="24488"/>
    <cellStyle name="Input 9 6 8 2 2" xfId="24489"/>
    <cellStyle name="Input 9 6 8 2 2 2" xfId="24490"/>
    <cellStyle name="Input 9 6 8 2 2 3" xfId="24491"/>
    <cellStyle name="Input 9 6 8 2 3" xfId="24492"/>
    <cellStyle name="Input 9 6 8 2 4" xfId="24493"/>
    <cellStyle name="Input 9 6 9" xfId="24494"/>
    <cellStyle name="Input 9 6 9 2" xfId="24495"/>
    <cellStyle name="Input 9 6 9 2 2" xfId="24496"/>
    <cellStyle name="Input 9 6 9 2 3" xfId="24497"/>
    <cellStyle name="Input 9 6 9 3" xfId="24498"/>
    <cellStyle name="Input 9 6 9 4" xfId="24499"/>
    <cellStyle name="Input 9 7" xfId="24500"/>
    <cellStyle name="Input 9 7 2" xfId="24501"/>
    <cellStyle name="Input 9 7 2 2" xfId="24502"/>
    <cellStyle name="Input 9 7 2 2 2" xfId="24503"/>
    <cellStyle name="Input 9 7 2 2 3" xfId="24504"/>
    <cellStyle name="Input 9 7 2 3" xfId="24505"/>
    <cellStyle name="Input 9 7 2 4" xfId="24506"/>
    <cellStyle name="Input 9 8" xfId="24507"/>
    <cellStyle name="Input 9 8 2" xfId="24508"/>
    <cellStyle name="Input 9 8 2 2" xfId="24509"/>
    <cellStyle name="Input 9 8 2 2 2" xfId="24510"/>
    <cellStyle name="Input 9 8 2 2 3" xfId="24511"/>
    <cellStyle name="Input 9 8 2 3" xfId="24512"/>
    <cellStyle name="Input 9 8 2 4" xfId="24513"/>
    <cellStyle name="Input 9 9" xfId="24514"/>
    <cellStyle name="Input 9 9 2" xfId="24515"/>
    <cellStyle name="Input 9 9 2 2" xfId="24516"/>
    <cellStyle name="Input 9 9 2 3" xfId="24517"/>
    <cellStyle name="Input 9 9 3" xfId="24518"/>
    <cellStyle name="Input 9 9 4" xfId="24519"/>
    <cellStyle name="Input Currency" xfId="24520"/>
    <cellStyle name="Input Currency 2" xfId="24521"/>
    <cellStyle name="Input Currency_198102_15" xfId="24522"/>
    <cellStyle name="Input Multiple" xfId="24523"/>
    <cellStyle name="Input Percent" xfId="24524"/>
    <cellStyle name="InputKeepColour" xfId="24525"/>
    <cellStyle name="InputReset" xfId="24526"/>
    <cellStyle name="InputReset 2" xfId="24527"/>
    <cellStyle name="InputReset 3" xfId="24528"/>
    <cellStyle name="Inputs" xfId="24529"/>
    <cellStyle name="InputVariColour" xfId="24530"/>
    <cellStyle name="Integer" xfId="24531"/>
    <cellStyle name="Invisible" xfId="24532"/>
    <cellStyle name="ITAL1" xfId="24533"/>
    <cellStyle name="Item" xfId="24534"/>
    <cellStyle name="Item Descriptions" xfId="24535"/>
    <cellStyle name="Item Descriptions - Bold" xfId="24536"/>
    <cellStyle name="Item Descriptions_6079BX" xfId="24537"/>
    <cellStyle name="ItemTypeClass" xfId="24538"/>
    <cellStyle name="ItemTypeClass 2" xfId="24539"/>
    <cellStyle name="ItemTypeClass 2 2" xfId="24540"/>
    <cellStyle name="ItemTypeClass 2 2 2" xfId="24541"/>
    <cellStyle name="ItemTypeClass 2 2 3" xfId="24542"/>
    <cellStyle name="ItemTypeClass 2 3" xfId="24543"/>
    <cellStyle name="ItemTypeClass 2 4" xfId="24544"/>
    <cellStyle name="ItemTypeClass 3" xfId="24545"/>
    <cellStyle name="ItemTypeClass 4" xfId="24546"/>
    <cellStyle name="ItemTypeClass 5" xfId="24547"/>
    <cellStyle name="KP_Normal" xfId="24548"/>
    <cellStyle name="Label" xfId="24549"/>
    <cellStyle name="Lable8Left" xfId="24550"/>
    <cellStyle name="leftStyle" xfId="24551"/>
    <cellStyle name="leftStyle2" xfId="24552"/>
    <cellStyle name="LeftSubtitle" xfId="24553"/>
    <cellStyle name="Line" xfId="24554"/>
    <cellStyle name="Line Item Details Cell - PerformancePoint" xfId="24555"/>
    <cellStyle name="Line Item Details Cell - PerformancePoint 2" xfId="24556"/>
    <cellStyle name="Line Item Details Cell - PerformancePoint 2 2" xfId="24557"/>
    <cellStyle name="Line Item Details Cell - PerformancePoint 2 2 2" xfId="24558"/>
    <cellStyle name="Line Item Details Cell - PerformancePoint 2 2 2 2" xfId="24559"/>
    <cellStyle name="Line Item Details Cell - PerformancePoint 2 2 2 3" xfId="24560"/>
    <cellStyle name="Line Item Details Cell - PerformancePoint 2 2 2 4" xfId="24561"/>
    <cellStyle name="Line Item Details Cell - PerformancePoint 2 2 2 5" xfId="24562"/>
    <cellStyle name="Line Item Details Cell - PerformancePoint 2 2 3" xfId="24563"/>
    <cellStyle name="Line Item Details Cell - PerformancePoint 2 2 4" xfId="24564"/>
    <cellStyle name="Line Item Details Cell - PerformancePoint 2 2 5" xfId="24565"/>
    <cellStyle name="Line Item Details Cell - PerformancePoint 2 3" xfId="24566"/>
    <cellStyle name="Line Item Details Cell - PerformancePoint 2 4" xfId="24567"/>
    <cellStyle name="Line Item Details Cell - PerformancePoint 2 5" xfId="24568"/>
    <cellStyle name="Line Item Details Cell - PerformancePoint 2 6" xfId="24569"/>
    <cellStyle name="Line Item Details Cell - PerformancePoint 3" xfId="24570"/>
    <cellStyle name="Line Item Details Cell - PerformancePoint 4" xfId="24571"/>
    <cellStyle name="Line Item Details Cell - PerformancePoint 5" xfId="24572"/>
    <cellStyle name="Line Item Details Cell - PerformancePoint 6" xfId="24573"/>
    <cellStyle name="Linea_cero" xfId="24574"/>
    <cellStyle name="LineItemPrompt" xfId="24575"/>
    <cellStyle name="LineItemPrompt 2" xfId="24576"/>
    <cellStyle name="LineItemValue" xfId="24577"/>
    <cellStyle name="LineItemValue 2" xfId="24578"/>
    <cellStyle name="Link" xfId="24579"/>
    <cellStyle name="Link Currency (0)" xfId="24580"/>
    <cellStyle name="Link Currency (2)" xfId="24581"/>
    <cellStyle name="Link Units (0)" xfId="24582"/>
    <cellStyle name="Link Units (1)" xfId="24583"/>
    <cellStyle name="Link Units (2)" xfId="24584"/>
    <cellStyle name="Linked Cell" xfId="42820" builtinId="24" customBuiltin="1"/>
    <cellStyle name="Linked Cell 2" xfId="24585"/>
    <cellStyle name="Linked Cell 2 2" xfId="24586"/>
    <cellStyle name="Linked Cell 2 3" xfId="24587"/>
    <cellStyle name="Linked Cell 2 4" xfId="24588"/>
    <cellStyle name="Linked Cell 3" xfId="24589"/>
    <cellStyle name="Linked Cell 3 2" xfId="24590"/>
    <cellStyle name="Linked Cell 3 3" xfId="43070"/>
    <cellStyle name="Linked Cell 4" xfId="24591"/>
    <cellStyle name="Linked Cell 5" xfId="24592"/>
    <cellStyle name="lk" xfId="24593"/>
    <cellStyle name="LN" xfId="24594"/>
    <cellStyle name="Locked Cell - PerformancePoint" xfId="24595"/>
    <cellStyle name="Locked Cell - PerformancePoint 10" xfId="24596"/>
    <cellStyle name="Locked Cell - PerformancePoint 11" xfId="24597"/>
    <cellStyle name="Locked Cell - PerformancePoint 12" xfId="24598"/>
    <cellStyle name="Locked Cell - PerformancePoint 13" xfId="24599"/>
    <cellStyle name="Locked Cell - PerformancePoint 14" xfId="24600"/>
    <cellStyle name="Locked Cell - PerformancePoint 15" xfId="24601"/>
    <cellStyle name="Locked Cell - PerformancePoint 16" xfId="24602"/>
    <cellStyle name="Locked Cell - PerformancePoint 17" xfId="24603"/>
    <cellStyle name="Locked Cell - PerformancePoint 18" xfId="24604"/>
    <cellStyle name="Locked Cell - PerformancePoint 19" xfId="24605"/>
    <cellStyle name="Locked Cell - PerformancePoint 2" xfId="24606"/>
    <cellStyle name="Locked Cell - PerformancePoint 2 10" xfId="24607"/>
    <cellStyle name="Locked Cell - PerformancePoint 2 11" xfId="24608"/>
    <cellStyle name="Locked Cell - PerformancePoint 2 12" xfId="24609"/>
    <cellStyle name="Locked Cell - PerformancePoint 2 13" xfId="24610"/>
    <cellStyle name="Locked Cell - PerformancePoint 2 14" xfId="24611"/>
    <cellStyle name="Locked Cell - PerformancePoint 2 15" xfId="24612"/>
    <cellStyle name="Locked Cell - PerformancePoint 2 16" xfId="24613"/>
    <cellStyle name="Locked Cell - PerformancePoint 2 17" xfId="24614"/>
    <cellStyle name="Locked Cell - PerformancePoint 2 18" xfId="24615"/>
    <cellStyle name="Locked Cell - PerformancePoint 2 2" xfId="24616"/>
    <cellStyle name="Locked Cell - PerformancePoint 2 3" xfId="24617"/>
    <cellStyle name="Locked Cell - PerformancePoint 2 4" xfId="24618"/>
    <cellStyle name="Locked Cell - PerformancePoint 2 5" xfId="24619"/>
    <cellStyle name="Locked Cell - PerformancePoint 2 6" xfId="24620"/>
    <cellStyle name="Locked Cell - PerformancePoint 2 7" xfId="24621"/>
    <cellStyle name="Locked Cell - PerformancePoint 2 8" xfId="24622"/>
    <cellStyle name="Locked Cell - PerformancePoint 2 9" xfId="24623"/>
    <cellStyle name="Locked Cell - PerformancePoint 3" xfId="24624"/>
    <cellStyle name="Locked Cell - PerformancePoint 4" xfId="24625"/>
    <cellStyle name="Locked Cell - PerformancePoint 5" xfId="24626"/>
    <cellStyle name="Locked Cell - PerformancePoint 6" xfId="24627"/>
    <cellStyle name="Locked Cell - PerformancePoint 7" xfId="24628"/>
    <cellStyle name="Locked Cell - PerformancePoint 8" xfId="24629"/>
    <cellStyle name="Locked Cell - PerformancePoint 9" xfId="24630"/>
    <cellStyle name="Logo" xfId="24631"/>
    <cellStyle name="lou" xfId="24632"/>
    <cellStyle name="m" xfId="24633"/>
    <cellStyle name="m$" xfId="24634"/>
    <cellStyle name="m_Angola Congo Model3" xfId="24635"/>
    <cellStyle name="m_AOL_Model_Master" xfId="24636"/>
    <cellStyle name="m_CCRD-muse -2" xfId="24637"/>
    <cellStyle name="m_DCF-Valuation Support" xfId="24638"/>
    <cellStyle name="m_EarningsModel" xfId="24639"/>
    <cellStyle name="m_ICOS-INC" xfId="24640"/>
    <cellStyle name="m_ICOS-INC (2)" xfId="24641"/>
    <cellStyle name="m_Internal ACDO-TWP 12-6-01" xfId="24642"/>
    <cellStyle name="m_Merger Model16.xls Chart 1" xfId="24643"/>
    <cellStyle name="m_Merger Model34b" xfId="24644"/>
    <cellStyle name="m_Merx062402a" xfId="24645"/>
    <cellStyle name="m_Merx062402a1" xfId="24646"/>
    <cellStyle name="m_MKS 7.29 Valuation" xfId="24647"/>
    <cellStyle name="m_MKSI_combined" xfId="24648"/>
    <cellStyle name="m_MKSI_combined1" xfId="24649"/>
    <cellStyle name="m_MKSI-INC" xfId="24650"/>
    <cellStyle name="MacroHeader" xfId="24651"/>
    <cellStyle name="MacroHeader 2" xfId="24652"/>
    <cellStyle name="MacroHeader 3" xfId="24653"/>
    <cellStyle name="MacroHeader 4" xfId="24654"/>
    <cellStyle name="MacroHeader 5" xfId="24655"/>
    <cellStyle name="MacroHeader 6" xfId="24656"/>
    <cellStyle name="Map Labels" xfId="24657"/>
    <cellStyle name="Map Legend" xfId="24658"/>
    <cellStyle name="Map Title" xfId="24659"/>
    <cellStyle name="Migliaia (0)_Cartel3" xfId="24660"/>
    <cellStyle name="Migliaia_Foglio1" xfId="24661"/>
    <cellStyle name="mike" xfId="24662"/>
    <cellStyle name="mike%" xfId="24663"/>
    <cellStyle name="Millares_CARA9912-ULTIMO" xfId="24664"/>
    <cellStyle name="Milliers [0]_AR1194" xfId="24665"/>
    <cellStyle name="Milliers_000630 FR IP Core BP v1-3" xfId="24666"/>
    <cellStyle name="mm" xfId="24667"/>
    <cellStyle name="Monétaire [0]_AR1194" xfId="24668"/>
    <cellStyle name="Monétaire_AR1194" xfId="24669"/>
    <cellStyle name="MonthDate" xfId="24670"/>
    <cellStyle name="MSectionHeadings" xfId="24671"/>
    <cellStyle name="Mult No x" xfId="24672"/>
    <cellStyle name="Mult With x" xfId="24673"/>
    <cellStyle name="Multiple" xfId="24674"/>
    <cellStyle name="Multiple (no x)" xfId="24675"/>
    <cellStyle name="Multiple (x)" xfId="24676"/>
    <cellStyle name="Multiple [0]" xfId="24677"/>
    <cellStyle name="Multiple [1]" xfId="24678"/>
    <cellStyle name="Multiple_100048_1" xfId="24679"/>
    <cellStyle name="N Hrs" xfId="24680"/>
    <cellStyle name="N Hrs 2" xfId="24681"/>
    <cellStyle name="N Hrs 3" xfId="24682"/>
    <cellStyle name="Neutral" xfId="42816" builtinId="28" customBuiltin="1"/>
    <cellStyle name="Neutral 2" xfId="24683"/>
    <cellStyle name="Neutral 2 2" xfId="24684"/>
    <cellStyle name="Neutral 2 3" xfId="24685"/>
    <cellStyle name="Neutral 2 4" xfId="24686"/>
    <cellStyle name="Neutral 3" xfId="24687"/>
    <cellStyle name="Neutral 3 2" xfId="43071"/>
    <cellStyle name="Neutral 4" xfId="24688"/>
    <cellStyle name="Neutral 5" xfId="24689"/>
    <cellStyle name="NewColumnHeaderNormal" xfId="24690"/>
    <cellStyle name="NewSectionHeaderNormal" xfId="24691"/>
    <cellStyle name="NewTitleNormal" xfId="24692"/>
    <cellStyle name="NN.N%" xfId="24693"/>
    <cellStyle name="No Comma" xfId="24694"/>
    <cellStyle name="no dec" xfId="24695"/>
    <cellStyle name="nonmultiple" xfId="24696"/>
    <cellStyle name="Noríal_silicon_object_tcsi" xfId="24697"/>
    <cellStyle name="Normal" xfId="0" builtinId="0"/>
    <cellStyle name="Normal - Style1" xfId="24698"/>
    <cellStyle name="Normal - Style1 2" xfId="24699"/>
    <cellStyle name="Normal - Style1 3" xfId="24700"/>
    <cellStyle name="Normal - Style1 4" xfId="24701"/>
    <cellStyle name="Normal - Style1 5" xfId="24702"/>
    <cellStyle name="Normal - Style1 6" xfId="24703"/>
    <cellStyle name="Normal - Style2" xfId="12"/>
    <cellStyle name="Normal - Style2 2" xfId="24704"/>
    <cellStyle name="Normal - Style3" xfId="24705"/>
    <cellStyle name="Normal - Style4" xfId="24706"/>
    <cellStyle name="Normal - Style5" xfId="24707"/>
    <cellStyle name="Normal - Style6" xfId="24708"/>
    <cellStyle name="Normal - Style7" xfId="24709"/>
    <cellStyle name="Normal - Style8" xfId="24710"/>
    <cellStyle name="Normal - Style8 10" xfId="24711"/>
    <cellStyle name="Normal - Style8 11" xfId="24712"/>
    <cellStyle name="Normal - Style8 2" xfId="24713"/>
    <cellStyle name="Normal - Style8 2 2" xfId="24714"/>
    <cellStyle name="Normal - Style8 2 3" xfId="24715"/>
    <cellStyle name="Normal - Style8 2 4" xfId="24716"/>
    <cellStyle name="Normal - Style8 2 5" xfId="24717"/>
    <cellStyle name="Normal - Style8 2 6" xfId="24718"/>
    <cellStyle name="Normal - Style8 2 7" xfId="24719"/>
    <cellStyle name="Normal - Style8 2 8" xfId="24720"/>
    <cellStyle name="Normal - Style8 2 9" xfId="24721"/>
    <cellStyle name="Normal - Style8 3" xfId="24722"/>
    <cellStyle name="Normal - Style8 4" xfId="24723"/>
    <cellStyle name="Normal - Style8 5" xfId="24724"/>
    <cellStyle name="Normal - Style8 6" xfId="24725"/>
    <cellStyle name="Normal - Style8 7" xfId="24726"/>
    <cellStyle name="Normal - Style8 8" xfId="24727"/>
    <cellStyle name="Normal - Style8 9" xfId="24728"/>
    <cellStyle name="Normal [0]" xfId="24729"/>
    <cellStyle name="Normal [1]" xfId="24730"/>
    <cellStyle name="Normal [2]" xfId="24731"/>
    <cellStyle name="Normal [3]" xfId="24732"/>
    <cellStyle name="Normal 10" xfId="24733"/>
    <cellStyle name="Normal 10 10" xfId="24734"/>
    <cellStyle name="Normal 10 10 2" xfId="24735"/>
    <cellStyle name="Normal 10 10 3" xfId="24736"/>
    <cellStyle name="Normal 10 11" xfId="24737"/>
    <cellStyle name="Normal 10 11 2" xfId="24738"/>
    <cellStyle name="Normal 10 11 3" xfId="24739"/>
    <cellStyle name="Normal 10 12" xfId="24740"/>
    <cellStyle name="Normal 10 13" xfId="24741"/>
    <cellStyle name="Normal 10 2" xfId="15"/>
    <cellStyle name="Normal 10 2 2" xfId="24742"/>
    <cellStyle name="Normal 10 2 2 2" xfId="24743"/>
    <cellStyle name="Normal 10 2 2 2 2" xfId="24744"/>
    <cellStyle name="Normal 10 2 2 2 2 2" xfId="24745"/>
    <cellStyle name="Normal 10 2 2 2 2 2 2" xfId="24746"/>
    <cellStyle name="Normal 10 2 2 2 2 2 2 2" xfId="24747"/>
    <cellStyle name="Normal 10 2 2 2 2 2 2 3" xfId="24748"/>
    <cellStyle name="Normal 10 2 2 2 2 2 3" xfId="24749"/>
    <cellStyle name="Normal 10 2 2 2 2 2 3 2" xfId="24750"/>
    <cellStyle name="Normal 10 2 2 2 2 2 3 3" xfId="24751"/>
    <cellStyle name="Normal 10 2 2 2 2 2 4" xfId="24752"/>
    <cellStyle name="Normal 10 2 2 2 2 2 5" xfId="24753"/>
    <cellStyle name="Normal 10 2 2 2 2 3" xfId="24754"/>
    <cellStyle name="Normal 10 2 2 2 2 3 2" xfId="24755"/>
    <cellStyle name="Normal 10 2 2 2 2 3 2 2" xfId="24756"/>
    <cellStyle name="Normal 10 2 2 2 2 3 2 3" xfId="24757"/>
    <cellStyle name="Normal 10 2 2 2 2 3 3" xfId="24758"/>
    <cellStyle name="Normal 10 2 2 2 2 3 3 2" xfId="24759"/>
    <cellStyle name="Normal 10 2 2 2 2 3 3 3" xfId="24760"/>
    <cellStyle name="Normal 10 2 2 2 2 3 4" xfId="24761"/>
    <cellStyle name="Normal 10 2 2 2 2 3 5" xfId="24762"/>
    <cellStyle name="Normal 10 2 2 2 2 4" xfId="24763"/>
    <cellStyle name="Normal 10 2 2 2 2 4 2" xfId="24764"/>
    <cellStyle name="Normal 10 2 2 2 2 4 3" xfId="24765"/>
    <cellStyle name="Normal 10 2 2 2 2 5" xfId="24766"/>
    <cellStyle name="Normal 10 2 2 2 2 5 2" xfId="24767"/>
    <cellStyle name="Normal 10 2 2 2 2 5 3" xfId="24768"/>
    <cellStyle name="Normal 10 2 2 2 2 6" xfId="24769"/>
    <cellStyle name="Normal 10 2 2 2 2 7" xfId="24770"/>
    <cellStyle name="Normal 10 2 2 2 3" xfId="24771"/>
    <cellStyle name="Normal 10 2 2 2 3 2" xfId="24772"/>
    <cellStyle name="Normal 10 2 2 2 3 2 2" xfId="24773"/>
    <cellStyle name="Normal 10 2 2 2 3 2 2 2" xfId="24774"/>
    <cellStyle name="Normal 10 2 2 2 3 2 2 3" xfId="24775"/>
    <cellStyle name="Normal 10 2 2 2 3 2 3" xfId="24776"/>
    <cellStyle name="Normal 10 2 2 2 3 2 3 2" xfId="24777"/>
    <cellStyle name="Normal 10 2 2 2 3 2 3 3" xfId="24778"/>
    <cellStyle name="Normal 10 2 2 2 3 2 4" xfId="24779"/>
    <cellStyle name="Normal 10 2 2 2 3 2 5" xfId="24780"/>
    <cellStyle name="Normal 10 2 2 2 3 3" xfId="24781"/>
    <cellStyle name="Normal 10 2 2 2 3 3 2" xfId="24782"/>
    <cellStyle name="Normal 10 2 2 2 3 3 2 2" xfId="24783"/>
    <cellStyle name="Normal 10 2 2 2 3 3 2 3" xfId="24784"/>
    <cellStyle name="Normal 10 2 2 2 3 3 3" xfId="24785"/>
    <cellStyle name="Normal 10 2 2 2 3 3 3 2" xfId="24786"/>
    <cellStyle name="Normal 10 2 2 2 3 3 3 3" xfId="24787"/>
    <cellStyle name="Normal 10 2 2 2 3 3 4" xfId="24788"/>
    <cellStyle name="Normal 10 2 2 2 3 3 5" xfId="24789"/>
    <cellStyle name="Normal 10 2 2 2 3 4" xfId="24790"/>
    <cellStyle name="Normal 10 2 2 2 3 4 2" xfId="24791"/>
    <cellStyle name="Normal 10 2 2 2 3 4 3" xfId="24792"/>
    <cellStyle name="Normal 10 2 2 2 3 5" xfId="24793"/>
    <cellStyle name="Normal 10 2 2 2 3 5 2" xfId="24794"/>
    <cellStyle name="Normal 10 2 2 2 3 5 3" xfId="24795"/>
    <cellStyle name="Normal 10 2 2 2 3 6" xfId="24796"/>
    <cellStyle name="Normal 10 2 2 2 3 7" xfId="24797"/>
    <cellStyle name="Normal 10 2 2 2 4" xfId="24798"/>
    <cellStyle name="Normal 10 2 2 2 4 2" xfId="24799"/>
    <cellStyle name="Normal 10 2 2 2 4 2 2" xfId="24800"/>
    <cellStyle name="Normal 10 2 2 2 4 2 3" xfId="24801"/>
    <cellStyle name="Normal 10 2 2 2 4 3" xfId="24802"/>
    <cellStyle name="Normal 10 2 2 2 4 3 2" xfId="24803"/>
    <cellStyle name="Normal 10 2 2 2 4 3 3" xfId="24804"/>
    <cellStyle name="Normal 10 2 2 2 4 4" xfId="24805"/>
    <cellStyle name="Normal 10 2 2 2 4 5" xfId="24806"/>
    <cellStyle name="Normal 10 2 2 2 5" xfId="24807"/>
    <cellStyle name="Normal 10 2 2 2 5 2" xfId="24808"/>
    <cellStyle name="Normal 10 2 2 2 5 2 2" xfId="24809"/>
    <cellStyle name="Normal 10 2 2 2 5 2 3" xfId="24810"/>
    <cellStyle name="Normal 10 2 2 2 5 3" xfId="24811"/>
    <cellStyle name="Normal 10 2 2 2 5 3 2" xfId="24812"/>
    <cellStyle name="Normal 10 2 2 2 5 3 3" xfId="24813"/>
    <cellStyle name="Normal 10 2 2 2 5 4" xfId="24814"/>
    <cellStyle name="Normal 10 2 2 2 5 5" xfId="24815"/>
    <cellStyle name="Normal 10 2 2 2 6" xfId="24816"/>
    <cellStyle name="Normal 10 2 2 2 6 2" xfId="24817"/>
    <cellStyle name="Normal 10 2 2 2 6 3" xfId="24818"/>
    <cellStyle name="Normal 10 2 2 2 7" xfId="24819"/>
    <cellStyle name="Normal 10 2 2 2 7 2" xfId="24820"/>
    <cellStyle name="Normal 10 2 2 2 7 3" xfId="24821"/>
    <cellStyle name="Normal 10 2 2 2 8" xfId="24822"/>
    <cellStyle name="Normal 10 2 2 2 9" xfId="24823"/>
    <cellStyle name="Normal 10 2 3" xfId="24824"/>
    <cellStyle name="Normal 10 2 3 2" xfId="24825"/>
    <cellStyle name="Normal 10 2 3 2 2" xfId="24826"/>
    <cellStyle name="Normal 10 2 3 2 2 2" xfId="24827"/>
    <cellStyle name="Normal 10 2 3 2 2 2 2" xfId="24828"/>
    <cellStyle name="Normal 10 2 3 2 2 2 3" xfId="24829"/>
    <cellStyle name="Normal 10 2 3 2 2 3" xfId="24830"/>
    <cellStyle name="Normal 10 2 3 2 2 3 2" xfId="24831"/>
    <cellStyle name="Normal 10 2 3 2 2 3 3" xfId="24832"/>
    <cellStyle name="Normal 10 2 3 2 2 4" xfId="24833"/>
    <cellStyle name="Normal 10 2 3 2 2 5" xfId="24834"/>
    <cellStyle name="Normal 10 2 3 2 3" xfId="24835"/>
    <cellStyle name="Normal 10 2 3 2 3 2" xfId="24836"/>
    <cellStyle name="Normal 10 2 3 2 3 2 2" xfId="24837"/>
    <cellStyle name="Normal 10 2 3 2 3 2 3" xfId="24838"/>
    <cellStyle name="Normal 10 2 3 2 3 3" xfId="24839"/>
    <cellStyle name="Normal 10 2 3 2 3 3 2" xfId="24840"/>
    <cellStyle name="Normal 10 2 3 2 3 3 3" xfId="24841"/>
    <cellStyle name="Normal 10 2 3 2 3 4" xfId="24842"/>
    <cellStyle name="Normal 10 2 3 2 3 5" xfId="24843"/>
    <cellStyle name="Normal 10 2 3 2 4" xfId="24844"/>
    <cellStyle name="Normal 10 2 3 2 4 2" xfId="24845"/>
    <cellStyle name="Normal 10 2 3 2 4 3" xfId="24846"/>
    <cellStyle name="Normal 10 2 3 2 5" xfId="24847"/>
    <cellStyle name="Normal 10 2 3 2 5 2" xfId="24848"/>
    <cellStyle name="Normal 10 2 3 2 5 3" xfId="24849"/>
    <cellStyle name="Normal 10 2 3 2 6" xfId="24850"/>
    <cellStyle name="Normal 10 2 3 2 7" xfId="24851"/>
    <cellStyle name="Normal 10 2 3 3" xfId="24852"/>
    <cellStyle name="Normal 10 2 3 3 2" xfId="24853"/>
    <cellStyle name="Normal 10 2 3 3 2 2" xfId="24854"/>
    <cellStyle name="Normal 10 2 3 3 2 2 2" xfId="24855"/>
    <cellStyle name="Normal 10 2 3 3 2 2 3" xfId="24856"/>
    <cellStyle name="Normal 10 2 3 3 2 3" xfId="24857"/>
    <cellStyle name="Normal 10 2 3 3 2 3 2" xfId="24858"/>
    <cellStyle name="Normal 10 2 3 3 2 3 3" xfId="24859"/>
    <cellStyle name="Normal 10 2 3 3 2 4" xfId="24860"/>
    <cellStyle name="Normal 10 2 3 3 2 5" xfId="24861"/>
    <cellStyle name="Normal 10 2 3 3 3" xfId="24862"/>
    <cellStyle name="Normal 10 2 3 3 3 2" xfId="24863"/>
    <cellStyle name="Normal 10 2 3 3 3 2 2" xfId="24864"/>
    <cellStyle name="Normal 10 2 3 3 3 2 3" xfId="24865"/>
    <cellStyle name="Normal 10 2 3 3 3 3" xfId="24866"/>
    <cellStyle name="Normal 10 2 3 3 3 3 2" xfId="24867"/>
    <cellStyle name="Normal 10 2 3 3 3 3 3" xfId="24868"/>
    <cellStyle name="Normal 10 2 3 3 3 4" xfId="24869"/>
    <cellStyle name="Normal 10 2 3 3 3 5" xfId="24870"/>
    <cellStyle name="Normal 10 2 3 3 4" xfId="24871"/>
    <cellStyle name="Normal 10 2 3 3 4 2" xfId="24872"/>
    <cellStyle name="Normal 10 2 3 3 4 3" xfId="24873"/>
    <cellStyle name="Normal 10 2 3 3 5" xfId="24874"/>
    <cellStyle name="Normal 10 2 3 3 5 2" xfId="24875"/>
    <cellStyle name="Normal 10 2 3 3 5 3" xfId="24876"/>
    <cellStyle name="Normal 10 2 3 3 6" xfId="24877"/>
    <cellStyle name="Normal 10 2 3 3 7" xfId="24878"/>
    <cellStyle name="Normal 10 2 3 4" xfId="24879"/>
    <cellStyle name="Normal 10 2 3 4 2" xfId="24880"/>
    <cellStyle name="Normal 10 2 3 4 2 2" xfId="24881"/>
    <cellStyle name="Normal 10 2 3 4 2 3" xfId="24882"/>
    <cellStyle name="Normal 10 2 3 4 3" xfId="24883"/>
    <cellStyle name="Normal 10 2 3 4 3 2" xfId="24884"/>
    <cellStyle name="Normal 10 2 3 4 3 3" xfId="24885"/>
    <cellStyle name="Normal 10 2 3 4 4" xfId="24886"/>
    <cellStyle name="Normal 10 2 3 4 5" xfId="24887"/>
    <cellStyle name="Normal 10 2 3 5" xfId="24888"/>
    <cellStyle name="Normal 10 2 3 5 2" xfId="24889"/>
    <cellStyle name="Normal 10 2 3 5 2 2" xfId="24890"/>
    <cellStyle name="Normal 10 2 3 5 2 3" xfId="24891"/>
    <cellStyle name="Normal 10 2 3 5 3" xfId="24892"/>
    <cellStyle name="Normal 10 2 3 5 3 2" xfId="24893"/>
    <cellStyle name="Normal 10 2 3 5 3 3" xfId="24894"/>
    <cellStyle name="Normal 10 2 3 5 4" xfId="24895"/>
    <cellStyle name="Normal 10 2 3 5 5" xfId="24896"/>
    <cellStyle name="Normal 10 2 3 6" xfId="24897"/>
    <cellStyle name="Normal 10 2 3 6 2" xfId="24898"/>
    <cellStyle name="Normal 10 2 3 6 3" xfId="24899"/>
    <cellStyle name="Normal 10 2 3 7" xfId="24900"/>
    <cellStyle name="Normal 10 2 3 7 2" xfId="24901"/>
    <cellStyle name="Normal 10 2 3 7 3" xfId="24902"/>
    <cellStyle name="Normal 10 2 3 8" xfId="24903"/>
    <cellStyle name="Normal 10 2 3 9" xfId="24904"/>
    <cellStyle name="Normal 10 3" xfId="24905"/>
    <cellStyle name="Normal 10 3 2" xfId="24906"/>
    <cellStyle name="Normal 10 3 2 2" xfId="24907"/>
    <cellStyle name="Normal 10 3 2 2 2" xfId="24908"/>
    <cellStyle name="Normal 10 3 2 2 2 2" xfId="24909"/>
    <cellStyle name="Normal 10 3 2 2 2 2 2" xfId="24910"/>
    <cellStyle name="Normal 10 3 2 2 2 2 3" xfId="24911"/>
    <cellStyle name="Normal 10 3 2 2 2 3" xfId="24912"/>
    <cellStyle name="Normal 10 3 2 2 2 3 2" xfId="24913"/>
    <cellStyle name="Normal 10 3 2 2 2 3 3" xfId="24914"/>
    <cellStyle name="Normal 10 3 2 2 2 4" xfId="24915"/>
    <cellStyle name="Normal 10 3 2 2 2 5" xfId="24916"/>
    <cellStyle name="Normal 10 3 2 2 3" xfId="24917"/>
    <cellStyle name="Normal 10 3 2 2 3 2" xfId="24918"/>
    <cellStyle name="Normal 10 3 2 2 3 2 2" xfId="24919"/>
    <cellStyle name="Normal 10 3 2 2 3 2 3" xfId="24920"/>
    <cellStyle name="Normal 10 3 2 2 3 3" xfId="24921"/>
    <cellStyle name="Normal 10 3 2 2 3 3 2" xfId="24922"/>
    <cellStyle name="Normal 10 3 2 2 3 3 3" xfId="24923"/>
    <cellStyle name="Normal 10 3 2 2 3 4" xfId="24924"/>
    <cellStyle name="Normal 10 3 2 2 3 5" xfId="24925"/>
    <cellStyle name="Normal 10 3 2 2 4" xfId="24926"/>
    <cellStyle name="Normal 10 3 2 2 4 2" xfId="24927"/>
    <cellStyle name="Normal 10 3 2 2 4 3" xfId="24928"/>
    <cellStyle name="Normal 10 3 2 2 5" xfId="24929"/>
    <cellStyle name="Normal 10 3 2 2 5 2" xfId="24930"/>
    <cellStyle name="Normal 10 3 2 2 5 3" xfId="24931"/>
    <cellStyle name="Normal 10 3 2 2 6" xfId="24932"/>
    <cellStyle name="Normal 10 3 2 2 7" xfId="24933"/>
    <cellStyle name="Normal 10 3 2 3" xfId="24934"/>
    <cellStyle name="Normal 10 3 2 3 2" xfId="24935"/>
    <cellStyle name="Normal 10 3 2 3 2 2" xfId="24936"/>
    <cellStyle name="Normal 10 3 2 3 2 2 2" xfId="24937"/>
    <cellStyle name="Normal 10 3 2 3 2 2 3" xfId="24938"/>
    <cellStyle name="Normal 10 3 2 3 2 3" xfId="24939"/>
    <cellStyle name="Normal 10 3 2 3 2 3 2" xfId="24940"/>
    <cellStyle name="Normal 10 3 2 3 2 3 3" xfId="24941"/>
    <cellStyle name="Normal 10 3 2 3 2 4" xfId="24942"/>
    <cellStyle name="Normal 10 3 2 3 2 5" xfId="24943"/>
    <cellStyle name="Normal 10 3 2 3 3" xfId="24944"/>
    <cellStyle name="Normal 10 3 2 3 3 2" xfId="24945"/>
    <cellStyle name="Normal 10 3 2 3 3 2 2" xfId="24946"/>
    <cellStyle name="Normal 10 3 2 3 3 2 3" xfId="24947"/>
    <cellStyle name="Normal 10 3 2 3 3 3" xfId="24948"/>
    <cellStyle name="Normal 10 3 2 3 3 3 2" xfId="24949"/>
    <cellStyle name="Normal 10 3 2 3 3 3 3" xfId="24950"/>
    <cellStyle name="Normal 10 3 2 3 3 4" xfId="24951"/>
    <cellStyle name="Normal 10 3 2 3 3 5" xfId="24952"/>
    <cellStyle name="Normal 10 3 2 3 4" xfId="24953"/>
    <cellStyle name="Normal 10 3 2 3 4 2" xfId="24954"/>
    <cellStyle name="Normal 10 3 2 3 4 3" xfId="24955"/>
    <cellStyle name="Normal 10 3 2 3 5" xfId="24956"/>
    <cellStyle name="Normal 10 3 2 3 5 2" xfId="24957"/>
    <cellStyle name="Normal 10 3 2 3 5 3" xfId="24958"/>
    <cellStyle name="Normal 10 3 2 3 6" xfId="24959"/>
    <cellStyle name="Normal 10 3 2 3 7" xfId="24960"/>
    <cellStyle name="Normal 10 3 2 4" xfId="24961"/>
    <cellStyle name="Normal 10 3 2 4 2" xfId="24962"/>
    <cellStyle name="Normal 10 3 2 4 2 2" xfId="24963"/>
    <cellStyle name="Normal 10 3 2 4 2 3" xfId="24964"/>
    <cellStyle name="Normal 10 3 2 4 3" xfId="24965"/>
    <cellStyle name="Normal 10 3 2 4 3 2" xfId="24966"/>
    <cellStyle name="Normal 10 3 2 4 3 3" xfId="24967"/>
    <cellStyle name="Normal 10 3 2 4 4" xfId="24968"/>
    <cellStyle name="Normal 10 3 2 4 5" xfId="24969"/>
    <cellStyle name="Normal 10 3 2 5" xfId="24970"/>
    <cellStyle name="Normal 10 3 2 5 2" xfId="24971"/>
    <cellStyle name="Normal 10 3 2 5 2 2" xfId="24972"/>
    <cellStyle name="Normal 10 3 2 5 2 3" xfId="24973"/>
    <cellStyle name="Normal 10 3 2 5 3" xfId="24974"/>
    <cellStyle name="Normal 10 3 2 5 3 2" xfId="24975"/>
    <cellStyle name="Normal 10 3 2 5 3 3" xfId="24976"/>
    <cellStyle name="Normal 10 3 2 5 4" xfId="24977"/>
    <cellStyle name="Normal 10 3 2 5 5" xfId="24978"/>
    <cellStyle name="Normal 10 3 2 6" xfId="24979"/>
    <cellStyle name="Normal 10 3 2 6 2" xfId="24980"/>
    <cellStyle name="Normal 10 3 2 6 3" xfId="24981"/>
    <cellStyle name="Normal 10 3 2 7" xfId="24982"/>
    <cellStyle name="Normal 10 3 2 7 2" xfId="24983"/>
    <cellStyle name="Normal 10 3 2 7 3" xfId="24984"/>
    <cellStyle name="Normal 10 3 2 8" xfId="24985"/>
    <cellStyle name="Normal 10 3 2 9" xfId="24986"/>
    <cellStyle name="Normal 10 4" xfId="24987"/>
    <cellStyle name="Normal 10 4 2" xfId="24988"/>
    <cellStyle name="Normal 10 4 2 2" xfId="24989"/>
    <cellStyle name="Normal 10 4 2 2 2" xfId="24990"/>
    <cellStyle name="Normal 10 4 2 2 2 2" xfId="24991"/>
    <cellStyle name="Normal 10 4 2 2 2 3" xfId="24992"/>
    <cellStyle name="Normal 10 4 2 2 3" xfId="24993"/>
    <cellStyle name="Normal 10 4 2 2 3 2" xfId="24994"/>
    <cellStyle name="Normal 10 4 2 2 3 3" xfId="24995"/>
    <cellStyle name="Normal 10 4 2 2 4" xfId="24996"/>
    <cellStyle name="Normal 10 4 2 2 5" xfId="24997"/>
    <cellStyle name="Normal 10 4 2 3" xfId="24998"/>
    <cellStyle name="Normal 10 4 2 3 2" xfId="24999"/>
    <cellStyle name="Normal 10 4 2 3 2 2" xfId="25000"/>
    <cellStyle name="Normal 10 4 2 3 2 3" xfId="25001"/>
    <cellStyle name="Normal 10 4 2 3 3" xfId="25002"/>
    <cellStyle name="Normal 10 4 2 3 3 2" xfId="25003"/>
    <cellStyle name="Normal 10 4 2 3 3 3" xfId="25004"/>
    <cellStyle name="Normal 10 4 2 3 4" xfId="25005"/>
    <cellStyle name="Normal 10 4 2 3 5" xfId="25006"/>
    <cellStyle name="Normal 10 4 2 4" xfId="25007"/>
    <cellStyle name="Normal 10 4 2 4 2" xfId="25008"/>
    <cellStyle name="Normal 10 4 2 4 3" xfId="25009"/>
    <cellStyle name="Normal 10 4 2 5" xfId="25010"/>
    <cellStyle name="Normal 10 4 2 5 2" xfId="25011"/>
    <cellStyle name="Normal 10 4 2 5 3" xfId="25012"/>
    <cellStyle name="Normal 10 4 2 6" xfId="25013"/>
    <cellStyle name="Normal 10 4 2 7" xfId="25014"/>
    <cellStyle name="Normal 10 4 3" xfId="25015"/>
    <cellStyle name="Normal 10 4 3 2" xfId="25016"/>
    <cellStyle name="Normal 10 4 3 2 2" xfId="25017"/>
    <cellStyle name="Normal 10 4 3 2 2 2" xfId="25018"/>
    <cellStyle name="Normal 10 4 3 2 2 3" xfId="25019"/>
    <cellStyle name="Normal 10 4 3 2 3" xfId="25020"/>
    <cellStyle name="Normal 10 4 3 2 3 2" xfId="25021"/>
    <cellStyle name="Normal 10 4 3 2 3 3" xfId="25022"/>
    <cellStyle name="Normal 10 4 3 2 4" xfId="25023"/>
    <cellStyle name="Normal 10 4 3 2 5" xfId="25024"/>
    <cellStyle name="Normal 10 4 3 3" xfId="25025"/>
    <cellStyle name="Normal 10 4 3 3 2" xfId="25026"/>
    <cellStyle name="Normal 10 4 3 3 2 2" xfId="25027"/>
    <cellStyle name="Normal 10 4 3 3 2 3" xfId="25028"/>
    <cellStyle name="Normal 10 4 3 3 3" xfId="25029"/>
    <cellStyle name="Normal 10 4 3 3 3 2" xfId="25030"/>
    <cellStyle name="Normal 10 4 3 3 3 3" xfId="25031"/>
    <cellStyle name="Normal 10 4 3 3 4" xfId="25032"/>
    <cellStyle name="Normal 10 4 3 3 5" xfId="25033"/>
    <cellStyle name="Normal 10 4 3 4" xfId="25034"/>
    <cellStyle name="Normal 10 4 3 4 2" xfId="25035"/>
    <cellStyle name="Normal 10 4 3 4 3" xfId="25036"/>
    <cellStyle name="Normal 10 4 3 5" xfId="25037"/>
    <cellStyle name="Normal 10 4 3 5 2" xfId="25038"/>
    <cellStyle name="Normal 10 4 3 5 3" xfId="25039"/>
    <cellStyle name="Normal 10 4 3 6" xfId="25040"/>
    <cellStyle name="Normal 10 4 3 7" xfId="25041"/>
    <cellStyle name="Normal 10 4 4" xfId="25042"/>
    <cellStyle name="Normal 10 4 4 2" xfId="25043"/>
    <cellStyle name="Normal 10 4 4 2 2" xfId="25044"/>
    <cellStyle name="Normal 10 4 4 2 3" xfId="25045"/>
    <cellStyle name="Normal 10 4 4 3" xfId="25046"/>
    <cellStyle name="Normal 10 4 4 3 2" xfId="25047"/>
    <cellStyle name="Normal 10 4 4 3 3" xfId="25048"/>
    <cellStyle name="Normal 10 4 4 4" xfId="25049"/>
    <cellStyle name="Normal 10 4 4 5" xfId="25050"/>
    <cellStyle name="Normal 10 4 5" xfId="25051"/>
    <cellStyle name="Normal 10 4 5 2" xfId="25052"/>
    <cellStyle name="Normal 10 4 5 2 2" xfId="25053"/>
    <cellStyle name="Normal 10 4 5 2 3" xfId="25054"/>
    <cellStyle name="Normal 10 4 5 3" xfId="25055"/>
    <cellStyle name="Normal 10 4 5 3 2" xfId="25056"/>
    <cellStyle name="Normal 10 4 5 3 3" xfId="25057"/>
    <cellStyle name="Normal 10 4 5 4" xfId="25058"/>
    <cellStyle name="Normal 10 4 5 5" xfId="25059"/>
    <cellStyle name="Normal 10 4 6" xfId="25060"/>
    <cellStyle name="Normal 10 4 6 2" xfId="25061"/>
    <cellStyle name="Normal 10 4 6 3" xfId="25062"/>
    <cellStyle name="Normal 10 4 7" xfId="25063"/>
    <cellStyle name="Normal 10 4 7 2" xfId="25064"/>
    <cellStyle name="Normal 10 4 7 3" xfId="25065"/>
    <cellStyle name="Normal 10 4 8" xfId="25066"/>
    <cellStyle name="Normal 10 4 9" xfId="25067"/>
    <cellStyle name="Normal 10 5" xfId="25068"/>
    <cellStyle name="Normal 10 5 2" xfId="25069"/>
    <cellStyle name="Normal 10 5 2 2" xfId="25070"/>
    <cellStyle name="Normal 10 5 2 2 2" xfId="25071"/>
    <cellStyle name="Normal 10 5 2 2 2 2" xfId="25072"/>
    <cellStyle name="Normal 10 5 2 2 2 3" xfId="25073"/>
    <cellStyle name="Normal 10 5 2 2 3" xfId="25074"/>
    <cellStyle name="Normal 10 5 2 2 3 2" xfId="25075"/>
    <cellStyle name="Normal 10 5 2 2 3 3" xfId="25076"/>
    <cellStyle name="Normal 10 5 2 2 4" xfId="25077"/>
    <cellStyle name="Normal 10 5 2 2 5" xfId="25078"/>
    <cellStyle name="Normal 10 5 2 3" xfId="25079"/>
    <cellStyle name="Normal 10 5 2 3 2" xfId="25080"/>
    <cellStyle name="Normal 10 5 2 3 2 2" xfId="25081"/>
    <cellStyle name="Normal 10 5 2 3 2 3" xfId="25082"/>
    <cellStyle name="Normal 10 5 2 3 3" xfId="25083"/>
    <cellStyle name="Normal 10 5 2 3 3 2" xfId="25084"/>
    <cellStyle name="Normal 10 5 2 3 3 3" xfId="25085"/>
    <cellStyle name="Normal 10 5 2 3 4" xfId="25086"/>
    <cellStyle name="Normal 10 5 2 3 5" xfId="25087"/>
    <cellStyle name="Normal 10 5 2 4" xfId="25088"/>
    <cellStyle name="Normal 10 5 2 4 2" xfId="25089"/>
    <cellStyle name="Normal 10 5 2 4 3" xfId="25090"/>
    <cellStyle name="Normal 10 5 2 5" xfId="25091"/>
    <cellStyle name="Normal 10 5 2 5 2" xfId="25092"/>
    <cellStyle name="Normal 10 5 2 5 3" xfId="25093"/>
    <cellStyle name="Normal 10 5 2 6" xfId="25094"/>
    <cellStyle name="Normal 10 5 2 7" xfId="25095"/>
    <cellStyle name="Normal 10 5 3" xfId="25096"/>
    <cellStyle name="Normal 10 5 3 2" xfId="25097"/>
    <cellStyle name="Normal 10 5 3 2 2" xfId="25098"/>
    <cellStyle name="Normal 10 5 3 2 2 2" xfId="25099"/>
    <cellStyle name="Normal 10 5 3 2 2 3" xfId="25100"/>
    <cellStyle name="Normal 10 5 3 2 3" xfId="25101"/>
    <cellStyle name="Normal 10 5 3 2 3 2" xfId="25102"/>
    <cellStyle name="Normal 10 5 3 2 3 3" xfId="25103"/>
    <cellStyle name="Normal 10 5 3 2 4" xfId="25104"/>
    <cellStyle name="Normal 10 5 3 2 5" xfId="25105"/>
    <cellStyle name="Normal 10 5 3 3" xfId="25106"/>
    <cellStyle name="Normal 10 5 3 3 2" xfId="25107"/>
    <cellStyle name="Normal 10 5 3 3 2 2" xfId="25108"/>
    <cellStyle name="Normal 10 5 3 3 2 3" xfId="25109"/>
    <cellStyle name="Normal 10 5 3 3 3" xfId="25110"/>
    <cellStyle name="Normal 10 5 3 3 3 2" xfId="25111"/>
    <cellStyle name="Normal 10 5 3 3 3 3" xfId="25112"/>
    <cellStyle name="Normal 10 5 3 3 4" xfId="25113"/>
    <cellStyle name="Normal 10 5 3 3 5" xfId="25114"/>
    <cellStyle name="Normal 10 5 3 4" xfId="25115"/>
    <cellStyle name="Normal 10 5 3 4 2" xfId="25116"/>
    <cellStyle name="Normal 10 5 3 4 3" xfId="25117"/>
    <cellStyle name="Normal 10 5 3 5" xfId="25118"/>
    <cellStyle name="Normal 10 5 3 5 2" xfId="25119"/>
    <cellStyle name="Normal 10 5 3 5 3" xfId="25120"/>
    <cellStyle name="Normal 10 5 3 6" xfId="25121"/>
    <cellStyle name="Normal 10 5 3 7" xfId="25122"/>
    <cellStyle name="Normal 10 5 4" xfId="25123"/>
    <cellStyle name="Normal 10 5 4 2" xfId="25124"/>
    <cellStyle name="Normal 10 5 4 2 2" xfId="25125"/>
    <cellStyle name="Normal 10 5 4 2 3" xfId="25126"/>
    <cellStyle name="Normal 10 5 4 3" xfId="25127"/>
    <cellStyle name="Normal 10 5 4 3 2" xfId="25128"/>
    <cellStyle name="Normal 10 5 4 3 3" xfId="25129"/>
    <cellStyle name="Normal 10 5 4 4" xfId="25130"/>
    <cellStyle name="Normal 10 5 4 5" xfId="25131"/>
    <cellStyle name="Normal 10 5 5" xfId="25132"/>
    <cellStyle name="Normal 10 5 5 2" xfId="25133"/>
    <cellStyle name="Normal 10 5 5 2 2" xfId="25134"/>
    <cellStyle name="Normal 10 5 5 2 3" xfId="25135"/>
    <cellStyle name="Normal 10 5 5 3" xfId="25136"/>
    <cellStyle name="Normal 10 5 5 3 2" xfId="25137"/>
    <cellStyle name="Normal 10 5 5 3 3" xfId="25138"/>
    <cellStyle name="Normal 10 5 5 4" xfId="25139"/>
    <cellStyle name="Normal 10 5 5 5" xfId="25140"/>
    <cellStyle name="Normal 10 5 6" xfId="25141"/>
    <cellStyle name="Normal 10 5 6 2" xfId="25142"/>
    <cellStyle name="Normal 10 5 6 3" xfId="25143"/>
    <cellStyle name="Normal 10 5 7" xfId="25144"/>
    <cellStyle name="Normal 10 5 7 2" xfId="25145"/>
    <cellStyle name="Normal 10 5 7 3" xfId="25146"/>
    <cellStyle name="Normal 10 5 8" xfId="25147"/>
    <cellStyle name="Normal 10 5 9" xfId="25148"/>
    <cellStyle name="Normal 10 6" xfId="25149"/>
    <cellStyle name="Normal 10 6 2" xfId="25150"/>
    <cellStyle name="Normal 10 6 2 2" xfId="25151"/>
    <cellStyle name="Normal 10 6 2 2 2" xfId="25152"/>
    <cellStyle name="Normal 10 6 2 2 3" xfId="25153"/>
    <cellStyle name="Normal 10 6 2 3" xfId="25154"/>
    <cellStyle name="Normal 10 6 2 3 2" xfId="25155"/>
    <cellStyle name="Normal 10 6 2 3 3" xfId="25156"/>
    <cellStyle name="Normal 10 6 2 4" xfId="25157"/>
    <cellStyle name="Normal 10 6 2 5" xfId="25158"/>
    <cellStyle name="Normal 10 6 3" xfId="25159"/>
    <cellStyle name="Normal 10 6 3 2" xfId="25160"/>
    <cellStyle name="Normal 10 6 3 2 2" xfId="25161"/>
    <cellStyle name="Normal 10 6 3 2 3" xfId="25162"/>
    <cellStyle name="Normal 10 6 3 3" xfId="25163"/>
    <cellStyle name="Normal 10 6 3 3 2" xfId="25164"/>
    <cellStyle name="Normal 10 6 3 3 3" xfId="25165"/>
    <cellStyle name="Normal 10 6 3 4" xfId="25166"/>
    <cellStyle name="Normal 10 6 3 5" xfId="25167"/>
    <cellStyle name="Normal 10 6 4" xfId="25168"/>
    <cellStyle name="Normal 10 6 4 2" xfId="25169"/>
    <cellStyle name="Normal 10 6 4 3" xfId="25170"/>
    <cellStyle name="Normal 10 6 5" xfId="25171"/>
    <cellStyle name="Normal 10 6 5 2" xfId="25172"/>
    <cellStyle name="Normal 10 6 5 3" xfId="25173"/>
    <cellStyle name="Normal 10 6 6" xfId="25174"/>
    <cellStyle name="Normal 10 6 7" xfId="25175"/>
    <cellStyle name="Normal 10 7" xfId="25176"/>
    <cellStyle name="Normal 10 7 2" xfId="25177"/>
    <cellStyle name="Normal 10 7 2 2" xfId="25178"/>
    <cellStyle name="Normal 10 7 2 2 2" xfId="25179"/>
    <cellStyle name="Normal 10 7 2 2 3" xfId="25180"/>
    <cellStyle name="Normal 10 7 2 3" xfId="25181"/>
    <cellStyle name="Normal 10 7 2 3 2" xfId="25182"/>
    <cellStyle name="Normal 10 7 2 3 3" xfId="25183"/>
    <cellStyle name="Normal 10 7 2 4" xfId="25184"/>
    <cellStyle name="Normal 10 7 2 5" xfId="25185"/>
    <cellStyle name="Normal 10 7 3" xfId="25186"/>
    <cellStyle name="Normal 10 7 3 2" xfId="25187"/>
    <cellStyle name="Normal 10 7 3 2 2" xfId="25188"/>
    <cellStyle name="Normal 10 7 3 2 3" xfId="25189"/>
    <cellStyle name="Normal 10 7 3 3" xfId="25190"/>
    <cellStyle name="Normal 10 7 3 3 2" xfId="25191"/>
    <cellStyle name="Normal 10 7 3 3 3" xfId="25192"/>
    <cellStyle name="Normal 10 7 3 4" xfId="25193"/>
    <cellStyle name="Normal 10 7 3 5" xfId="25194"/>
    <cellStyle name="Normal 10 7 4" xfId="25195"/>
    <cellStyle name="Normal 10 7 4 2" xfId="25196"/>
    <cellStyle name="Normal 10 7 4 3" xfId="25197"/>
    <cellStyle name="Normal 10 7 5" xfId="25198"/>
    <cellStyle name="Normal 10 7 5 2" xfId="25199"/>
    <cellStyle name="Normal 10 7 5 3" xfId="25200"/>
    <cellStyle name="Normal 10 7 6" xfId="25201"/>
    <cellStyle name="Normal 10 7 7" xfId="25202"/>
    <cellStyle name="Normal 10 8" xfId="25203"/>
    <cellStyle name="Normal 10 8 2" xfId="25204"/>
    <cellStyle name="Normal 10 8 2 2" xfId="25205"/>
    <cellStyle name="Normal 10 8 2 3" xfId="25206"/>
    <cellStyle name="Normal 10 8 3" xfId="25207"/>
    <cellStyle name="Normal 10 8 3 2" xfId="25208"/>
    <cellStyle name="Normal 10 8 3 3" xfId="25209"/>
    <cellStyle name="Normal 10 8 4" xfId="25210"/>
    <cellStyle name="Normal 10 8 5" xfId="25211"/>
    <cellStyle name="Normal 10 9" xfId="25212"/>
    <cellStyle name="Normal 10 9 2" xfId="25213"/>
    <cellStyle name="Normal 10 9 2 2" xfId="25214"/>
    <cellStyle name="Normal 10 9 2 3" xfId="25215"/>
    <cellStyle name="Normal 10 9 3" xfId="25216"/>
    <cellStyle name="Normal 10 9 3 2" xfId="25217"/>
    <cellStyle name="Normal 10 9 3 3" xfId="25218"/>
    <cellStyle name="Normal 10 9 4" xfId="25219"/>
    <cellStyle name="Normal 10 9 5" xfId="25220"/>
    <cellStyle name="Normal 10_maycto" xfId="25221"/>
    <cellStyle name="Normal 100" xfId="42805"/>
    <cellStyle name="Normal 101" xfId="42806"/>
    <cellStyle name="Normal 102" xfId="42807"/>
    <cellStyle name="Normal 103" xfId="42808"/>
    <cellStyle name="Normal 104" xfId="42804"/>
    <cellStyle name="Normal 105" xfId="42849"/>
    <cellStyle name="Normal 106" xfId="42887"/>
    <cellStyle name="Normal 107" xfId="25222"/>
    <cellStyle name="Normal 107 2" xfId="25223"/>
    <cellStyle name="Normal 107 2 2" xfId="25224"/>
    <cellStyle name="Normal 107 2 2 2" xfId="25225"/>
    <cellStyle name="Normal 107 2 2 2 2" xfId="25226"/>
    <cellStyle name="Normal 107 2 2 2 3" xfId="25227"/>
    <cellStyle name="Normal 107 2 2 3" xfId="25228"/>
    <cellStyle name="Normal 107 2 2 3 2" xfId="25229"/>
    <cellStyle name="Normal 107 2 2 3 3" xfId="25230"/>
    <cellStyle name="Normal 107 2 2 4" xfId="25231"/>
    <cellStyle name="Normal 107 2 2 5" xfId="25232"/>
    <cellStyle name="Normal 107 2 3" xfId="25233"/>
    <cellStyle name="Normal 107 2 3 2" xfId="25234"/>
    <cellStyle name="Normal 107 2 3 2 2" xfId="25235"/>
    <cellStyle name="Normal 107 2 3 2 3" xfId="25236"/>
    <cellStyle name="Normal 107 2 3 3" xfId="25237"/>
    <cellStyle name="Normal 107 2 3 3 2" xfId="25238"/>
    <cellStyle name="Normal 107 2 3 3 3" xfId="25239"/>
    <cellStyle name="Normal 107 2 3 4" xfId="25240"/>
    <cellStyle name="Normal 107 2 3 5" xfId="25241"/>
    <cellStyle name="Normal 107 2 4" xfId="25242"/>
    <cellStyle name="Normal 107 2 4 2" xfId="25243"/>
    <cellStyle name="Normal 107 2 4 3" xfId="25244"/>
    <cellStyle name="Normal 107 2 5" xfId="25245"/>
    <cellStyle name="Normal 107 2 5 2" xfId="25246"/>
    <cellStyle name="Normal 107 2 5 3" xfId="25247"/>
    <cellStyle name="Normal 107 2 6" xfId="25248"/>
    <cellStyle name="Normal 107 2 7" xfId="25249"/>
    <cellStyle name="Normal 107 3" xfId="25250"/>
    <cellStyle name="Normal 107 3 2" xfId="25251"/>
    <cellStyle name="Normal 107 3 2 2" xfId="25252"/>
    <cellStyle name="Normal 107 3 2 2 2" xfId="25253"/>
    <cellStyle name="Normal 107 3 2 2 3" xfId="25254"/>
    <cellStyle name="Normal 107 3 2 3" xfId="25255"/>
    <cellStyle name="Normal 107 3 2 3 2" xfId="25256"/>
    <cellStyle name="Normal 107 3 2 3 3" xfId="25257"/>
    <cellStyle name="Normal 107 3 2 4" xfId="25258"/>
    <cellStyle name="Normal 107 3 2 5" xfId="25259"/>
    <cellStyle name="Normal 107 3 3" xfId="25260"/>
    <cellStyle name="Normal 107 3 3 2" xfId="25261"/>
    <cellStyle name="Normal 107 3 3 2 2" xfId="25262"/>
    <cellStyle name="Normal 107 3 3 2 3" xfId="25263"/>
    <cellStyle name="Normal 107 3 3 3" xfId="25264"/>
    <cellStyle name="Normal 107 3 3 3 2" xfId="25265"/>
    <cellStyle name="Normal 107 3 3 3 3" xfId="25266"/>
    <cellStyle name="Normal 107 3 3 4" xfId="25267"/>
    <cellStyle name="Normal 107 3 3 5" xfId="25268"/>
    <cellStyle name="Normal 107 3 4" xfId="25269"/>
    <cellStyle name="Normal 107 3 4 2" xfId="25270"/>
    <cellStyle name="Normal 107 3 4 3" xfId="25271"/>
    <cellStyle name="Normal 107 3 5" xfId="25272"/>
    <cellStyle name="Normal 107 3 5 2" xfId="25273"/>
    <cellStyle name="Normal 107 3 5 3" xfId="25274"/>
    <cellStyle name="Normal 107 3 6" xfId="25275"/>
    <cellStyle name="Normal 107 3 7" xfId="25276"/>
    <cellStyle name="Normal 107 4" xfId="25277"/>
    <cellStyle name="Normal 107 4 2" xfId="25278"/>
    <cellStyle name="Normal 107 4 2 2" xfId="25279"/>
    <cellStyle name="Normal 107 4 2 3" xfId="25280"/>
    <cellStyle name="Normal 107 4 3" xfId="25281"/>
    <cellStyle name="Normal 107 4 3 2" xfId="25282"/>
    <cellStyle name="Normal 107 4 3 3" xfId="25283"/>
    <cellStyle name="Normal 107 4 4" xfId="25284"/>
    <cellStyle name="Normal 107 4 5" xfId="25285"/>
    <cellStyle name="Normal 107 5" xfId="25286"/>
    <cellStyle name="Normal 107 5 2" xfId="25287"/>
    <cellStyle name="Normal 107 5 2 2" xfId="25288"/>
    <cellStyle name="Normal 107 5 2 3" xfId="25289"/>
    <cellStyle name="Normal 107 5 3" xfId="25290"/>
    <cellStyle name="Normal 107 5 3 2" xfId="25291"/>
    <cellStyle name="Normal 107 5 3 3" xfId="25292"/>
    <cellStyle name="Normal 107 5 4" xfId="25293"/>
    <cellStyle name="Normal 107 5 5" xfId="25294"/>
    <cellStyle name="Normal 107 6" xfId="25295"/>
    <cellStyle name="Normal 107 6 2" xfId="25296"/>
    <cellStyle name="Normal 107 6 3" xfId="25297"/>
    <cellStyle name="Normal 107 7" xfId="25298"/>
    <cellStyle name="Normal 107 7 2" xfId="25299"/>
    <cellStyle name="Normal 107 7 3" xfId="25300"/>
    <cellStyle name="Normal 107 8" xfId="25301"/>
    <cellStyle name="Normal 107 9" xfId="25302"/>
    <cellStyle name="Normal 108" xfId="42898"/>
    <cellStyle name="Normal 109" xfId="42850"/>
    <cellStyle name="Normal 11" xfId="25303"/>
    <cellStyle name="Normal 11 10" xfId="25304"/>
    <cellStyle name="Normal 11 10 2" xfId="25305"/>
    <cellStyle name="Normal 11 10 2 2" xfId="25306"/>
    <cellStyle name="Normal 11 10 2 3" xfId="25307"/>
    <cellStyle name="Normal 11 10 3" xfId="25308"/>
    <cellStyle name="Normal 11 10 3 2" xfId="25309"/>
    <cellStyle name="Normal 11 10 3 3" xfId="25310"/>
    <cellStyle name="Normal 11 10 4" xfId="25311"/>
    <cellStyle name="Normal 11 10 5" xfId="25312"/>
    <cellStyle name="Normal 11 11" xfId="25313"/>
    <cellStyle name="Normal 11 11 2" xfId="25314"/>
    <cellStyle name="Normal 11 11 2 2" xfId="25315"/>
    <cellStyle name="Normal 11 11 2 3" xfId="25316"/>
    <cellStyle name="Normal 11 11 3" xfId="25317"/>
    <cellStyle name="Normal 11 11 3 2" xfId="25318"/>
    <cellStyle name="Normal 11 11 3 3" xfId="25319"/>
    <cellStyle name="Normal 11 11 4" xfId="25320"/>
    <cellStyle name="Normal 11 11 5" xfId="25321"/>
    <cellStyle name="Normal 11 12" xfId="25322"/>
    <cellStyle name="Normal 11 12 2" xfId="25323"/>
    <cellStyle name="Normal 11 12 3" xfId="25324"/>
    <cellStyle name="Normal 11 13" xfId="25325"/>
    <cellStyle name="Normal 11 13 2" xfId="25326"/>
    <cellStyle name="Normal 11 13 3" xfId="25327"/>
    <cellStyle name="Normal 11 14" xfId="25328"/>
    <cellStyle name="Normal 11 15" xfId="25329"/>
    <cellStyle name="Normal 11 2" xfId="25330"/>
    <cellStyle name="Normal 11 2 2" xfId="25331"/>
    <cellStyle name="Normal 11 2 2 2" xfId="25332"/>
    <cellStyle name="Normal 11 2 2 2 2" xfId="25333"/>
    <cellStyle name="Normal 11 2 2 2 2 2" xfId="25334"/>
    <cellStyle name="Normal 11 2 2 2 2 2 2" xfId="25335"/>
    <cellStyle name="Normal 11 2 2 2 2 2 2 2" xfId="25336"/>
    <cellStyle name="Normal 11 2 2 2 2 2 2 3" xfId="25337"/>
    <cellStyle name="Normal 11 2 2 2 2 2 3" xfId="25338"/>
    <cellStyle name="Normal 11 2 2 2 2 2 3 2" xfId="25339"/>
    <cellStyle name="Normal 11 2 2 2 2 2 3 3" xfId="25340"/>
    <cellStyle name="Normal 11 2 2 2 2 2 4" xfId="25341"/>
    <cellStyle name="Normal 11 2 2 2 2 2 5" xfId="25342"/>
    <cellStyle name="Normal 11 2 2 2 2 3" xfId="25343"/>
    <cellStyle name="Normal 11 2 2 2 2 3 2" xfId="25344"/>
    <cellStyle name="Normal 11 2 2 2 2 3 2 2" xfId="25345"/>
    <cellStyle name="Normal 11 2 2 2 2 3 2 3" xfId="25346"/>
    <cellStyle name="Normal 11 2 2 2 2 3 3" xfId="25347"/>
    <cellStyle name="Normal 11 2 2 2 2 3 3 2" xfId="25348"/>
    <cellStyle name="Normal 11 2 2 2 2 3 3 3" xfId="25349"/>
    <cellStyle name="Normal 11 2 2 2 2 3 4" xfId="25350"/>
    <cellStyle name="Normal 11 2 2 2 2 3 5" xfId="25351"/>
    <cellStyle name="Normal 11 2 2 2 2 4" xfId="25352"/>
    <cellStyle name="Normal 11 2 2 2 2 4 2" xfId="25353"/>
    <cellStyle name="Normal 11 2 2 2 2 4 3" xfId="25354"/>
    <cellStyle name="Normal 11 2 2 2 2 5" xfId="25355"/>
    <cellStyle name="Normal 11 2 2 2 2 5 2" xfId="25356"/>
    <cellStyle name="Normal 11 2 2 2 2 5 3" xfId="25357"/>
    <cellStyle name="Normal 11 2 2 2 2 6" xfId="25358"/>
    <cellStyle name="Normal 11 2 2 2 2 7" xfId="25359"/>
    <cellStyle name="Normal 11 2 2 2 3" xfId="25360"/>
    <cellStyle name="Normal 11 2 2 2 3 2" xfId="25361"/>
    <cellStyle name="Normal 11 2 2 2 3 2 2" xfId="25362"/>
    <cellStyle name="Normal 11 2 2 2 3 2 2 2" xfId="25363"/>
    <cellStyle name="Normal 11 2 2 2 3 2 2 3" xfId="25364"/>
    <cellStyle name="Normal 11 2 2 2 3 2 3" xfId="25365"/>
    <cellStyle name="Normal 11 2 2 2 3 2 3 2" xfId="25366"/>
    <cellStyle name="Normal 11 2 2 2 3 2 3 3" xfId="25367"/>
    <cellStyle name="Normal 11 2 2 2 3 2 4" xfId="25368"/>
    <cellStyle name="Normal 11 2 2 2 3 2 5" xfId="25369"/>
    <cellStyle name="Normal 11 2 2 2 3 3" xfId="25370"/>
    <cellStyle name="Normal 11 2 2 2 3 3 2" xfId="25371"/>
    <cellStyle name="Normal 11 2 2 2 3 3 2 2" xfId="25372"/>
    <cellStyle name="Normal 11 2 2 2 3 3 2 3" xfId="25373"/>
    <cellStyle name="Normal 11 2 2 2 3 3 3" xfId="25374"/>
    <cellStyle name="Normal 11 2 2 2 3 3 3 2" xfId="25375"/>
    <cellStyle name="Normal 11 2 2 2 3 3 3 3" xfId="25376"/>
    <cellStyle name="Normal 11 2 2 2 3 3 4" xfId="25377"/>
    <cellStyle name="Normal 11 2 2 2 3 3 5" xfId="25378"/>
    <cellStyle name="Normal 11 2 2 2 3 4" xfId="25379"/>
    <cellStyle name="Normal 11 2 2 2 3 4 2" xfId="25380"/>
    <cellStyle name="Normal 11 2 2 2 3 4 3" xfId="25381"/>
    <cellStyle name="Normal 11 2 2 2 3 5" xfId="25382"/>
    <cellStyle name="Normal 11 2 2 2 3 5 2" xfId="25383"/>
    <cellStyle name="Normal 11 2 2 2 3 5 3" xfId="25384"/>
    <cellStyle name="Normal 11 2 2 2 3 6" xfId="25385"/>
    <cellStyle name="Normal 11 2 2 2 3 7" xfId="25386"/>
    <cellStyle name="Normal 11 2 2 2 4" xfId="25387"/>
    <cellStyle name="Normal 11 2 2 2 4 2" xfId="25388"/>
    <cellStyle name="Normal 11 2 2 2 4 2 2" xfId="25389"/>
    <cellStyle name="Normal 11 2 2 2 4 2 3" xfId="25390"/>
    <cellStyle name="Normal 11 2 2 2 4 3" xfId="25391"/>
    <cellStyle name="Normal 11 2 2 2 4 3 2" xfId="25392"/>
    <cellStyle name="Normal 11 2 2 2 4 3 3" xfId="25393"/>
    <cellStyle name="Normal 11 2 2 2 4 4" xfId="25394"/>
    <cellStyle name="Normal 11 2 2 2 4 5" xfId="25395"/>
    <cellStyle name="Normal 11 2 2 2 5" xfId="25396"/>
    <cellStyle name="Normal 11 2 2 2 5 2" xfId="25397"/>
    <cellStyle name="Normal 11 2 2 2 5 2 2" xfId="25398"/>
    <cellStyle name="Normal 11 2 2 2 5 2 3" xfId="25399"/>
    <cellStyle name="Normal 11 2 2 2 5 3" xfId="25400"/>
    <cellStyle name="Normal 11 2 2 2 5 3 2" xfId="25401"/>
    <cellStyle name="Normal 11 2 2 2 5 3 3" xfId="25402"/>
    <cellStyle name="Normal 11 2 2 2 5 4" xfId="25403"/>
    <cellStyle name="Normal 11 2 2 2 5 5" xfId="25404"/>
    <cellStyle name="Normal 11 2 2 2 6" xfId="25405"/>
    <cellStyle name="Normal 11 2 2 2 6 2" xfId="25406"/>
    <cellStyle name="Normal 11 2 2 2 6 3" xfId="25407"/>
    <cellStyle name="Normal 11 2 2 2 7" xfId="25408"/>
    <cellStyle name="Normal 11 2 2 2 7 2" xfId="25409"/>
    <cellStyle name="Normal 11 2 2 2 7 3" xfId="25410"/>
    <cellStyle name="Normal 11 2 2 2 8" xfId="25411"/>
    <cellStyle name="Normal 11 2 2 2 9" xfId="25412"/>
    <cellStyle name="Normal 11 2 3" xfId="25413"/>
    <cellStyle name="Normal 11 2 3 2" xfId="25414"/>
    <cellStyle name="Normal 11 2 3 2 2" xfId="25415"/>
    <cellStyle name="Normal 11 2 3 2 2 2" xfId="25416"/>
    <cellStyle name="Normal 11 2 3 2 2 2 2" xfId="25417"/>
    <cellStyle name="Normal 11 2 3 2 2 2 3" xfId="25418"/>
    <cellStyle name="Normal 11 2 3 2 2 3" xfId="25419"/>
    <cellStyle name="Normal 11 2 3 2 2 3 2" xfId="25420"/>
    <cellStyle name="Normal 11 2 3 2 2 3 3" xfId="25421"/>
    <cellStyle name="Normal 11 2 3 2 2 4" xfId="25422"/>
    <cellStyle name="Normal 11 2 3 2 2 5" xfId="25423"/>
    <cellStyle name="Normal 11 2 3 2 3" xfId="25424"/>
    <cellStyle name="Normal 11 2 3 2 3 2" xfId="25425"/>
    <cellStyle name="Normal 11 2 3 2 3 2 2" xfId="25426"/>
    <cellStyle name="Normal 11 2 3 2 3 2 3" xfId="25427"/>
    <cellStyle name="Normal 11 2 3 2 3 3" xfId="25428"/>
    <cellStyle name="Normal 11 2 3 2 3 3 2" xfId="25429"/>
    <cellStyle name="Normal 11 2 3 2 3 3 3" xfId="25430"/>
    <cellStyle name="Normal 11 2 3 2 3 4" xfId="25431"/>
    <cellStyle name="Normal 11 2 3 2 3 5" xfId="25432"/>
    <cellStyle name="Normal 11 2 3 2 4" xfId="25433"/>
    <cellStyle name="Normal 11 2 3 2 4 2" xfId="25434"/>
    <cellStyle name="Normal 11 2 3 2 4 3" xfId="25435"/>
    <cellStyle name="Normal 11 2 3 2 5" xfId="25436"/>
    <cellStyle name="Normal 11 2 3 2 5 2" xfId="25437"/>
    <cellStyle name="Normal 11 2 3 2 5 3" xfId="25438"/>
    <cellStyle name="Normal 11 2 3 2 6" xfId="25439"/>
    <cellStyle name="Normal 11 2 3 2 7" xfId="25440"/>
    <cellStyle name="Normal 11 2 3 3" xfId="25441"/>
    <cellStyle name="Normal 11 2 3 3 2" xfId="25442"/>
    <cellStyle name="Normal 11 2 3 3 2 2" xfId="25443"/>
    <cellStyle name="Normal 11 2 3 3 2 2 2" xfId="25444"/>
    <cellStyle name="Normal 11 2 3 3 2 2 3" xfId="25445"/>
    <cellStyle name="Normal 11 2 3 3 2 3" xfId="25446"/>
    <cellStyle name="Normal 11 2 3 3 2 3 2" xfId="25447"/>
    <cellStyle name="Normal 11 2 3 3 2 3 3" xfId="25448"/>
    <cellStyle name="Normal 11 2 3 3 2 4" xfId="25449"/>
    <cellStyle name="Normal 11 2 3 3 2 5" xfId="25450"/>
    <cellStyle name="Normal 11 2 3 3 3" xfId="25451"/>
    <cellStyle name="Normal 11 2 3 3 3 2" xfId="25452"/>
    <cellStyle name="Normal 11 2 3 3 3 2 2" xfId="25453"/>
    <cellStyle name="Normal 11 2 3 3 3 2 3" xfId="25454"/>
    <cellStyle name="Normal 11 2 3 3 3 3" xfId="25455"/>
    <cellStyle name="Normal 11 2 3 3 3 3 2" xfId="25456"/>
    <cellStyle name="Normal 11 2 3 3 3 3 3" xfId="25457"/>
    <cellStyle name="Normal 11 2 3 3 3 4" xfId="25458"/>
    <cellStyle name="Normal 11 2 3 3 3 5" xfId="25459"/>
    <cellStyle name="Normal 11 2 3 3 4" xfId="25460"/>
    <cellStyle name="Normal 11 2 3 3 4 2" xfId="25461"/>
    <cellStyle name="Normal 11 2 3 3 4 3" xfId="25462"/>
    <cellStyle name="Normal 11 2 3 3 5" xfId="25463"/>
    <cellStyle name="Normal 11 2 3 3 5 2" xfId="25464"/>
    <cellStyle name="Normal 11 2 3 3 5 3" xfId="25465"/>
    <cellStyle name="Normal 11 2 3 3 6" xfId="25466"/>
    <cellStyle name="Normal 11 2 3 3 7" xfId="25467"/>
    <cellStyle name="Normal 11 2 3 4" xfId="25468"/>
    <cellStyle name="Normal 11 2 3 4 2" xfId="25469"/>
    <cellStyle name="Normal 11 2 3 4 2 2" xfId="25470"/>
    <cellStyle name="Normal 11 2 3 4 2 3" xfId="25471"/>
    <cellStyle name="Normal 11 2 3 4 3" xfId="25472"/>
    <cellStyle name="Normal 11 2 3 4 3 2" xfId="25473"/>
    <cellStyle name="Normal 11 2 3 4 3 3" xfId="25474"/>
    <cellStyle name="Normal 11 2 3 4 4" xfId="25475"/>
    <cellStyle name="Normal 11 2 3 4 5" xfId="25476"/>
    <cellStyle name="Normal 11 2 3 5" xfId="25477"/>
    <cellStyle name="Normal 11 2 3 5 2" xfId="25478"/>
    <cellStyle name="Normal 11 2 3 5 2 2" xfId="25479"/>
    <cellStyle name="Normal 11 2 3 5 2 3" xfId="25480"/>
    <cellStyle name="Normal 11 2 3 5 3" xfId="25481"/>
    <cellStyle name="Normal 11 2 3 5 3 2" xfId="25482"/>
    <cellStyle name="Normal 11 2 3 5 3 3" xfId="25483"/>
    <cellStyle name="Normal 11 2 3 5 4" xfId="25484"/>
    <cellStyle name="Normal 11 2 3 5 5" xfId="25485"/>
    <cellStyle name="Normal 11 2 3 6" xfId="25486"/>
    <cellStyle name="Normal 11 2 3 6 2" xfId="25487"/>
    <cellStyle name="Normal 11 2 3 6 3" xfId="25488"/>
    <cellStyle name="Normal 11 2 3 7" xfId="25489"/>
    <cellStyle name="Normal 11 2 3 7 2" xfId="25490"/>
    <cellStyle name="Normal 11 2 3 7 3" xfId="25491"/>
    <cellStyle name="Normal 11 2 3 8" xfId="25492"/>
    <cellStyle name="Normal 11 2 3 9" xfId="25493"/>
    <cellStyle name="Normal 11 3" xfId="25494"/>
    <cellStyle name="Normal 11 3 2" xfId="25495"/>
    <cellStyle name="Normal 11 3 2 10" xfId="25496"/>
    <cellStyle name="Normal 11 3 2 2" xfId="25497"/>
    <cellStyle name="Normal 11 3 2 2 2" xfId="25498"/>
    <cellStyle name="Normal 11 3 2 2 2 2" xfId="25499"/>
    <cellStyle name="Normal 11 3 2 2 2 2 2" xfId="25500"/>
    <cellStyle name="Normal 11 3 2 2 2 2 2 2" xfId="25501"/>
    <cellStyle name="Normal 11 3 2 2 2 2 2 3" xfId="25502"/>
    <cellStyle name="Normal 11 3 2 2 2 2 3" xfId="25503"/>
    <cellStyle name="Normal 11 3 2 2 2 2 3 2" xfId="25504"/>
    <cellStyle name="Normal 11 3 2 2 2 2 3 3" xfId="25505"/>
    <cellStyle name="Normal 11 3 2 2 2 2 4" xfId="25506"/>
    <cellStyle name="Normal 11 3 2 2 2 2 5" xfId="25507"/>
    <cellStyle name="Normal 11 3 2 2 2 3" xfId="25508"/>
    <cellStyle name="Normal 11 3 2 2 2 3 2" xfId="25509"/>
    <cellStyle name="Normal 11 3 2 2 2 3 2 2" xfId="25510"/>
    <cellStyle name="Normal 11 3 2 2 2 3 2 3" xfId="25511"/>
    <cellStyle name="Normal 11 3 2 2 2 3 3" xfId="25512"/>
    <cellStyle name="Normal 11 3 2 2 2 3 3 2" xfId="25513"/>
    <cellStyle name="Normal 11 3 2 2 2 3 3 3" xfId="25514"/>
    <cellStyle name="Normal 11 3 2 2 2 3 4" xfId="25515"/>
    <cellStyle name="Normal 11 3 2 2 2 3 5" xfId="25516"/>
    <cellStyle name="Normal 11 3 2 2 2 4" xfId="25517"/>
    <cellStyle name="Normal 11 3 2 2 2 4 2" xfId="25518"/>
    <cellStyle name="Normal 11 3 2 2 2 4 3" xfId="25519"/>
    <cellStyle name="Normal 11 3 2 2 2 5" xfId="25520"/>
    <cellStyle name="Normal 11 3 2 2 2 5 2" xfId="25521"/>
    <cellStyle name="Normal 11 3 2 2 2 5 3" xfId="25522"/>
    <cellStyle name="Normal 11 3 2 2 2 6" xfId="25523"/>
    <cellStyle name="Normal 11 3 2 2 2 7" xfId="25524"/>
    <cellStyle name="Normal 11 3 2 2 3" xfId="25525"/>
    <cellStyle name="Normal 11 3 2 2 3 2" xfId="25526"/>
    <cellStyle name="Normal 11 3 2 2 3 2 2" xfId="25527"/>
    <cellStyle name="Normal 11 3 2 2 3 2 2 2" xfId="25528"/>
    <cellStyle name="Normal 11 3 2 2 3 2 2 3" xfId="25529"/>
    <cellStyle name="Normal 11 3 2 2 3 2 3" xfId="25530"/>
    <cellStyle name="Normal 11 3 2 2 3 2 3 2" xfId="25531"/>
    <cellStyle name="Normal 11 3 2 2 3 2 3 3" xfId="25532"/>
    <cellStyle name="Normal 11 3 2 2 3 2 4" xfId="25533"/>
    <cellStyle name="Normal 11 3 2 2 3 2 5" xfId="25534"/>
    <cellStyle name="Normal 11 3 2 2 3 3" xfId="25535"/>
    <cellStyle name="Normal 11 3 2 2 3 3 2" xfId="25536"/>
    <cellStyle name="Normal 11 3 2 2 3 3 2 2" xfId="25537"/>
    <cellStyle name="Normal 11 3 2 2 3 3 2 3" xfId="25538"/>
    <cellStyle name="Normal 11 3 2 2 3 3 3" xfId="25539"/>
    <cellStyle name="Normal 11 3 2 2 3 3 3 2" xfId="25540"/>
    <cellStyle name="Normal 11 3 2 2 3 3 3 3" xfId="25541"/>
    <cellStyle name="Normal 11 3 2 2 3 3 4" xfId="25542"/>
    <cellStyle name="Normal 11 3 2 2 3 3 5" xfId="25543"/>
    <cellStyle name="Normal 11 3 2 2 3 4" xfId="25544"/>
    <cellStyle name="Normal 11 3 2 2 3 4 2" xfId="25545"/>
    <cellStyle name="Normal 11 3 2 2 3 4 3" xfId="25546"/>
    <cellStyle name="Normal 11 3 2 2 3 5" xfId="25547"/>
    <cellStyle name="Normal 11 3 2 2 3 5 2" xfId="25548"/>
    <cellStyle name="Normal 11 3 2 2 3 5 3" xfId="25549"/>
    <cellStyle name="Normal 11 3 2 2 3 6" xfId="25550"/>
    <cellStyle name="Normal 11 3 2 2 3 7" xfId="25551"/>
    <cellStyle name="Normal 11 3 2 2 4" xfId="25552"/>
    <cellStyle name="Normal 11 3 2 2 4 2" xfId="25553"/>
    <cellStyle name="Normal 11 3 2 2 4 2 2" xfId="25554"/>
    <cellStyle name="Normal 11 3 2 2 4 2 3" xfId="25555"/>
    <cellStyle name="Normal 11 3 2 2 4 3" xfId="25556"/>
    <cellStyle name="Normal 11 3 2 2 4 3 2" xfId="25557"/>
    <cellStyle name="Normal 11 3 2 2 4 3 3" xfId="25558"/>
    <cellStyle name="Normal 11 3 2 2 4 4" xfId="25559"/>
    <cellStyle name="Normal 11 3 2 2 4 5" xfId="25560"/>
    <cellStyle name="Normal 11 3 2 2 5" xfId="25561"/>
    <cellStyle name="Normal 11 3 2 2 5 2" xfId="25562"/>
    <cellStyle name="Normal 11 3 2 2 5 2 2" xfId="25563"/>
    <cellStyle name="Normal 11 3 2 2 5 2 3" xfId="25564"/>
    <cellStyle name="Normal 11 3 2 2 5 3" xfId="25565"/>
    <cellStyle name="Normal 11 3 2 2 5 3 2" xfId="25566"/>
    <cellStyle name="Normal 11 3 2 2 5 3 3" xfId="25567"/>
    <cellStyle name="Normal 11 3 2 2 5 4" xfId="25568"/>
    <cellStyle name="Normal 11 3 2 2 5 5" xfId="25569"/>
    <cellStyle name="Normal 11 3 2 2 6" xfId="25570"/>
    <cellStyle name="Normal 11 3 2 2 6 2" xfId="25571"/>
    <cellStyle name="Normal 11 3 2 2 6 3" xfId="25572"/>
    <cellStyle name="Normal 11 3 2 2 7" xfId="25573"/>
    <cellStyle name="Normal 11 3 2 2 7 2" xfId="25574"/>
    <cellStyle name="Normal 11 3 2 2 7 3" xfId="25575"/>
    <cellStyle name="Normal 11 3 2 2 8" xfId="25576"/>
    <cellStyle name="Normal 11 3 2 2 9" xfId="25577"/>
    <cellStyle name="Normal 11 3 2 3" xfId="25578"/>
    <cellStyle name="Normal 11 3 2 3 2" xfId="25579"/>
    <cellStyle name="Normal 11 3 2 3 2 2" xfId="25580"/>
    <cellStyle name="Normal 11 3 2 3 2 2 2" xfId="25581"/>
    <cellStyle name="Normal 11 3 2 3 2 2 3" xfId="25582"/>
    <cellStyle name="Normal 11 3 2 3 2 3" xfId="25583"/>
    <cellStyle name="Normal 11 3 2 3 2 3 2" xfId="25584"/>
    <cellStyle name="Normal 11 3 2 3 2 3 3" xfId="25585"/>
    <cellStyle name="Normal 11 3 2 3 2 4" xfId="25586"/>
    <cellStyle name="Normal 11 3 2 3 2 5" xfId="25587"/>
    <cellStyle name="Normal 11 3 2 3 3" xfId="25588"/>
    <cellStyle name="Normal 11 3 2 3 3 2" xfId="25589"/>
    <cellStyle name="Normal 11 3 2 3 3 2 2" xfId="25590"/>
    <cellStyle name="Normal 11 3 2 3 3 2 3" xfId="25591"/>
    <cellStyle name="Normal 11 3 2 3 3 3" xfId="25592"/>
    <cellStyle name="Normal 11 3 2 3 3 3 2" xfId="25593"/>
    <cellStyle name="Normal 11 3 2 3 3 3 3" xfId="25594"/>
    <cellStyle name="Normal 11 3 2 3 3 4" xfId="25595"/>
    <cellStyle name="Normal 11 3 2 3 3 5" xfId="25596"/>
    <cellStyle name="Normal 11 3 2 3 4" xfId="25597"/>
    <cellStyle name="Normal 11 3 2 3 4 2" xfId="25598"/>
    <cellStyle name="Normal 11 3 2 3 4 3" xfId="25599"/>
    <cellStyle name="Normal 11 3 2 3 5" xfId="25600"/>
    <cellStyle name="Normal 11 3 2 3 5 2" xfId="25601"/>
    <cellStyle name="Normal 11 3 2 3 5 3" xfId="25602"/>
    <cellStyle name="Normal 11 3 2 3 6" xfId="25603"/>
    <cellStyle name="Normal 11 3 2 3 7" xfId="25604"/>
    <cellStyle name="Normal 11 3 2 4" xfId="25605"/>
    <cellStyle name="Normal 11 3 2 4 2" xfId="25606"/>
    <cellStyle name="Normal 11 3 2 4 2 2" xfId="25607"/>
    <cellStyle name="Normal 11 3 2 4 2 2 2" xfId="25608"/>
    <cellStyle name="Normal 11 3 2 4 2 2 3" xfId="25609"/>
    <cellStyle name="Normal 11 3 2 4 2 3" xfId="25610"/>
    <cellStyle name="Normal 11 3 2 4 2 3 2" xfId="25611"/>
    <cellStyle name="Normal 11 3 2 4 2 3 3" xfId="25612"/>
    <cellStyle name="Normal 11 3 2 4 2 4" xfId="25613"/>
    <cellStyle name="Normal 11 3 2 4 2 5" xfId="25614"/>
    <cellStyle name="Normal 11 3 2 4 3" xfId="25615"/>
    <cellStyle name="Normal 11 3 2 4 3 2" xfId="25616"/>
    <cellStyle name="Normal 11 3 2 4 3 2 2" xfId="25617"/>
    <cellStyle name="Normal 11 3 2 4 3 2 3" xfId="25618"/>
    <cellStyle name="Normal 11 3 2 4 3 3" xfId="25619"/>
    <cellStyle name="Normal 11 3 2 4 3 3 2" xfId="25620"/>
    <cellStyle name="Normal 11 3 2 4 3 3 3" xfId="25621"/>
    <cellStyle name="Normal 11 3 2 4 3 4" xfId="25622"/>
    <cellStyle name="Normal 11 3 2 4 3 5" xfId="25623"/>
    <cellStyle name="Normal 11 3 2 4 4" xfId="25624"/>
    <cellStyle name="Normal 11 3 2 4 4 2" xfId="25625"/>
    <cellStyle name="Normal 11 3 2 4 4 3" xfId="25626"/>
    <cellStyle name="Normal 11 3 2 4 5" xfId="25627"/>
    <cellStyle name="Normal 11 3 2 4 5 2" xfId="25628"/>
    <cellStyle name="Normal 11 3 2 4 5 3" xfId="25629"/>
    <cellStyle name="Normal 11 3 2 4 6" xfId="25630"/>
    <cellStyle name="Normal 11 3 2 4 7" xfId="25631"/>
    <cellStyle name="Normal 11 3 2 5" xfId="25632"/>
    <cellStyle name="Normal 11 3 2 5 2" xfId="25633"/>
    <cellStyle name="Normal 11 3 2 5 2 2" xfId="25634"/>
    <cellStyle name="Normal 11 3 2 5 2 3" xfId="25635"/>
    <cellStyle name="Normal 11 3 2 5 3" xfId="25636"/>
    <cellStyle name="Normal 11 3 2 5 3 2" xfId="25637"/>
    <cellStyle name="Normal 11 3 2 5 3 3" xfId="25638"/>
    <cellStyle name="Normal 11 3 2 5 4" xfId="25639"/>
    <cellStyle name="Normal 11 3 2 5 5" xfId="25640"/>
    <cellStyle name="Normal 11 3 2 6" xfId="25641"/>
    <cellStyle name="Normal 11 3 2 6 2" xfId="25642"/>
    <cellStyle name="Normal 11 3 2 6 2 2" xfId="25643"/>
    <cellStyle name="Normal 11 3 2 6 2 3" xfId="25644"/>
    <cellStyle name="Normal 11 3 2 6 3" xfId="25645"/>
    <cellStyle name="Normal 11 3 2 6 3 2" xfId="25646"/>
    <cellStyle name="Normal 11 3 2 6 3 3" xfId="25647"/>
    <cellStyle name="Normal 11 3 2 6 4" xfId="25648"/>
    <cellStyle name="Normal 11 3 2 6 5" xfId="25649"/>
    <cellStyle name="Normal 11 3 2 7" xfId="25650"/>
    <cellStyle name="Normal 11 3 2 7 2" xfId="25651"/>
    <cellStyle name="Normal 11 3 2 7 3" xfId="25652"/>
    <cellStyle name="Normal 11 3 2 8" xfId="25653"/>
    <cellStyle name="Normal 11 3 2 8 2" xfId="25654"/>
    <cellStyle name="Normal 11 3 2 8 3" xfId="25655"/>
    <cellStyle name="Normal 11 3 2 9" xfId="25656"/>
    <cellStyle name="Normal 11 3 3" xfId="25657"/>
    <cellStyle name="Normal 11 3 3 2" xfId="25658"/>
    <cellStyle name="Normal 11 3 3 2 2" xfId="25659"/>
    <cellStyle name="Normal 11 3 3 2 2 2" xfId="25660"/>
    <cellStyle name="Normal 11 3 3 2 2 2 2" xfId="25661"/>
    <cellStyle name="Normal 11 3 3 2 2 2 3" xfId="25662"/>
    <cellStyle name="Normal 11 3 3 2 2 3" xfId="25663"/>
    <cellStyle name="Normal 11 3 3 2 2 3 2" xfId="25664"/>
    <cellStyle name="Normal 11 3 3 2 2 3 3" xfId="25665"/>
    <cellStyle name="Normal 11 3 3 2 2 4" xfId="25666"/>
    <cellStyle name="Normal 11 3 3 2 2 5" xfId="25667"/>
    <cellStyle name="Normal 11 3 3 2 3" xfId="25668"/>
    <cellStyle name="Normal 11 3 3 2 3 2" xfId="25669"/>
    <cellStyle name="Normal 11 3 3 2 3 2 2" xfId="25670"/>
    <cellStyle name="Normal 11 3 3 2 3 2 3" xfId="25671"/>
    <cellStyle name="Normal 11 3 3 2 3 3" xfId="25672"/>
    <cellStyle name="Normal 11 3 3 2 3 3 2" xfId="25673"/>
    <cellStyle name="Normal 11 3 3 2 3 3 3" xfId="25674"/>
    <cellStyle name="Normal 11 3 3 2 3 4" xfId="25675"/>
    <cellStyle name="Normal 11 3 3 2 3 5" xfId="25676"/>
    <cellStyle name="Normal 11 3 3 2 4" xfId="25677"/>
    <cellStyle name="Normal 11 3 3 2 4 2" xfId="25678"/>
    <cellStyle name="Normal 11 3 3 2 4 3" xfId="25679"/>
    <cellStyle name="Normal 11 3 3 2 5" xfId="25680"/>
    <cellStyle name="Normal 11 3 3 2 5 2" xfId="25681"/>
    <cellStyle name="Normal 11 3 3 2 5 3" xfId="25682"/>
    <cellStyle name="Normal 11 3 3 2 6" xfId="25683"/>
    <cellStyle name="Normal 11 3 3 2 7" xfId="25684"/>
    <cellStyle name="Normal 11 3 3 3" xfId="25685"/>
    <cellStyle name="Normal 11 3 3 3 2" xfId="25686"/>
    <cellStyle name="Normal 11 3 3 3 2 2" xfId="25687"/>
    <cellStyle name="Normal 11 3 3 3 2 2 2" xfId="25688"/>
    <cellStyle name="Normal 11 3 3 3 2 2 3" xfId="25689"/>
    <cellStyle name="Normal 11 3 3 3 2 3" xfId="25690"/>
    <cellStyle name="Normal 11 3 3 3 2 3 2" xfId="25691"/>
    <cellStyle name="Normal 11 3 3 3 2 3 3" xfId="25692"/>
    <cellStyle name="Normal 11 3 3 3 2 4" xfId="25693"/>
    <cellStyle name="Normal 11 3 3 3 2 5" xfId="25694"/>
    <cellStyle name="Normal 11 3 3 3 3" xfId="25695"/>
    <cellStyle name="Normal 11 3 3 3 3 2" xfId="25696"/>
    <cellStyle name="Normal 11 3 3 3 3 2 2" xfId="25697"/>
    <cellStyle name="Normal 11 3 3 3 3 2 3" xfId="25698"/>
    <cellStyle name="Normal 11 3 3 3 3 3" xfId="25699"/>
    <cellStyle name="Normal 11 3 3 3 3 3 2" xfId="25700"/>
    <cellStyle name="Normal 11 3 3 3 3 3 3" xfId="25701"/>
    <cellStyle name="Normal 11 3 3 3 3 4" xfId="25702"/>
    <cellStyle name="Normal 11 3 3 3 3 5" xfId="25703"/>
    <cellStyle name="Normal 11 3 3 3 4" xfId="25704"/>
    <cellStyle name="Normal 11 3 3 3 4 2" xfId="25705"/>
    <cellStyle name="Normal 11 3 3 3 4 3" xfId="25706"/>
    <cellStyle name="Normal 11 3 3 3 5" xfId="25707"/>
    <cellStyle name="Normal 11 3 3 3 5 2" xfId="25708"/>
    <cellStyle name="Normal 11 3 3 3 5 3" xfId="25709"/>
    <cellStyle name="Normal 11 3 3 3 6" xfId="25710"/>
    <cellStyle name="Normal 11 3 3 3 7" xfId="25711"/>
    <cellStyle name="Normal 11 3 3 4" xfId="25712"/>
    <cellStyle name="Normal 11 3 3 4 2" xfId="25713"/>
    <cellStyle name="Normal 11 3 3 4 2 2" xfId="25714"/>
    <cellStyle name="Normal 11 3 3 4 2 3" xfId="25715"/>
    <cellStyle name="Normal 11 3 3 4 3" xfId="25716"/>
    <cellStyle name="Normal 11 3 3 4 3 2" xfId="25717"/>
    <cellStyle name="Normal 11 3 3 4 3 3" xfId="25718"/>
    <cellStyle name="Normal 11 3 3 4 4" xfId="25719"/>
    <cellStyle name="Normal 11 3 3 4 5" xfId="25720"/>
    <cellStyle name="Normal 11 3 3 5" xfId="25721"/>
    <cellStyle name="Normal 11 3 3 5 2" xfId="25722"/>
    <cellStyle name="Normal 11 3 3 5 2 2" xfId="25723"/>
    <cellStyle name="Normal 11 3 3 5 2 3" xfId="25724"/>
    <cellStyle name="Normal 11 3 3 5 3" xfId="25725"/>
    <cellStyle name="Normal 11 3 3 5 3 2" xfId="25726"/>
    <cellStyle name="Normal 11 3 3 5 3 3" xfId="25727"/>
    <cellStyle name="Normal 11 3 3 5 4" xfId="25728"/>
    <cellStyle name="Normal 11 3 3 5 5" xfId="25729"/>
    <cellStyle name="Normal 11 3 3 6" xfId="25730"/>
    <cellStyle name="Normal 11 3 3 6 2" xfId="25731"/>
    <cellStyle name="Normal 11 3 3 6 3" xfId="25732"/>
    <cellStyle name="Normal 11 3 3 7" xfId="25733"/>
    <cellStyle name="Normal 11 3 3 7 2" xfId="25734"/>
    <cellStyle name="Normal 11 3 3 7 3" xfId="25735"/>
    <cellStyle name="Normal 11 3 3 8" xfId="25736"/>
    <cellStyle name="Normal 11 3 3 9" xfId="25737"/>
    <cellStyle name="Normal 11 4" xfId="25738"/>
    <cellStyle name="Normal 11 4 10" xfId="25739"/>
    <cellStyle name="Normal 11 4 11" xfId="25740"/>
    <cellStyle name="Normal 11 4 2" xfId="25741"/>
    <cellStyle name="Normal 11 4 2 10" xfId="25742"/>
    <cellStyle name="Normal 11 4 2 2" xfId="25743"/>
    <cellStyle name="Normal 11 4 2 2 2" xfId="25744"/>
    <cellStyle name="Normal 11 4 2 2 2 2" xfId="25745"/>
    <cellStyle name="Normal 11 4 2 2 2 2 2" xfId="25746"/>
    <cellStyle name="Normal 11 4 2 2 2 2 2 2" xfId="25747"/>
    <cellStyle name="Normal 11 4 2 2 2 2 2 3" xfId="25748"/>
    <cellStyle name="Normal 11 4 2 2 2 2 3" xfId="25749"/>
    <cellStyle name="Normal 11 4 2 2 2 2 3 2" xfId="25750"/>
    <cellStyle name="Normal 11 4 2 2 2 2 3 3" xfId="25751"/>
    <cellStyle name="Normal 11 4 2 2 2 2 4" xfId="25752"/>
    <cellStyle name="Normal 11 4 2 2 2 2 5" xfId="25753"/>
    <cellStyle name="Normal 11 4 2 2 2 3" xfId="25754"/>
    <cellStyle name="Normal 11 4 2 2 2 3 2" xfId="25755"/>
    <cellStyle name="Normal 11 4 2 2 2 3 2 2" xfId="25756"/>
    <cellStyle name="Normal 11 4 2 2 2 3 2 3" xfId="25757"/>
    <cellStyle name="Normal 11 4 2 2 2 3 3" xfId="25758"/>
    <cellStyle name="Normal 11 4 2 2 2 3 3 2" xfId="25759"/>
    <cellStyle name="Normal 11 4 2 2 2 3 3 3" xfId="25760"/>
    <cellStyle name="Normal 11 4 2 2 2 3 4" xfId="25761"/>
    <cellStyle name="Normal 11 4 2 2 2 3 5" xfId="25762"/>
    <cellStyle name="Normal 11 4 2 2 2 4" xfId="25763"/>
    <cellStyle name="Normal 11 4 2 2 2 4 2" xfId="25764"/>
    <cellStyle name="Normal 11 4 2 2 2 4 3" xfId="25765"/>
    <cellStyle name="Normal 11 4 2 2 2 5" xfId="25766"/>
    <cellStyle name="Normal 11 4 2 2 2 5 2" xfId="25767"/>
    <cellStyle name="Normal 11 4 2 2 2 5 3" xfId="25768"/>
    <cellStyle name="Normal 11 4 2 2 2 6" xfId="25769"/>
    <cellStyle name="Normal 11 4 2 2 2 7" xfId="25770"/>
    <cellStyle name="Normal 11 4 2 2 3" xfId="25771"/>
    <cellStyle name="Normal 11 4 2 2 3 2" xfId="25772"/>
    <cellStyle name="Normal 11 4 2 2 3 2 2" xfId="25773"/>
    <cellStyle name="Normal 11 4 2 2 3 2 2 2" xfId="25774"/>
    <cellStyle name="Normal 11 4 2 2 3 2 2 3" xfId="25775"/>
    <cellStyle name="Normal 11 4 2 2 3 2 3" xfId="25776"/>
    <cellStyle name="Normal 11 4 2 2 3 2 3 2" xfId="25777"/>
    <cellStyle name="Normal 11 4 2 2 3 2 3 3" xfId="25778"/>
    <cellStyle name="Normal 11 4 2 2 3 2 4" xfId="25779"/>
    <cellStyle name="Normal 11 4 2 2 3 2 5" xfId="25780"/>
    <cellStyle name="Normal 11 4 2 2 3 3" xfId="25781"/>
    <cellStyle name="Normal 11 4 2 2 3 3 2" xfId="25782"/>
    <cellStyle name="Normal 11 4 2 2 3 3 2 2" xfId="25783"/>
    <cellStyle name="Normal 11 4 2 2 3 3 2 3" xfId="25784"/>
    <cellStyle name="Normal 11 4 2 2 3 3 3" xfId="25785"/>
    <cellStyle name="Normal 11 4 2 2 3 3 3 2" xfId="25786"/>
    <cellStyle name="Normal 11 4 2 2 3 3 3 3" xfId="25787"/>
    <cellStyle name="Normal 11 4 2 2 3 3 4" xfId="25788"/>
    <cellStyle name="Normal 11 4 2 2 3 3 5" xfId="25789"/>
    <cellStyle name="Normal 11 4 2 2 3 4" xfId="25790"/>
    <cellStyle name="Normal 11 4 2 2 3 4 2" xfId="25791"/>
    <cellStyle name="Normal 11 4 2 2 3 4 3" xfId="25792"/>
    <cellStyle name="Normal 11 4 2 2 3 5" xfId="25793"/>
    <cellStyle name="Normal 11 4 2 2 3 5 2" xfId="25794"/>
    <cellStyle name="Normal 11 4 2 2 3 5 3" xfId="25795"/>
    <cellStyle name="Normal 11 4 2 2 3 6" xfId="25796"/>
    <cellStyle name="Normal 11 4 2 2 3 7" xfId="25797"/>
    <cellStyle name="Normal 11 4 2 2 4" xfId="25798"/>
    <cellStyle name="Normal 11 4 2 2 4 2" xfId="25799"/>
    <cellStyle name="Normal 11 4 2 2 4 2 2" xfId="25800"/>
    <cellStyle name="Normal 11 4 2 2 4 2 3" xfId="25801"/>
    <cellStyle name="Normal 11 4 2 2 4 3" xfId="25802"/>
    <cellStyle name="Normal 11 4 2 2 4 3 2" xfId="25803"/>
    <cellStyle name="Normal 11 4 2 2 4 3 3" xfId="25804"/>
    <cellStyle name="Normal 11 4 2 2 4 4" xfId="25805"/>
    <cellStyle name="Normal 11 4 2 2 4 5" xfId="25806"/>
    <cellStyle name="Normal 11 4 2 2 5" xfId="25807"/>
    <cellStyle name="Normal 11 4 2 2 5 2" xfId="25808"/>
    <cellStyle name="Normal 11 4 2 2 5 2 2" xfId="25809"/>
    <cellStyle name="Normal 11 4 2 2 5 2 3" xfId="25810"/>
    <cellStyle name="Normal 11 4 2 2 5 3" xfId="25811"/>
    <cellStyle name="Normal 11 4 2 2 5 3 2" xfId="25812"/>
    <cellStyle name="Normal 11 4 2 2 5 3 3" xfId="25813"/>
    <cellStyle name="Normal 11 4 2 2 5 4" xfId="25814"/>
    <cellStyle name="Normal 11 4 2 2 5 5" xfId="25815"/>
    <cellStyle name="Normal 11 4 2 2 6" xfId="25816"/>
    <cellStyle name="Normal 11 4 2 2 6 2" xfId="25817"/>
    <cellStyle name="Normal 11 4 2 2 6 3" xfId="25818"/>
    <cellStyle name="Normal 11 4 2 2 7" xfId="25819"/>
    <cellStyle name="Normal 11 4 2 2 7 2" xfId="25820"/>
    <cellStyle name="Normal 11 4 2 2 7 3" xfId="25821"/>
    <cellStyle name="Normal 11 4 2 2 8" xfId="25822"/>
    <cellStyle name="Normal 11 4 2 2 9" xfId="25823"/>
    <cellStyle name="Normal 11 4 2 3" xfId="25824"/>
    <cellStyle name="Normal 11 4 2 3 2" xfId="25825"/>
    <cellStyle name="Normal 11 4 2 3 2 2" xfId="25826"/>
    <cellStyle name="Normal 11 4 2 3 2 2 2" xfId="25827"/>
    <cellStyle name="Normal 11 4 2 3 2 2 3" xfId="25828"/>
    <cellStyle name="Normal 11 4 2 3 2 3" xfId="25829"/>
    <cellStyle name="Normal 11 4 2 3 2 3 2" xfId="25830"/>
    <cellStyle name="Normal 11 4 2 3 2 3 3" xfId="25831"/>
    <cellStyle name="Normal 11 4 2 3 2 4" xfId="25832"/>
    <cellStyle name="Normal 11 4 2 3 2 5" xfId="25833"/>
    <cellStyle name="Normal 11 4 2 3 3" xfId="25834"/>
    <cellStyle name="Normal 11 4 2 3 3 2" xfId="25835"/>
    <cellStyle name="Normal 11 4 2 3 3 2 2" xfId="25836"/>
    <cellStyle name="Normal 11 4 2 3 3 2 3" xfId="25837"/>
    <cellStyle name="Normal 11 4 2 3 3 3" xfId="25838"/>
    <cellStyle name="Normal 11 4 2 3 3 3 2" xfId="25839"/>
    <cellStyle name="Normal 11 4 2 3 3 3 3" xfId="25840"/>
    <cellStyle name="Normal 11 4 2 3 3 4" xfId="25841"/>
    <cellStyle name="Normal 11 4 2 3 3 5" xfId="25842"/>
    <cellStyle name="Normal 11 4 2 3 4" xfId="25843"/>
    <cellStyle name="Normal 11 4 2 3 4 2" xfId="25844"/>
    <cellStyle name="Normal 11 4 2 3 4 3" xfId="25845"/>
    <cellStyle name="Normal 11 4 2 3 5" xfId="25846"/>
    <cellStyle name="Normal 11 4 2 3 5 2" xfId="25847"/>
    <cellStyle name="Normal 11 4 2 3 5 3" xfId="25848"/>
    <cellStyle name="Normal 11 4 2 3 6" xfId="25849"/>
    <cellStyle name="Normal 11 4 2 3 7" xfId="25850"/>
    <cellStyle name="Normal 11 4 2 4" xfId="25851"/>
    <cellStyle name="Normal 11 4 2 4 2" xfId="25852"/>
    <cellStyle name="Normal 11 4 2 4 2 2" xfId="25853"/>
    <cellStyle name="Normal 11 4 2 4 2 2 2" xfId="25854"/>
    <cellStyle name="Normal 11 4 2 4 2 2 3" xfId="25855"/>
    <cellStyle name="Normal 11 4 2 4 2 3" xfId="25856"/>
    <cellStyle name="Normal 11 4 2 4 2 3 2" xfId="25857"/>
    <cellStyle name="Normal 11 4 2 4 2 3 3" xfId="25858"/>
    <cellStyle name="Normal 11 4 2 4 2 4" xfId="25859"/>
    <cellStyle name="Normal 11 4 2 4 2 5" xfId="25860"/>
    <cellStyle name="Normal 11 4 2 4 3" xfId="25861"/>
    <cellStyle name="Normal 11 4 2 4 3 2" xfId="25862"/>
    <cellStyle name="Normal 11 4 2 4 3 2 2" xfId="25863"/>
    <cellStyle name="Normal 11 4 2 4 3 2 3" xfId="25864"/>
    <cellStyle name="Normal 11 4 2 4 3 3" xfId="25865"/>
    <cellStyle name="Normal 11 4 2 4 3 3 2" xfId="25866"/>
    <cellStyle name="Normal 11 4 2 4 3 3 3" xfId="25867"/>
    <cellStyle name="Normal 11 4 2 4 3 4" xfId="25868"/>
    <cellStyle name="Normal 11 4 2 4 3 5" xfId="25869"/>
    <cellStyle name="Normal 11 4 2 4 4" xfId="25870"/>
    <cellStyle name="Normal 11 4 2 4 4 2" xfId="25871"/>
    <cellStyle name="Normal 11 4 2 4 4 3" xfId="25872"/>
    <cellStyle name="Normal 11 4 2 4 5" xfId="25873"/>
    <cellStyle name="Normal 11 4 2 4 5 2" xfId="25874"/>
    <cellStyle name="Normal 11 4 2 4 5 3" xfId="25875"/>
    <cellStyle name="Normal 11 4 2 4 6" xfId="25876"/>
    <cellStyle name="Normal 11 4 2 4 7" xfId="25877"/>
    <cellStyle name="Normal 11 4 2 5" xfId="25878"/>
    <cellStyle name="Normal 11 4 2 5 2" xfId="25879"/>
    <cellStyle name="Normal 11 4 2 5 2 2" xfId="25880"/>
    <cellStyle name="Normal 11 4 2 5 2 3" xfId="25881"/>
    <cellStyle name="Normal 11 4 2 5 3" xfId="25882"/>
    <cellStyle name="Normal 11 4 2 5 3 2" xfId="25883"/>
    <cellStyle name="Normal 11 4 2 5 3 3" xfId="25884"/>
    <cellStyle name="Normal 11 4 2 5 4" xfId="25885"/>
    <cellStyle name="Normal 11 4 2 5 5" xfId="25886"/>
    <cellStyle name="Normal 11 4 2 6" xfId="25887"/>
    <cellStyle name="Normal 11 4 2 6 2" xfId="25888"/>
    <cellStyle name="Normal 11 4 2 6 2 2" xfId="25889"/>
    <cellStyle name="Normal 11 4 2 6 2 3" xfId="25890"/>
    <cellStyle name="Normal 11 4 2 6 3" xfId="25891"/>
    <cellStyle name="Normal 11 4 2 6 3 2" xfId="25892"/>
    <cellStyle name="Normal 11 4 2 6 3 3" xfId="25893"/>
    <cellStyle name="Normal 11 4 2 6 4" xfId="25894"/>
    <cellStyle name="Normal 11 4 2 6 5" xfId="25895"/>
    <cellStyle name="Normal 11 4 2 7" xfId="25896"/>
    <cellStyle name="Normal 11 4 2 7 2" xfId="25897"/>
    <cellStyle name="Normal 11 4 2 7 3" xfId="25898"/>
    <cellStyle name="Normal 11 4 2 8" xfId="25899"/>
    <cellStyle name="Normal 11 4 2 8 2" xfId="25900"/>
    <cellStyle name="Normal 11 4 2 8 3" xfId="25901"/>
    <cellStyle name="Normal 11 4 2 9" xfId="25902"/>
    <cellStyle name="Normal 11 4 3" xfId="25903"/>
    <cellStyle name="Normal 11 4 3 2" xfId="25904"/>
    <cellStyle name="Normal 11 4 3 2 2" xfId="25905"/>
    <cellStyle name="Normal 11 4 3 2 2 2" xfId="25906"/>
    <cellStyle name="Normal 11 4 3 2 2 2 2" xfId="25907"/>
    <cellStyle name="Normal 11 4 3 2 2 2 3" xfId="25908"/>
    <cellStyle name="Normal 11 4 3 2 2 3" xfId="25909"/>
    <cellStyle name="Normal 11 4 3 2 2 3 2" xfId="25910"/>
    <cellStyle name="Normal 11 4 3 2 2 3 3" xfId="25911"/>
    <cellStyle name="Normal 11 4 3 2 2 4" xfId="25912"/>
    <cellStyle name="Normal 11 4 3 2 2 5" xfId="25913"/>
    <cellStyle name="Normal 11 4 3 2 3" xfId="25914"/>
    <cellStyle name="Normal 11 4 3 2 3 2" xfId="25915"/>
    <cellStyle name="Normal 11 4 3 2 3 2 2" xfId="25916"/>
    <cellStyle name="Normal 11 4 3 2 3 2 3" xfId="25917"/>
    <cellStyle name="Normal 11 4 3 2 3 3" xfId="25918"/>
    <cellStyle name="Normal 11 4 3 2 3 3 2" xfId="25919"/>
    <cellStyle name="Normal 11 4 3 2 3 3 3" xfId="25920"/>
    <cellStyle name="Normal 11 4 3 2 3 4" xfId="25921"/>
    <cellStyle name="Normal 11 4 3 2 3 5" xfId="25922"/>
    <cellStyle name="Normal 11 4 3 2 4" xfId="25923"/>
    <cellStyle name="Normal 11 4 3 2 4 2" xfId="25924"/>
    <cellStyle name="Normal 11 4 3 2 4 3" xfId="25925"/>
    <cellStyle name="Normal 11 4 3 2 5" xfId="25926"/>
    <cellStyle name="Normal 11 4 3 2 5 2" xfId="25927"/>
    <cellStyle name="Normal 11 4 3 2 5 3" xfId="25928"/>
    <cellStyle name="Normal 11 4 3 2 6" xfId="25929"/>
    <cellStyle name="Normal 11 4 3 2 7" xfId="25930"/>
    <cellStyle name="Normal 11 4 3 3" xfId="25931"/>
    <cellStyle name="Normal 11 4 3 3 2" xfId="25932"/>
    <cellStyle name="Normal 11 4 3 3 2 2" xfId="25933"/>
    <cellStyle name="Normal 11 4 3 3 2 2 2" xfId="25934"/>
    <cellStyle name="Normal 11 4 3 3 2 2 3" xfId="25935"/>
    <cellStyle name="Normal 11 4 3 3 2 3" xfId="25936"/>
    <cellStyle name="Normal 11 4 3 3 2 3 2" xfId="25937"/>
    <cellStyle name="Normal 11 4 3 3 2 3 3" xfId="25938"/>
    <cellStyle name="Normal 11 4 3 3 2 4" xfId="25939"/>
    <cellStyle name="Normal 11 4 3 3 2 5" xfId="25940"/>
    <cellStyle name="Normal 11 4 3 3 3" xfId="25941"/>
    <cellStyle name="Normal 11 4 3 3 3 2" xfId="25942"/>
    <cellStyle name="Normal 11 4 3 3 3 2 2" xfId="25943"/>
    <cellStyle name="Normal 11 4 3 3 3 2 3" xfId="25944"/>
    <cellStyle name="Normal 11 4 3 3 3 3" xfId="25945"/>
    <cellStyle name="Normal 11 4 3 3 3 3 2" xfId="25946"/>
    <cellStyle name="Normal 11 4 3 3 3 3 3" xfId="25947"/>
    <cellStyle name="Normal 11 4 3 3 3 4" xfId="25948"/>
    <cellStyle name="Normal 11 4 3 3 3 5" xfId="25949"/>
    <cellStyle name="Normal 11 4 3 3 4" xfId="25950"/>
    <cellStyle name="Normal 11 4 3 3 4 2" xfId="25951"/>
    <cellStyle name="Normal 11 4 3 3 4 3" xfId="25952"/>
    <cellStyle name="Normal 11 4 3 3 5" xfId="25953"/>
    <cellStyle name="Normal 11 4 3 3 5 2" xfId="25954"/>
    <cellStyle name="Normal 11 4 3 3 5 3" xfId="25955"/>
    <cellStyle name="Normal 11 4 3 3 6" xfId="25956"/>
    <cellStyle name="Normal 11 4 3 3 7" xfId="25957"/>
    <cellStyle name="Normal 11 4 3 4" xfId="25958"/>
    <cellStyle name="Normal 11 4 3 4 2" xfId="25959"/>
    <cellStyle name="Normal 11 4 3 4 2 2" xfId="25960"/>
    <cellStyle name="Normal 11 4 3 4 2 3" xfId="25961"/>
    <cellStyle name="Normal 11 4 3 4 3" xfId="25962"/>
    <cellStyle name="Normal 11 4 3 4 3 2" xfId="25963"/>
    <cellStyle name="Normal 11 4 3 4 3 3" xfId="25964"/>
    <cellStyle name="Normal 11 4 3 4 4" xfId="25965"/>
    <cellStyle name="Normal 11 4 3 4 5" xfId="25966"/>
    <cellStyle name="Normal 11 4 3 5" xfId="25967"/>
    <cellStyle name="Normal 11 4 3 5 2" xfId="25968"/>
    <cellStyle name="Normal 11 4 3 5 2 2" xfId="25969"/>
    <cellStyle name="Normal 11 4 3 5 2 3" xfId="25970"/>
    <cellStyle name="Normal 11 4 3 5 3" xfId="25971"/>
    <cellStyle name="Normal 11 4 3 5 3 2" xfId="25972"/>
    <cellStyle name="Normal 11 4 3 5 3 3" xfId="25973"/>
    <cellStyle name="Normal 11 4 3 5 4" xfId="25974"/>
    <cellStyle name="Normal 11 4 3 5 5" xfId="25975"/>
    <cellStyle name="Normal 11 4 3 6" xfId="25976"/>
    <cellStyle name="Normal 11 4 3 6 2" xfId="25977"/>
    <cellStyle name="Normal 11 4 3 6 3" xfId="25978"/>
    <cellStyle name="Normal 11 4 3 7" xfId="25979"/>
    <cellStyle name="Normal 11 4 3 7 2" xfId="25980"/>
    <cellStyle name="Normal 11 4 3 7 3" xfId="25981"/>
    <cellStyle name="Normal 11 4 3 8" xfId="25982"/>
    <cellStyle name="Normal 11 4 3 9" xfId="25983"/>
    <cellStyle name="Normal 11 4 4" xfId="25984"/>
    <cellStyle name="Normal 11 4 4 2" xfId="25985"/>
    <cellStyle name="Normal 11 4 4 2 2" xfId="25986"/>
    <cellStyle name="Normal 11 4 4 2 2 2" xfId="25987"/>
    <cellStyle name="Normal 11 4 4 2 2 3" xfId="25988"/>
    <cellStyle name="Normal 11 4 4 2 3" xfId="25989"/>
    <cellStyle name="Normal 11 4 4 2 3 2" xfId="25990"/>
    <cellStyle name="Normal 11 4 4 2 3 3" xfId="25991"/>
    <cellStyle name="Normal 11 4 4 2 4" xfId="25992"/>
    <cellStyle name="Normal 11 4 4 2 5" xfId="25993"/>
    <cellStyle name="Normal 11 4 4 3" xfId="25994"/>
    <cellStyle name="Normal 11 4 4 3 2" xfId="25995"/>
    <cellStyle name="Normal 11 4 4 3 2 2" xfId="25996"/>
    <cellStyle name="Normal 11 4 4 3 2 3" xfId="25997"/>
    <cellStyle name="Normal 11 4 4 3 3" xfId="25998"/>
    <cellStyle name="Normal 11 4 4 3 3 2" xfId="25999"/>
    <cellStyle name="Normal 11 4 4 3 3 3" xfId="26000"/>
    <cellStyle name="Normal 11 4 4 3 4" xfId="26001"/>
    <cellStyle name="Normal 11 4 4 3 5" xfId="26002"/>
    <cellStyle name="Normal 11 4 4 4" xfId="26003"/>
    <cellStyle name="Normal 11 4 4 4 2" xfId="26004"/>
    <cellStyle name="Normal 11 4 4 4 3" xfId="26005"/>
    <cellStyle name="Normal 11 4 4 5" xfId="26006"/>
    <cellStyle name="Normal 11 4 4 5 2" xfId="26007"/>
    <cellStyle name="Normal 11 4 4 5 3" xfId="26008"/>
    <cellStyle name="Normal 11 4 4 6" xfId="26009"/>
    <cellStyle name="Normal 11 4 4 7" xfId="26010"/>
    <cellStyle name="Normal 11 4 5" xfId="26011"/>
    <cellStyle name="Normal 11 4 5 2" xfId="26012"/>
    <cellStyle name="Normal 11 4 5 2 2" xfId="26013"/>
    <cellStyle name="Normal 11 4 5 2 2 2" xfId="26014"/>
    <cellStyle name="Normal 11 4 5 2 2 3" xfId="26015"/>
    <cellStyle name="Normal 11 4 5 2 3" xfId="26016"/>
    <cellStyle name="Normal 11 4 5 2 3 2" xfId="26017"/>
    <cellStyle name="Normal 11 4 5 2 3 3" xfId="26018"/>
    <cellStyle name="Normal 11 4 5 2 4" xfId="26019"/>
    <cellStyle name="Normal 11 4 5 2 5" xfId="26020"/>
    <cellStyle name="Normal 11 4 5 3" xfId="26021"/>
    <cellStyle name="Normal 11 4 5 3 2" xfId="26022"/>
    <cellStyle name="Normal 11 4 5 3 2 2" xfId="26023"/>
    <cellStyle name="Normal 11 4 5 3 2 3" xfId="26024"/>
    <cellStyle name="Normal 11 4 5 3 3" xfId="26025"/>
    <cellStyle name="Normal 11 4 5 3 3 2" xfId="26026"/>
    <cellStyle name="Normal 11 4 5 3 3 3" xfId="26027"/>
    <cellStyle name="Normal 11 4 5 3 4" xfId="26028"/>
    <cellStyle name="Normal 11 4 5 3 5" xfId="26029"/>
    <cellStyle name="Normal 11 4 5 4" xfId="26030"/>
    <cellStyle name="Normal 11 4 5 4 2" xfId="26031"/>
    <cellStyle name="Normal 11 4 5 4 3" xfId="26032"/>
    <cellStyle name="Normal 11 4 5 5" xfId="26033"/>
    <cellStyle name="Normal 11 4 5 5 2" xfId="26034"/>
    <cellStyle name="Normal 11 4 5 5 3" xfId="26035"/>
    <cellStyle name="Normal 11 4 5 6" xfId="26036"/>
    <cellStyle name="Normal 11 4 5 7" xfId="26037"/>
    <cellStyle name="Normal 11 4 6" xfId="26038"/>
    <cellStyle name="Normal 11 4 6 2" xfId="26039"/>
    <cellStyle name="Normal 11 4 6 2 2" xfId="26040"/>
    <cellStyle name="Normal 11 4 6 2 3" xfId="26041"/>
    <cellStyle name="Normal 11 4 6 3" xfId="26042"/>
    <cellStyle name="Normal 11 4 6 3 2" xfId="26043"/>
    <cellStyle name="Normal 11 4 6 3 3" xfId="26044"/>
    <cellStyle name="Normal 11 4 6 4" xfId="26045"/>
    <cellStyle name="Normal 11 4 6 5" xfId="26046"/>
    <cellStyle name="Normal 11 4 7" xfId="26047"/>
    <cellStyle name="Normal 11 4 7 2" xfId="26048"/>
    <cellStyle name="Normal 11 4 7 2 2" xfId="26049"/>
    <cellStyle name="Normal 11 4 7 2 3" xfId="26050"/>
    <cellStyle name="Normal 11 4 7 3" xfId="26051"/>
    <cellStyle name="Normal 11 4 7 3 2" xfId="26052"/>
    <cellStyle name="Normal 11 4 7 3 3" xfId="26053"/>
    <cellStyle name="Normal 11 4 7 4" xfId="26054"/>
    <cellStyle name="Normal 11 4 7 5" xfId="26055"/>
    <cellStyle name="Normal 11 4 8" xfId="26056"/>
    <cellStyle name="Normal 11 4 8 2" xfId="26057"/>
    <cellStyle name="Normal 11 4 8 3" xfId="26058"/>
    <cellStyle name="Normal 11 4 9" xfId="26059"/>
    <cellStyle name="Normal 11 4 9 2" xfId="26060"/>
    <cellStyle name="Normal 11 4 9 3" xfId="26061"/>
    <cellStyle name="Normal 11 5" xfId="26062"/>
    <cellStyle name="Normal 11 5 10" xfId="26063"/>
    <cellStyle name="Normal 11 5 10 2" xfId="26064"/>
    <cellStyle name="Normal 11 5 10 3" xfId="26065"/>
    <cellStyle name="Normal 11 5 11" xfId="26066"/>
    <cellStyle name="Normal 11 5 12" xfId="26067"/>
    <cellStyle name="Normal 11 5 2" xfId="26068"/>
    <cellStyle name="Normal 11 5 2 10" xfId="26069"/>
    <cellStyle name="Normal 11 5 2 11" xfId="26070"/>
    <cellStyle name="Normal 11 5 2 2" xfId="26071"/>
    <cellStyle name="Normal 11 5 2 2 10" xfId="26072"/>
    <cellStyle name="Normal 11 5 2 2 2" xfId="26073"/>
    <cellStyle name="Normal 11 5 2 2 2 2" xfId="26074"/>
    <cellStyle name="Normal 11 5 2 2 2 2 2" xfId="26075"/>
    <cellStyle name="Normal 11 5 2 2 2 2 2 2" xfId="26076"/>
    <cellStyle name="Normal 11 5 2 2 2 2 2 2 2" xfId="26077"/>
    <cellStyle name="Normal 11 5 2 2 2 2 2 2 3" xfId="26078"/>
    <cellStyle name="Normal 11 5 2 2 2 2 2 3" xfId="26079"/>
    <cellStyle name="Normal 11 5 2 2 2 2 2 3 2" xfId="26080"/>
    <cellStyle name="Normal 11 5 2 2 2 2 2 3 3" xfId="26081"/>
    <cellStyle name="Normal 11 5 2 2 2 2 2 4" xfId="26082"/>
    <cellStyle name="Normal 11 5 2 2 2 2 2 5" xfId="26083"/>
    <cellStyle name="Normal 11 5 2 2 2 2 3" xfId="26084"/>
    <cellStyle name="Normal 11 5 2 2 2 2 3 2" xfId="26085"/>
    <cellStyle name="Normal 11 5 2 2 2 2 3 2 2" xfId="26086"/>
    <cellStyle name="Normal 11 5 2 2 2 2 3 2 3" xfId="26087"/>
    <cellStyle name="Normal 11 5 2 2 2 2 3 3" xfId="26088"/>
    <cellStyle name="Normal 11 5 2 2 2 2 3 3 2" xfId="26089"/>
    <cellStyle name="Normal 11 5 2 2 2 2 3 3 3" xfId="26090"/>
    <cellStyle name="Normal 11 5 2 2 2 2 3 4" xfId="26091"/>
    <cellStyle name="Normal 11 5 2 2 2 2 3 5" xfId="26092"/>
    <cellStyle name="Normal 11 5 2 2 2 2 4" xfId="26093"/>
    <cellStyle name="Normal 11 5 2 2 2 2 4 2" xfId="26094"/>
    <cellStyle name="Normal 11 5 2 2 2 2 4 3" xfId="26095"/>
    <cellStyle name="Normal 11 5 2 2 2 2 5" xfId="26096"/>
    <cellStyle name="Normal 11 5 2 2 2 2 5 2" xfId="26097"/>
    <cellStyle name="Normal 11 5 2 2 2 2 5 3" xfId="26098"/>
    <cellStyle name="Normal 11 5 2 2 2 2 6" xfId="26099"/>
    <cellStyle name="Normal 11 5 2 2 2 2 7" xfId="26100"/>
    <cellStyle name="Normal 11 5 2 2 2 3" xfId="26101"/>
    <cellStyle name="Normal 11 5 2 2 2 3 2" xfId="26102"/>
    <cellStyle name="Normal 11 5 2 2 2 3 2 2" xfId="26103"/>
    <cellStyle name="Normal 11 5 2 2 2 3 2 2 2" xfId="26104"/>
    <cellStyle name="Normal 11 5 2 2 2 3 2 2 3" xfId="26105"/>
    <cellStyle name="Normal 11 5 2 2 2 3 2 3" xfId="26106"/>
    <cellStyle name="Normal 11 5 2 2 2 3 2 3 2" xfId="26107"/>
    <cellStyle name="Normal 11 5 2 2 2 3 2 3 3" xfId="26108"/>
    <cellStyle name="Normal 11 5 2 2 2 3 2 4" xfId="26109"/>
    <cellStyle name="Normal 11 5 2 2 2 3 2 5" xfId="26110"/>
    <cellStyle name="Normal 11 5 2 2 2 3 3" xfId="26111"/>
    <cellStyle name="Normal 11 5 2 2 2 3 3 2" xfId="26112"/>
    <cellStyle name="Normal 11 5 2 2 2 3 3 2 2" xfId="26113"/>
    <cellStyle name="Normal 11 5 2 2 2 3 3 2 3" xfId="26114"/>
    <cellStyle name="Normal 11 5 2 2 2 3 3 3" xfId="26115"/>
    <cellStyle name="Normal 11 5 2 2 2 3 3 3 2" xfId="26116"/>
    <cellStyle name="Normal 11 5 2 2 2 3 3 3 3" xfId="26117"/>
    <cellStyle name="Normal 11 5 2 2 2 3 3 4" xfId="26118"/>
    <cellStyle name="Normal 11 5 2 2 2 3 3 5" xfId="26119"/>
    <cellStyle name="Normal 11 5 2 2 2 3 4" xfId="26120"/>
    <cellStyle name="Normal 11 5 2 2 2 3 4 2" xfId="26121"/>
    <cellStyle name="Normal 11 5 2 2 2 3 4 3" xfId="26122"/>
    <cellStyle name="Normal 11 5 2 2 2 3 5" xfId="26123"/>
    <cellStyle name="Normal 11 5 2 2 2 3 5 2" xfId="26124"/>
    <cellStyle name="Normal 11 5 2 2 2 3 5 3" xfId="26125"/>
    <cellStyle name="Normal 11 5 2 2 2 3 6" xfId="26126"/>
    <cellStyle name="Normal 11 5 2 2 2 3 7" xfId="26127"/>
    <cellStyle name="Normal 11 5 2 2 2 4" xfId="26128"/>
    <cellStyle name="Normal 11 5 2 2 2 4 2" xfId="26129"/>
    <cellStyle name="Normal 11 5 2 2 2 4 2 2" xfId="26130"/>
    <cellStyle name="Normal 11 5 2 2 2 4 2 3" xfId="26131"/>
    <cellStyle name="Normal 11 5 2 2 2 4 3" xfId="26132"/>
    <cellStyle name="Normal 11 5 2 2 2 4 3 2" xfId="26133"/>
    <cellStyle name="Normal 11 5 2 2 2 4 3 3" xfId="26134"/>
    <cellStyle name="Normal 11 5 2 2 2 4 4" xfId="26135"/>
    <cellStyle name="Normal 11 5 2 2 2 4 5" xfId="26136"/>
    <cellStyle name="Normal 11 5 2 2 2 5" xfId="26137"/>
    <cellStyle name="Normal 11 5 2 2 2 5 2" xfId="26138"/>
    <cellStyle name="Normal 11 5 2 2 2 5 2 2" xfId="26139"/>
    <cellStyle name="Normal 11 5 2 2 2 5 2 3" xfId="26140"/>
    <cellStyle name="Normal 11 5 2 2 2 5 3" xfId="26141"/>
    <cellStyle name="Normal 11 5 2 2 2 5 3 2" xfId="26142"/>
    <cellStyle name="Normal 11 5 2 2 2 5 3 3" xfId="26143"/>
    <cellStyle name="Normal 11 5 2 2 2 5 4" xfId="26144"/>
    <cellStyle name="Normal 11 5 2 2 2 5 5" xfId="26145"/>
    <cellStyle name="Normal 11 5 2 2 2 6" xfId="26146"/>
    <cellStyle name="Normal 11 5 2 2 2 6 2" xfId="26147"/>
    <cellStyle name="Normal 11 5 2 2 2 6 3" xfId="26148"/>
    <cellStyle name="Normal 11 5 2 2 2 7" xfId="26149"/>
    <cellStyle name="Normal 11 5 2 2 2 7 2" xfId="26150"/>
    <cellStyle name="Normal 11 5 2 2 2 7 3" xfId="26151"/>
    <cellStyle name="Normal 11 5 2 2 2 8" xfId="26152"/>
    <cellStyle name="Normal 11 5 2 2 2 9" xfId="26153"/>
    <cellStyle name="Normal 11 5 2 2 3" xfId="26154"/>
    <cellStyle name="Normal 11 5 2 2 3 2" xfId="26155"/>
    <cellStyle name="Normal 11 5 2 2 3 2 2" xfId="26156"/>
    <cellStyle name="Normal 11 5 2 2 3 2 2 2" xfId="26157"/>
    <cellStyle name="Normal 11 5 2 2 3 2 2 3" xfId="26158"/>
    <cellStyle name="Normal 11 5 2 2 3 2 3" xfId="26159"/>
    <cellStyle name="Normal 11 5 2 2 3 2 3 2" xfId="26160"/>
    <cellStyle name="Normal 11 5 2 2 3 2 3 3" xfId="26161"/>
    <cellStyle name="Normal 11 5 2 2 3 2 4" xfId="26162"/>
    <cellStyle name="Normal 11 5 2 2 3 2 5" xfId="26163"/>
    <cellStyle name="Normal 11 5 2 2 3 3" xfId="26164"/>
    <cellStyle name="Normal 11 5 2 2 3 3 2" xfId="26165"/>
    <cellStyle name="Normal 11 5 2 2 3 3 2 2" xfId="26166"/>
    <cellStyle name="Normal 11 5 2 2 3 3 2 3" xfId="26167"/>
    <cellStyle name="Normal 11 5 2 2 3 3 3" xfId="26168"/>
    <cellStyle name="Normal 11 5 2 2 3 3 3 2" xfId="26169"/>
    <cellStyle name="Normal 11 5 2 2 3 3 3 3" xfId="26170"/>
    <cellStyle name="Normal 11 5 2 2 3 3 4" xfId="26171"/>
    <cellStyle name="Normal 11 5 2 2 3 3 5" xfId="26172"/>
    <cellStyle name="Normal 11 5 2 2 3 4" xfId="26173"/>
    <cellStyle name="Normal 11 5 2 2 3 4 2" xfId="26174"/>
    <cellStyle name="Normal 11 5 2 2 3 4 3" xfId="26175"/>
    <cellStyle name="Normal 11 5 2 2 3 5" xfId="26176"/>
    <cellStyle name="Normal 11 5 2 2 3 5 2" xfId="26177"/>
    <cellStyle name="Normal 11 5 2 2 3 5 3" xfId="26178"/>
    <cellStyle name="Normal 11 5 2 2 3 6" xfId="26179"/>
    <cellStyle name="Normal 11 5 2 2 3 7" xfId="26180"/>
    <cellStyle name="Normal 11 5 2 2 4" xfId="26181"/>
    <cellStyle name="Normal 11 5 2 2 4 2" xfId="26182"/>
    <cellStyle name="Normal 11 5 2 2 4 2 2" xfId="26183"/>
    <cellStyle name="Normal 11 5 2 2 4 2 2 2" xfId="26184"/>
    <cellStyle name="Normal 11 5 2 2 4 2 2 3" xfId="26185"/>
    <cellStyle name="Normal 11 5 2 2 4 2 3" xfId="26186"/>
    <cellStyle name="Normal 11 5 2 2 4 2 3 2" xfId="26187"/>
    <cellStyle name="Normal 11 5 2 2 4 2 3 3" xfId="26188"/>
    <cellStyle name="Normal 11 5 2 2 4 2 4" xfId="26189"/>
    <cellStyle name="Normal 11 5 2 2 4 2 5" xfId="26190"/>
    <cellStyle name="Normal 11 5 2 2 4 3" xfId="26191"/>
    <cellStyle name="Normal 11 5 2 2 4 3 2" xfId="26192"/>
    <cellStyle name="Normal 11 5 2 2 4 3 2 2" xfId="26193"/>
    <cellStyle name="Normal 11 5 2 2 4 3 2 3" xfId="26194"/>
    <cellStyle name="Normal 11 5 2 2 4 3 3" xfId="26195"/>
    <cellStyle name="Normal 11 5 2 2 4 3 3 2" xfId="26196"/>
    <cellStyle name="Normal 11 5 2 2 4 3 3 3" xfId="26197"/>
    <cellStyle name="Normal 11 5 2 2 4 3 4" xfId="26198"/>
    <cellStyle name="Normal 11 5 2 2 4 3 5" xfId="26199"/>
    <cellStyle name="Normal 11 5 2 2 4 4" xfId="26200"/>
    <cellStyle name="Normal 11 5 2 2 4 4 2" xfId="26201"/>
    <cellStyle name="Normal 11 5 2 2 4 4 3" xfId="26202"/>
    <cellStyle name="Normal 11 5 2 2 4 5" xfId="26203"/>
    <cellStyle name="Normal 11 5 2 2 4 5 2" xfId="26204"/>
    <cellStyle name="Normal 11 5 2 2 4 5 3" xfId="26205"/>
    <cellStyle name="Normal 11 5 2 2 4 6" xfId="26206"/>
    <cellStyle name="Normal 11 5 2 2 4 7" xfId="26207"/>
    <cellStyle name="Normal 11 5 2 2 5" xfId="26208"/>
    <cellStyle name="Normal 11 5 2 2 5 2" xfId="26209"/>
    <cellStyle name="Normal 11 5 2 2 5 2 2" xfId="26210"/>
    <cellStyle name="Normal 11 5 2 2 5 2 3" xfId="26211"/>
    <cellStyle name="Normal 11 5 2 2 5 3" xfId="26212"/>
    <cellStyle name="Normal 11 5 2 2 5 3 2" xfId="26213"/>
    <cellStyle name="Normal 11 5 2 2 5 3 3" xfId="26214"/>
    <cellStyle name="Normal 11 5 2 2 5 4" xfId="26215"/>
    <cellStyle name="Normal 11 5 2 2 5 5" xfId="26216"/>
    <cellStyle name="Normal 11 5 2 2 6" xfId="26217"/>
    <cellStyle name="Normal 11 5 2 2 6 2" xfId="26218"/>
    <cellStyle name="Normal 11 5 2 2 6 2 2" xfId="26219"/>
    <cellStyle name="Normal 11 5 2 2 6 2 3" xfId="26220"/>
    <cellStyle name="Normal 11 5 2 2 6 3" xfId="26221"/>
    <cellStyle name="Normal 11 5 2 2 6 3 2" xfId="26222"/>
    <cellStyle name="Normal 11 5 2 2 6 3 3" xfId="26223"/>
    <cellStyle name="Normal 11 5 2 2 6 4" xfId="26224"/>
    <cellStyle name="Normal 11 5 2 2 6 5" xfId="26225"/>
    <cellStyle name="Normal 11 5 2 2 7" xfId="26226"/>
    <cellStyle name="Normal 11 5 2 2 7 2" xfId="26227"/>
    <cellStyle name="Normal 11 5 2 2 7 3" xfId="26228"/>
    <cellStyle name="Normal 11 5 2 2 8" xfId="26229"/>
    <cellStyle name="Normal 11 5 2 2 8 2" xfId="26230"/>
    <cellStyle name="Normal 11 5 2 2 8 3" xfId="26231"/>
    <cellStyle name="Normal 11 5 2 2 9" xfId="26232"/>
    <cellStyle name="Normal 11 5 2 3" xfId="26233"/>
    <cellStyle name="Normal 11 5 2 3 2" xfId="26234"/>
    <cellStyle name="Normal 11 5 2 3 2 2" xfId="26235"/>
    <cellStyle name="Normal 11 5 2 3 2 2 2" xfId="26236"/>
    <cellStyle name="Normal 11 5 2 3 2 2 2 2" xfId="26237"/>
    <cellStyle name="Normal 11 5 2 3 2 2 2 3" xfId="26238"/>
    <cellStyle name="Normal 11 5 2 3 2 2 3" xfId="26239"/>
    <cellStyle name="Normal 11 5 2 3 2 2 3 2" xfId="26240"/>
    <cellStyle name="Normal 11 5 2 3 2 2 3 3" xfId="26241"/>
    <cellStyle name="Normal 11 5 2 3 2 2 4" xfId="26242"/>
    <cellStyle name="Normal 11 5 2 3 2 2 5" xfId="26243"/>
    <cellStyle name="Normal 11 5 2 3 2 3" xfId="26244"/>
    <cellStyle name="Normal 11 5 2 3 2 3 2" xfId="26245"/>
    <cellStyle name="Normal 11 5 2 3 2 3 2 2" xfId="26246"/>
    <cellStyle name="Normal 11 5 2 3 2 3 2 3" xfId="26247"/>
    <cellStyle name="Normal 11 5 2 3 2 3 3" xfId="26248"/>
    <cellStyle name="Normal 11 5 2 3 2 3 3 2" xfId="26249"/>
    <cellStyle name="Normal 11 5 2 3 2 3 3 3" xfId="26250"/>
    <cellStyle name="Normal 11 5 2 3 2 3 4" xfId="26251"/>
    <cellStyle name="Normal 11 5 2 3 2 3 5" xfId="26252"/>
    <cellStyle name="Normal 11 5 2 3 2 4" xfId="26253"/>
    <cellStyle name="Normal 11 5 2 3 2 4 2" xfId="26254"/>
    <cellStyle name="Normal 11 5 2 3 2 4 3" xfId="26255"/>
    <cellStyle name="Normal 11 5 2 3 2 5" xfId="26256"/>
    <cellStyle name="Normal 11 5 2 3 2 5 2" xfId="26257"/>
    <cellStyle name="Normal 11 5 2 3 2 5 3" xfId="26258"/>
    <cellStyle name="Normal 11 5 2 3 2 6" xfId="26259"/>
    <cellStyle name="Normal 11 5 2 3 2 7" xfId="26260"/>
    <cellStyle name="Normal 11 5 2 3 3" xfId="26261"/>
    <cellStyle name="Normal 11 5 2 3 3 2" xfId="26262"/>
    <cellStyle name="Normal 11 5 2 3 3 2 2" xfId="26263"/>
    <cellStyle name="Normal 11 5 2 3 3 2 2 2" xfId="26264"/>
    <cellStyle name="Normal 11 5 2 3 3 2 2 3" xfId="26265"/>
    <cellStyle name="Normal 11 5 2 3 3 2 3" xfId="26266"/>
    <cellStyle name="Normal 11 5 2 3 3 2 3 2" xfId="26267"/>
    <cellStyle name="Normal 11 5 2 3 3 2 3 3" xfId="26268"/>
    <cellStyle name="Normal 11 5 2 3 3 2 4" xfId="26269"/>
    <cellStyle name="Normal 11 5 2 3 3 2 5" xfId="26270"/>
    <cellStyle name="Normal 11 5 2 3 3 3" xfId="26271"/>
    <cellStyle name="Normal 11 5 2 3 3 3 2" xfId="26272"/>
    <cellStyle name="Normal 11 5 2 3 3 3 2 2" xfId="26273"/>
    <cellStyle name="Normal 11 5 2 3 3 3 2 3" xfId="26274"/>
    <cellStyle name="Normal 11 5 2 3 3 3 3" xfId="26275"/>
    <cellStyle name="Normal 11 5 2 3 3 3 3 2" xfId="26276"/>
    <cellStyle name="Normal 11 5 2 3 3 3 3 3" xfId="26277"/>
    <cellStyle name="Normal 11 5 2 3 3 3 4" xfId="26278"/>
    <cellStyle name="Normal 11 5 2 3 3 3 5" xfId="26279"/>
    <cellStyle name="Normal 11 5 2 3 3 4" xfId="26280"/>
    <cellStyle name="Normal 11 5 2 3 3 4 2" xfId="26281"/>
    <cellStyle name="Normal 11 5 2 3 3 4 3" xfId="26282"/>
    <cellStyle name="Normal 11 5 2 3 3 5" xfId="26283"/>
    <cellStyle name="Normal 11 5 2 3 3 5 2" xfId="26284"/>
    <cellStyle name="Normal 11 5 2 3 3 5 3" xfId="26285"/>
    <cellStyle name="Normal 11 5 2 3 3 6" xfId="26286"/>
    <cellStyle name="Normal 11 5 2 3 3 7" xfId="26287"/>
    <cellStyle name="Normal 11 5 2 3 4" xfId="26288"/>
    <cellStyle name="Normal 11 5 2 3 4 2" xfId="26289"/>
    <cellStyle name="Normal 11 5 2 3 4 2 2" xfId="26290"/>
    <cellStyle name="Normal 11 5 2 3 4 2 3" xfId="26291"/>
    <cellStyle name="Normal 11 5 2 3 4 3" xfId="26292"/>
    <cellStyle name="Normal 11 5 2 3 4 3 2" xfId="26293"/>
    <cellStyle name="Normal 11 5 2 3 4 3 3" xfId="26294"/>
    <cellStyle name="Normal 11 5 2 3 4 4" xfId="26295"/>
    <cellStyle name="Normal 11 5 2 3 4 5" xfId="26296"/>
    <cellStyle name="Normal 11 5 2 3 5" xfId="26297"/>
    <cellStyle name="Normal 11 5 2 3 5 2" xfId="26298"/>
    <cellStyle name="Normal 11 5 2 3 5 2 2" xfId="26299"/>
    <cellStyle name="Normal 11 5 2 3 5 2 3" xfId="26300"/>
    <cellStyle name="Normal 11 5 2 3 5 3" xfId="26301"/>
    <cellStyle name="Normal 11 5 2 3 5 3 2" xfId="26302"/>
    <cellStyle name="Normal 11 5 2 3 5 3 3" xfId="26303"/>
    <cellStyle name="Normal 11 5 2 3 5 4" xfId="26304"/>
    <cellStyle name="Normal 11 5 2 3 5 5" xfId="26305"/>
    <cellStyle name="Normal 11 5 2 3 6" xfId="26306"/>
    <cellStyle name="Normal 11 5 2 3 6 2" xfId="26307"/>
    <cellStyle name="Normal 11 5 2 3 6 3" xfId="26308"/>
    <cellStyle name="Normal 11 5 2 3 7" xfId="26309"/>
    <cellStyle name="Normal 11 5 2 3 7 2" xfId="26310"/>
    <cellStyle name="Normal 11 5 2 3 7 3" xfId="26311"/>
    <cellStyle name="Normal 11 5 2 3 8" xfId="26312"/>
    <cellStyle name="Normal 11 5 2 3 9" xfId="26313"/>
    <cellStyle name="Normal 11 5 2 4" xfId="26314"/>
    <cellStyle name="Normal 11 5 2 4 2" xfId="26315"/>
    <cellStyle name="Normal 11 5 2 4 2 2" xfId="26316"/>
    <cellStyle name="Normal 11 5 2 4 2 2 2" xfId="26317"/>
    <cellStyle name="Normal 11 5 2 4 2 2 3" xfId="26318"/>
    <cellStyle name="Normal 11 5 2 4 2 3" xfId="26319"/>
    <cellStyle name="Normal 11 5 2 4 2 3 2" xfId="26320"/>
    <cellStyle name="Normal 11 5 2 4 2 3 3" xfId="26321"/>
    <cellStyle name="Normal 11 5 2 4 2 4" xfId="26322"/>
    <cellStyle name="Normal 11 5 2 4 2 5" xfId="26323"/>
    <cellStyle name="Normal 11 5 2 4 3" xfId="26324"/>
    <cellStyle name="Normal 11 5 2 4 3 2" xfId="26325"/>
    <cellStyle name="Normal 11 5 2 4 3 2 2" xfId="26326"/>
    <cellStyle name="Normal 11 5 2 4 3 2 3" xfId="26327"/>
    <cellStyle name="Normal 11 5 2 4 3 3" xfId="26328"/>
    <cellStyle name="Normal 11 5 2 4 3 3 2" xfId="26329"/>
    <cellStyle name="Normal 11 5 2 4 3 3 3" xfId="26330"/>
    <cellStyle name="Normal 11 5 2 4 3 4" xfId="26331"/>
    <cellStyle name="Normal 11 5 2 4 3 5" xfId="26332"/>
    <cellStyle name="Normal 11 5 2 4 4" xfId="26333"/>
    <cellStyle name="Normal 11 5 2 4 4 2" xfId="26334"/>
    <cellStyle name="Normal 11 5 2 4 4 3" xfId="26335"/>
    <cellStyle name="Normal 11 5 2 4 5" xfId="26336"/>
    <cellStyle name="Normal 11 5 2 4 5 2" xfId="26337"/>
    <cellStyle name="Normal 11 5 2 4 5 3" xfId="26338"/>
    <cellStyle name="Normal 11 5 2 4 6" xfId="26339"/>
    <cellStyle name="Normal 11 5 2 4 7" xfId="26340"/>
    <cellStyle name="Normal 11 5 2 5" xfId="26341"/>
    <cellStyle name="Normal 11 5 2 5 2" xfId="26342"/>
    <cellStyle name="Normal 11 5 2 5 2 2" xfId="26343"/>
    <cellStyle name="Normal 11 5 2 5 2 2 2" xfId="26344"/>
    <cellStyle name="Normal 11 5 2 5 2 2 3" xfId="26345"/>
    <cellStyle name="Normal 11 5 2 5 2 3" xfId="26346"/>
    <cellStyle name="Normal 11 5 2 5 2 3 2" xfId="26347"/>
    <cellStyle name="Normal 11 5 2 5 2 3 3" xfId="26348"/>
    <cellStyle name="Normal 11 5 2 5 2 4" xfId="26349"/>
    <cellStyle name="Normal 11 5 2 5 2 5" xfId="26350"/>
    <cellStyle name="Normal 11 5 2 5 3" xfId="26351"/>
    <cellStyle name="Normal 11 5 2 5 3 2" xfId="26352"/>
    <cellStyle name="Normal 11 5 2 5 3 2 2" xfId="26353"/>
    <cellStyle name="Normal 11 5 2 5 3 2 3" xfId="26354"/>
    <cellStyle name="Normal 11 5 2 5 3 3" xfId="26355"/>
    <cellStyle name="Normal 11 5 2 5 3 3 2" xfId="26356"/>
    <cellStyle name="Normal 11 5 2 5 3 3 3" xfId="26357"/>
    <cellStyle name="Normal 11 5 2 5 3 4" xfId="26358"/>
    <cellStyle name="Normal 11 5 2 5 3 5" xfId="26359"/>
    <cellStyle name="Normal 11 5 2 5 4" xfId="26360"/>
    <cellStyle name="Normal 11 5 2 5 4 2" xfId="26361"/>
    <cellStyle name="Normal 11 5 2 5 4 3" xfId="26362"/>
    <cellStyle name="Normal 11 5 2 5 5" xfId="26363"/>
    <cellStyle name="Normal 11 5 2 5 5 2" xfId="26364"/>
    <cellStyle name="Normal 11 5 2 5 5 3" xfId="26365"/>
    <cellStyle name="Normal 11 5 2 5 6" xfId="26366"/>
    <cellStyle name="Normal 11 5 2 5 7" xfId="26367"/>
    <cellStyle name="Normal 11 5 2 6" xfId="26368"/>
    <cellStyle name="Normal 11 5 2 6 2" xfId="26369"/>
    <cellStyle name="Normal 11 5 2 6 2 2" xfId="26370"/>
    <cellStyle name="Normal 11 5 2 6 2 3" xfId="26371"/>
    <cellStyle name="Normal 11 5 2 6 3" xfId="26372"/>
    <cellStyle name="Normal 11 5 2 6 3 2" xfId="26373"/>
    <cellStyle name="Normal 11 5 2 6 3 3" xfId="26374"/>
    <cellStyle name="Normal 11 5 2 6 4" xfId="26375"/>
    <cellStyle name="Normal 11 5 2 6 5" xfId="26376"/>
    <cellStyle name="Normal 11 5 2 7" xfId="26377"/>
    <cellStyle name="Normal 11 5 2 7 2" xfId="26378"/>
    <cellStyle name="Normal 11 5 2 7 2 2" xfId="26379"/>
    <cellStyle name="Normal 11 5 2 7 2 3" xfId="26380"/>
    <cellStyle name="Normal 11 5 2 7 3" xfId="26381"/>
    <cellStyle name="Normal 11 5 2 7 3 2" xfId="26382"/>
    <cellStyle name="Normal 11 5 2 7 3 3" xfId="26383"/>
    <cellStyle name="Normal 11 5 2 7 4" xfId="26384"/>
    <cellStyle name="Normal 11 5 2 7 5" xfId="26385"/>
    <cellStyle name="Normal 11 5 2 8" xfId="26386"/>
    <cellStyle name="Normal 11 5 2 8 2" xfId="26387"/>
    <cellStyle name="Normal 11 5 2 8 3" xfId="26388"/>
    <cellStyle name="Normal 11 5 2 9" xfId="26389"/>
    <cellStyle name="Normal 11 5 2 9 2" xfId="26390"/>
    <cellStyle name="Normal 11 5 2 9 3" xfId="26391"/>
    <cellStyle name="Normal 11 5 3" xfId="26392"/>
    <cellStyle name="Normal 11 5 3 10" xfId="26393"/>
    <cellStyle name="Normal 11 5 3 2" xfId="26394"/>
    <cellStyle name="Normal 11 5 3 2 2" xfId="26395"/>
    <cellStyle name="Normal 11 5 3 2 2 2" xfId="26396"/>
    <cellStyle name="Normal 11 5 3 2 2 2 2" xfId="26397"/>
    <cellStyle name="Normal 11 5 3 2 2 2 2 2" xfId="26398"/>
    <cellStyle name="Normal 11 5 3 2 2 2 2 3" xfId="26399"/>
    <cellStyle name="Normal 11 5 3 2 2 2 3" xfId="26400"/>
    <cellStyle name="Normal 11 5 3 2 2 2 3 2" xfId="26401"/>
    <cellStyle name="Normal 11 5 3 2 2 2 3 3" xfId="26402"/>
    <cellStyle name="Normal 11 5 3 2 2 2 4" xfId="26403"/>
    <cellStyle name="Normal 11 5 3 2 2 2 5" xfId="26404"/>
    <cellStyle name="Normal 11 5 3 2 2 3" xfId="26405"/>
    <cellStyle name="Normal 11 5 3 2 2 3 2" xfId="26406"/>
    <cellStyle name="Normal 11 5 3 2 2 3 2 2" xfId="26407"/>
    <cellStyle name="Normal 11 5 3 2 2 3 2 3" xfId="26408"/>
    <cellStyle name="Normal 11 5 3 2 2 3 3" xfId="26409"/>
    <cellStyle name="Normal 11 5 3 2 2 3 3 2" xfId="26410"/>
    <cellStyle name="Normal 11 5 3 2 2 3 3 3" xfId="26411"/>
    <cellStyle name="Normal 11 5 3 2 2 3 4" xfId="26412"/>
    <cellStyle name="Normal 11 5 3 2 2 3 5" xfId="26413"/>
    <cellStyle name="Normal 11 5 3 2 2 4" xfId="26414"/>
    <cellStyle name="Normal 11 5 3 2 2 4 2" xfId="26415"/>
    <cellStyle name="Normal 11 5 3 2 2 4 3" xfId="26416"/>
    <cellStyle name="Normal 11 5 3 2 2 5" xfId="26417"/>
    <cellStyle name="Normal 11 5 3 2 2 5 2" xfId="26418"/>
    <cellStyle name="Normal 11 5 3 2 2 5 3" xfId="26419"/>
    <cellStyle name="Normal 11 5 3 2 2 6" xfId="26420"/>
    <cellStyle name="Normal 11 5 3 2 2 7" xfId="26421"/>
    <cellStyle name="Normal 11 5 3 2 3" xfId="26422"/>
    <cellStyle name="Normal 11 5 3 2 3 2" xfId="26423"/>
    <cellStyle name="Normal 11 5 3 2 3 2 2" xfId="26424"/>
    <cellStyle name="Normal 11 5 3 2 3 2 2 2" xfId="26425"/>
    <cellStyle name="Normal 11 5 3 2 3 2 2 3" xfId="26426"/>
    <cellStyle name="Normal 11 5 3 2 3 2 3" xfId="26427"/>
    <cellStyle name="Normal 11 5 3 2 3 2 3 2" xfId="26428"/>
    <cellStyle name="Normal 11 5 3 2 3 2 3 3" xfId="26429"/>
    <cellStyle name="Normal 11 5 3 2 3 2 4" xfId="26430"/>
    <cellStyle name="Normal 11 5 3 2 3 2 5" xfId="26431"/>
    <cellStyle name="Normal 11 5 3 2 3 3" xfId="26432"/>
    <cellStyle name="Normal 11 5 3 2 3 3 2" xfId="26433"/>
    <cellStyle name="Normal 11 5 3 2 3 3 2 2" xfId="26434"/>
    <cellStyle name="Normal 11 5 3 2 3 3 2 3" xfId="26435"/>
    <cellStyle name="Normal 11 5 3 2 3 3 3" xfId="26436"/>
    <cellStyle name="Normal 11 5 3 2 3 3 3 2" xfId="26437"/>
    <cellStyle name="Normal 11 5 3 2 3 3 3 3" xfId="26438"/>
    <cellStyle name="Normal 11 5 3 2 3 3 4" xfId="26439"/>
    <cellStyle name="Normal 11 5 3 2 3 3 5" xfId="26440"/>
    <cellStyle name="Normal 11 5 3 2 3 4" xfId="26441"/>
    <cellStyle name="Normal 11 5 3 2 3 4 2" xfId="26442"/>
    <cellStyle name="Normal 11 5 3 2 3 4 3" xfId="26443"/>
    <cellStyle name="Normal 11 5 3 2 3 5" xfId="26444"/>
    <cellStyle name="Normal 11 5 3 2 3 5 2" xfId="26445"/>
    <cellStyle name="Normal 11 5 3 2 3 5 3" xfId="26446"/>
    <cellStyle name="Normal 11 5 3 2 3 6" xfId="26447"/>
    <cellStyle name="Normal 11 5 3 2 3 7" xfId="26448"/>
    <cellStyle name="Normal 11 5 3 2 4" xfId="26449"/>
    <cellStyle name="Normal 11 5 3 2 4 2" xfId="26450"/>
    <cellStyle name="Normal 11 5 3 2 4 2 2" xfId="26451"/>
    <cellStyle name="Normal 11 5 3 2 4 2 3" xfId="26452"/>
    <cellStyle name="Normal 11 5 3 2 4 3" xfId="26453"/>
    <cellStyle name="Normal 11 5 3 2 4 3 2" xfId="26454"/>
    <cellStyle name="Normal 11 5 3 2 4 3 3" xfId="26455"/>
    <cellStyle name="Normal 11 5 3 2 4 4" xfId="26456"/>
    <cellStyle name="Normal 11 5 3 2 4 5" xfId="26457"/>
    <cellStyle name="Normal 11 5 3 2 5" xfId="26458"/>
    <cellStyle name="Normal 11 5 3 2 5 2" xfId="26459"/>
    <cellStyle name="Normal 11 5 3 2 5 2 2" xfId="26460"/>
    <cellStyle name="Normal 11 5 3 2 5 2 3" xfId="26461"/>
    <cellStyle name="Normal 11 5 3 2 5 3" xfId="26462"/>
    <cellStyle name="Normal 11 5 3 2 5 3 2" xfId="26463"/>
    <cellStyle name="Normal 11 5 3 2 5 3 3" xfId="26464"/>
    <cellStyle name="Normal 11 5 3 2 5 4" xfId="26465"/>
    <cellStyle name="Normal 11 5 3 2 5 5" xfId="26466"/>
    <cellStyle name="Normal 11 5 3 2 6" xfId="26467"/>
    <cellStyle name="Normal 11 5 3 2 6 2" xfId="26468"/>
    <cellStyle name="Normal 11 5 3 2 6 3" xfId="26469"/>
    <cellStyle name="Normal 11 5 3 2 7" xfId="26470"/>
    <cellStyle name="Normal 11 5 3 2 7 2" xfId="26471"/>
    <cellStyle name="Normal 11 5 3 2 7 3" xfId="26472"/>
    <cellStyle name="Normal 11 5 3 2 8" xfId="26473"/>
    <cellStyle name="Normal 11 5 3 2 9" xfId="26474"/>
    <cellStyle name="Normal 11 5 3 3" xfId="26475"/>
    <cellStyle name="Normal 11 5 3 3 2" xfId="26476"/>
    <cellStyle name="Normal 11 5 3 3 2 2" xfId="26477"/>
    <cellStyle name="Normal 11 5 3 3 2 2 2" xfId="26478"/>
    <cellStyle name="Normal 11 5 3 3 2 2 3" xfId="26479"/>
    <cellStyle name="Normal 11 5 3 3 2 3" xfId="26480"/>
    <cellStyle name="Normal 11 5 3 3 2 3 2" xfId="26481"/>
    <cellStyle name="Normal 11 5 3 3 2 3 3" xfId="26482"/>
    <cellStyle name="Normal 11 5 3 3 2 4" xfId="26483"/>
    <cellStyle name="Normal 11 5 3 3 2 5" xfId="26484"/>
    <cellStyle name="Normal 11 5 3 3 3" xfId="26485"/>
    <cellStyle name="Normal 11 5 3 3 3 2" xfId="26486"/>
    <cellStyle name="Normal 11 5 3 3 3 2 2" xfId="26487"/>
    <cellStyle name="Normal 11 5 3 3 3 2 3" xfId="26488"/>
    <cellStyle name="Normal 11 5 3 3 3 3" xfId="26489"/>
    <cellStyle name="Normal 11 5 3 3 3 3 2" xfId="26490"/>
    <cellStyle name="Normal 11 5 3 3 3 3 3" xfId="26491"/>
    <cellStyle name="Normal 11 5 3 3 3 4" xfId="26492"/>
    <cellStyle name="Normal 11 5 3 3 3 5" xfId="26493"/>
    <cellStyle name="Normal 11 5 3 3 4" xfId="26494"/>
    <cellStyle name="Normal 11 5 3 3 4 2" xfId="26495"/>
    <cellStyle name="Normal 11 5 3 3 4 3" xfId="26496"/>
    <cellStyle name="Normal 11 5 3 3 5" xfId="26497"/>
    <cellStyle name="Normal 11 5 3 3 5 2" xfId="26498"/>
    <cellStyle name="Normal 11 5 3 3 5 3" xfId="26499"/>
    <cellStyle name="Normal 11 5 3 3 6" xfId="26500"/>
    <cellStyle name="Normal 11 5 3 3 7" xfId="26501"/>
    <cellStyle name="Normal 11 5 3 4" xfId="26502"/>
    <cellStyle name="Normal 11 5 3 4 2" xfId="26503"/>
    <cellStyle name="Normal 11 5 3 4 2 2" xfId="26504"/>
    <cellStyle name="Normal 11 5 3 4 2 2 2" xfId="26505"/>
    <cellStyle name="Normal 11 5 3 4 2 2 3" xfId="26506"/>
    <cellStyle name="Normal 11 5 3 4 2 3" xfId="26507"/>
    <cellStyle name="Normal 11 5 3 4 2 3 2" xfId="26508"/>
    <cellStyle name="Normal 11 5 3 4 2 3 3" xfId="26509"/>
    <cellStyle name="Normal 11 5 3 4 2 4" xfId="26510"/>
    <cellStyle name="Normal 11 5 3 4 2 5" xfId="26511"/>
    <cellStyle name="Normal 11 5 3 4 3" xfId="26512"/>
    <cellStyle name="Normal 11 5 3 4 3 2" xfId="26513"/>
    <cellStyle name="Normal 11 5 3 4 3 2 2" xfId="26514"/>
    <cellStyle name="Normal 11 5 3 4 3 2 3" xfId="26515"/>
    <cellStyle name="Normal 11 5 3 4 3 3" xfId="26516"/>
    <cellStyle name="Normal 11 5 3 4 3 3 2" xfId="26517"/>
    <cellStyle name="Normal 11 5 3 4 3 3 3" xfId="26518"/>
    <cellStyle name="Normal 11 5 3 4 3 4" xfId="26519"/>
    <cellStyle name="Normal 11 5 3 4 3 5" xfId="26520"/>
    <cellStyle name="Normal 11 5 3 4 4" xfId="26521"/>
    <cellStyle name="Normal 11 5 3 4 4 2" xfId="26522"/>
    <cellStyle name="Normal 11 5 3 4 4 3" xfId="26523"/>
    <cellStyle name="Normal 11 5 3 4 5" xfId="26524"/>
    <cellStyle name="Normal 11 5 3 4 5 2" xfId="26525"/>
    <cellStyle name="Normal 11 5 3 4 5 3" xfId="26526"/>
    <cellStyle name="Normal 11 5 3 4 6" xfId="26527"/>
    <cellStyle name="Normal 11 5 3 4 7" xfId="26528"/>
    <cellStyle name="Normal 11 5 3 5" xfId="26529"/>
    <cellStyle name="Normal 11 5 3 5 2" xfId="26530"/>
    <cellStyle name="Normal 11 5 3 5 2 2" xfId="26531"/>
    <cellStyle name="Normal 11 5 3 5 2 3" xfId="26532"/>
    <cellStyle name="Normal 11 5 3 5 3" xfId="26533"/>
    <cellStyle name="Normal 11 5 3 5 3 2" xfId="26534"/>
    <cellStyle name="Normal 11 5 3 5 3 3" xfId="26535"/>
    <cellStyle name="Normal 11 5 3 5 4" xfId="26536"/>
    <cellStyle name="Normal 11 5 3 5 5" xfId="26537"/>
    <cellStyle name="Normal 11 5 3 6" xfId="26538"/>
    <cellStyle name="Normal 11 5 3 6 2" xfId="26539"/>
    <cellStyle name="Normal 11 5 3 6 2 2" xfId="26540"/>
    <cellStyle name="Normal 11 5 3 6 2 3" xfId="26541"/>
    <cellStyle name="Normal 11 5 3 6 3" xfId="26542"/>
    <cellStyle name="Normal 11 5 3 6 3 2" xfId="26543"/>
    <cellStyle name="Normal 11 5 3 6 3 3" xfId="26544"/>
    <cellStyle name="Normal 11 5 3 6 4" xfId="26545"/>
    <cellStyle name="Normal 11 5 3 6 5" xfId="26546"/>
    <cellStyle name="Normal 11 5 3 7" xfId="26547"/>
    <cellStyle name="Normal 11 5 3 7 2" xfId="26548"/>
    <cellStyle name="Normal 11 5 3 7 3" xfId="26549"/>
    <cellStyle name="Normal 11 5 3 8" xfId="26550"/>
    <cellStyle name="Normal 11 5 3 8 2" xfId="26551"/>
    <cellStyle name="Normal 11 5 3 8 3" xfId="26552"/>
    <cellStyle name="Normal 11 5 3 9" xfId="26553"/>
    <cellStyle name="Normal 11 5 4" xfId="26554"/>
    <cellStyle name="Normal 11 5 4 2" xfId="26555"/>
    <cellStyle name="Normal 11 5 4 2 2" xfId="26556"/>
    <cellStyle name="Normal 11 5 4 2 2 2" xfId="26557"/>
    <cellStyle name="Normal 11 5 4 2 2 2 2" xfId="26558"/>
    <cellStyle name="Normal 11 5 4 2 2 2 3" xfId="26559"/>
    <cellStyle name="Normal 11 5 4 2 2 3" xfId="26560"/>
    <cellStyle name="Normal 11 5 4 2 2 3 2" xfId="26561"/>
    <cellStyle name="Normal 11 5 4 2 2 3 3" xfId="26562"/>
    <cellStyle name="Normal 11 5 4 2 2 4" xfId="26563"/>
    <cellStyle name="Normal 11 5 4 2 2 5" xfId="26564"/>
    <cellStyle name="Normal 11 5 4 2 3" xfId="26565"/>
    <cellStyle name="Normal 11 5 4 2 3 2" xfId="26566"/>
    <cellStyle name="Normal 11 5 4 2 3 2 2" xfId="26567"/>
    <cellStyle name="Normal 11 5 4 2 3 2 3" xfId="26568"/>
    <cellStyle name="Normal 11 5 4 2 3 3" xfId="26569"/>
    <cellStyle name="Normal 11 5 4 2 3 3 2" xfId="26570"/>
    <cellStyle name="Normal 11 5 4 2 3 3 3" xfId="26571"/>
    <cellStyle name="Normal 11 5 4 2 3 4" xfId="26572"/>
    <cellStyle name="Normal 11 5 4 2 3 5" xfId="26573"/>
    <cellStyle name="Normal 11 5 4 2 4" xfId="26574"/>
    <cellStyle name="Normal 11 5 4 2 4 2" xfId="26575"/>
    <cellStyle name="Normal 11 5 4 2 4 3" xfId="26576"/>
    <cellStyle name="Normal 11 5 4 2 5" xfId="26577"/>
    <cellStyle name="Normal 11 5 4 2 5 2" xfId="26578"/>
    <cellStyle name="Normal 11 5 4 2 5 3" xfId="26579"/>
    <cellStyle name="Normal 11 5 4 2 6" xfId="26580"/>
    <cellStyle name="Normal 11 5 4 2 7" xfId="26581"/>
    <cellStyle name="Normal 11 5 4 3" xfId="26582"/>
    <cellStyle name="Normal 11 5 4 3 2" xfId="26583"/>
    <cellStyle name="Normal 11 5 4 3 2 2" xfId="26584"/>
    <cellStyle name="Normal 11 5 4 3 2 2 2" xfId="26585"/>
    <cellStyle name="Normal 11 5 4 3 2 2 3" xfId="26586"/>
    <cellStyle name="Normal 11 5 4 3 2 3" xfId="26587"/>
    <cellStyle name="Normal 11 5 4 3 2 3 2" xfId="26588"/>
    <cellStyle name="Normal 11 5 4 3 2 3 3" xfId="26589"/>
    <cellStyle name="Normal 11 5 4 3 2 4" xfId="26590"/>
    <cellStyle name="Normal 11 5 4 3 2 5" xfId="26591"/>
    <cellStyle name="Normal 11 5 4 3 3" xfId="26592"/>
    <cellStyle name="Normal 11 5 4 3 3 2" xfId="26593"/>
    <cellStyle name="Normal 11 5 4 3 3 2 2" xfId="26594"/>
    <cellStyle name="Normal 11 5 4 3 3 2 3" xfId="26595"/>
    <cellStyle name="Normal 11 5 4 3 3 3" xfId="26596"/>
    <cellStyle name="Normal 11 5 4 3 3 3 2" xfId="26597"/>
    <cellStyle name="Normal 11 5 4 3 3 3 3" xfId="26598"/>
    <cellStyle name="Normal 11 5 4 3 3 4" xfId="26599"/>
    <cellStyle name="Normal 11 5 4 3 3 5" xfId="26600"/>
    <cellStyle name="Normal 11 5 4 3 4" xfId="26601"/>
    <cellStyle name="Normal 11 5 4 3 4 2" xfId="26602"/>
    <cellStyle name="Normal 11 5 4 3 4 3" xfId="26603"/>
    <cellStyle name="Normal 11 5 4 3 5" xfId="26604"/>
    <cellStyle name="Normal 11 5 4 3 5 2" xfId="26605"/>
    <cellStyle name="Normal 11 5 4 3 5 3" xfId="26606"/>
    <cellStyle name="Normal 11 5 4 3 6" xfId="26607"/>
    <cellStyle name="Normal 11 5 4 3 7" xfId="26608"/>
    <cellStyle name="Normal 11 5 4 4" xfId="26609"/>
    <cellStyle name="Normal 11 5 4 4 2" xfId="26610"/>
    <cellStyle name="Normal 11 5 4 4 2 2" xfId="26611"/>
    <cellStyle name="Normal 11 5 4 4 2 3" xfId="26612"/>
    <cellStyle name="Normal 11 5 4 4 3" xfId="26613"/>
    <cellStyle name="Normal 11 5 4 4 3 2" xfId="26614"/>
    <cellStyle name="Normal 11 5 4 4 3 3" xfId="26615"/>
    <cellStyle name="Normal 11 5 4 4 4" xfId="26616"/>
    <cellStyle name="Normal 11 5 4 4 5" xfId="26617"/>
    <cellStyle name="Normal 11 5 4 5" xfId="26618"/>
    <cellStyle name="Normal 11 5 4 5 2" xfId="26619"/>
    <cellStyle name="Normal 11 5 4 5 2 2" xfId="26620"/>
    <cellStyle name="Normal 11 5 4 5 2 3" xfId="26621"/>
    <cellStyle name="Normal 11 5 4 5 3" xfId="26622"/>
    <cellStyle name="Normal 11 5 4 5 3 2" xfId="26623"/>
    <cellStyle name="Normal 11 5 4 5 3 3" xfId="26624"/>
    <cellStyle name="Normal 11 5 4 5 4" xfId="26625"/>
    <cellStyle name="Normal 11 5 4 5 5" xfId="26626"/>
    <cellStyle name="Normal 11 5 4 6" xfId="26627"/>
    <cellStyle name="Normal 11 5 4 6 2" xfId="26628"/>
    <cellStyle name="Normal 11 5 4 6 3" xfId="26629"/>
    <cellStyle name="Normal 11 5 4 7" xfId="26630"/>
    <cellStyle name="Normal 11 5 4 7 2" xfId="26631"/>
    <cellStyle name="Normal 11 5 4 7 3" xfId="26632"/>
    <cellStyle name="Normal 11 5 4 8" xfId="26633"/>
    <cellStyle name="Normal 11 5 4 9" xfId="26634"/>
    <cellStyle name="Normal 11 5 5" xfId="26635"/>
    <cellStyle name="Normal 11 5 5 2" xfId="26636"/>
    <cellStyle name="Normal 11 5 5 2 2" xfId="26637"/>
    <cellStyle name="Normal 11 5 5 2 2 2" xfId="26638"/>
    <cellStyle name="Normal 11 5 5 2 2 3" xfId="26639"/>
    <cellStyle name="Normal 11 5 5 2 3" xfId="26640"/>
    <cellStyle name="Normal 11 5 5 2 3 2" xfId="26641"/>
    <cellStyle name="Normal 11 5 5 2 3 3" xfId="26642"/>
    <cellStyle name="Normal 11 5 5 2 4" xfId="26643"/>
    <cellStyle name="Normal 11 5 5 2 5" xfId="26644"/>
    <cellStyle name="Normal 11 5 5 3" xfId="26645"/>
    <cellStyle name="Normal 11 5 5 3 2" xfId="26646"/>
    <cellStyle name="Normal 11 5 5 3 2 2" xfId="26647"/>
    <cellStyle name="Normal 11 5 5 3 2 3" xfId="26648"/>
    <cellStyle name="Normal 11 5 5 3 3" xfId="26649"/>
    <cellStyle name="Normal 11 5 5 3 3 2" xfId="26650"/>
    <cellStyle name="Normal 11 5 5 3 3 3" xfId="26651"/>
    <cellStyle name="Normal 11 5 5 3 4" xfId="26652"/>
    <cellStyle name="Normal 11 5 5 3 5" xfId="26653"/>
    <cellStyle name="Normal 11 5 5 4" xfId="26654"/>
    <cellStyle name="Normal 11 5 5 4 2" xfId="26655"/>
    <cellStyle name="Normal 11 5 5 4 3" xfId="26656"/>
    <cellStyle name="Normal 11 5 5 5" xfId="26657"/>
    <cellStyle name="Normal 11 5 5 5 2" xfId="26658"/>
    <cellStyle name="Normal 11 5 5 5 3" xfId="26659"/>
    <cellStyle name="Normal 11 5 5 6" xfId="26660"/>
    <cellStyle name="Normal 11 5 5 7" xfId="26661"/>
    <cellStyle name="Normal 11 5 6" xfId="26662"/>
    <cellStyle name="Normal 11 5 6 2" xfId="26663"/>
    <cellStyle name="Normal 11 5 6 2 2" xfId="26664"/>
    <cellStyle name="Normal 11 5 6 2 2 2" xfId="26665"/>
    <cellStyle name="Normal 11 5 6 2 2 3" xfId="26666"/>
    <cellStyle name="Normal 11 5 6 2 3" xfId="26667"/>
    <cellStyle name="Normal 11 5 6 2 3 2" xfId="26668"/>
    <cellStyle name="Normal 11 5 6 2 3 3" xfId="26669"/>
    <cellStyle name="Normal 11 5 6 2 4" xfId="26670"/>
    <cellStyle name="Normal 11 5 6 2 5" xfId="26671"/>
    <cellStyle name="Normal 11 5 6 3" xfId="26672"/>
    <cellStyle name="Normal 11 5 6 3 2" xfId="26673"/>
    <cellStyle name="Normal 11 5 6 3 2 2" xfId="26674"/>
    <cellStyle name="Normal 11 5 6 3 2 3" xfId="26675"/>
    <cellStyle name="Normal 11 5 6 3 3" xfId="26676"/>
    <cellStyle name="Normal 11 5 6 3 3 2" xfId="26677"/>
    <cellStyle name="Normal 11 5 6 3 3 3" xfId="26678"/>
    <cellStyle name="Normal 11 5 6 3 4" xfId="26679"/>
    <cellStyle name="Normal 11 5 6 3 5" xfId="26680"/>
    <cellStyle name="Normal 11 5 6 4" xfId="26681"/>
    <cellStyle name="Normal 11 5 6 4 2" xfId="26682"/>
    <cellStyle name="Normal 11 5 6 4 3" xfId="26683"/>
    <cellStyle name="Normal 11 5 6 5" xfId="26684"/>
    <cellStyle name="Normal 11 5 6 5 2" xfId="26685"/>
    <cellStyle name="Normal 11 5 6 5 3" xfId="26686"/>
    <cellStyle name="Normal 11 5 6 6" xfId="26687"/>
    <cellStyle name="Normal 11 5 6 7" xfId="26688"/>
    <cellStyle name="Normal 11 5 7" xfId="26689"/>
    <cellStyle name="Normal 11 5 7 2" xfId="26690"/>
    <cellStyle name="Normal 11 5 7 2 2" xfId="26691"/>
    <cellStyle name="Normal 11 5 7 2 3" xfId="26692"/>
    <cellStyle name="Normal 11 5 7 3" xfId="26693"/>
    <cellStyle name="Normal 11 5 7 3 2" xfId="26694"/>
    <cellStyle name="Normal 11 5 7 3 3" xfId="26695"/>
    <cellStyle name="Normal 11 5 7 4" xfId="26696"/>
    <cellStyle name="Normal 11 5 7 5" xfId="26697"/>
    <cellStyle name="Normal 11 5 8" xfId="26698"/>
    <cellStyle name="Normal 11 5 8 2" xfId="26699"/>
    <cellStyle name="Normal 11 5 8 2 2" xfId="26700"/>
    <cellStyle name="Normal 11 5 8 2 3" xfId="26701"/>
    <cellStyle name="Normal 11 5 8 3" xfId="26702"/>
    <cellStyle name="Normal 11 5 8 3 2" xfId="26703"/>
    <cellStyle name="Normal 11 5 8 3 3" xfId="26704"/>
    <cellStyle name="Normal 11 5 8 4" xfId="26705"/>
    <cellStyle name="Normal 11 5 8 5" xfId="26706"/>
    <cellStyle name="Normal 11 5 9" xfId="26707"/>
    <cellStyle name="Normal 11 5 9 2" xfId="26708"/>
    <cellStyle name="Normal 11 5 9 3" xfId="26709"/>
    <cellStyle name="Normal 11 6" xfId="26710"/>
    <cellStyle name="Normal 11 6 10" xfId="26711"/>
    <cellStyle name="Normal 11 6 2" xfId="26712"/>
    <cellStyle name="Normal 11 6 2 2" xfId="26713"/>
    <cellStyle name="Normal 11 6 2 2 2" xfId="26714"/>
    <cellStyle name="Normal 11 6 2 2 2 2" xfId="26715"/>
    <cellStyle name="Normal 11 6 2 2 2 2 2" xfId="26716"/>
    <cellStyle name="Normal 11 6 2 2 2 2 3" xfId="26717"/>
    <cellStyle name="Normal 11 6 2 2 2 3" xfId="26718"/>
    <cellStyle name="Normal 11 6 2 2 2 3 2" xfId="26719"/>
    <cellStyle name="Normal 11 6 2 2 2 3 3" xfId="26720"/>
    <cellStyle name="Normal 11 6 2 2 2 4" xfId="26721"/>
    <cellStyle name="Normal 11 6 2 2 2 5" xfId="26722"/>
    <cellStyle name="Normal 11 6 2 2 3" xfId="26723"/>
    <cellStyle name="Normal 11 6 2 2 3 2" xfId="26724"/>
    <cellStyle name="Normal 11 6 2 2 3 2 2" xfId="26725"/>
    <cellStyle name="Normal 11 6 2 2 3 2 3" xfId="26726"/>
    <cellStyle name="Normal 11 6 2 2 3 3" xfId="26727"/>
    <cellStyle name="Normal 11 6 2 2 3 3 2" xfId="26728"/>
    <cellStyle name="Normal 11 6 2 2 3 3 3" xfId="26729"/>
    <cellStyle name="Normal 11 6 2 2 3 4" xfId="26730"/>
    <cellStyle name="Normal 11 6 2 2 3 5" xfId="26731"/>
    <cellStyle name="Normal 11 6 2 2 4" xfId="26732"/>
    <cellStyle name="Normal 11 6 2 2 4 2" xfId="26733"/>
    <cellStyle name="Normal 11 6 2 2 4 3" xfId="26734"/>
    <cellStyle name="Normal 11 6 2 2 5" xfId="26735"/>
    <cellStyle name="Normal 11 6 2 2 5 2" xfId="26736"/>
    <cellStyle name="Normal 11 6 2 2 5 3" xfId="26737"/>
    <cellStyle name="Normal 11 6 2 2 6" xfId="26738"/>
    <cellStyle name="Normal 11 6 2 2 7" xfId="26739"/>
    <cellStyle name="Normal 11 6 2 3" xfId="26740"/>
    <cellStyle name="Normal 11 6 2 3 2" xfId="26741"/>
    <cellStyle name="Normal 11 6 2 3 2 2" xfId="26742"/>
    <cellStyle name="Normal 11 6 2 3 2 2 2" xfId="26743"/>
    <cellStyle name="Normal 11 6 2 3 2 2 3" xfId="26744"/>
    <cellStyle name="Normal 11 6 2 3 2 3" xfId="26745"/>
    <cellStyle name="Normal 11 6 2 3 2 3 2" xfId="26746"/>
    <cellStyle name="Normal 11 6 2 3 2 3 3" xfId="26747"/>
    <cellStyle name="Normal 11 6 2 3 2 4" xfId="26748"/>
    <cellStyle name="Normal 11 6 2 3 2 5" xfId="26749"/>
    <cellStyle name="Normal 11 6 2 3 3" xfId="26750"/>
    <cellStyle name="Normal 11 6 2 3 3 2" xfId="26751"/>
    <cellStyle name="Normal 11 6 2 3 3 2 2" xfId="26752"/>
    <cellStyle name="Normal 11 6 2 3 3 2 3" xfId="26753"/>
    <cellStyle name="Normal 11 6 2 3 3 3" xfId="26754"/>
    <cellStyle name="Normal 11 6 2 3 3 3 2" xfId="26755"/>
    <cellStyle name="Normal 11 6 2 3 3 3 3" xfId="26756"/>
    <cellStyle name="Normal 11 6 2 3 3 4" xfId="26757"/>
    <cellStyle name="Normal 11 6 2 3 3 5" xfId="26758"/>
    <cellStyle name="Normal 11 6 2 3 4" xfId="26759"/>
    <cellStyle name="Normal 11 6 2 3 4 2" xfId="26760"/>
    <cellStyle name="Normal 11 6 2 3 4 3" xfId="26761"/>
    <cellStyle name="Normal 11 6 2 3 5" xfId="26762"/>
    <cellStyle name="Normal 11 6 2 3 5 2" xfId="26763"/>
    <cellStyle name="Normal 11 6 2 3 5 3" xfId="26764"/>
    <cellStyle name="Normal 11 6 2 3 6" xfId="26765"/>
    <cellStyle name="Normal 11 6 2 3 7" xfId="26766"/>
    <cellStyle name="Normal 11 6 2 4" xfId="26767"/>
    <cellStyle name="Normal 11 6 2 4 2" xfId="26768"/>
    <cellStyle name="Normal 11 6 2 4 2 2" xfId="26769"/>
    <cellStyle name="Normal 11 6 2 4 2 3" xfId="26770"/>
    <cellStyle name="Normal 11 6 2 4 3" xfId="26771"/>
    <cellStyle name="Normal 11 6 2 4 3 2" xfId="26772"/>
    <cellStyle name="Normal 11 6 2 4 3 3" xfId="26773"/>
    <cellStyle name="Normal 11 6 2 4 4" xfId="26774"/>
    <cellStyle name="Normal 11 6 2 4 5" xfId="26775"/>
    <cellStyle name="Normal 11 6 2 5" xfId="26776"/>
    <cellStyle name="Normal 11 6 2 5 2" xfId="26777"/>
    <cellStyle name="Normal 11 6 2 5 2 2" xfId="26778"/>
    <cellStyle name="Normal 11 6 2 5 2 3" xfId="26779"/>
    <cellStyle name="Normal 11 6 2 5 3" xfId="26780"/>
    <cellStyle name="Normal 11 6 2 5 3 2" xfId="26781"/>
    <cellStyle name="Normal 11 6 2 5 3 3" xfId="26782"/>
    <cellStyle name="Normal 11 6 2 5 4" xfId="26783"/>
    <cellStyle name="Normal 11 6 2 5 5" xfId="26784"/>
    <cellStyle name="Normal 11 6 2 6" xfId="26785"/>
    <cellStyle name="Normal 11 6 2 6 2" xfId="26786"/>
    <cellStyle name="Normal 11 6 2 6 3" xfId="26787"/>
    <cellStyle name="Normal 11 6 2 7" xfId="26788"/>
    <cellStyle name="Normal 11 6 2 7 2" xfId="26789"/>
    <cellStyle name="Normal 11 6 2 7 3" xfId="26790"/>
    <cellStyle name="Normal 11 6 2 8" xfId="26791"/>
    <cellStyle name="Normal 11 6 2 9" xfId="26792"/>
    <cellStyle name="Normal 11 6 3" xfId="26793"/>
    <cellStyle name="Normal 11 6 3 2" xfId="26794"/>
    <cellStyle name="Normal 11 6 3 2 2" xfId="26795"/>
    <cellStyle name="Normal 11 6 3 2 2 2" xfId="26796"/>
    <cellStyle name="Normal 11 6 3 2 2 3" xfId="26797"/>
    <cellStyle name="Normal 11 6 3 2 3" xfId="26798"/>
    <cellStyle name="Normal 11 6 3 2 3 2" xfId="26799"/>
    <cellStyle name="Normal 11 6 3 2 3 3" xfId="26800"/>
    <cellStyle name="Normal 11 6 3 2 4" xfId="26801"/>
    <cellStyle name="Normal 11 6 3 2 5" xfId="26802"/>
    <cellStyle name="Normal 11 6 3 3" xfId="26803"/>
    <cellStyle name="Normal 11 6 3 3 2" xfId="26804"/>
    <cellStyle name="Normal 11 6 3 3 2 2" xfId="26805"/>
    <cellStyle name="Normal 11 6 3 3 2 3" xfId="26806"/>
    <cellStyle name="Normal 11 6 3 3 3" xfId="26807"/>
    <cellStyle name="Normal 11 6 3 3 3 2" xfId="26808"/>
    <cellStyle name="Normal 11 6 3 3 3 3" xfId="26809"/>
    <cellStyle name="Normal 11 6 3 3 4" xfId="26810"/>
    <cellStyle name="Normal 11 6 3 3 5" xfId="26811"/>
    <cellStyle name="Normal 11 6 3 4" xfId="26812"/>
    <cellStyle name="Normal 11 6 3 4 2" xfId="26813"/>
    <cellStyle name="Normal 11 6 3 4 3" xfId="26814"/>
    <cellStyle name="Normal 11 6 3 5" xfId="26815"/>
    <cellStyle name="Normal 11 6 3 5 2" xfId="26816"/>
    <cellStyle name="Normal 11 6 3 5 3" xfId="26817"/>
    <cellStyle name="Normal 11 6 3 6" xfId="26818"/>
    <cellStyle name="Normal 11 6 3 7" xfId="26819"/>
    <cellStyle name="Normal 11 6 4" xfId="26820"/>
    <cellStyle name="Normal 11 6 4 2" xfId="26821"/>
    <cellStyle name="Normal 11 6 4 2 2" xfId="26822"/>
    <cellStyle name="Normal 11 6 4 2 2 2" xfId="26823"/>
    <cellStyle name="Normal 11 6 4 2 2 3" xfId="26824"/>
    <cellStyle name="Normal 11 6 4 2 3" xfId="26825"/>
    <cellStyle name="Normal 11 6 4 2 3 2" xfId="26826"/>
    <cellStyle name="Normal 11 6 4 2 3 3" xfId="26827"/>
    <cellStyle name="Normal 11 6 4 2 4" xfId="26828"/>
    <cellStyle name="Normal 11 6 4 2 5" xfId="26829"/>
    <cellStyle name="Normal 11 6 4 3" xfId="26830"/>
    <cellStyle name="Normal 11 6 4 3 2" xfId="26831"/>
    <cellStyle name="Normal 11 6 4 3 2 2" xfId="26832"/>
    <cellStyle name="Normal 11 6 4 3 2 3" xfId="26833"/>
    <cellStyle name="Normal 11 6 4 3 3" xfId="26834"/>
    <cellStyle name="Normal 11 6 4 3 3 2" xfId="26835"/>
    <cellStyle name="Normal 11 6 4 3 3 3" xfId="26836"/>
    <cellStyle name="Normal 11 6 4 3 4" xfId="26837"/>
    <cellStyle name="Normal 11 6 4 3 5" xfId="26838"/>
    <cellStyle name="Normal 11 6 4 4" xfId="26839"/>
    <cellStyle name="Normal 11 6 4 4 2" xfId="26840"/>
    <cellStyle name="Normal 11 6 4 4 3" xfId="26841"/>
    <cellStyle name="Normal 11 6 4 5" xfId="26842"/>
    <cellStyle name="Normal 11 6 4 5 2" xfId="26843"/>
    <cellStyle name="Normal 11 6 4 5 3" xfId="26844"/>
    <cellStyle name="Normal 11 6 4 6" xfId="26845"/>
    <cellStyle name="Normal 11 6 4 7" xfId="26846"/>
    <cellStyle name="Normal 11 6 5" xfId="26847"/>
    <cellStyle name="Normal 11 6 5 2" xfId="26848"/>
    <cellStyle name="Normal 11 6 5 2 2" xfId="26849"/>
    <cellStyle name="Normal 11 6 5 2 3" xfId="26850"/>
    <cellStyle name="Normal 11 6 5 3" xfId="26851"/>
    <cellStyle name="Normal 11 6 5 3 2" xfId="26852"/>
    <cellStyle name="Normal 11 6 5 3 3" xfId="26853"/>
    <cellStyle name="Normal 11 6 5 4" xfId="26854"/>
    <cellStyle name="Normal 11 6 5 5" xfId="26855"/>
    <cellStyle name="Normal 11 6 6" xfId="26856"/>
    <cellStyle name="Normal 11 6 6 2" xfId="26857"/>
    <cellStyle name="Normal 11 6 6 2 2" xfId="26858"/>
    <cellStyle name="Normal 11 6 6 2 3" xfId="26859"/>
    <cellStyle name="Normal 11 6 6 3" xfId="26860"/>
    <cellStyle name="Normal 11 6 6 3 2" xfId="26861"/>
    <cellStyle name="Normal 11 6 6 3 3" xfId="26862"/>
    <cellStyle name="Normal 11 6 6 4" xfId="26863"/>
    <cellStyle name="Normal 11 6 6 5" xfId="26864"/>
    <cellStyle name="Normal 11 6 7" xfId="26865"/>
    <cellStyle name="Normal 11 6 7 2" xfId="26866"/>
    <cellStyle name="Normal 11 6 7 3" xfId="26867"/>
    <cellStyle name="Normal 11 6 8" xfId="26868"/>
    <cellStyle name="Normal 11 6 8 2" xfId="26869"/>
    <cellStyle name="Normal 11 6 8 3" xfId="26870"/>
    <cellStyle name="Normal 11 6 9" xfId="26871"/>
    <cellStyle name="Normal 11 7" xfId="26872"/>
    <cellStyle name="Normal 11 7 2" xfId="26873"/>
    <cellStyle name="Normal 11 7 2 2" xfId="26874"/>
    <cellStyle name="Normal 11 7 2 2 2" xfId="26875"/>
    <cellStyle name="Normal 11 7 2 2 2 2" xfId="26876"/>
    <cellStyle name="Normal 11 7 2 2 2 3" xfId="26877"/>
    <cellStyle name="Normal 11 7 2 2 3" xfId="26878"/>
    <cellStyle name="Normal 11 7 2 2 3 2" xfId="26879"/>
    <cellStyle name="Normal 11 7 2 2 3 3" xfId="26880"/>
    <cellStyle name="Normal 11 7 2 2 4" xfId="26881"/>
    <cellStyle name="Normal 11 7 2 2 5" xfId="26882"/>
    <cellStyle name="Normal 11 7 2 3" xfId="26883"/>
    <cellStyle name="Normal 11 7 2 3 2" xfId="26884"/>
    <cellStyle name="Normal 11 7 2 3 2 2" xfId="26885"/>
    <cellStyle name="Normal 11 7 2 3 2 3" xfId="26886"/>
    <cellStyle name="Normal 11 7 2 3 3" xfId="26887"/>
    <cellStyle name="Normal 11 7 2 3 3 2" xfId="26888"/>
    <cellStyle name="Normal 11 7 2 3 3 3" xfId="26889"/>
    <cellStyle name="Normal 11 7 2 3 4" xfId="26890"/>
    <cellStyle name="Normal 11 7 2 3 5" xfId="26891"/>
    <cellStyle name="Normal 11 7 2 4" xfId="26892"/>
    <cellStyle name="Normal 11 7 2 4 2" xfId="26893"/>
    <cellStyle name="Normal 11 7 2 4 3" xfId="26894"/>
    <cellStyle name="Normal 11 7 2 5" xfId="26895"/>
    <cellStyle name="Normal 11 7 2 5 2" xfId="26896"/>
    <cellStyle name="Normal 11 7 2 5 3" xfId="26897"/>
    <cellStyle name="Normal 11 7 2 6" xfId="26898"/>
    <cellStyle name="Normal 11 7 2 7" xfId="26899"/>
    <cellStyle name="Normal 11 7 3" xfId="26900"/>
    <cellStyle name="Normal 11 7 3 2" xfId="26901"/>
    <cellStyle name="Normal 11 7 3 2 2" xfId="26902"/>
    <cellStyle name="Normal 11 7 3 2 2 2" xfId="26903"/>
    <cellStyle name="Normal 11 7 3 2 2 3" xfId="26904"/>
    <cellStyle name="Normal 11 7 3 2 3" xfId="26905"/>
    <cellStyle name="Normal 11 7 3 2 3 2" xfId="26906"/>
    <cellStyle name="Normal 11 7 3 2 3 3" xfId="26907"/>
    <cellStyle name="Normal 11 7 3 2 4" xfId="26908"/>
    <cellStyle name="Normal 11 7 3 2 5" xfId="26909"/>
    <cellStyle name="Normal 11 7 3 3" xfId="26910"/>
    <cellStyle name="Normal 11 7 3 3 2" xfId="26911"/>
    <cellStyle name="Normal 11 7 3 3 2 2" xfId="26912"/>
    <cellStyle name="Normal 11 7 3 3 2 3" xfId="26913"/>
    <cellStyle name="Normal 11 7 3 3 3" xfId="26914"/>
    <cellStyle name="Normal 11 7 3 3 3 2" xfId="26915"/>
    <cellStyle name="Normal 11 7 3 3 3 3" xfId="26916"/>
    <cellStyle name="Normal 11 7 3 3 4" xfId="26917"/>
    <cellStyle name="Normal 11 7 3 3 5" xfId="26918"/>
    <cellStyle name="Normal 11 7 3 4" xfId="26919"/>
    <cellStyle name="Normal 11 7 3 4 2" xfId="26920"/>
    <cellStyle name="Normal 11 7 3 4 3" xfId="26921"/>
    <cellStyle name="Normal 11 7 3 5" xfId="26922"/>
    <cellStyle name="Normal 11 7 3 5 2" xfId="26923"/>
    <cellStyle name="Normal 11 7 3 5 3" xfId="26924"/>
    <cellStyle name="Normal 11 7 3 6" xfId="26925"/>
    <cellStyle name="Normal 11 7 3 7" xfId="26926"/>
    <cellStyle name="Normal 11 7 4" xfId="26927"/>
    <cellStyle name="Normal 11 7 4 2" xfId="26928"/>
    <cellStyle name="Normal 11 7 4 2 2" xfId="26929"/>
    <cellStyle name="Normal 11 7 4 2 3" xfId="26930"/>
    <cellStyle name="Normal 11 7 4 3" xfId="26931"/>
    <cellStyle name="Normal 11 7 4 3 2" xfId="26932"/>
    <cellStyle name="Normal 11 7 4 3 3" xfId="26933"/>
    <cellStyle name="Normal 11 7 4 4" xfId="26934"/>
    <cellStyle name="Normal 11 7 4 5" xfId="26935"/>
    <cellStyle name="Normal 11 7 5" xfId="26936"/>
    <cellStyle name="Normal 11 7 5 2" xfId="26937"/>
    <cellStyle name="Normal 11 7 5 2 2" xfId="26938"/>
    <cellStyle name="Normal 11 7 5 2 3" xfId="26939"/>
    <cellStyle name="Normal 11 7 5 3" xfId="26940"/>
    <cellStyle name="Normal 11 7 5 3 2" xfId="26941"/>
    <cellStyle name="Normal 11 7 5 3 3" xfId="26942"/>
    <cellStyle name="Normal 11 7 5 4" xfId="26943"/>
    <cellStyle name="Normal 11 7 5 5" xfId="26944"/>
    <cellStyle name="Normal 11 7 6" xfId="26945"/>
    <cellStyle name="Normal 11 7 6 2" xfId="26946"/>
    <cellStyle name="Normal 11 7 6 3" xfId="26947"/>
    <cellStyle name="Normal 11 7 7" xfId="26948"/>
    <cellStyle name="Normal 11 7 7 2" xfId="26949"/>
    <cellStyle name="Normal 11 7 7 3" xfId="26950"/>
    <cellStyle name="Normal 11 7 8" xfId="26951"/>
    <cellStyle name="Normal 11 7 9" xfId="26952"/>
    <cellStyle name="Normal 11 8" xfId="26953"/>
    <cellStyle name="Normal 11 8 2" xfId="26954"/>
    <cellStyle name="Normal 11 8 2 2" xfId="26955"/>
    <cellStyle name="Normal 11 8 2 2 2" xfId="26956"/>
    <cellStyle name="Normal 11 8 2 2 3" xfId="26957"/>
    <cellStyle name="Normal 11 8 2 3" xfId="26958"/>
    <cellStyle name="Normal 11 8 2 3 2" xfId="26959"/>
    <cellStyle name="Normal 11 8 2 3 3" xfId="26960"/>
    <cellStyle name="Normal 11 8 2 4" xfId="26961"/>
    <cellStyle name="Normal 11 8 2 5" xfId="26962"/>
    <cellStyle name="Normal 11 8 3" xfId="26963"/>
    <cellStyle name="Normal 11 8 3 2" xfId="26964"/>
    <cellStyle name="Normal 11 8 3 2 2" xfId="26965"/>
    <cellStyle name="Normal 11 8 3 2 3" xfId="26966"/>
    <cellStyle name="Normal 11 8 3 3" xfId="26967"/>
    <cellStyle name="Normal 11 8 3 3 2" xfId="26968"/>
    <cellStyle name="Normal 11 8 3 3 3" xfId="26969"/>
    <cellStyle name="Normal 11 8 3 4" xfId="26970"/>
    <cellStyle name="Normal 11 8 3 5" xfId="26971"/>
    <cellStyle name="Normal 11 8 4" xfId="26972"/>
    <cellStyle name="Normal 11 8 4 2" xfId="26973"/>
    <cellStyle name="Normal 11 8 4 3" xfId="26974"/>
    <cellStyle name="Normal 11 8 5" xfId="26975"/>
    <cellStyle name="Normal 11 8 5 2" xfId="26976"/>
    <cellStyle name="Normal 11 8 5 3" xfId="26977"/>
    <cellStyle name="Normal 11 8 6" xfId="26978"/>
    <cellStyle name="Normal 11 8 7" xfId="26979"/>
    <cellStyle name="Normal 11 9" xfId="26980"/>
    <cellStyle name="Normal 11 9 2" xfId="26981"/>
    <cellStyle name="Normal 11 9 2 2" xfId="26982"/>
    <cellStyle name="Normal 11 9 2 2 2" xfId="26983"/>
    <cellStyle name="Normal 11 9 2 2 3" xfId="26984"/>
    <cellStyle name="Normal 11 9 2 3" xfId="26985"/>
    <cellStyle name="Normal 11 9 2 3 2" xfId="26986"/>
    <cellStyle name="Normal 11 9 2 3 3" xfId="26987"/>
    <cellStyle name="Normal 11 9 2 4" xfId="26988"/>
    <cellStyle name="Normal 11 9 2 5" xfId="26989"/>
    <cellStyle name="Normal 11 9 3" xfId="26990"/>
    <cellStyle name="Normal 11 9 3 2" xfId="26991"/>
    <cellStyle name="Normal 11 9 3 2 2" xfId="26992"/>
    <cellStyle name="Normal 11 9 3 2 3" xfId="26993"/>
    <cellStyle name="Normal 11 9 3 3" xfId="26994"/>
    <cellStyle name="Normal 11 9 3 3 2" xfId="26995"/>
    <cellStyle name="Normal 11 9 3 3 3" xfId="26996"/>
    <cellStyle name="Normal 11 9 3 4" xfId="26997"/>
    <cellStyle name="Normal 11 9 3 5" xfId="26998"/>
    <cellStyle name="Normal 11 9 4" xfId="26999"/>
    <cellStyle name="Normal 11 9 4 2" xfId="27000"/>
    <cellStyle name="Normal 11 9 4 3" xfId="27001"/>
    <cellStyle name="Normal 11 9 5" xfId="27002"/>
    <cellStyle name="Normal 11 9 5 2" xfId="27003"/>
    <cellStyle name="Normal 11 9 5 3" xfId="27004"/>
    <cellStyle name="Normal 11 9 6" xfId="27005"/>
    <cellStyle name="Normal 11 9 7" xfId="27006"/>
    <cellStyle name="Normal 11_maycto" xfId="27007"/>
    <cellStyle name="Normal 110" xfId="42918"/>
    <cellStyle name="Normal 111" xfId="42883"/>
    <cellStyle name="Normal 112" xfId="27008"/>
    <cellStyle name="Normal 112 2" xfId="27009"/>
    <cellStyle name="Normal 112 2 2" xfId="27010"/>
    <cellStyle name="Normal 112 2 2 2" xfId="27011"/>
    <cellStyle name="Normal 112 2 2 2 2" xfId="27012"/>
    <cellStyle name="Normal 112 2 2 2 3" xfId="27013"/>
    <cellStyle name="Normal 112 2 2 3" xfId="27014"/>
    <cellStyle name="Normal 112 2 2 3 2" xfId="27015"/>
    <cellStyle name="Normal 112 2 2 3 3" xfId="27016"/>
    <cellStyle name="Normal 112 2 2 4" xfId="27017"/>
    <cellStyle name="Normal 112 2 2 5" xfId="27018"/>
    <cellStyle name="Normal 112 2 3" xfId="27019"/>
    <cellStyle name="Normal 112 2 3 2" xfId="27020"/>
    <cellStyle name="Normal 112 2 3 2 2" xfId="27021"/>
    <cellStyle name="Normal 112 2 3 2 3" xfId="27022"/>
    <cellStyle name="Normal 112 2 3 3" xfId="27023"/>
    <cellStyle name="Normal 112 2 3 3 2" xfId="27024"/>
    <cellStyle name="Normal 112 2 3 3 3" xfId="27025"/>
    <cellStyle name="Normal 112 2 3 4" xfId="27026"/>
    <cellStyle name="Normal 112 2 3 5" xfId="27027"/>
    <cellStyle name="Normal 112 2 4" xfId="27028"/>
    <cellStyle name="Normal 112 2 4 2" xfId="27029"/>
    <cellStyle name="Normal 112 2 4 3" xfId="27030"/>
    <cellStyle name="Normal 112 2 5" xfId="27031"/>
    <cellStyle name="Normal 112 2 5 2" xfId="27032"/>
    <cellStyle name="Normal 112 2 5 3" xfId="27033"/>
    <cellStyle name="Normal 112 2 6" xfId="27034"/>
    <cellStyle name="Normal 112 2 7" xfId="27035"/>
    <cellStyle name="Normal 112 3" xfId="27036"/>
    <cellStyle name="Normal 112 3 2" xfId="27037"/>
    <cellStyle name="Normal 112 3 2 2" xfId="27038"/>
    <cellStyle name="Normal 112 3 2 2 2" xfId="27039"/>
    <cellStyle name="Normal 112 3 2 2 3" xfId="27040"/>
    <cellStyle name="Normal 112 3 2 3" xfId="27041"/>
    <cellStyle name="Normal 112 3 2 3 2" xfId="27042"/>
    <cellStyle name="Normal 112 3 2 3 3" xfId="27043"/>
    <cellStyle name="Normal 112 3 2 4" xfId="27044"/>
    <cellStyle name="Normal 112 3 2 5" xfId="27045"/>
    <cellStyle name="Normal 112 3 3" xfId="27046"/>
    <cellStyle name="Normal 112 3 3 2" xfId="27047"/>
    <cellStyle name="Normal 112 3 3 2 2" xfId="27048"/>
    <cellStyle name="Normal 112 3 3 2 3" xfId="27049"/>
    <cellStyle name="Normal 112 3 3 3" xfId="27050"/>
    <cellStyle name="Normal 112 3 3 3 2" xfId="27051"/>
    <cellStyle name="Normal 112 3 3 3 3" xfId="27052"/>
    <cellStyle name="Normal 112 3 3 4" xfId="27053"/>
    <cellStyle name="Normal 112 3 3 5" xfId="27054"/>
    <cellStyle name="Normal 112 3 4" xfId="27055"/>
    <cellStyle name="Normal 112 3 4 2" xfId="27056"/>
    <cellStyle name="Normal 112 3 4 3" xfId="27057"/>
    <cellStyle name="Normal 112 3 5" xfId="27058"/>
    <cellStyle name="Normal 112 3 5 2" xfId="27059"/>
    <cellStyle name="Normal 112 3 5 3" xfId="27060"/>
    <cellStyle name="Normal 112 3 6" xfId="27061"/>
    <cellStyle name="Normal 112 3 7" xfId="27062"/>
    <cellStyle name="Normal 112 4" xfId="27063"/>
    <cellStyle name="Normal 112 4 2" xfId="27064"/>
    <cellStyle name="Normal 112 4 2 2" xfId="27065"/>
    <cellStyle name="Normal 112 4 2 3" xfId="27066"/>
    <cellStyle name="Normal 112 4 3" xfId="27067"/>
    <cellStyle name="Normal 112 4 3 2" xfId="27068"/>
    <cellStyle name="Normal 112 4 3 3" xfId="27069"/>
    <cellStyle name="Normal 112 4 4" xfId="27070"/>
    <cellStyle name="Normal 112 4 5" xfId="27071"/>
    <cellStyle name="Normal 112 5" xfId="27072"/>
    <cellStyle name="Normal 112 5 2" xfId="27073"/>
    <cellStyle name="Normal 112 5 2 2" xfId="27074"/>
    <cellStyle name="Normal 112 5 2 3" xfId="27075"/>
    <cellStyle name="Normal 112 5 3" xfId="27076"/>
    <cellStyle name="Normal 112 5 3 2" xfId="27077"/>
    <cellStyle name="Normal 112 5 3 3" xfId="27078"/>
    <cellStyle name="Normal 112 5 4" xfId="27079"/>
    <cellStyle name="Normal 112 5 5" xfId="27080"/>
    <cellStyle name="Normal 112 6" xfId="27081"/>
    <cellStyle name="Normal 112 6 2" xfId="27082"/>
    <cellStyle name="Normal 112 6 3" xfId="27083"/>
    <cellStyle name="Normal 112 7" xfId="27084"/>
    <cellStyle name="Normal 112 7 2" xfId="27085"/>
    <cellStyle name="Normal 112 7 3" xfId="27086"/>
    <cellStyle name="Normal 112 8" xfId="27087"/>
    <cellStyle name="Normal 112 9" xfId="27088"/>
    <cellStyle name="Normal 113" xfId="27089"/>
    <cellStyle name="Normal 113 2" xfId="27090"/>
    <cellStyle name="Normal 113 2 2" xfId="27091"/>
    <cellStyle name="Normal 113 2 2 2" xfId="27092"/>
    <cellStyle name="Normal 113 2 2 2 2" xfId="27093"/>
    <cellStyle name="Normal 113 2 2 2 3" xfId="27094"/>
    <cellStyle name="Normal 113 2 2 3" xfId="27095"/>
    <cellStyle name="Normal 113 2 2 3 2" xfId="27096"/>
    <cellStyle name="Normal 113 2 2 3 3" xfId="27097"/>
    <cellStyle name="Normal 113 2 2 4" xfId="27098"/>
    <cellStyle name="Normal 113 2 2 5" xfId="27099"/>
    <cellStyle name="Normal 113 2 3" xfId="27100"/>
    <cellStyle name="Normal 113 2 3 2" xfId="27101"/>
    <cellStyle name="Normal 113 2 3 2 2" xfId="27102"/>
    <cellStyle name="Normal 113 2 3 2 3" xfId="27103"/>
    <cellStyle name="Normal 113 2 3 3" xfId="27104"/>
    <cellStyle name="Normal 113 2 3 3 2" xfId="27105"/>
    <cellStyle name="Normal 113 2 3 3 3" xfId="27106"/>
    <cellStyle name="Normal 113 2 3 4" xfId="27107"/>
    <cellStyle name="Normal 113 2 3 5" xfId="27108"/>
    <cellStyle name="Normal 113 2 4" xfId="27109"/>
    <cellStyle name="Normal 113 2 4 2" xfId="27110"/>
    <cellStyle name="Normal 113 2 4 3" xfId="27111"/>
    <cellStyle name="Normal 113 2 5" xfId="27112"/>
    <cellStyle name="Normal 113 2 5 2" xfId="27113"/>
    <cellStyle name="Normal 113 2 5 3" xfId="27114"/>
    <cellStyle name="Normal 113 2 6" xfId="27115"/>
    <cellStyle name="Normal 113 2 7" xfId="27116"/>
    <cellStyle name="Normal 113 3" xfId="27117"/>
    <cellStyle name="Normal 113 3 2" xfId="27118"/>
    <cellStyle name="Normal 113 3 2 2" xfId="27119"/>
    <cellStyle name="Normal 113 3 2 2 2" xfId="27120"/>
    <cellStyle name="Normal 113 3 2 2 3" xfId="27121"/>
    <cellStyle name="Normal 113 3 2 3" xfId="27122"/>
    <cellStyle name="Normal 113 3 2 3 2" xfId="27123"/>
    <cellStyle name="Normal 113 3 2 3 3" xfId="27124"/>
    <cellStyle name="Normal 113 3 2 4" xfId="27125"/>
    <cellStyle name="Normal 113 3 2 5" xfId="27126"/>
    <cellStyle name="Normal 113 3 3" xfId="27127"/>
    <cellStyle name="Normal 113 3 3 2" xfId="27128"/>
    <cellStyle name="Normal 113 3 3 2 2" xfId="27129"/>
    <cellStyle name="Normal 113 3 3 2 3" xfId="27130"/>
    <cellStyle name="Normal 113 3 3 3" xfId="27131"/>
    <cellStyle name="Normal 113 3 3 3 2" xfId="27132"/>
    <cellStyle name="Normal 113 3 3 3 3" xfId="27133"/>
    <cellStyle name="Normal 113 3 3 4" xfId="27134"/>
    <cellStyle name="Normal 113 3 3 5" xfId="27135"/>
    <cellStyle name="Normal 113 3 4" xfId="27136"/>
    <cellStyle name="Normal 113 3 4 2" xfId="27137"/>
    <cellStyle name="Normal 113 3 4 3" xfId="27138"/>
    <cellStyle name="Normal 113 3 5" xfId="27139"/>
    <cellStyle name="Normal 113 3 5 2" xfId="27140"/>
    <cellStyle name="Normal 113 3 5 3" xfId="27141"/>
    <cellStyle name="Normal 113 3 6" xfId="27142"/>
    <cellStyle name="Normal 113 3 7" xfId="27143"/>
    <cellStyle name="Normal 113 4" xfId="27144"/>
    <cellStyle name="Normal 113 4 2" xfId="27145"/>
    <cellStyle name="Normal 113 4 2 2" xfId="27146"/>
    <cellStyle name="Normal 113 4 2 3" xfId="27147"/>
    <cellStyle name="Normal 113 4 3" xfId="27148"/>
    <cellStyle name="Normal 113 4 3 2" xfId="27149"/>
    <cellStyle name="Normal 113 4 3 3" xfId="27150"/>
    <cellStyle name="Normal 113 4 4" xfId="27151"/>
    <cellStyle name="Normal 113 4 5" xfId="27152"/>
    <cellStyle name="Normal 113 5" xfId="27153"/>
    <cellStyle name="Normal 113 5 2" xfId="27154"/>
    <cellStyle name="Normal 113 5 2 2" xfId="27155"/>
    <cellStyle name="Normal 113 5 2 3" xfId="27156"/>
    <cellStyle name="Normal 113 5 3" xfId="27157"/>
    <cellStyle name="Normal 113 5 3 2" xfId="27158"/>
    <cellStyle name="Normal 113 5 3 3" xfId="27159"/>
    <cellStyle name="Normal 113 5 4" xfId="27160"/>
    <cellStyle name="Normal 113 5 5" xfId="27161"/>
    <cellStyle name="Normal 113 6" xfId="27162"/>
    <cellStyle name="Normal 113 6 2" xfId="27163"/>
    <cellStyle name="Normal 113 6 3" xfId="27164"/>
    <cellStyle name="Normal 113 7" xfId="27165"/>
    <cellStyle name="Normal 113 7 2" xfId="27166"/>
    <cellStyle name="Normal 113 7 3" xfId="27167"/>
    <cellStyle name="Normal 113 8" xfId="27168"/>
    <cellStyle name="Normal 113 9" xfId="27169"/>
    <cellStyle name="Normal 114" xfId="27170"/>
    <cellStyle name="Normal 114 2" xfId="27171"/>
    <cellStyle name="Normal 114 2 2" xfId="27172"/>
    <cellStyle name="Normal 114 2 2 2" xfId="27173"/>
    <cellStyle name="Normal 114 2 2 2 2" xfId="27174"/>
    <cellStyle name="Normal 114 2 2 2 3" xfId="27175"/>
    <cellStyle name="Normal 114 2 2 3" xfId="27176"/>
    <cellStyle name="Normal 114 2 2 3 2" xfId="27177"/>
    <cellStyle name="Normal 114 2 2 3 3" xfId="27178"/>
    <cellStyle name="Normal 114 2 2 4" xfId="27179"/>
    <cellStyle name="Normal 114 2 2 5" xfId="27180"/>
    <cellStyle name="Normal 114 2 3" xfId="27181"/>
    <cellStyle name="Normal 114 2 3 2" xfId="27182"/>
    <cellStyle name="Normal 114 2 3 2 2" xfId="27183"/>
    <cellStyle name="Normal 114 2 3 2 3" xfId="27184"/>
    <cellStyle name="Normal 114 2 3 3" xfId="27185"/>
    <cellStyle name="Normal 114 2 3 3 2" xfId="27186"/>
    <cellStyle name="Normal 114 2 3 3 3" xfId="27187"/>
    <cellStyle name="Normal 114 2 3 4" xfId="27188"/>
    <cellStyle name="Normal 114 2 3 5" xfId="27189"/>
    <cellStyle name="Normal 114 2 4" xfId="27190"/>
    <cellStyle name="Normal 114 2 4 2" xfId="27191"/>
    <cellStyle name="Normal 114 2 4 3" xfId="27192"/>
    <cellStyle name="Normal 114 2 5" xfId="27193"/>
    <cellStyle name="Normal 114 2 5 2" xfId="27194"/>
    <cellStyle name="Normal 114 2 5 3" xfId="27195"/>
    <cellStyle name="Normal 114 2 6" xfId="27196"/>
    <cellStyle name="Normal 114 2 7" xfId="27197"/>
    <cellStyle name="Normal 114 3" xfId="27198"/>
    <cellStyle name="Normal 114 3 2" xfId="27199"/>
    <cellStyle name="Normal 114 3 2 2" xfId="27200"/>
    <cellStyle name="Normal 114 3 2 2 2" xfId="27201"/>
    <cellStyle name="Normal 114 3 2 2 3" xfId="27202"/>
    <cellStyle name="Normal 114 3 2 3" xfId="27203"/>
    <cellStyle name="Normal 114 3 2 3 2" xfId="27204"/>
    <cellStyle name="Normal 114 3 2 3 3" xfId="27205"/>
    <cellStyle name="Normal 114 3 2 4" xfId="27206"/>
    <cellStyle name="Normal 114 3 2 5" xfId="27207"/>
    <cellStyle name="Normal 114 3 3" xfId="27208"/>
    <cellStyle name="Normal 114 3 3 2" xfId="27209"/>
    <cellStyle name="Normal 114 3 3 2 2" xfId="27210"/>
    <cellStyle name="Normal 114 3 3 2 3" xfId="27211"/>
    <cellStyle name="Normal 114 3 3 3" xfId="27212"/>
    <cellStyle name="Normal 114 3 3 3 2" xfId="27213"/>
    <cellStyle name="Normal 114 3 3 3 3" xfId="27214"/>
    <cellStyle name="Normal 114 3 3 4" xfId="27215"/>
    <cellStyle name="Normal 114 3 3 5" xfId="27216"/>
    <cellStyle name="Normal 114 3 4" xfId="27217"/>
    <cellStyle name="Normal 114 3 4 2" xfId="27218"/>
    <cellStyle name="Normal 114 3 4 3" xfId="27219"/>
    <cellStyle name="Normal 114 3 5" xfId="27220"/>
    <cellStyle name="Normal 114 3 5 2" xfId="27221"/>
    <cellStyle name="Normal 114 3 5 3" xfId="27222"/>
    <cellStyle name="Normal 114 3 6" xfId="27223"/>
    <cellStyle name="Normal 114 3 7" xfId="27224"/>
    <cellStyle name="Normal 114 4" xfId="27225"/>
    <cellStyle name="Normal 114 4 2" xfId="27226"/>
    <cellStyle name="Normal 114 4 2 2" xfId="27227"/>
    <cellStyle name="Normal 114 4 2 3" xfId="27228"/>
    <cellStyle name="Normal 114 4 3" xfId="27229"/>
    <cellStyle name="Normal 114 4 3 2" xfId="27230"/>
    <cellStyle name="Normal 114 4 3 3" xfId="27231"/>
    <cellStyle name="Normal 114 4 4" xfId="27232"/>
    <cellStyle name="Normal 114 4 5" xfId="27233"/>
    <cellStyle name="Normal 114 5" xfId="27234"/>
    <cellStyle name="Normal 114 5 2" xfId="27235"/>
    <cellStyle name="Normal 114 5 2 2" xfId="27236"/>
    <cellStyle name="Normal 114 5 2 3" xfId="27237"/>
    <cellStyle name="Normal 114 5 3" xfId="27238"/>
    <cellStyle name="Normal 114 5 3 2" xfId="27239"/>
    <cellStyle name="Normal 114 5 3 3" xfId="27240"/>
    <cellStyle name="Normal 114 5 4" xfId="27241"/>
    <cellStyle name="Normal 114 5 5" xfId="27242"/>
    <cellStyle name="Normal 114 6" xfId="27243"/>
    <cellStyle name="Normal 114 6 2" xfId="27244"/>
    <cellStyle name="Normal 114 6 3" xfId="27245"/>
    <cellStyle name="Normal 114 7" xfId="27246"/>
    <cellStyle name="Normal 114 7 2" xfId="27247"/>
    <cellStyle name="Normal 114 7 3" xfId="27248"/>
    <cellStyle name="Normal 114 8" xfId="27249"/>
    <cellStyle name="Normal 114 9" xfId="27250"/>
    <cellStyle name="Normal 115" xfId="42952"/>
    <cellStyle name="Normal 116" xfId="42951"/>
    <cellStyle name="Normal 117" xfId="42855"/>
    <cellStyle name="Normal 118" xfId="42853"/>
    <cellStyle name="Normal 119" xfId="42969"/>
    <cellStyle name="Normal 12" xfId="27251"/>
    <cellStyle name="Normal 12 2" xfId="27252"/>
    <cellStyle name="Normal 12 2 2" xfId="27253"/>
    <cellStyle name="Normal 12 3" xfId="27254"/>
    <cellStyle name="Normal 12 3 2" xfId="27255"/>
    <cellStyle name="Normal 12 4" xfId="27256"/>
    <cellStyle name="Normal 12 6" xfId="27257"/>
    <cellStyle name="Normal 12 6 2" xfId="27258"/>
    <cellStyle name="Normal 12 6 2 2" xfId="27259"/>
    <cellStyle name="Normal 12 6 2 2 2" xfId="27260"/>
    <cellStyle name="Normal 12 6 2 2 3" xfId="27261"/>
    <cellStyle name="Normal 12 6 2 3" xfId="27262"/>
    <cellStyle name="Normal 12 6 2 3 2" xfId="27263"/>
    <cellStyle name="Normal 12 6 2 3 3" xfId="27264"/>
    <cellStyle name="Normal 12 6 2 4" xfId="27265"/>
    <cellStyle name="Normal 12 6 2 5" xfId="27266"/>
    <cellStyle name="Normal 12 6 3" xfId="27267"/>
    <cellStyle name="Normal 12 6 3 2" xfId="27268"/>
    <cellStyle name="Normal 12 6 3 2 2" xfId="27269"/>
    <cellStyle name="Normal 12 6 3 2 3" xfId="27270"/>
    <cellStyle name="Normal 12 6 3 3" xfId="27271"/>
    <cellStyle name="Normal 12 6 3 3 2" xfId="27272"/>
    <cellStyle name="Normal 12 6 3 3 3" xfId="27273"/>
    <cellStyle name="Normal 12 6 3 4" xfId="27274"/>
    <cellStyle name="Normal 12 6 3 5" xfId="27275"/>
    <cellStyle name="Normal 12 6 4" xfId="27276"/>
    <cellStyle name="Normal 12 6 4 2" xfId="27277"/>
    <cellStyle name="Normal 12 6 4 3" xfId="27278"/>
    <cellStyle name="Normal 12 6 5" xfId="27279"/>
    <cellStyle name="Normal 12 6 5 2" xfId="27280"/>
    <cellStyle name="Normal 12 6 5 3" xfId="27281"/>
    <cellStyle name="Normal 12 6 6" xfId="27282"/>
    <cellStyle name="Normal 12 6 7" xfId="27283"/>
    <cellStyle name="Normal 12_maycto" xfId="27284"/>
    <cellStyle name="Normal 120" xfId="43140"/>
    <cellStyle name="Normal 121" xfId="43181"/>
    <cellStyle name="Normal 122" xfId="43191"/>
    <cellStyle name="Normal 123" xfId="43176"/>
    <cellStyle name="Normal 124" xfId="43197"/>
    <cellStyle name="Normal 125" xfId="43200"/>
    <cellStyle name="Normal 126" xfId="43097"/>
    <cellStyle name="Normal 127" xfId="43194"/>
    <cellStyle name="Normal 13" xfId="27285"/>
    <cellStyle name="Normal 13 10" xfId="27286"/>
    <cellStyle name="Normal 13 11" xfId="27287"/>
    <cellStyle name="Normal 13 12" xfId="27288"/>
    <cellStyle name="Normal 13 13" xfId="27289"/>
    <cellStyle name="Normal 13 14" xfId="27290"/>
    <cellStyle name="Normal 13 15" xfId="27291"/>
    <cellStyle name="Normal 13 16" xfId="27292"/>
    <cellStyle name="Normal 13 17" xfId="27293"/>
    <cellStyle name="Normal 13 18" xfId="27294"/>
    <cellStyle name="Normal 13 19" xfId="27295"/>
    <cellStyle name="Normal 13 2" xfId="27296"/>
    <cellStyle name="Normal 13 2 2" xfId="27297"/>
    <cellStyle name="Normal 13 20" xfId="27298"/>
    <cellStyle name="Normal 13 21" xfId="27299"/>
    <cellStyle name="Normal 13 22" xfId="27300"/>
    <cellStyle name="Normal 13 23" xfId="27301"/>
    <cellStyle name="Normal 13 24" xfId="27302"/>
    <cellStyle name="Normal 13 25" xfId="27303"/>
    <cellStyle name="Normal 13 26" xfId="27304"/>
    <cellStyle name="Normal 13 27" xfId="27305"/>
    <cellStyle name="Normal 13 28" xfId="27306"/>
    <cellStyle name="Normal 13 29" xfId="27307"/>
    <cellStyle name="Normal 13 3" xfId="27308"/>
    <cellStyle name="Normal 13 3 2" xfId="27309"/>
    <cellStyle name="Normal 13 30" xfId="27310"/>
    <cellStyle name="Normal 13 31" xfId="27311"/>
    <cellStyle name="Normal 13 32" xfId="27312"/>
    <cellStyle name="Normal 13 33" xfId="27313"/>
    <cellStyle name="Normal 13 34" xfId="27314"/>
    <cellStyle name="Normal 13 35" xfId="27315"/>
    <cellStyle name="Normal 13 36" xfId="27316"/>
    <cellStyle name="Normal 13 37" xfId="27317"/>
    <cellStyle name="Normal 13 38" xfId="27318"/>
    <cellStyle name="Normal 13 39" xfId="27319"/>
    <cellStyle name="Normal 13 4" xfId="27320"/>
    <cellStyle name="Normal 13 40" xfId="27321"/>
    <cellStyle name="Normal 13 41" xfId="27322"/>
    <cellStyle name="Normal 13 42" xfId="27323"/>
    <cellStyle name="Normal 13 43" xfId="27324"/>
    <cellStyle name="Normal 13 44" xfId="27325"/>
    <cellStyle name="Normal 13 45" xfId="27326"/>
    <cellStyle name="Normal 13 46" xfId="27327"/>
    <cellStyle name="Normal 13 47" xfId="27328"/>
    <cellStyle name="Normal 13 48" xfId="27329"/>
    <cellStyle name="Normal 13 49" xfId="27330"/>
    <cellStyle name="Normal 13 5" xfId="27331"/>
    <cellStyle name="Normal 13 50" xfId="27332"/>
    <cellStyle name="Normal 13 51" xfId="27333"/>
    <cellStyle name="Normal 13 52" xfId="27334"/>
    <cellStyle name="Normal 13 53" xfId="27335"/>
    <cellStyle name="Normal 13 54" xfId="27336"/>
    <cellStyle name="Normal 13 55" xfId="27337"/>
    <cellStyle name="Normal 13 56" xfId="27338"/>
    <cellStyle name="Normal 13 57" xfId="27339"/>
    <cellStyle name="Normal 13 58" xfId="27340"/>
    <cellStyle name="Normal 13 59" xfId="27341"/>
    <cellStyle name="Normal 13 6" xfId="27342"/>
    <cellStyle name="Normal 13 60" xfId="27343"/>
    <cellStyle name="Normal 13 61" xfId="27344"/>
    <cellStyle name="Normal 13 62" xfId="27345"/>
    <cellStyle name="Normal 13 63" xfId="27346"/>
    <cellStyle name="Normal 13 64" xfId="27347"/>
    <cellStyle name="Normal 13 65" xfId="27348"/>
    <cellStyle name="Normal 13 66" xfId="27349"/>
    <cellStyle name="Normal 13 67" xfId="27350"/>
    <cellStyle name="Normal 13 68" xfId="27351"/>
    <cellStyle name="Normal 13 69" xfId="27352"/>
    <cellStyle name="Normal 13 7" xfId="27353"/>
    <cellStyle name="Normal 13 70" xfId="27354"/>
    <cellStyle name="Normal 13 71" xfId="27355"/>
    <cellStyle name="Normal 13 72" xfId="27356"/>
    <cellStyle name="Normal 13 73" xfId="27357"/>
    <cellStyle name="Normal 13 74" xfId="27358"/>
    <cellStyle name="Normal 13 74 2" xfId="27359"/>
    <cellStyle name="Normal 13 74 2 2" xfId="27360"/>
    <cellStyle name="Normal 13 74 2 2 2" xfId="27361"/>
    <cellStyle name="Normal 13 74 2 2 2 2" xfId="27362"/>
    <cellStyle name="Normal 13 74 2 2 2 3" xfId="27363"/>
    <cellStyle name="Normal 13 74 2 2 3" xfId="27364"/>
    <cellStyle name="Normal 13 74 2 2 3 2" xfId="27365"/>
    <cellStyle name="Normal 13 74 2 2 3 3" xfId="27366"/>
    <cellStyle name="Normal 13 74 2 2 4" xfId="27367"/>
    <cellStyle name="Normal 13 74 2 2 5" xfId="27368"/>
    <cellStyle name="Normal 13 74 2 3" xfId="27369"/>
    <cellStyle name="Normal 13 74 2 3 2" xfId="27370"/>
    <cellStyle name="Normal 13 74 2 3 2 2" xfId="27371"/>
    <cellStyle name="Normal 13 74 2 3 2 3" xfId="27372"/>
    <cellStyle name="Normal 13 74 2 3 3" xfId="27373"/>
    <cellStyle name="Normal 13 74 2 3 3 2" xfId="27374"/>
    <cellStyle name="Normal 13 74 2 3 3 3" xfId="27375"/>
    <cellStyle name="Normal 13 74 2 3 4" xfId="27376"/>
    <cellStyle name="Normal 13 74 2 3 5" xfId="27377"/>
    <cellStyle name="Normal 13 74 2 4" xfId="27378"/>
    <cellStyle name="Normal 13 74 2 4 2" xfId="27379"/>
    <cellStyle name="Normal 13 74 2 4 3" xfId="27380"/>
    <cellStyle name="Normal 13 74 2 5" xfId="27381"/>
    <cellStyle name="Normal 13 74 2 5 2" xfId="27382"/>
    <cellStyle name="Normal 13 74 2 5 3" xfId="27383"/>
    <cellStyle name="Normal 13 74 2 6" xfId="27384"/>
    <cellStyle name="Normal 13 74 2 7" xfId="27385"/>
    <cellStyle name="Normal 13 74 3" xfId="27386"/>
    <cellStyle name="Normal 13 74 3 2" xfId="27387"/>
    <cellStyle name="Normal 13 74 3 2 2" xfId="27388"/>
    <cellStyle name="Normal 13 74 3 2 2 2" xfId="27389"/>
    <cellStyle name="Normal 13 74 3 2 2 3" xfId="27390"/>
    <cellStyle name="Normal 13 74 3 2 3" xfId="27391"/>
    <cellStyle name="Normal 13 74 3 2 3 2" xfId="27392"/>
    <cellStyle name="Normal 13 74 3 2 3 3" xfId="27393"/>
    <cellStyle name="Normal 13 74 3 2 4" xfId="27394"/>
    <cellStyle name="Normal 13 74 3 2 5" xfId="27395"/>
    <cellStyle name="Normal 13 74 3 3" xfId="27396"/>
    <cellStyle name="Normal 13 74 3 3 2" xfId="27397"/>
    <cellStyle name="Normal 13 74 3 3 2 2" xfId="27398"/>
    <cellStyle name="Normal 13 74 3 3 2 3" xfId="27399"/>
    <cellStyle name="Normal 13 74 3 3 3" xfId="27400"/>
    <cellStyle name="Normal 13 74 3 3 3 2" xfId="27401"/>
    <cellStyle name="Normal 13 74 3 3 3 3" xfId="27402"/>
    <cellStyle name="Normal 13 74 3 3 4" xfId="27403"/>
    <cellStyle name="Normal 13 74 3 3 5" xfId="27404"/>
    <cellStyle name="Normal 13 74 3 4" xfId="27405"/>
    <cellStyle name="Normal 13 74 3 4 2" xfId="27406"/>
    <cellStyle name="Normal 13 74 3 4 3" xfId="27407"/>
    <cellStyle name="Normal 13 74 3 5" xfId="27408"/>
    <cellStyle name="Normal 13 74 3 5 2" xfId="27409"/>
    <cellStyle name="Normal 13 74 3 5 3" xfId="27410"/>
    <cellStyle name="Normal 13 74 3 6" xfId="27411"/>
    <cellStyle name="Normal 13 74 3 7" xfId="27412"/>
    <cellStyle name="Normal 13 74 4" xfId="27413"/>
    <cellStyle name="Normal 13 74 4 2" xfId="27414"/>
    <cellStyle name="Normal 13 74 4 2 2" xfId="27415"/>
    <cellStyle name="Normal 13 74 4 2 3" xfId="27416"/>
    <cellStyle name="Normal 13 74 4 3" xfId="27417"/>
    <cellStyle name="Normal 13 74 4 3 2" xfId="27418"/>
    <cellStyle name="Normal 13 74 4 3 3" xfId="27419"/>
    <cellStyle name="Normal 13 74 4 4" xfId="27420"/>
    <cellStyle name="Normal 13 74 4 5" xfId="27421"/>
    <cellStyle name="Normal 13 74 5" xfId="27422"/>
    <cellStyle name="Normal 13 74 5 2" xfId="27423"/>
    <cellStyle name="Normal 13 74 5 2 2" xfId="27424"/>
    <cellStyle name="Normal 13 74 5 2 3" xfId="27425"/>
    <cellStyle name="Normal 13 74 5 3" xfId="27426"/>
    <cellStyle name="Normal 13 74 5 3 2" xfId="27427"/>
    <cellStyle name="Normal 13 74 5 3 3" xfId="27428"/>
    <cellStyle name="Normal 13 74 5 4" xfId="27429"/>
    <cellStyle name="Normal 13 74 5 5" xfId="27430"/>
    <cellStyle name="Normal 13 74 6" xfId="27431"/>
    <cellStyle name="Normal 13 74 6 2" xfId="27432"/>
    <cellStyle name="Normal 13 74 6 3" xfId="27433"/>
    <cellStyle name="Normal 13 74 7" xfId="27434"/>
    <cellStyle name="Normal 13 74 7 2" xfId="27435"/>
    <cellStyle name="Normal 13 74 7 3" xfId="27436"/>
    <cellStyle name="Normal 13 74 8" xfId="27437"/>
    <cellStyle name="Normal 13 74 9" xfId="27438"/>
    <cellStyle name="Normal 13 8" xfId="27439"/>
    <cellStyle name="Normal 13 9" xfId="27440"/>
    <cellStyle name="Normal 13_maycto" xfId="27441"/>
    <cellStyle name="Normal 14" xfId="27442"/>
    <cellStyle name="Normal 14 2" xfId="27443"/>
    <cellStyle name="Normal 14 2 2" xfId="27444"/>
    <cellStyle name="Normal 14 3" xfId="27445"/>
    <cellStyle name="Normal 14 3 2" xfId="27446"/>
    <cellStyle name="Normal 14 4" xfId="27447"/>
    <cellStyle name="Normal 14 5" xfId="42921"/>
    <cellStyle name="Normal 14_maycto" xfId="27448"/>
    <cellStyle name="Normal 15" xfId="27449"/>
    <cellStyle name="Normal 15 10" xfId="27450"/>
    <cellStyle name="Normal 15 11" xfId="27451"/>
    <cellStyle name="Normal 15 12" xfId="27452"/>
    <cellStyle name="Normal 15 13" xfId="27453"/>
    <cellStyle name="Normal 15 14" xfId="27454"/>
    <cellStyle name="Normal 15 15" xfId="27455"/>
    <cellStyle name="Normal 15 16" xfId="27456"/>
    <cellStyle name="Normal 15 17" xfId="27457"/>
    <cellStyle name="Normal 15 18" xfId="27458"/>
    <cellStyle name="Normal 15 19" xfId="27459"/>
    <cellStyle name="Normal 15 2" xfId="27460"/>
    <cellStyle name="Normal 15 2 2" xfId="27461"/>
    <cellStyle name="Normal 15 20" xfId="27462"/>
    <cellStyle name="Normal 15 21" xfId="27463"/>
    <cellStyle name="Normal 15 22" xfId="27464"/>
    <cellStyle name="Normal 15 23" xfId="27465"/>
    <cellStyle name="Normal 15 24" xfId="27466"/>
    <cellStyle name="Normal 15 25" xfId="27467"/>
    <cellStyle name="Normal 15 26" xfId="27468"/>
    <cellStyle name="Normal 15 27" xfId="27469"/>
    <cellStyle name="Normal 15 28" xfId="27470"/>
    <cellStyle name="Normal 15 29" xfId="27471"/>
    <cellStyle name="Normal 15 3" xfId="27472"/>
    <cellStyle name="Normal 15 3 2" xfId="27473"/>
    <cellStyle name="Normal 15 30" xfId="27474"/>
    <cellStyle name="Normal 15 31" xfId="27475"/>
    <cellStyle name="Normal 15 32" xfId="27476"/>
    <cellStyle name="Normal 15 33" xfId="27477"/>
    <cellStyle name="Normal 15 34" xfId="27478"/>
    <cellStyle name="Normal 15 35" xfId="27479"/>
    <cellStyle name="Normal 15 36" xfId="27480"/>
    <cellStyle name="Normal 15 37" xfId="27481"/>
    <cellStyle name="Normal 15 38" xfId="27482"/>
    <cellStyle name="Normal 15 39" xfId="27483"/>
    <cellStyle name="Normal 15 4" xfId="27484"/>
    <cellStyle name="Normal 15 40" xfId="27485"/>
    <cellStyle name="Normal 15 41" xfId="27486"/>
    <cellStyle name="Normal 15 42" xfId="27487"/>
    <cellStyle name="Normal 15 43" xfId="27488"/>
    <cellStyle name="Normal 15 44" xfId="27489"/>
    <cellStyle name="Normal 15 45" xfId="27490"/>
    <cellStyle name="Normal 15 46" xfId="27491"/>
    <cellStyle name="Normal 15 47" xfId="27492"/>
    <cellStyle name="Normal 15 48" xfId="27493"/>
    <cellStyle name="Normal 15 49" xfId="27494"/>
    <cellStyle name="Normal 15 5" xfId="27495"/>
    <cellStyle name="Normal 15 50" xfId="27496"/>
    <cellStyle name="Normal 15 51" xfId="27497"/>
    <cellStyle name="Normal 15 52" xfId="27498"/>
    <cellStyle name="Normal 15 53" xfId="27499"/>
    <cellStyle name="Normal 15 54" xfId="27500"/>
    <cellStyle name="Normal 15 55" xfId="27501"/>
    <cellStyle name="Normal 15 56" xfId="27502"/>
    <cellStyle name="Normal 15 57" xfId="27503"/>
    <cellStyle name="Normal 15 58" xfId="27504"/>
    <cellStyle name="Normal 15 59" xfId="27505"/>
    <cellStyle name="Normal 15 6" xfId="27506"/>
    <cellStyle name="Normal 15 60" xfId="27507"/>
    <cellStyle name="Normal 15 61" xfId="27508"/>
    <cellStyle name="Normal 15 62" xfId="27509"/>
    <cellStyle name="Normal 15 63" xfId="27510"/>
    <cellStyle name="Normal 15 64" xfId="27511"/>
    <cellStyle name="Normal 15 65" xfId="27512"/>
    <cellStyle name="Normal 15 66" xfId="27513"/>
    <cellStyle name="Normal 15 67" xfId="27514"/>
    <cellStyle name="Normal 15 68" xfId="27515"/>
    <cellStyle name="Normal 15 69" xfId="27516"/>
    <cellStyle name="Normal 15 7" xfId="27517"/>
    <cellStyle name="Normal 15 70" xfId="27518"/>
    <cellStyle name="Normal 15 71" xfId="27519"/>
    <cellStyle name="Normal 15 72" xfId="27520"/>
    <cellStyle name="Normal 15 8" xfId="27521"/>
    <cellStyle name="Normal 15 9" xfId="27522"/>
    <cellStyle name="Normal 15_maycto" xfId="27523"/>
    <cellStyle name="Normal 16" xfId="27524"/>
    <cellStyle name="Normal 16 10" xfId="27525"/>
    <cellStyle name="Normal 16 11" xfId="27526"/>
    <cellStyle name="Normal 16 12" xfId="27527"/>
    <cellStyle name="Normal 16 13" xfId="27528"/>
    <cellStyle name="Normal 16 14" xfId="27529"/>
    <cellStyle name="Normal 16 15" xfId="27530"/>
    <cellStyle name="Normal 16 16" xfId="27531"/>
    <cellStyle name="Normal 16 17" xfId="27532"/>
    <cellStyle name="Normal 16 18" xfId="27533"/>
    <cellStyle name="Normal 16 19" xfId="27534"/>
    <cellStyle name="Normal 16 2" xfId="27535"/>
    <cellStyle name="Normal 16 2 2" xfId="27536"/>
    <cellStyle name="Normal 16 20" xfId="27537"/>
    <cellStyle name="Normal 16 21" xfId="27538"/>
    <cellStyle name="Normal 16 22" xfId="27539"/>
    <cellStyle name="Normal 16 23" xfId="27540"/>
    <cellStyle name="Normal 16 24" xfId="27541"/>
    <cellStyle name="Normal 16 25" xfId="27542"/>
    <cellStyle name="Normal 16 26" xfId="27543"/>
    <cellStyle name="Normal 16 27" xfId="27544"/>
    <cellStyle name="Normal 16 28" xfId="27545"/>
    <cellStyle name="Normal 16 29" xfId="27546"/>
    <cellStyle name="Normal 16 3" xfId="27547"/>
    <cellStyle name="Normal 16 30" xfId="27548"/>
    <cellStyle name="Normal 16 31" xfId="27549"/>
    <cellStyle name="Normal 16 32" xfId="27550"/>
    <cellStyle name="Normal 16 33" xfId="27551"/>
    <cellStyle name="Normal 16 34" xfId="27552"/>
    <cellStyle name="Normal 16 35" xfId="27553"/>
    <cellStyle name="Normal 16 36" xfId="27554"/>
    <cellStyle name="Normal 16 37" xfId="27555"/>
    <cellStyle name="Normal 16 38" xfId="27556"/>
    <cellStyle name="Normal 16 39" xfId="27557"/>
    <cellStyle name="Normal 16 4" xfId="27558"/>
    <cellStyle name="Normal 16 40" xfId="27559"/>
    <cellStyle name="Normal 16 41" xfId="27560"/>
    <cellStyle name="Normal 16 42" xfId="27561"/>
    <cellStyle name="Normal 16 43" xfId="27562"/>
    <cellStyle name="Normal 16 44" xfId="27563"/>
    <cellStyle name="Normal 16 45" xfId="27564"/>
    <cellStyle name="Normal 16 46" xfId="27565"/>
    <cellStyle name="Normal 16 47" xfId="27566"/>
    <cellStyle name="Normal 16 48" xfId="27567"/>
    <cellStyle name="Normal 16 49" xfId="27568"/>
    <cellStyle name="Normal 16 5" xfId="27569"/>
    <cellStyle name="Normal 16 50" xfId="27570"/>
    <cellStyle name="Normal 16 51" xfId="27571"/>
    <cellStyle name="Normal 16 52" xfId="27572"/>
    <cellStyle name="Normal 16 53" xfId="27573"/>
    <cellStyle name="Normal 16 54" xfId="27574"/>
    <cellStyle name="Normal 16 55" xfId="27575"/>
    <cellStyle name="Normal 16 56" xfId="27576"/>
    <cellStyle name="Normal 16 57" xfId="27577"/>
    <cellStyle name="Normal 16 58" xfId="27578"/>
    <cellStyle name="Normal 16 59" xfId="27579"/>
    <cellStyle name="Normal 16 6" xfId="27580"/>
    <cellStyle name="Normal 16 60" xfId="27581"/>
    <cellStyle name="Normal 16 61" xfId="27582"/>
    <cellStyle name="Normal 16 62" xfId="27583"/>
    <cellStyle name="Normal 16 63" xfId="27584"/>
    <cellStyle name="Normal 16 64" xfId="27585"/>
    <cellStyle name="Normal 16 65" xfId="27586"/>
    <cellStyle name="Normal 16 66" xfId="27587"/>
    <cellStyle name="Normal 16 67" xfId="27588"/>
    <cellStyle name="Normal 16 68" xfId="27589"/>
    <cellStyle name="Normal 16 69" xfId="27590"/>
    <cellStyle name="Normal 16 7" xfId="27591"/>
    <cellStyle name="Normal 16 70" xfId="27592"/>
    <cellStyle name="Normal 16 71" xfId="27593"/>
    <cellStyle name="Normal 16 72" xfId="27594"/>
    <cellStyle name="Normal 16 73" xfId="27595"/>
    <cellStyle name="Normal 16 74" xfId="43076"/>
    <cellStyle name="Normal 16 8" xfId="27596"/>
    <cellStyle name="Normal 16 9" xfId="27597"/>
    <cellStyle name="Normal 163" xfId="27598"/>
    <cellStyle name="Normal 163 2" xfId="27599"/>
    <cellStyle name="Normal 163 2 2" xfId="27600"/>
    <cellStyle name="Normal 163 2 2 2" xfId="27601"/>
    <cellStyle name="Normal 163 2 2 2 2" xfId="27602"/>
    <cellStyle name="Normal 163 2 2 2 3" xfId="27603"/>
    <cellStyle name="Normal 163 2 2 3" xfId="27604"/>
    <cellStyle name="Normal 163 2 2 3 2" xfId="27605"/>
    <cellStyle name="Normal 163 2 2 3 3" xfId="27606"/>
    <cellStyle name="Normal 163 2 2 4" xfId="27607"/>
    <cellStyle name="Normal 163 2 2 5" xfId="27608"/>
    <cellStyle name="Normal 163 2 3" xfId="27609"/>
    <cellStyle name="Normal 163 2 3 2" xfId="27610"/>
    <cellStyle name="Normal 163 2 3 2 2" xfId="27611"/>
    <cellStyle name="Normal 163 2 3 2 3" xfId="27612"/>
    <cellStyle name="Normal 163 2 3 3" xfId="27613"/>
    <cellStyle name="Normal 163 2 3 3 2" xfId="27614"/>
    <cellStyle name="Normal 163 2 3 3 3" xfId="27615"/>
    <cellStyle name="Normal 163 2 3 4" xfId="27616"/>
    <cellStyle name="Normal 163 2 3 5" xfId="27617"/>
    <cellStyle name="Normal 163 2 4" xfId="27618"/>
    <cellStyle name="Normal 163 2 4 2" xfId="27619"/>
    <cellStyle name="Normal 163 2 4 3" xfId="27620"/>
    <cellStyle name="Normal 163 2 5" xfId="27621"/>
    <cellStyle name="Normal 163 2 5 2" xfId="27622"/>
    <cellStyle name="Normal 163 2 5 3" xfId="27623"/>
    <cellStyle name="Normal 163 2 6" xfId="27624"/>
    <cellStyle name="Normal 163 2 7" xfId="27625"/>
    <cellStyle name="Normal 163 3" xfId="27626"/>
    <cellStyle name="Normal 163 3 2" xfId="27627"/>
    <cellStyle name="Normal 163 3 2 2" xfId="27628"/>
    <cellStyle name="Normal 163 3 2 2 2" xfId="27629"/>
    <cellStyle name="Normal 163 3 2 2 3" xfId="27630"/>
    <cellStyle name="Normal 163 3 2 3" xfId="27631"/>
    <cellStyle name="Normal 163 3 2 3 2" xfId="27632"/>
    <cellStyle name="Normal 163 3 2 3 3" xfId="27633"/>
    <cellStyle name="Normal 163 3 2 4" xfId="27634"/>
    <cellStyle name="Normal 163 3 2 5" xfId="27635"/>
    <cellStyle name="Normal 163 3 3" xfId="27636"/>
    <cellStyle name="Normal 163 3 3 2" xfId="27637"/>
    <cellStyle name="Normal 163 3 3 2 2" xfId="27638"/>
    <cellStyle name="Normal 163 3 3 2 3" xfId="27639"/>
    <cellStyle name="Normal 163 3 3 3" xfId="27640"/>
    <cellStyle name="Normal 163 3 3 3 2" xfId="27641"/>
    <cellStyle name="Normal 163 3 3 3 3" xfId="27642"/>
    <cellStyle name="Normal 163 3 3 4" xfId="27643"/>
    <cellStyle name="Normal 163 3 3 5" xfId="27644"/>
    <cellStyle name="Normal 163 3 4" xfId="27645"/>
    <cellStyle name="Normal 163 3 4 2" xfId="27646"/>
    <cellStyle name="Normal 163 3 4 3" xfId="27647"/>
    <cellStyle name="Normal 163 3 5" xfId="27648"/>
    <cellStyle name="Normal 163 3 5 2" xfId="27649"/>
    <cellStyle name="Normal 163 3 5 3" xfId="27650"/>
    <cellStyle name="Normal 163 3 6" xfId="27651"/>
    <cellStyle name="Normal 163 3 7" xfId="27652"/>
    <cellStyle name="Normal 163 4" xfId="27653"/>
    <cellStyle name="Normal 163 4 2" xfId="27654"/>
    <cellStyle name="Normal 163 4 2 2" xfId="27655"/>
    <cellStyle name="Normal 163 4 2 3" xfId="27656"/>
    <cellStyle name="Normal 163 4 3" xfId="27657"/>
    <cellStyle name="Normal 163 4 3 2" xfId="27658"/>
    <cellStyle name="Normal 163 4 3 3" xfId="27659"/>
    <cellStyle name="Normal 163 4 4" xfId="27660"/>
    <cellStyle name="Normal 163 4 5" xfId="27661"/>
    <cellStyle name="Normal 163 5" xfId="27662"/>
    <cellStyle name="Normal 163 5 2" xfId="27663"/>
    <cellStyle name="Normal 163 5 2 2" xfId="27664"/>
    <cellStyle name="Normal 163 5 2 3" xfId="27665"/>
    <cellStyle name="Normal 163 5 3" xfId="27666"/>
    <cellStyle name="Normal 163 5 3 2" xfId="27667"/>
    <cellStyle name="Normal 163 5 3 3" xfId="27668"/>
    <cellStyle name="Normal 163 5 4" xfId="27669"/>
    <cellStyle name="Normal 163 5 5" xfId="27670"/>
    <cellStyle name="Normal 163 6" xfId="27671"/>
    <cellStyle name="Normal 163 6 2" xfId="27672"/>
    <cellStyle name="Normal 163 6 3" xfId="27673"/>
    <cellStyle name="Normal 163 7" xfId="27674"/>
    <cellStyle name="Normal 163 7 2" xfId="27675"/>
    <cellStyle name="Normal 163 7 3" xfId="27676"/>
    <cellStyle name="Normal 163 8" xfId="27677"/>
    <cellStyle name="Normal 163 9" xfId="27678"/>
    <cellStyle name="Normal 17" xfId="27679"/>
    <cellStyle name="Normal 17 10" xfId="27680"/>
    <cellStyle name="Normal 17 11" xfId="27681"/>
    <cellStyle name="Normal 17 12" xfId="27682"/>
    <cellStyle name="Normal 17 13" xfId="27683"/>
    <cellStyle name="Normal 17 14" xfId="27684"/>
    <cellStyle name="Normal 17 15" xfId="27685"/>
    <cellStyle name="Normal 17 16" xfId="27686"/>
    <cellStyle name="Normal 17 17" xfId="27687"/>
    <cellStyle name="Normal 17 18" xfId="27688"/>
    <cellStyle name="Normal 17 19" xfId="27689"/>
    <cellStyle name="Normal 17 2" xfId="27690"/>
    <cellStyle name="Normal 17 20" xfId="27691"/>
    <cellStyle name="Normal 17 21" xfId="27692"/>
    <cellStyle name="Normal 17 22" xfId="27693"/>
    <cellStyle name="Normal 17 23" xfId="27694"/>
    <cellStyle name="Normal 17 24" xfId="27695"/>
    <cellStyle name="Normal 17 25" xfId="27696"/>
    <cellStyle name="Normal 17 26" xfId="27697"/>
    <cellStyle name="Normal 17 27" xfId="27698"/>
    <cellStyle name="Normal 17 28" xfId="27699"/>
    <cellStyle name="Normal 17 29" xfId="27700"/>
    <cellStyle name="Normal 17 3" xfId="27701"/>
    <cellStyle name="Normal 17 30" xfId="27702"/>
    <cellStyle name="Normal 17 31" xfId="27703"/>
    <cellStyle name="Normal 17 32" xfId="27704"/>
    <cellStyle name="Normal 17 33" xfId="27705"/>
    <cellStyle name="Normal 17 34" xfId="27706"/>
    <cellStyle name="Normal 17 35" xfId="27707"/>
    <cellStyle name="Normal 17 36" xfId="27708"/>
    <cellStyle name="Normal 17 37" xfId="27709"/>
    <cellStyle name="Normal 17 38" xfId="27710"/>
    <cellStyle name="Normal 17 39" xfId="27711"/>
    <cellStyle name="Normal 17 4" xfId="27712"/>
    <cellStyle name="Normal 17 40" xfId="27713"/>
    <cellStyle name="Normal 17 41" xfId="27714"/>
    <cellStyle name="Normal 17 42" xfId="27715"/>
    <cellStyle name="Normal 17 43" xfId="27716"/>
    <cellStyle name="Normal 17 44" xfId="27717"/>
    <cellStyle name="Normal 17 45" xfId="27718"/>
    <cellStyle name="Normal 17 46" xfId="27719"/>
    <cellStyle name="Normal 17 47" xfId="27720"/>
    <cellStyle name="Normal 17 48" xfId="27721"/>
    <cellStyle name="Normal 17 49" xfId="27722"/>
    <cellStyle name="Normal 17 5" xfId="27723"/>
    <cellStyle name="Normal 17 50" xfId="27724"/>
    <cellStyle name="Normal 17 51" xfId="27725"/>
    <cellStyle name="Normal 17 52" xfId="27726"/>
    <cellStyle name="Normal 17 53" xfId="27727"/>
    <cellStyle name="Normal 17 54" xfId="27728"/>
    <cellStyle name="Normal 17 55" xfId="27729"/>
    <cellStyle name="Normal 17 56" xfId="27730"/>
    <cellStyle name="Normal 17 57" xfId="27731"/>
    <cellStyle name="Normal 17 58" xfId="27732"/>
    <cellStyle name="Normal 17 59" xfId="27733"/>
    <cellStyle name="Normal 17 6" xfId="27734"/>
    <cellStyle name="Normal 17 60" xfId="27735"/>
    <cellStyle name="Normal 17 61" xfId="27736"/>
    <cellStyle name="Normal 17 62" xfId="27737"/>
    <cellStyle name="Normal 17 63" xfId="27738"/>
    <cellStyle name="Normal 17 64" xfId="27739"/>
    <cellStyle name="Normal 17 65" xfId="27740"/>
    <cellStyle name="Normal 17 66" xfId="27741"/>
    <cellStyle name="Normal 17 67" xfId="27742"/>
    <cellStyle name="Normal 17 68" xfId="27743"/>
    <cellStyle name="Normal 17 69" xfId="27744"/>
    <cellStyle name="Normal 17 7" xfId="27745"/>
    <cellStyle name="Normal 17 70" xfId="27746"/>
    <cellStyle name="Normal 17 71" xfId="27747"/>
    <cellStyle name="Normal 17 72" xfId="27748"/>
    <cellStyle name="Normal 17 8" xfId="27749"/>
    <cellStyle name="Normal 17 9" xfId="27750"/>
    <cellStyle name="Normal 18" xfId="27751"/>
    <cellStyle name="Normal 18 10" xfId="27752"/>
    <cellStyle name="Normal 18 11" xfId="27753"/>
    <cellStyle name="Normal 18 12" xfId="27754"/>
    <cellStyle name="Normal 18 13" xfId="27755"/>
    <cellStyle name="Normal 18 14" xfId="27756"/>
    <cellStyle name="Normal 18 15" xfId="27757"/>
    <cellStyle name="Normal 18 16" xfId="27758"/>
    <cellStyle name="Normal 18 17" xfId="27759"/>
    <cellStyle name="Normal 18 18" xfId="27760"/>
    <cellStyle name="Normal 18 19" xfId="27761"/>
    <cellStyle name="Normal 18 2" xfId="27762"/>
    <cellStyle name="Normal 18 2 2" xfId="27763"/>
    <cellStyle name="Normal 18 20" xfId="27764"/>
    <cellStyle name="Normal 18 21" xfId="27765"/>
    <cellStyle name="Normal 18 22" xfId="27766"/>
    <cellStyle name="Normal 18 23" xfId="27767"/>
    <cellStyle name="Normal 18 24" xfId="27768"/>
    <cellStyle name="Normal 18 25" xfId="27769"/>
    <cellStyle name="Normal 18 26" xfId="27770"/>
    <cellStyle name="Normal 18 27" xfId="27771"/>
    <cellStyle name="Normal 18 28" xfId="27772"/>
    <cellStyle name="Normal 18 29" xfId="27773"/>
    <cellStyle name="Normal 18 3" xfId="27774"/>
    <cellStyle name="Normal 18 30" xfId="27775"/>
    <cellStyle name="Normal 18 31" xfId="27776"/>
    <cellStyle name="Normal 18 32" xfId="27777"/>
    <cellStyle name="Normal 18 33" xfId="27778"/>
    <cellStyle name="Normal 18 34" xfId="27779"/>
    <cellStyle name="Normal 18 35" xfId="27780"/>
    <cellStyle name="Normal 18 36" xfId="27781"/>
    <cellStyle name="Normal 18 37" xfId="27782"/>
    <cellStyle name="Normal 18 38" xfId="27783"/>
    <cellStyle name="Normal 18 39" xfId="27784"/>
    <cellStyle name="Normal 18 4" xfId="27785"/>
    <cellStyle name="Normal 18 40" xfId="27786"/>
    <cellStyle name="Normal 18 41" xfId="27787"/>
    <cellStyle name="Normal 18 42" xfId="27788"/>
    <cellStyle name="Normal 18 43" xfId="27789"/>
    <cellStyle name="Normal 18 44" xfId="27790"/>
    <cellStyle name="Normal 18 45" xfId="27791"/>
    <cellStyle name="Normal 18 46" xfId="27792"/>
    <cellStyle name="Normal 18 47" xfId="27793"/>
    <cellStyle name="Normal 18 48" xfId="27794"/>
    <cellStyle name="Normal 18 49" xfId="27795"/>
    <cellStyle name="Normal 18 5" xfId="27796"/>
    <cellStyle name="Normal 18 50" xfId="27797"/>
    <cellStyle name="Normal 18 51" xfId="27798"/>
    <cellStyle name="Normal 18 52" xfId="27799"/>
    <cellStyle name="Normal 18 53" xfId="27800"/>
    <cellStyle name="Normal 18 54" xfId="27801"/>
    <cellStyle name="Normal 18 55" xfId="27802"/>
    <cellStyle name="Normal 18 56" xfId="27803"/>
    <cellStyle name="Normal 18 57" xfId="27804"/>
    <cellStyle name="Normal 18 58" xfId="27805"/>
    <cellStyle name="Normal 18 59" xfId="27806"/>
    <cellStyle name="Normal 18 6" xfId="27807"/>
    <cellStyle name="Normal 18 60" xfId="27808"/>
    <cellStyle name="Normal 18 61" xfId="27809"/>
    <cellStyle name="Normal 18 62" xfId="27810"/>
    <cellStyle name="Normal 18 63" xfId="27811"/>
    <cellStyle name="Normal 18 64" xfId="27812"/>
    <cellStyle name="Normal 18 65" xfId="27813"/>
    <cellStyle name="Normal 18 66" xfId="27814"/>
    <cellStyle name="Normal 18 67" xfId="27815"/>
    <cellStyle name="Normal 18 68" xfId="27816"/>
    <cellStyle name="Normal 18 69" xfId="27817"/>
    <cellStyle name="Normal 18 7" xfId="27818"/>
    <cellStyle name="Normal 18 70" xfId="27819"/>
    <cellStyle name="Normal 18 71" xfId="27820"/>
    <cellStyle name="Normal 18 72" xfId="27821"/>
    <cellStyle name="Normal 18 8" xfId="27822"/>
    <cellStyle name="Normal 18 9" xfId="27823"/>
    <cellStyle name="Normal 19" xfId="27824"/>
    <cellStyle name="Normal 19 10" xfId="27825"/>
    <cellStyle name="Normal 19 11" xfId="27826"/>
    <cellStyle name="Normal 19 12" xfId="27827"/>
    <cellStyle name="Normal 19 13" xfId="27828"/>
    <cellStyle name="Normal 19 14" xfId="27829"/>
    <cellStyle name="Normal 19 15" xfId="27830"/>
    <cellStyle name="Normal 19 16" xfId="27831"/>
    <cellStyle name="Normal 19 17" xfId="27832"/>
    <cellStyle name="Normal 19 18" xfId="27833"/>
    <cellStyle name="Normal 19 19" xfId="27834"/>
    <cellStyle name="Normal 19 2" xfId="27835"/>
    <cellStyle name="Normal 19 2 2" xfId="27836"/>
    <cellStyle name="Normal 19 20" xfId="27837"/>
    <cellStyle name="Normal 19 21" xfId="27838"/>
    <cellStyle name="Normal 19 22" xfId="27839"/>
    <cellStyle name="Normal 19 23" xfId="27840"/>
    <cellStyle name="Normal 19 24" xfId="27841"/>
    <cellStyle name="Normal 19 25" xfId="27842"/>
    <cellStyle name="Normal 19 26" xfId="27843"/>
    <cellStyle name="Normal 19 27" xfId="27844"/>
    <cellStyle name="Normal 19 28" xfId="27845"/>
    <cellStyle name="Normal 19 29" xfId="27846"/>
    <cellStyle name="Normal 19 3" xfId="27847"/>
    <cellStyle name="Normal 19 30" xfId="27848"/>
    <cellStyle name="Normal 19 31" xfId="27849"/>
    <cellStyle name="Normal 19 32" xfId="27850"/>
    <cellStyle name="Normal 19 33" xfId="27851"/>
    <cellStyle name="Normal 19 34" xfId="27852"/>
    <cellStyle name="Normal 19 35" xfId="27853"/>
    <cellStyle name="Normal 19 36" xfId="27854"/>
    <cellStyle name="Normal 19 37" xfId="27855"/>
    <cellStyle name="Normal 19 38" xfId="27856"/>
    <cellStyle name="Normal 19 39" xfId="27857"/>
    <cellStyle name="Normal 19 4" xfId="27858"/>
    <cellStyle name="Normal 19 40" xfId="27859"/>
    <cellStyle name="Normal 19 41" xfId="27860"/>
    <cellStyle name="Normal 19 42" xfId="27861"/>
    <cellStyle name="Normal 19 43" xfId="27862"/>
    <cellStyle name="Normal 19 44" xfId="27863"/>
    <cellStyle name="Normal 19 45" xfId="27864"/>
    <cellStyle name="Normal 19 46" xfId="27865"/>
    <cellStyle name="Normal 19 47" xfId="27866"/>
    <cellStyle name="Normal 19 48" xfId="27867"/>
    <cellStyle name="Normal 19 49" xfId="27868"/>
    <cellStyle name="Normal 19 5" xfId="27869"/>
    <cellStyle name="Normal 19 50" xfId="27870"/>
    <cellStyle name="Normal 19 51" xfId="27871"/>
    <cellStyle name="Normal 19 52" xfId="27872"/>
    <cellStyle name="Normal 19 53" xfId="27873"/>
    <cellStyle name="Normal 19 54" xfId="27874"/>
    <cellStyle name="Normal 19 55" xfId="27875"/>
    <cellStyle name="Normal 19 56" xfId="27876"/>
    <cellStyle name="Normal 19 57" xfId="27877"/>
    <cellStyle name="Normal 19 58" xfId="27878"/>
    <cellStyle name="Normal 19 59" xfId="27879"/>
    <cellStyle name="Normal 19 6" xfId="27880"/>
    <cellStyle name="Normal 19 60" xfId="27881"/>
    <cellStyle name="Normal 19 61" xfId="27882"/>
    <cellStyle name="Normal 19 62" xfId="27883"/>
    <cellStyle name="Normal 19 63" xfId="27884"/>
    <cellStyle name="Normal 19 64" xfId="27885"/>
    <cellStyle name="Normal 19 65" xfId="27886"/>
    <cellStyle name="Normal 19 66" xfId="27887"/>
    <cellStyle name="Normal 19 67" xfId="27888"/>
    <cellStyle name="Normal 19 68" xfId="27889"/>
    <cellStyle name="Normal 19 69" xfId="27890"/>
    <cellStyle name="Normal 19 7" xfId="27891"/>
    <cellStyle name="Normal 19 70" xfId="27892"/>
    <cellStyle name="Normal 19 71" xfId="27893"/>
    <cellStyle name="Normal 19 72" xfId="27894"/>
    <cellStyle name="Normal 19 8" xfId="27895"/>
    <cellStyle name="Normal 19 9" xfId="27896"/>
    <cellStyle name="Normal 2" xfId="27897"/>
    <cellStyle name="Normal 2 10" xfId="27898"/>
    <cellStyle name="Normal 2 11" xfId="27899"/>
    <cellStyle name="Normal 2 12" xfId="27900"/>
    <cellStyle name="Normal 2 13" xfId="27901"/>
    <cellStyle name="Normal 2 14" xfId="27902"/>
    <cellStyle name="Normal 2 15" xfId="27903"/>
    <cellStyle name="Normal 2 16" xfId="27904"/>
    <cellStyle name="Normal 2 17" xfId="27905"/>
    <cellStyle name="Normal 2 18" xfId="27906"/>
    <cellStyle name="Normal 2 19" xfId="27907"/>
    <cellStyle name="Normal 2 2" xfId="27908"/>
    <cellStyle name="Normal 2 2 2" xfId="27909"/>
    <cellStyle name="Normal 2 2 2 2" xfId="27910"/>
    <cellStyle name="Normal 2 2 2 3" xfId="27911"/>
    <cellStyle name="Normal 2 2 2 4" xfId="27912"/>
    <cellStyle name="Normal 2 2 2 5" xfId="27913"/>
    <cellStyle name="Normal 2 2 2 6" xfId="27914"/>
    <cellStyle name="Normal 2 2 2 7" xfId="27915"/>
    <cellStyle name="Normal 2 2 2 8" xfId="27916"/>
    <cellStyle name="Normal 2 2 2 9" xfId="27917"/>
    <cellStyle name="Normal 2 2 3" xfId="27918"/>
    <cellStyle name="Normal 2 2 4" xfId="27919"/>
    <cellStyle name="Normal 2 2 5" xfId="27920"/>
    <cellStyle name="Normal 2 2 6" xfId="27921"/>
    <cellStyle name="Normal 2 2 7" xfId="27922"/>
    <cellStyle name="Normal 2 20" xfId="27923"/>
    <cellStyle name="Normal 2 21" xfId="27924"/>
    <cellStyle name="Normal 2 22" xfId="27925"/>
    <cellStyle name="Normal 2 23" xfId="27926"/>
    <cellStyle name="Normal 2 24" xfId="27927"/>
    <cellStyle name="Normal 2 25" xfId="27928"/>
    <cellStyle name="Normal 2 26" xfId="27929"/>
    <cellStyle name="Normal 2 27" xfId="27930"/>
    <cellStyle name="Normal 2 28" xfId="27931"/>
    <cellStyle name="Normal 2 29" xfId="27932"/>
    <cellStyle name="Normal 2 3" xfId="27933"/>
    <cellStyle name="Normal 2 3 10" xfId="27934"/>
    <cellStyle name="Normal 2 3 11" xfId="27935"/>
    <cellStyle name="Normal 2 3 12" xfId="27936"/>
    <cellStyle name="Normal 2 3 13" xfId="27937"/>
    <cellStyle name="Normal 2 3 14" xfId="27938"/>
    <cellStyle name="Normal 2 3 15" xfId="27939"/>
    <cellStyle name="Normal 2 3 16" xfId="27940"/>
    <cellStyle name="Normal 2 3 17" xfId="27941"/>
    <cellStyle name="Normal 2 3 18" xfId="27942"/>
    <cellStyle name="Normal 2 3 2" xfId="27943"/>
    <cellStyle name="Normal 2 3 3" xfId="27944"/>
    <cellStyle name="Normal 2 3 4" xfId="27945"/>
    <cellStyle name="Normal 2 3 5" xfId="27946"/>
    <cellStyle name="Normal 2 3 6" xfId="27947"/>
    <cellStyle name="Normal 2 3 7" xfId="27948"/>
    <cellStyle name="Normal 2 3 8" xfId="27949"/>
    <cellStyle name="Normal 2 3 9" xfId="27950"/>
    <cellStyle name="Normal 2 30" xfId="27951"/>
    <cellStyle name="Normal 2 31" xfId="27952"/>
    <cellStyle name="Normal 2 32" xfId="27953"/>
    <cellStyle name="Normal 2 33" xfId="27954"/>
    <cellStyle name="Normal 2 34" xfId="27955"/>
    <cellStyle name="Normal 2 35" xfId="27956"/>
    <cellStyle name="Normal 2 36" xfId="27957"/>
    <cellStyle name="Normal 2 37" xfId="27958"/>
    <cellStyle name="Normal 2 38" xfId="27959"/>
    <cellStyle name="Normal 2 39" xfId="27960"/>
    <cellStyle name="Normal 2 4" xfId="27961"/>
    <cellStyle name="Normal 2 4 2" xfId="43081"/>
    <cellStyle name="Normal 2 40" xfId="27962"/>
    <cellStyle name="Normal 2 41" xfId="27963"/>
    <cellStyle name="Normal 2 42" xfId="27964"/>
    <cellStyle name="Normal 2 43" xfId="27965"/>
    <cellStyle name="Normal 2 44" xfId="27966"/>
    <cellStyle name="Normal 2 45" xfId="27967"/>
    <cellStyle name="Normal 2 46" xfId="27968"/>
    <cellStyle name="Normal 2 47" xfId="27969"/>
    <cellStyle name="Normal 2 48" xfId="27970"/>
    <cellStyle name="Normal 2 49" xfId="27971"/>
    <cellStyle name="Normal 2 5" xfId="27972"/>
    <cellStyle name="Normal 2 5 2" xfId="43082"/>
    <cellStyle name="Normal 2 50" xfId="27973"/>
    <cellStyle name="Normal 2 51" xfId="27974"/>
    <cellStyle name="Normal 2 52" xfId="27975"/>
    <cellStyle name="Normal 2 53" xfId="27976"/>
    <cellStyle name="Normal 2 54" xfId="27977"/>
    <cellStyle name="Normal 2 55" xfId="27978"/>
    <cellStyle name="Normal 2 56" xfId="27979"/>
    <cellStyle name="Normal 2 57" xfId="27980"/>
    <cellStyle name="Normal 2 58" xfId="27981"/>
    <cellStyle name="Normal 2 59" xfId="27982"/>
    <cellStyle name="Normal 2 6" xfId="27983"/>
    <cellStyle name="Normal 2 6 2" xfId="27984"/>
    <cellStyle name="Normal 2 60" xfId="27985"/>
    <cellStyle name="Normal 2 61" xfId="27986"/>
    <cellStyle name="Normal 2 62" xfId="27987"/>
    <cellStyle name="Normal 2 63" xfId="27988"/>
    <cellStyle name="Normal 2 64" xfId="27989"/>
    <cellStyle name="Normal 2 65" xfId="27990"/>
    <cellStyle name="Normal 2 66" xfId="27991"/>
    <cellStyle name="Normal 2 67" xfId="27992"/>
    <cellStyle name="Normal 2 68" xfId="27993"/>
    <cellStyle name="Normal 2 69" xfId="27994"/>
    <cellStyle name="Normal 2 7" xfId="27995"/>
    <cellStyle name="Normal 2 70" xfId="27996"/>
    <cellStyle name="Normal 2 71" xfId="27997"/>
    <cellStyle name="Normal 2 72" xfId="27998"/>
    <cellStyle name="Normal 2 73" xfId="27999"/>
    <cellStyle name="Normal 2 73 10" xfId="28000"/>
    <cellStyle name="Normal 2 73 2" xfId="28001"/>
    <cellStyle name="Normal 2 73 2 2" xfId="28002"/>
    <cellStyle name="Normal 2 73 2 2 2" xfId="28003"/>
    <cellStyle name="Normal 2 73 2 2 2 2" xfId="28004"/>
    <cellStyle name="Normal 2 73 2 2 2 2 2" xfId="28005"/>
    <cellStyle name="Normal 2 73 2 2 2 2 3" xfId="28006"/>
    <cellStyle name="Normal 2 73 2 2 2 3" xfId="28007"/>
    <cellStyle name="Normal 2 73 2 2 2 3 2" xfId="28008"/>
    <cellStyle name="Normal 2 73 2 2 2 3 3" xfId="28009"/>
    <cellStyle name="Normal 2 73 2 2 2 4" xfId="28010"/>
    <cellStyle name="Normal 2 73 2 2 2 5" xfId="28011"/>
    <cellStyle name="Normal 2 73 2 2 3" xfId="28012"/>
    <cellStyle name="Normal 2 73 2 2 3 2" xfId="28013"/>
    <cellStyle name="Normal 2 73 2 2 3 2 2" xfId="28014"/>
    <cellStyle name="Normal 2 73 2 2 3 2 3" xfId="28015"/>
    <cellStyle name="Normal 2 73 2 2 3 3" xfId="28016"/>
    <cellStyle name="Normal 2 73 2 2 3 3 2" xfId="28017"/>
    <cellStyle name="Normal 2 73 2 2 3 3 3" xfId="28018"/>
    <cellStyle name="Normal 2 73 2 2 3 4" xfId="28019"/>
    <cellStyle name="Normal 2 73 2 2 3 5" xfId="28020"/>
    <cellStyle name="Normal 2 73 2 2 4" xfId="28021"/>
    <cellStyle name="Normal 2 73 2 2 4 2" xfId="28022"/>
    <cellStyle name="Normal 2 73 2 2 4 3" xfId="28023"/>
    <cellStyle name="Normal 2 73 2 2 5" xfId="28024"/>
    <cellStyle name="Normal 2 73 2 2 5 2" xfId="28025"/>
    <cellStyle name="Normal 2 73 2 2 5 3" xfId="28026"/>
    <cellStyle name="Normal 2 73 2 2 6" xfId="28027"/>
    <cellStyle name="Normal 2 73 2 2 7" xfId="28028"/>
    <cellStyle name="Normal 2 73 2 3" xfId="28029"/>
    <cellStyle name="Normal 2 73 2 3 2" xfId="28030"/>
    <cellStyle name="Normal 2 73 2 3 2 2" xfId="28031"/>
    <cellStyle name="Normal 2 73 2 3 2 2 2" xfId="28032"/>
    <cellStyle name="Normal 2 73 2 3 2 2 3" xfId="28033"/>
    <cellStyle name="Normal 2 73 2 3 2 3" xfId="28034"/>
    <cellStyle name="Normal 2 73 2 3 2 3 2" xfId="28035"/>
    <cellStyle name="Normal 2 73 2 3 2 3 3" xfId="28036"/>
    <cellStyle name="Normal 2 73 2 3 2 4" xfId="28037"/>
    <cellStyle name="Normal 2 73 2 3 2 5" xfId="28038"/>
    <cellStyle name="Normal 2 73 2 3 3" xfId="28039"/>
    <cellStyle name="Normal 2 73 2 3 3 2" xfId="28040"/>
    <cellStyle name="Normal 2 73 2 3 3 2 2" xfId="28041"/>
    <cellStyle name="Normal 2 73 2 3 3 2 3" xfId="28042"/>
    <cellStyle name="Normal 2 73 2 3 3 3" xfId="28043"/>
    <cellStyle name="Normal 2 73 2 3 3 3 2" xfId="28044"/>
    <cellStyle name="Normal 2 73 2 3 3 3 3" xfId="28045"/>
    <cellStyle name="Normal 2 73 2 3 3 4" xfId="28046"/>
    <cellStyle name="Normal 2 73 2 3 3 5" xfId="28047"/>
    <cellStyle name="Normal 2 73 2 3 4" xfId="28048"/>
    <cellStyle name="Normal 2 73 2 3 4 2" xfId="28049"/>
    <cellStyle name="Normal 2 73 2 3 4 3" xfId="28050"/>
    <cellStyle name="Normal 2 73 2 3 5" xfId="28051"/>
    <cellStyle name="Normal 2 73 2 3 5 2" xfId="28052"/>
    <cellStyle name="Normal 2 73 2 3 5 3" xfId="28053"/>
    <cellStyle name="Normal 2 73 2 3 6" xfId="28054"/>
    <cellStyle name="Normal 2 73 2 3 7" xfId="28055"/>
    <cellStyle name="Normal 2 73 2 4" xfId="28056"/>
    <cellStyle name="Normal 2 73 2 4 2" xfId="28057"/>
    <cellStyle name="Normal 2 73 2 4 2 2" xfId="28058"/>
    <cellStyle name="Normal 2 73 2 4 2 3" xfId="28059"/>
    <cellStyle name="Normal 2 73 2 4 3" xfId="28060"/>
    <cellStyle name="Normal 2 73 2 4 3 2" xfId="28061"/>
    <cellStyle name="Normal 2 73 2 4 3 3" xfId="28062"/>
    <cellStyle name="Normal 2 73 2 4 4" xfId="28063"/>
    <cellStyle name="Normal 2 73 2 4 5" xfId="28064"/>
    <cellStyle name="Normal 2 73 2 5" xfId="28065"/>
    <cellStyle name="Normal 2 73 2 5 2" xfId="28066"/>
    <cellStyle name="Normal 2 73 2 5 2 2" xfId="28067"/>
    <cellStyle name="Normal 2 73 2 5 2 3" xfId="28068"/>
    <cellStyle name="Normal 2 73 2 5 3" xfId="28069"/>
    <cellStyle name="Normal 2 73 2 5 3 2" xfId="28070"/>
    <cellStyle name="Normal 2 73 2 5 3 3" xfId="28071"/>
    <cellStyle name="Normal 2 73 2 5 4" xfId="28072"/>
    <cellStyle name="Normal 2 73 2 5 5" xfId="28073"/>
    <cellStyle name="Normal 2 73 2 6" xfId="28074"/>
    <cellStyle name="Normal 2 73 2 6 2" xfId="28075"/>
    <cellStyle name="Normal 2 73 2 6 3" xfId="28076"/>
    <cellStyle name="Normal 2 73 2 7" xfId="28077"/>
    <cellStyle name="Normal 2 73 2 7 2" xfId="28078"/>
    <cellStyle name="Normal 2 73 2 7 3" xfId="28079"/>
    <cellStyle name="Normal 2 73 2 8" xfId="28080"/>
    <cellStyle name="Normal 2 73 2 9" xfId="28081"/>
    <cellStyle name="Normal 2 73 3" xfId="28082"/>
    <cellStyle name="Normal 2 73 3 2" xfId="28083"/>
    <cellStyle name="Normal 2 73 3 2 2" xfId="28084"/>
    <cellStyle name="Normal 2 73 3 2 2 2" xfId="28085"/>
    <cellStyle name="Normal 2 73 3 2 2 3" xfId="28086"/>
    <cellStyle name="Normal 2 73 3 2 3" xfId="28087"/>
    <cellStyle name="Normal 2 73 3 2 3 2" xfId="28088"/>
    <cellStyle name="Normal 2 73 3 2 3 3" xfId="28089"/>
    <cellStyle name="Normal 2 73 3 2 4" xfId="28090"/>
    <cellStyle name="Normal 2 73 3 2 5" xfId="28091"/>
    <cellStyle name="Normal 2 73 3 3" xfId="28092"/>
    <cellStyle name="Normal 2 73 3 3 2" xfId="28093"/>
    <cellStyle name="Normal 2 73 3 3 2 2" xfId="28094"/>
    <cellStyle name="Normal 2 73 3 3 2 3" xfId="28095"/>
    <cellStyle name="Normal 2 73 3 3 3" xfId="28096"/>
    <cellStyle name="Normal 2 73 3 3 3 2" xfId="28097"/>
    <cellStyle name="Normal 2 73 3 3 3 3" xfId="28098"/>
    <cellStyle name="Normal 2 73 3 3 4" xfId="28099"/>
    <cellStyle name="Normal 2 73 3 3 5" xfId="28100"/>
    <cellStyle name="Normal 2 73 3 4" xfId="28101"/>
    <cellStyle name="Normal 2 73 3 4 2" xfId="28102"/>
    <cellStyle name="Normal 2 73 3 4 3" xfId="28103"/>
    <cellStyle name="Normal 2 73 3 5" xfId="28104"/>
    <cellStyle name="Normal 2 73 3 5 2" xfId="28105"/>
    <cellStyle name="Normal 2 73 3 5 3" xfId="28106"/>
    <cellStyle name="Normal 2 73 3 6" xfId="28107"/>
    <cellStyle name="Normal 2 73 3 7" xfId="28108"/>
    <cellStyle name="Normal 2 73 4" xfId="28109"/>
    <cellStyle name="Normal 2 73 4 2" xfId="28110"/>
    <cellStyle name="Normal 2 73 4 2 2" xfId="28111"/>
    <cellStyle name="Normal 2 73 4 2 2 2" xfId="28112"/>
    <cellStyle name="Normal 2 73 4 2 2 3" xfId="28113"/>
    <cellStyle name="Normal 2 73 4 2 3" xfId="28114"/>
    <cellStyle name="Normal 2 73 4 2 3 2" xfId="28115"/>
    <cellStyle name="Normal 2 73 4 2 3 3" xfId="28116"/>
    <cellStyle name="Normal 2 73 4 2 4" xfId="28117"/>
    <cellStyle name="Normal 2 73 4 2 5" xfId="28118"/>
    <cellStyle name="Normal 2 73 4 3" xfId="28119"/>
    <cellStyle name="Normal 2 73 4 3 2" xfId="28120"/>
    <cellStyle name="Normal 2 73 4 3 2 2" xfId="28121"/>
    <cellStyle name="Normal 2 73 4 3 2 3" xfId="28122"/>
    <cellStyle name="Normal 2 73 4 3 3" xfId="28123"/>
    <cellStyle name="Normal 2 73 4 3 3 2" xfId="28124"/>
    <cellStyle name="Normal 2 73 4 3 3 3" xfId="28125"/>
    <cellStyle name="Normal 2 73 4 3 4" xfId="28126"/>
    <cellStyle name="Normal 2 73 4 3 5" xfId="28127"/>
    <cellStyle name="Normal 2 73 4 4" xfId="28128"/>
    <cellStyle name="Normal 2 73 4 4 2" xfId="28129"/>
    <cellStyle name="Normal 2 73 4 4 3" xfId="28130"/>
    <cellStyle name="Normal 2 73 4 5" xfId="28131"/>
    <cellStyle name="Normal 2 73 4 5 2" xfId="28132"/>
    <cellStyle name="Normal 2 73 4 5 3" xfId="28133"/>
    <cellStyle name="Normal 2 73 4 6" xfId="28134"/>
    <cellStyle name="Normal 2 73 4 7" xfId="28135"/>
    <cellStyle name="Normal 2 73 5" xfId="28136"/>
    <cellStyle name="Normal 2 73 5 2" xfId="28137"/>
    <cellStyle name="Normal 2 73 5 2 2" xfId="28138"/>
    <cellStyle name="Normal 2 73 5 2 3" xfId="28139"/>
    <cellStyle name="Normal 2 73 5 3" xfId="28140"/>
    <cellStyle name="Normal 2 73 5 3 2" xfId="28141"/>
    <cellStyle name="Normal 2 73 5 3 3" xfId="28142"/>
    <cellStyle name="Normal 2 73 5 4" xfId="28143"/>
    <cellStyle name="Normal 2 73 5 5" xfId="28144"/>
    <cellStyle name="Normal 2 73 6" xfId="28145"/>
    <cellStyle name="Normal 2 73 6 2" xfId="28146"/>
    <cellStyle name="Normal 2 73 6 2 2" xfId="28147"/>
    <cellStyle name="Normal 2 73 6 2 3" xfId="28148"/>
    <cellStyle name="Normal 2 73 6 3" xfId="28149"/>
    <cellStyle name="Normal 2 73 6 3 2" xfId="28150"/>
    <cellStyle name="Normal 2 73 6 3 3" xfId="28151"/>
    <cellStyle name="Normal 2 73 6 4" xfId="28152"/>
    <cellStyle name="Normal 2 73 6 5" xfId="28153"/>
    <cellStyle name="Normal 2 73 7" xfId="28154"/>
    <cellStyle name="Normal 2 73 7 2" xfId="28155"/>
    <cellStyle name="Normal 2 73 7 3" xfId="28156"/>
    <cellStyle name="Normal 2 73 8" xfId="28157"/>
    <cellStyle name="Normal 2 73 8 2" xfId="28158"/>
    <cellStyle name="Normal 2 73 8 3" xfId="28159"/>
    <cellStyle name="Normal 2 73 9" xfId="28160"/>
    <cellStyle name="Normal 2 74" xfId="28161"/>
    <cellStyle name="Normal 2 74 2" xfId="28162"/>
    <cellStyle name="Normal 2 74 2 2" xfId="28163"/>
    <cellStyle name="Normal 2 74 2 2 2" xfId="28164"/>
    <cellStyle name="Normal 2 74 2 2 2 2" xfId="28165"/>
    <cellStyle name="Normal 2 74 2 2 2 3" xfId="28166"/>
    <cellStyle name="Normal 2 74 2 2 3" xfId="28167"/>
    <cellStyle name="Normal 2 74 2 2 3 2" xfId="28168"/>
    <cellStyle name="Normal 2 74 2 2 3 3" xfId="28169"/>
    <cellStyle name="Normal 2 74 2 2 4" xfId="28170"/>
    <cellStyle name="Normal 2 74 2 2 5" xfId="28171"/>
    <cellStyle name="Normal 2 74 2 3" xfId="28172"/>
    <cellStyle name="Normal 2 74 2 3 2" xfId="28173"/>
    <cellStyle name="Normal 2 74 2 3 2 2" xfId="28174"/>
    <cellStyle name="Normal 2 74 2 3 2 3" xfId="28175"/>
    <cellStyle name="Normal 2 74 2 3 3" xfId="28176"/>
    <cellStyle name="Normal 2 74 2 3 3 2" xfId="28177"/>
    <cellStyle name="Normal 2 74 2 3 3 3" xfId="28178"/>
    <cellStyle name="Normal 2 74 2 3 4" xfId="28179"/>
    <cellStyle name="Normal 2 74 2 3 5" xfId="28180"/>
    <cellStyle name="Normal 2 74 2 4" xfId="28181"/>
    <cellStyle name="Normal 2 74 2 4 2" xfId="28182"/>
    <cellStyle name="Normal 2 74 2 4 3" xfId="28183"/>
    <cellStyle name="Normal 2 74 2 5" xfId="28184"/>
    <cellStyle name="Normal 2 74 2 5 2" xfId="28185"/>
    <cellStyle name="Normal 2 74 2 5 3" xfId="28186"/>
    <cellStyle name="Normal 2 74 2 6" xfId="28187"/>
    <cellStyle name="Normal 2 74 2 7" xfId="28188"/>
    <cellStyle name="Normal 2 74 3" xfId="28189"/>
    <cellStyle name="Normal 2 74 3 2" xfId="28190"/>
    <cellStyle name="Normal 2 74 3 2 2" xfId="28191"/>
    <cellStyle name="Normal 2 74 3 2 2 2" xfId="28192"/>
    <cellStyle name="Normal 2 74 3 2 2 3" xfId="28193"/>
    <cellStyle name="Normal 2 74 3 2 3" xfId="28194"/>
    <cellStyle name="Normal 2 74 3 2 3 2" xfId="28195"/>
    <cellStyle name="Normal 2 74 3 2 3 3" xfId="28196"/>
    <cellStyle name="Normal 2 74 3 2 4" xfId="28197"/>
    <cellStyle name="Normal 2 74 3 2 5" xfId="28198"/>
    <cellStyle name="Normal 2 74 3 3" xfId="28199"/>
    <cellStyle name="Normal 2 74 3 3 2" xfId="28200"/>
    <cellStyle name="Normal 2 74 3 3 2 2" xfId="28201"/>
    <cellStyle name="Normal 2 74 3 3 2 3" xfId="28202"/>
    <cellStyle name="Normal 2 74 3 3 3" xfId="28203"/>
    <cellStyle name="Normal 2 74 3 3 3 2" xfId="28204"/>
    <cellStyle name="Normal 2 74 3 3 3 3" xfId="28205"/>
    <cellStyle name="Normal 2 74 3 3 4" xfId="28206"/>
    <cellStyle name="Normal 2 74 3 3 5" xfId="28207"/>
    <cellStyle name="Normal 2 74 3 4" xfId="28208"/>
    <cellStyle name="Normal 2 74 3 4 2" xfId="28209"/>
    <cellStyle name="Normal 2 74 3 4 3" xfId="28210"/>
    <cellStyle name="Normal 2 74 3 5" xfId="28211"/>
    <cellStyle name="Normal 2 74 3 5 2" xfId="28212"/>
    <cellStyle name="Normal 2 74 3 5 3" xfId="28213"/>
    <cellStyle name="Normal 2 74 3 6" xfId="28214"/>
    <cellStyle name="Normal 2 74 3 7" xfId="28215"/>
    <cellStyle name="Normal 2 74 4" xfId="28216"/>
    <cellStyle name="Normal 2 74 4 2" xfId="28217"/>
    <cellStyle name="Normal 2 74 4 2 2" xfId="28218"/>
    <cellStyle name="Normal 2 74 4 2 3" xfId="28219"/>
    <cellStyle name="Normal 2 74 4 3" xfId="28220"/>
    <cellStyle name="Normal 2 74 4 3 2" xfId="28221"/>
    <cellStyle name="Normal 2 74 4 3 3" xfId="28222"/>
    <cellStyle name="Normal 2 74 4 4" xfId="28223"/>
    <cellStyle name="Normal 2 74 4 5" xfId="28224"/>
    <cellStyle name="Normal 2 74 5" xfId="28225"/>
    <cellStyle name="Normal 2 74 5 2" xfId="28226"/>
    <cellStyle name="Normal 2 74 5 2 2" xfId="28227"/>
    <cellStyle name="Normal 2 74 5 2 3" xfId="28228"/>
    <cellStyle name="Normal 2 74 5 3" xfId="28229"/>
    <cellStyle name="Normal 2 74 5 3 2" xfId="28230"/>
    <cellStyle name="Normal 2 74 5 3 3" xfId="28231"/>
    <cellStyle name="Normal 2 74 5 4" xfId="28232"/>
    <cellStyle name="Normal 2 74 5 5" xfId="28233"/>
    <cellStyle name="Normal 2 74 6" xfId="28234"/>
    <cellStyle name="Normal 2 74 6 2" xfId="28235"/>
    <cellStyle name="Normal 2 74 6 3" xfId="28236"/>
    <cellStyle name="Normal 2 74 7" xfId="28237"/>
    <cellStyle name="Normal 2 74 7 2" xfId="28238"/>
    <cellStyle name="Normal 2 74 7 3" xfId="28239"/>
    <cellStyle name="Normal 2 74 8" xfId="28240"/>
    <cellStyle name="Normal 2 74 9" xfId="28241"/>
    <cellStyle name="Normal 2 75" xfId="28242"/>
    <cellStyle name="Normal 2 75 2" xfId="28243"/>
    <cellStyle name="Normal 2 75 2 2" xfId="28244"/>
    <cellStyle name="Normal 2 75 2 2 2" xfId="28245"/>
    <cellStyle name="Normal 2 75 2 2 2 2" xfId="28246"/>
    <cellStyle name="Normal 2 75 2 2 2 3" xfId="28247"/>
    <cellStyle name="Normal 2 75 2 2 3" xfId="28248"/>
    <cellStyle name="Normal 2 75 2 2 3 2" xfId="28249"/>
    <cellStyle name="Normal 2 75 2 2 3 3" xfId="28250"/>
    <cellStyle name="Normal 2 75 2 2 4" xfId="28251"/>
    <cellStyle name="Normal 2 75 2 2 5" xfId="28252"/>
    <cellStyle name="Normal 2 75 2 3" xfId="28253"/>
    <cellStyle name="Normal 2 75 2 3 2" xfId="28254"/>
    <cellStyle name="Normal 2 75 2 3 2 2" xfId="28255"/>
    <cellStyle name="Normal 2 75 2 3 2 3" xfId="28256"/>
    <cellStyle name="Normal 2 75 2 3 3" xfId="28257"/>
    <cellStyle name="Normal 2 75 2 3 3 2" xfId="28258"/>
    <cellStyle name="Normal 2 75 2 3 3 3" xfId="28259"/>
    <cellStyle name="Normal 2 75 2 3 4" xfId="28260"/>
    <cellStyle name="Normal 2 75 2 3 5" xfId="28261"/>
    <cellStyle name="Normal 2 75 2 4" xfId="28262"/>
    <cellStyle name="Normal 2 75 2 4 2" xfId="28263"/>
    <cellStyle name="Normal 2 75 2 4 3" xfId="28264"/>
    <cellStyle name="Normal 2 75 2 5" xfId="28265"/>
    <cellStyle name="Normal 2 75 2 5 2" xfId="28266"/>
    <cellStyle name="Normal 2 75 2 5 3" xfId="28267"/>
    <cellStyle name="Normal 2 75 2 6" xfId="28268"/>
    <cellStyle name="Normal 2 75 2 7" xfId="28269"/>
    <cellStyle name="Normal 2 75 3" xfId="28270"/>
    <cellStyle name="Normal 2 75 3 2" xfId="28271"/>
    <cellStyle name="Normal 2 75 3 2 2" xfId="28272"/>
    <cellStyle name="Normal 2 75 3 2 2 2" xfId="28273"/>
    <cellStyle name="Normal 2 75 3 2 2 3" xfId="28274"/>
    <cellStyle name="Normal 2 75 3 2 3" xfId="28275"/>
    <cellStyle name="Normal 2 75 3 2 3 2" xfId="28276"/>
    <cellStyle name="Normal 2 75 3 2 3 3" xfId="28277"/>
    <cellStyle name="Normal 2 75 3 2 4" xfId="28278"/>
    <cellStyle name="Normal 2 75 3 2 5" xfId="28279"/>
    <cellStyle name="Normal 2 75 3 3" xfId="28280"/>
    <cellStyle name="Normal 2 75 3 3 2" xfId="28281"/>
    <cellStyle name="Normal 2 75 3 3 2 2" xfId="28282"/>
    <cellStyle name="Normal 2 75 3 3 2 3" xfId="28283"/>
    <cellStyle name="Normal 2 75 3 3 3" xfId="28284"/>
    <cellStyle name="Normal 2 75 3 3 3 2" xfId="28285"/>
    <cellStyle name="Normal 2 75 3 3 3 3" xfId="28286"/>
    <cellStyle name="Normal 2 75 3 3 4" xfId="28287"/>
    <cellStyle name="Normal 2 75 3 3 5" xfId="28288"/>
    <cellStyle name="Normal 2 75 3 4" xfId="28289"/>
    <cellStyle name="Normal 2 75 3 4 2" xfId="28290"/>
    <cellStyle name="Normal 2 75 3 4 3" xfId="28291"/>
    <cellStyle name="Normal 2 75 3 5" xfId="28292"/>
    <cellStyle name="Normal 2 75 3 5 2" xfId="28293"/>
    <cellStyle name="Normal 2 75 3 5 3" xfId="28294"/>
    <cellStyle name="Normal 2 75 3 6" xfId="28295"/>
    <cellStyle name="Normal 2 75 3 7" xfId="28296"/>
    <cellStyle name="Normal 2 75 4" xfId="28297"/>
    <cellStyle name="Normal 2 75 4 2" xfId="28298"/>
    <cellStyle name="Normal 2 75 4 2 2" xfId="28299"/>
    <cellStyle name="Normal 2 75 4 2 3" xfId="28300"/>
    <cellStyle name="Normal 2 75 4 3" xfId="28301"/>
    <cellStyle name="Normal 2 75 4 3 2" xfId="28302"/>
    <cellStyle name="Normal 2 75 4 3 3" xfId="28303"/>
    <cellStyle name="Normal 2 75 4 4" xfId="28304"/>
    <cellStyle name="Normal 2 75 4 5" xfId="28305"/>
    <cellStyle name="Normal 2 75 5" xfId="28306"/>
    <cellStyle name="Normal 2 75 5 2" xfId="28307"/>
    <cellStyle name="Normal 2 75 5 2 2" xfId="28308"/>
    <cellStyle name="Normal 2 75 5 2 3" xfId="28309"/>
    <cellStyle name="Normal 2 75 5 3" xfId="28310"/>
    <cellStyle name="Normal 2 75 5 3 2" xfId="28311"/>
    <cellStyle name="Normal 2 75 5 3 3" xfId="28312"/>
    <cellStyle name="Normal 2 75 5 4" xfId="28313"/>
    <cellStyle name="Normal 2 75 5 5" xfId="28314"/>
    <cellStyle name="Normal 2 75 6" xfId="28315"/>
    <cellStyle name="Normal 2 75 6 2" xfId="28316"/>
    <cellStyle name="Normal 2 75 6 3" xfId="28317"/>
    <cellStyle name="Normal 2 75 7" xfId="28318"/>
    <cellStyle name="Normal 2 75 7 2" xfId="28319"/>
    <cellStyle name="Normal 2 75 7 3" xfId="28320"/>
    <cellStyle name="Normal 2 75 8" xfId="28321"/>
    <cellStyle name="Normal 2 75 9" xfId="28322"/>
    <cellStyle name="Normal 2 8" xfId="28323"/>
    <cellStyle name="Normal 2 9" xfId="28324"/>
    <cellStyle name="Normal 2_2011 January Forecast Feb 11 copy" xfId="28325"/>
    <cellStyle name="Normal 20" xfId="28326"/>
    <cellStyle name="Normal 20 2" xfId="28327"/>
    <cellStyle name="Normal 20 2 2" xfId="28328"/>
    <cellStyle name="Normal 20 3" xfId="28329"/>
    <cellStyle name="Normal 20 4" xfId="43083"/>
    <cellStyle name="Normal 21" xfId="28330"/>
    <cellStyle name="Normal 21 2" xfId="28331"/>
    <cellStyle name="Normal 21 2 2" xfId="28332"/>
    <cellStyle name="Normal 21 3" xfId="28333"/>
    <cellStyle name="Normal 21 4" xfId="42935"/>
    <cellStyle name="Normal 21 5" xfId="43084"/>
    <cellStyle name="Normal 22" xfId="28334"/>
    <cellStyle name="Normal 22 2" xfId="28335"/>
    <cellStyle name="Normal 22 2 2" xfId="28336"/>
    <cellStyle name="Normal 22 2 3" xfId="28337"/>
    <cellStyle name="Normal 22 3" xfId="28338"/>
    <cellStyle name="Normal 22 4" xfId="28339"/>
    <cellStyle name="Normal 22 5" xfId="42937"/>
    <cellStyle name="Normal 22 6" xfId="43085"/>
    <cellStyle name="Normal 23" xfId="28340"/>
    <cellStyle name="Normal 23 2" xfId="28341"/>
    <cellStyle name="Normal 23 2 2" xfId="28342"/>
    <cellStyle name="Normal 23 2 3" xfId="28343"/>
    <cellStyle name="Normal 23 3" xfId="28344"/>
    <cellStyle name="Normal 23 4" xfId="28345"/>
    <cellStyle name="Normal 23 5" xfId="42936"/>
    <cellStyle name="Normal 24" xfId="28346"/>
    <cellStyle name="Normal 24 2" xfId="28347"/>
    <cellStyle name="Normal 24 2 2" xfId="28348"/>
    <cellStyle name="Normal 24 3" xfId="28349"/>
    <cellStyle name="Normal 25" xfId="28350"/>
    <cellStyle name="Normal 25 2" xfId="28351"/>
    <cellStyle name="Normal 25 2 2" xfId="28352"/>
    <cellStyle name="Normal 25 3" xfId="28353"/>
    <cellStyle name="Normal 26" xfId="28354"/>
    <cellStyle name="Normal 26 2" xfId="28355"/>
    <cellStyle name="Normal 26 2 2" xfId="28356"/>
    <cellStyle name="Normal 26 3" xfId="28357"/>
    <cellStyle name="Normal 27" xfId="28358"/>
    <cellStyle name="Normal 27 2" xfId="28359"/>
    <cellStyle name="Normal 27 2 2" xfId="28360"/>
    <cellStyle name="Normal 27 3" xfId="28361"/>
    <cellStyle name="Normal 28" xfId="28362"/>
    <cellStyle name="Normal 28 2" xfId="28363"/>
    <cellStyle name="Normal 28 2 2" xfId="28364"/>
    <cellStyle name="Normal 28 3" xfId="28365"/>
    <cellStyle name="Normal 29" xfId="28366"/>
    <cellStyle name="Normal 29 2" xfId="28367"/>
    <cellStyle name="Normal 29 2 2" xfId="28368"/>
    <cellStyle name="Normal 29 3" xfId="28369"/>
    <cellStyle name="Normal 3" xfId="28370"/>
    <cellStyle name="Normal 3 10" xfId="28371"/>
    <cellStyle name="Normal 3 11" xfId="28372"/>
    <cellStyle name="Normal 3 12" xfId="28373"/>
    <cellStyle name="Normal 3 13" xfId="28374"/>
    <cellStyle name="Normal 3 14" xfId="28375"/>
    <cellStyle name="Normal 3 15" xfId="28376"/>
    <cellStyle name="Normal 3 16" xfId="28377"/>
    <cellStyle name="Normal 3 17" xfId="28378"/>
    <cellStyle name="Normal 3 18" xfId="28379"/>
    <cellStyle name="Normal 3 19" xfId="28380"/>
    <cellStyle name="Normal 3 2" xfId="28381"/>
    <cellStyle name="Normal 3 2 2" xfId="28382"/>
    <cellStyle name="Normal 3 2 3" xfId="43087"/>
    <cellStyle name="Normal 3 20" xfId="28383"/>
    <cellStyle name="Normal 3 21" xfId="28384"/>
    <cellStyle name="Normal 3 22" xfId="28385"/>
    <cellStyle name="Normal 3 23" xfId="28386"/>
    <cellStyle name="Normal 3 24" xfId="28387"/>
    <cellStyle name="Normal 3 25" xfId="28388"/>
    <cellStyle name="Normal 3 26" xfId="28389"/>
    <cellStyle name="Normal 3 27" xfId="28390"/>
    <cellStyle name="Normal 3 28" xfId="28391"/>
    <cellStyle name="Normal 3 29" xfId="28392"/>
    <cellStyle name="Normal 3 3" xfId="28393"/>
    <cellStyle name="Normal 3 3 2" xfId="43088"/>
    <cellStyle name="Normal 3 3 4 2 2" xfId="42872"/>
    <cellStyle name="Normal 3 30" xfId="28394"/>
    <cellStyle name="Normal 3 31" xfId="28395"/>
    <cellStyle name="Normal 3 32" xfId="28396"/>
    <cellStyle name="Normal 3 33" xfId="28397"/>
    <cellStyle name="Normal 3 34" xfId="28398"/>
    <cellStyle name="Normal 3 35" xfId="28399"/>
    <cellStyle name="Normal 3 36" xfId="28400"/>
    <cellStyle name="Normal 3 37" xfId="28401"/>
    <cellStyle name="Normal 3 38" xfId="28402"/>
    <cellStyle name="Normal 3 39" xfId="28403"/>
    <cellStyle name="Normal 3 4" xfId="28404"/>
    <cellStyle name="Normal 3 40" xfId="28405"/>
    <cellStyle name="Normal 3 41" xfId="28406"/>
    <cellStyle name="Normal 3 42" xfId="28407"/>
    <cellStyle name="Normal 3 43" xfId="28408"/>
    <cellStyle name="Normal 3 44" xfId="28409"/>
    <cellStyle name="Normal 3 45" xfId="28410"/>
    <cellStyle name="Normal 3 46" xfId="28411"/>
    <cellStyle name="Normal 3 47" xfId="28412"/>
    <cellStyle name="Normal 3 48" xfId="28413"/>
    <cellStyle name="Normal 3 49" xfId="28414"/>
    <cellStyle name="Normal 3 5" xfId="28415"/>
    <cellStyle name="Normal 3 50" xfId="28416"/>
    <cellStyle name="Normal 3 51" xfId="28417"/>
    <cellStyle name="Normal 3 52" xfId="28418"/>
    <cellStyle name="Normal 3 53" xfId="28419"/>
    <cellStyle name="Normal 3 54" xfId="28420"/>
    <cellStyle name="Normal 3 55" xfId="28421"/>
    <cellStyle name="Normal 3 56" xfId="28422"/>
    <cellStyle name="Normal 3 57" xfId="28423"/>
    <cellStyle name="Normal 3 58" xfId="28424"/>
    <cellStyle name="Normal 3 59" xfId="28425"/>
    <cellStyle name="Normal 3 6" xfId="28426"/>
    <cellStyle name="Normal 3 60" xfId="28427"/>
    <cellStyle name="Normal 3 61" xfId="28428"/>
    <cellStyle name="Normal 3 62" xfId="28429"/>
    <cellStyle name="Normal 3 63" xfId="28430"/>
    <cellStyle name="Normal 3 64" xfId="28431"/>
    <cellStyle name="Normal 3 65" xfId="28432"/>
    <cellStyle name="Normal 3 66" xfId="28433"/>
    <cellStyle name="Normal 3 67" xfId="28434"/>
    <cellStyle name="Normal 3 68" xfId="28435"/>
    <cellStyle name="Normal 3 69" xfId="28436"/>
    <cellStyle name="Normal 3 7" xfId="28437"/>
    <cellStyle name="Normal 3 7 2 2" xfId="42873"/>
    <cellStyle name="Normal 3 70" xfId="28438"/>
    <cellStyle name="Normal 3 71" xfId="28439"/>
    <cellStyle name="Normal 3 72" xfId="28440"/>
    <cellStyle name="Normal 3 73" xfId="28441"/>
    <cellStyle name="Normal 3 73 2" xfId="28442"/>
    <cellStyle name="Normal 3 74" xfId="42871"/>
    <cellStyle name="Normal 3 8" xfId="28443"/>
    <cellStyle name="Normal 3 9" xfId="28444"/>
    <cellStyle name="Normal 30" xfId="28445"/>
    <cellStyle name="Normal 30 10" xfId="28446"/>
    <cellStyle name="Normal 30 11" xfId="28447"/>
    <cellStyle name="Normal 30 2" xfId="28448"/>
    <cellStyle name="Normal 30 2 2" xfId="28449"/>
    <cellStyle name="Normal 30 2 2 2" xfId="28450"/>
    <cellStyle name="Normal 30 2 2 2 2" xfId="28451"/>
    <cellStyle name="Normal 30 2 2 2 2 2" xfId="28452"/>
    <cellStyle name="Normal 30 2 2 2 2 3" xfId="28453"/>
    <cellStyle name="Normal 30 2 2 2 3" xfId="28454"/>
    <cellStyle name="Normal 30 2 2 2 3 2" xfId="28455"/>
    <cellStyle name="Normal 30 2 2 2 3 3" xfId="28456"/>
    <cellStyle name="Normal 30 2 2 2 4" xfId="28457"/>
    <cellStyle name="Normal 30 2 2 2 5" xfId="28458"/>
    <cellStyle name="Normal 30 2 2 3" xfId="28459"/>
    <cellStyle name="Normal 30 2 2 3 2" xfId="28460"/>
    <cellStyle name="Normal 30 2 2 3 2 2" xfId="28461"/>
    <cellStyle name="Normal 30 2 2 3 2 3" xfId="28462"/>
    <cellStyle name="Normal 30 2 2 3 3" xfId="28463"/>
    <cellStyle name="Normal 30 2 2 3 3 2" xfId="28464"/>
    <cellStyle name="Normal 30 2 2 3 3 3" xfId="28465"/>
    <cellStyle name="Normal 30 2 2 3 4" xfId="28466"/>
    <cellStyle name="Normal 30 2 2 3 5" xfId="28467"/>
    <cellStyle name="Normal 30 2 2 4" xfId="28468"/>
    <cellStyle name="Normal 30 2 2 4 2" xfId="28469"/>
    <cellStyle name="Normal 30 2 2 4 3" xfId="28470"/>
    <cellStyle name="Normal 30 2 2 5" xfId="28471"/>
    <cellStyle name="Normal 30 2 2 5 2" xfId="28472"/>
    <cellStyle name="Normal 30 2 2 5 3" xfId="28473"/>
    <cellStyle name="Normal 30 2 2 6" xfId="28474"/>
    <cellStyle name="Normal 30 2 2 7" xfId="28475"/>
    <cellStyle name="Normal 30 2 3" xfId="28476"/>
    <cellStyle name="Normal 30 2 3 2" xfId="28477"/>
    <cellStyle name="Normal 30 2 3 2 2" xfId="28478"/>
    <cellStyle name="Normal 30 2 3 2 2 2" xfId="28479"/>
    <cellStyle name="Normal 30 2 3 2 2 3" xfId="28480"/>
    <cellStyle name="Normal 30 2 3 2 3" xfId="28481"/>
    <cellStyle name="Normal 30 2 3 2 3 2" xfId="28482"/>
    <cellStyle name="Normal 30 2 3 2 3 3" xfId="28483"/>
    <cellStyle name="Normal 30 2 3 2 4" xfId="28484"/>
    <cellStyle name="Normal 30 2 3 2 5" xfId="28485"/>
    <cellStyle name="Normal 30 2 3 3" xfId="28486"/>
    <cellStyle name="Normal 30 2 3 3 2" xfId="28487"/>
    <cellStyle name="Normal 30 2 3 3 2 2" xfId="28488"/>
    <cellStyle name="Normal 30 2 3 3 2 3" xfId="28489"/>
    <cellStyle name="Normal 30 2 3 3 3" xfId="28490"/>
    <cellStyle name="Normal 30 2 3 3 3 2" xfId="28491"/>
    <cellStyle name="Normal 30 2 3 3 3 3" xfId="28492"/>
    <cellStyle name="Normal 30 2 3 3 4" xfId="28493"/>
    <cellStyle name="Normal 30 2 3 3 5" xfId="28494"/>
    <cellStyle name="Normal 30 2 3 4" xfId="28495"/>
    <cellStyle name="Normal 30 2 3 4 2" xfId="28496"/>
    <cellStyle name="Normal 30 2 3 4 3" xfId="28497"/>
    <cellStyle name="Normal 30 2 3 5" xfId="28498"/>
    <cellStyle name="Normal 30 2 3 5 2" xfId="28499"/>
    <cellStyle name="Normal 30 2 3 5 3" xfId="28500"/>
    <cellStyle name="Normal 30 2 3 6" xfId="28501"/>
    <cellStyle name="Normal 30 2 3 7" xfId="28502"/>
    <cellStyle name="Normal 30 2 4" xfId="28503"/>
    <cellStyle name="Normal 30 2 4 2" xfId="28504"/>
    <cellStyle name="Normal 30 2 4 2 2" xfId="28505"/>
    <cellStyle name="Normal 30 2 4 2 3" xfId="28506"/>
    <cellStyle name="Normal 30 2 4 3" xfId="28507"/>
    <cellStyle name="Normal 30 2 4 3 2" xfId="28508"/>
    <cellStyle name="Normal 30 2 4 3 3" xfId="28509"/>
    <cellStyle name="Normal 30 2 4 4" xfId="28510"/>
    <cellStyle name="Normal 30 2 4 5" xfId="28511"/>
    <cellStyle name="Normal 30 2 5" xfId="28512"/>
    <cellStyle name="Normal 30 2 5 2" xfId="28513"/>
    <cellStyle name="Normal 30 2 5 2 2" xfId="28514"/>
    <cellStyle name="Normal 30 2 5 2 3" xfId="28515"/>
    <cellStyle name="Normal 30 2 5 3" xfId="28516"/>
    <cellStyle name="Normal 30 2 5 3 2" xfId="28517"/>
    <cellStyle name="Normal 30 2 5 3 3" xfId="28518"/>
    <cellStyle name="Normal 30 2 5 4" xfId="28519"/>
    <cellStyle name="Normal 30 2 5 5" xfId="28520"/>
    <cellStyle name="Normal 30 2 6" xfId="28521"/>
    <cellStyle name="Normal 30 2 6 2" xfId="28522"/>
    <cellStyle name="Normal 30 2 6 3" xfId="28523"/>
    <cellStyle name="Normal 30 2 7" xfId="28524"/>
    <cellStyle name="Normal 30 2 7 2" xfId="28525"/>
    <cellStyle name="Normal 30 2 7 3" xfId="28526"/>
    <cellStyle name="Normal 30 2 8" xfId="28527"/>
    <cellStyle name="Normal 30 2 9" xfId="28528"/>
    <cellStyle name="Normal 30 3" xfId="28529"/>
    <cellStyle name="Normal 30 3 2" xfId="28530"/>
    <cellStyle name="Normal 30 3 2 2" xfId="28531"/>
    <cellStyle name="Normal 30 3 2 2 2" xfId="28532"/>
    <cellStyle name="Normal 30 3 2 2 2 2" xfId="28533"/>
    <cellStyle name="Normal 30 3 2 2 2 3" xfId="28534"/>
    <cellStyle name="Normal 30 3 2 2 3" xfId="28535"/>
    <cellStyle name="Normal 30 3 2 2 3 2" xfId="28536"/>
    <cellStyle name="Normal 30 3 2 2 3 3" xfId="28537"/>
    <cellStyle name="Normal 30 3 2 2 4" xfId="28538"/>
    <cellStyle name="Normal 30 3 2 2 5" xfId="28539"/>
    <cellStyle name="Normal 30 3 2 3" xfId="28540"/>
    <cellStyle name="Normal 30 3 2 3 2" xfId="28541"/>
    <cellStyle name="Normal 30 3 2 3 2 2" xfId="28542"/>
    <cellStyle name="Normal 30 3 2 3 2 3" xfId="28543"/>
    <cellStyle name="Normal 30 3 2 3 3" xfId="28544"/>
    <cellStyle name="Normal 30 3 2 3 3 2" xfId="28545"/>
    <cellStyle name="Normal 30 3 2 3 3 3" xfId="28546"/>
    <cellStyle name="Normal 30 3 2 3 4" xfId="28547"/>
    <cellStyle name="Normal 30 3 2 3 5" xfId="28548"/>
    <cellStyle name="Normal 30 3 2 4" xfId="28549"/>
    <cellStyle name="Normal 30 3 2 4 2" xfId="28550"/>
    <cellStyle name="Normal 30 3 2 4 3" xfId="28551"/>
    <cellStyle name="Normal 30 3 2 5" xfId="28552"/>
    <cellStyle name="Normal 30 3 2 5 2" xfId="28553"/>
    <cellStyle name="Normal 30 3 2 5 3" xfId="28554"/>
    <cellStyle name="Normal 30 3 2 6" xfId="28555"/>
    <cellStyle name="Normal 30 3 2 7" xfId="28556"/>
    <cellStyle name="Normal 30 3 3" xfId="28557"/>
    <cellStyle name="Normal 30 3 3 2" xfId="28558"/>
    <cellStyle name="Normal 30 3 3 2 2" xfId="28559"/>
    <cellStyle name="Normal 30 3 3 2 2 2" xfId="28560"/>
    <cellStyle name="Normal 30 3 3 2 2 3" xfId="28561"/>
    <cellStyle name="Normal 30 3 3 2 3" xfId="28562"/>
    <cellStyle name="Normal 30 3 3 2 3 2" xfId="28563"/>
    <cellStyle name="Normal 30 3 3 2 3 3" xfId="28564"/>
    <cellStyle name="Normal 30 3 3 2 4" xfId="28565"/>
    <cellStyle name="Normal 30 3 3 2 5" xfId="28566"/>
    <cellStyle name="Normal 30 3 3 3" xfId="28567"/>
    <cellStyle name="Normal 30 3 3 3 2" xfId="28568"/>
    <cellStyle name="Normal 30 3 3 3 2 2" xfId="28569"/>
    <cellStyle name="Normal 30 3 3 3 2 3" xfId="28570"/>
    <cellStyle name="Normal 30 3 3 3 3" xfId="28571"/>
    <cellStyle name="Normal 30 3 3 3 3 2" xfId="28572"/>
    <cellStyle name="Normal 30 3 3 3 3 3" xfId="28573"/>
    <cellStyle name="Normal 30 3 3 3 4" xfId="28574"/>
    <cellStyle name="Normal 30 3 3 3 5" xfId="28575"/>
    <cellStyle name="Normal 30 3 3 4" xfId="28576"/>
    <cellStyle name="Normal 30 3 3 4 2" xfId="28577"/>
    <cellStyle name="Normal 30 3 3 4 3" xfId="28578"/>
    <cellStyle name="Normal 30 3 3 5" xfId="28579"/>
    <cellStyle name="Normal 30 3 3 5 2" xfId="28580"/>
    <cellStyle name="Normal 30 3 3 5 3" xfId="28581"/>
    <cellStyle name="Normal 30 3 3 6" xfId="28582"/>
    <cellStyle name="Normal 30 3 3 7" xfId="28583"/>
    <cellStyle name="Normal 30 3 4" xfId="28584"/>
    <cellStyle name="Normal 30 3 4 2" xfId="28585"/>
    <cellStyle name="Normal 30 3 4 2 2" xfId="28586"/>
    <cellStyle name="Normal 30 3 4 2 3" xfId="28587"/>
    <cellStyle name="Normal 30 3 4 3" xfId="28588"/>
    <cellStyle name="Normal 30 3 4 3 2" xfId="28589"/>
    <cellStyle name="Normal 30 3 4 3 3" xfId="28590"/>
    <cellStyle name="Normal 30 3 4 4" xfId="28591"/>
    <cellStyle name="Normal 30 3 4 5" xfId="28592"/>
    <cellStyle name="Normal 30 3 5" xfId="28593"/>
    <cellStyle name="Normal 30 3 5 2" xfId="28594"/>
    <cellStyle name="Normal 30 3 5 2 2" xfId="28595"/>
    <cellStyle name="Normal 30 3 5 2 3" xfId="28596"/>
    <cellStyle name="Normal 30 3 5 3" xfId="28597"/>
    <cellStyle name="Normal 30 3 5 3 2" xfId="28598"/>
    <cellStyle name="Normal 30 3 5 3 3" xfId="28599"/>
    <cellStyle name="Normal 30 3 5 4" xfId="28600"/>
    <cellStyle name="Normal 30 3 5 5" xfId="28601"/>
    <cellStyle name="Normal 30 3 6" xfId="28602"/>
    <cellStyle name="Normal 30 3 6 2" xfId="28603"/>
    <cellStyle name="Normal 30 3 6 3" xfId="28604"/>
    <cellStyle name="Normal 30 3 7" xfId="28605"/>
    <cellStyle name="Normal 30 3 7 2" xfId="28606"/>
    <cellStyle name="Normal 30 3 7 3" xfId="28607"/>
    <cellStyle name="Normal 30 3 8" xfId="28608"/>
    <cellStyle name="Normal 30 3 9" xfId="28609"/>
    <cellStyle name="Normal 30 4" xfId="28610"/>
    <cellStyle name="Normal 30 4 2" xfId="28611"/>
    <cellStyle name="Normal 30 4 2 2" xfId="28612"/>
    <cellStyle name="Normal 30 4 2 2 2" xfId="28613"/>
    <cellStyle name="Normal 30 4 2 2 3" xfId="28614"/>
    <cellStyle name="Normal 30 4 2 3" xfId="28615"/>
    <cellStyle name="Normal 30 4 2 3 2" xfId="28616"/>
    <cellStyle name="Normal 30 4 2 3 3" xfId="28617"/>
    <cellStyle name="Normal 30 4 2 4" xfId="28618"/>
    <cellStyle name="Normal 30 4 2 5" xfId="28619"/>
    <cellStyle name="Normal 30 4 3" xfId="28620"/>
    <cellStyle name="Normal 30 4 3 2" xfId="28621"/>
    <cellStyle name="Normal 30 4 3 2 2" xfId="28622"/>
    <cellStyle name="Normal 30 4 3 2 3" xfId="28623"/>
    <cellStyle name="Normal 30 4 3 3" xfId="28624"/>
    <cellStyle name="Normal 30 4 3 3 2" xfId="28625"/>
    <cellStyle name="Normal 30 4 3 3 3" xfId="28626"/>
    <cellStyle name="Normal 30 4 3 4" xfId="28627"/>
    <cellStyle name="Normal 30 4 3 5" xfId="28628"/>
    <cellStyle name="Normal 30 4 4" xfId="28629"/>
    <cellStyle name="Normal 30 4 4 2" xfId="28630"/>
    <cellStyle name="Normal 30 4 4 3" xfId="28631"/>
    <cellStyle name="Normal 30 4 5" xfId="28632"/>
    <cellStyle name="Normal 30 4 5 2" xfId="28633"/>
    <cellStyle name="Normal 30 4 5 3" xfId="28634"/>
    <cellStyle name="Normal 30 4 6" xfId="28635"/>
    <cellStyle name="Normal 30 4 7" xfId="28636"/>
    <cellStyle name="Normal 30 5" xfId="28637"/>
    <cellStyle name="Normal 30 5 2" xfId="28638"/>
    <cellStyle name="Normal 30 5 2 2" xfId="28639"/>
    <cellStyle name="Normal 30 5 2 2 2" xfId="28640"/>
    <cellStyle name="Normal 30 5 2 2 3" xfId="28641"/>
    <cellStyle name="Normal 30 5 2 3" xfId="28642"/>
    <cellStyle name="Normal 30 5 2 3 2" xfId="28643"/>
    <cellStyle name="Normal 30 5 2 3 3" xfId="28644"/>
    <cellStyle name="Normal 30 5 2 4" xfId="28645"/>
    <cellStyle name="Normal 30 5 2 5" xfId="28646"/>
    <cellStyle name="Normal 30 5 3" xfId="28647"/>
    <cellStyle name="Normal 30 5 3 2" xfId="28648"/>
    <cellStyle name="Normal 30 5 3 2 2" xfId="28649"/>
    <cellStyle name="Normal 30 5 3 2 3" xfId="28650"/>
    <cellStyle name="Normal 30 5 3 3" xfId="28651"/>
    <cellStyle name="Normal 30 5 3 3 2" xfId="28652"/>
    <cellStyle name="Normal 30 5 3 3 3" xfId="28653"/>
    <cellStyle name="Normal 30 5 3 4" xfId="28654"/>
    <cellStyle name="Normal 30 5 3 5" xfId="28655"/>
    <cellStyle name="Normal 30 5 4" xfId="28656"/>
    <cellStyle name="Normal 30 5 4 2" xfId="28657"/>
    <cellStyle name="Normal 30 5 4 3" xfId="28658"/>
    <cellStyle name="Normal 30 5 5" xfId="28659"/>
    <cellStyle name="Normal 30 5 5 2" xfId="28660"/>
    <cellStyle name="Normal 30 5 5 3" xfId="28661"/>
    <cellStyle name="Normal 30 5 6" xfId="28662"/>
    <cellStyle name="Normal 30 5 7" xfId="28663"/>
    <cellStyle name="Normal 30 6" xfId="28664"/>
    <cellStyle name="Normal 30 6 2" xfId="28665"/>
    <cellStyle name="Normal 30 6 2 2" xfId="28666"/>
    <cellStyle name="Normal 30 6 2 3" xfId="28667"/>
    <cellStyle name="Normal 30 6 3" xfId="28668"/>
    <cellStyle name="Normal 30 6 3 2" xfId="28669"/>
    <cellStyle name="Normal 30 6 3 3" xfId="28670"/>
    <cellStyle name="Normal 30 6 4" xfId="28671"/>
    <cellStyle name="Normal 30 6 5" xfId="28672"/>
    <cellStyle name="Normal 30 7" xfId="28673"/>
    <cellStyle name="Normal 30 7 2" xfId="28674"/>
    <cellStyle name="Normal 30 7 2 2" xfId="28675"/>
    <cellStyle name="Normal 30 7 2 3" xfId="28676"/>
    <cellStyle name="Normal 30 7 3" xfId="28677"/>
    <cellStyle name="Normal 30 7 3 2" xfId="28678"/>
    <cellStyle name="Normal 30 7 3 3" xfId="28679"/>
    <cellStyle name="Normal 30 7 4" xfId="28680"/>
    <cellStyle name="Normal 30 7 5" xfId="28681"/>
    <cellStyle name="Normal 30 8" xfId="28682"/>
    <cellStyle name="Normal 30 8 2" xfId="28683"/>
    <cellStyle name="Normal 30 8 3" xfId="28684"/>
    <cellStyle name="Normal 30 9" xfId="28685"/>
    <cellStyle name="Normal 30 9 2" xfId="28686"/>
    <cellStyle name="Normal 30 9 3" xfId="28687"/>
    <cellStyle name="Normal 31" xfId="28688"/>
    <cellStyle name="Normal 31 2" xfId="28689"/>
    <cellStyle name="Normal 31 2 2" xfId="28690"/>
    <cellStyle name="Normal 31 3" xfId="28691"/>
    <cellStyle name="Normal 32" xfId="28692"/>
    <cellStyle name="Normal 32 2" xfId="28693"/>
    <cellStyle name="Normal 32 2 2" xfId="28694"/>
    <cellStyle name="Normal 32 3" xfId="28695"/>
    <cellStyle name="Normal 33" xfId="28696"/>
    <cellStyle name="Normal 33 2" xfId="28697"/>
    <cellStyle name="Normal 33 2 2" xfId="28698"/>
    <cellStyle name="Normal 33 3" xfId="28699"/>
    <cellStyle name="Normal 34" xfId="28700"/>
    <cellStyle name="Normal 34 2" xfId="28701"/>
    <cellStyle name="Normal 35" xfId="28702"/>
    <cellStyle name="Normal 35 2" xfId="28703"/>
    <cellStyle name="Normal 36" xfId="28704"/>
    <cellStyle name="Normal 36 2" xfId="28705"/>
    <cellStyle name="Normal 37" xfId="28706"/>
    <cellStyle name="Normal 37 2" xfId="28707"/>
    <cellStyle name="Normal 38" xfId="28708"/>
    <cellStyle name="Normal 38 10" xfId="28709"/>
    <cellStyle name="Normal 38 11" xfId="28710"/>
    <cellStyle name="Normal 38 2" xfId="28711"/>
    <cellStyle name="Normal 38 2 2" xfId="28712"/>
    <cellStyle name="Normal 38 2 2 2" xfId="28713"/>
    <cellStyle name="Normal 38 2 2 2 2" xfId="28714"/>
    <cellStyle name="Normal 38 2 2 2 2 2" xfId="28715"/>
    <cellStyle name="Normal 38 2 2 2 2 3" xfId="28716"/>
    <cellStyle name="Normal 38 2 2 2 3" xfId="28717"/>
    <cellStyle name="Normal 38 2 2 2 3 2" xfId="28718"/>
    <cellStyle name="Normal 38 2 2 2 3 3" xfId="28719"/>
    <cellStyle name="Normal 38 2 2 2 4" xfId="28720"/>
    <cellStyle name="Normal 38 2 2 2 5" xfId="28721"/>
    <cellStyle name="Normal 38 2 2 3" xfId="28722"/>
    <cellStyle name="Normal 38 2 2 3 2" xfId="28723"/>
    <cellStyle name="Normal 38 2 2 3 2 2" xfId="28724"/>
    <cellStyle name="Normal 38 2 2 3 2 3" xfId="28725"/>
    <cellStyle name="Normal 38 2 2 3 3" xfId="28726"/>
    <cellStyle name="Normal 38 2 2 3 3 2" xfId="28727"/>
    <cellStyle name="Normal 38 2 2 3 3 3" xfId="28728"/>
    <cellStyle name="Normal 38 2 2 3 4" xfId="28729"/>
    <cellStyle name="Normal 38 2 2 3 5" xfId="28730"/>
    <cellStyle name="Normal 38 2 2 4" xfId="28731"/>
    <cellStyle name="Normal 38 2 2 4 2" xfId="28732"/>
    <cellStyle name="Normal 38 2 2 4 3" xfId="28733"/>
    <cellStyle name="Normal 38 2 2 5" xfId="28734"/>
    <cellStyle name="Normal 38 2 2 5 2" xfId="28735"/>
    <cellStyle name="Normal 38 2 2 5 3" xfId="28736"/>
    <cellStyle name="Normal 38 2 2 6" xfId="28737"/>
    <cellStyle name="Normal 38 2 2 7" xfId="28738"/>
    <cellStyle name="Normal 38 2 3" xfId="28739"/>
    <cellStyle name="Normal 38 2 3 2" xfId="28740"/>
    <cellStyle name="Normal 38 2 3 2 2" xfId="28741"/>
    <cellStyle name="Normal 38 2 3 2 2 2" xfId="28742"/>
    <cellStyle name="Normal 38 2 3 2 2 3" xfId="28743"/>
    <cellStyle name="Normal 38 2 3 2 3" xfId="28744"/>
    <cellStyle name="Normal 38 2 3 2 3 2" xfId="28745"/>
    <cellStyle name="Normal 38 2 3 2 3 3" xfId="28746"/>
    <cellStyle name="Normal 38 2 3 2 4" xfId="28747"/>
    <cellStyle name="Normal 38 2 3 2 5" xfId="28748"/>
    <cellStyle name="Normal 38 2 3 3" xfId="28749"/>
    <cellStyle name="Normal 38 2 3 3 2" xfId="28750"/>
    <cellStyle name="Normal 38 2 3 3 2 2" xfId="28751"/>
    <cellStyle name="Normal 38 2 3 3 2 3" xfId="28752"/>
    <cellStyle name="Normal 38 2 3 3 3" xfId="28753"/>
    <cellStyle name="Normal 38 2 3 3 3 2" xfId="28754"/>
    <cellStyle name="Normal 38 2 3 3 3 3" xfId="28755"/>
    <cellStyle name="Normal 38 2 3 3 4" xfId="28756"/>
    <cellStyle name="Normal 38 2 3 3 5" xfId="28757"/>
    <cellStyle name="Normal 38 2 3 4" xfId="28758"/>
    <cellStyle name="Normal 38 2 3 4 2" xfId="28759"/>
    <cellStyle name="Normal 38 2 3 4 3" xfId="28760"/>
    <cellStyle name="Normal 38 2 3 5" xfId="28761"/>
    <cellStyle name="Normal 38 2 3 5 2" xfId="28762"/>
    <cellStyle name="Normal 38 2 3 5 3" xfId="28763"/>
    <cellStyle name="Normal 38 2 3 6" xfId="28764"/>
    <cellStyle name="Normal 38 2 3 7" xfId="28765"/>
    <cellStyle name="Normal 38 2 4" xfId="28766"/>
    <cellStyle name="Normal 38 2 4 2" xfId="28767"/>
    <cellStyle name="Normal 38 2 4 2 2" xfId="28768"/>
    <cellStyle name="Normal 38 2 4 2 3" xfId="28769"/>
    <cellStyle name="Normal 38 2 4 3" xfId="28770"/>
    <cellStyle name="Normal 38 2 4 3 2" xfId="28771"/>
    <cellStyle name="Normal 38 2 4 3 3" xfId="28772"/>
    <cellStyle name="Normal 38 2 4 4" xfId="28773"/>
    <cellStyle name="Normal 38 2 4 5" xfId="28774"/>
    <cellStyle name="Normal 38 2 5" xfId="28775"/>
    <cellStyle name="Normal 38 2 5 2" xfId="28776"/>
    <cellStyle name="Normal 38 2 5 2 2" xfId="28777"/>
    <cellStyle name="Normal 38 2 5 2 3" xfId="28778"/>
    <cellStyle name="Normal 38 2 5 3" xfId="28779"/>
    <cellStyle name="Normal 38 2 5 3 2" xfId="28780"/>
    <cellStyle name="Normal 38 2 5 3 3" xfId="28781"/>
    <cellStyle name="Normal 38 2 5 4" xfId="28782"/>
    <cellStyle name="Normal 38 2 5 5" xfId="28783"/>
    <cellStyle name="Normal 38 2 6" xfId="28784"/>
    <cellStyle name="Normal 38 2 6 2" xfId="28785"/>
    <cellStyle name="Normal 38 2 6 3" xfId="28786"/>
    <cellStyle name="Normal 38 2 7" xfId="28787"/>
    <cellStyle name="Normal 38 2 7 2" xfId="28788"/>
    <cellStyle name="Normal 38 2 7 3" xfId="28789"/>
    <cellStyle name="Normal 38 2 8" xfId="28790"/>
    <cellStyle name="Normal 38 2 9" xfId="28791"/>
    <cellStyle name="Normal 38 3" xfId="28792"/>
    <cellStyle name="Normal 38 3 2" xfId="28793"/>
    <cellStyle name="Normal 38 3 2 2" xfId="28794"/>
    <cellStyle name="Normal 38 3 2 2 2" xfId="28795"/>
    <cellStyle name="Normal 38 3 2 2 2 2" xfId="28796"/>
    <cellStyle name="Normal 38 3 2 2 2 3" xfId="28797"/>
    <cellStyle name="Normal 38 3 2 2 3" xfId="28798"/>
    <cellStyle name="Normal 38 3 2 2 3 2" xfId="28799"/>
    <cellStyle name="Normal 38 3 2 2 3 3" xfId="28800"/>
    <cellStyle name="Normal 38 3 2 2 4" xfId="28801"/>
    <cellStyle name="Normal 38 3 2 2 5" xfId="28802"/>
    <cellStyle name="Normal 38 3 2 3" xfId="28803"/>
    <cellStyle name="Normal 38 3 2 3 2" xfId="28804"/>
    <cellStyle name="Normal 38 3 2 3 2 2" xfId="28805"/>
    <cellStyle name="Normal 38 3 2 3 2 3" xfId="28806"/>
    <cellStyle name="Normal 38 3 2 3 3" xfId="28807"/>
    <cellStyle name="Normal 38 3 2 3 3 2" xfId="28808"/>
    <cellStyle name="Normal 38 3 2 3 3 3" xfId="28809"/>
    <cellStyle name="Normal 38 3 2 3 4" xfId="28810"/>
    <cellStyle name="Normal 38 3 2 3 5" xfId="28811"/>
    <cellStyle name="Normal 38 3 2 4" xfId="28812"/>
    <cellStyle name="Normal 38 3 2 4 2" xfId="28813"/>
    <cellStyle name="Normal 38 3 2 4 3" xfId="28814"/>
    <cellStyle name="Normal 38 3 2 5" xfId="28815"/>
    <cellStyle name="Normal 38 3 2 5 2" xfId="28816"/>
    <cellStyle name="Normal 38 3 2 5 3" xfId="28817"/>
    <cellStyle name="Normal 38 3 2 6" xfId="28818"/>
    <cellStyle name="Normal 38 3 2 7" xfId="28819"/>
    <cellStyle name="Normal 38 3 3" xfId="28820"/>
    <cellStyle name="Normal 38 3 3 2" xfId="28821"/>
    <cellStyle name="Normal 38 3 3 2 2" xfId="28822"/>
    <cellStyle name="Normal 38 3 3 2 2 2" xfId="28823"/>
    <cellStyle name="Normal 38 3 3 2 2 3" xfId="28824"/>
    <cellStyle name="Normal 38 3 3 2 3" xfId="28825"/>
    <cellStyle name="Normal 38 3 3 2 3 2" xfId="28826"/>
    <cellStyle name="Normal 38 3 3 2 3 3" xfId="28827"/>
    <cellStyle name="Normal 38 3 3 2 4" xfId="28828"/>
    <cellStyle name="Normal 38 3 3 2 5" xfId="28829"/>
    <cellStyle name="Normal 38 3 3 3" xfId="28830"/>
    <cellStyle name="Normal 38 3 3 3 2" xfId="28831"/>
    <cellStyle name="Normal 38 3 3 3 2 2" xfId="28832"/>
    <cellStyle name="Normal 38 3 3 3 2 3" xfId="28833"/>
    <cellStyle name="Normal 38 3 3 3 3" xfId="28834"/>
    <cellStyle name="Normal 38 3 3 3 3 2" xfId="28835"/>
    <cellStyle name="Normal 38 3 3 3 3 3" xfId="28836"/>
    <cellStyle name="Normal 38 3 3 3 4" xfId="28837"/>
    <cellStyle name="Normal 38 3 3 3 5" xfId="28838"/>
    <cellStyle name="Normal 38 3 3 4" xfId="28839"/>
    <cellStyle name="Normal 38 3 3 4 2" xfId="28840"/>
    <cellStyle name="Normal 38 3 3 4 3" xfId="28841"/>
    <cellStyle name="Normal 38 3 3 5" xfId="28842"/>
    <cellStyle name="Normal 38 3 3 5 2" xfId="28843"/>
    <cellStyle name="Normal 38 3 3 5 3" xfId="28844"/>
    <cellStyle name="Normal 38 3 3 6" xfId="28845"/>
    <cellStyle name="Normal 38 3 3 7" xfId="28846"/>
    <cellStyle name="Normal 38 3 4" xfId="28847"/>
    <cellStyle name="Normal 38 3 4 2" xfId="28848"/>
    <cellStyle name="Normal 38 3 4 2 2" xfId="28849"/>
    <cellStyle name="Normal 38 3 4 2 3" xfId="28850"/>
    <cellStyle name="Normal 38 3 4 3" xfId="28851"/>
    <cellStyle name="Normal 38 3 4 3 2" xfId="28852"/>
    <cellStyle name="Normal 38 3 4 3 3" xfId="28853"/>
    <cellStyle name="Normal 38 3 4 4" xfId="28854"/>
    <cellStyle name="Normal 38 3 4 5" xfId="28855"/>
    <cellStyle name="Normal 38 3 5" xfId="28856"/>
    <cellStyle name="Normal 38 3 5 2" xfId="28857"/>
    <cellStyle name="Normal 38 3 5 2 2" xfId="28858"/>
    <cellStyle name="Normal 38 3 5 2 3" xfId="28859"/>
    <cellStyle name="Normal 38 3 5 3" xfId="28860"/>
    <cellStyle name="Normal 38 3 5 3 2" xfId="28861"/>
    <cellStyle name="Normal 38 3 5 3 3" xfId="28862"/>
    <cellStyle name="Normal 38 3 5 4" xfId="28863"/>
    <cellStyle name="Normal 38 3 5 5" xfId="28864"/>
    <cellStyle name="Normal 38 3 6" xfId="28865"/>
    <cellStyle name="Normal 38 3 6 2" xfId="28866"/>
    <cellStyle name="Normal 38 3 6 3" xfId="28867"/>
    <cellStyle name="Normal 38 3 7" xfId="28868"/>
    <cellStyle name="Normal 38 3 7 2" xfId="28869"/>
    <cellStyle name="Normal 38 3 7 3" xfId="28870"/>
    <cellStyle name="Normal 38 3 8" xfId="28871"/>
    <cellStyle name="Normal 38 3 9" xfId="28872"/>
    <cellStyle name="Normal 38 4" xfId="28873"/>
    <cellStyle name="Normal 38 4 2" xfId="28874"/>
    <cellStyle name="Normal 38 4 2 2" xfId="28875"/>
    <cellStyle name="Normal 38 4 2 2 2" xfId="28876"/>
    <cellStyle name="Normal 38 4 2 2 3" xfId="28877"/>
    <cellStyle name="Normal 38 4 2 3" xfId="28878"/>
    <cellStyle name="Normal 38 4 2 3 2" xfId="28879"/>
    <cellStyle name="Normal 38 4 2 3 3" xfId="28880"/>
    <cellStyle name="Normal 38 4 2 4" xfId="28881"/>
    <cellStyle name="Normal 38 4 2 5" xfId="28882"/>
    <cellStyle name="Normal 38 4 3" xfId="28883"/>
    <cellStyle name="Normal 38 4 3 2" xfId="28884"/>
    <cellStyle name="Normal 38 4 3 2 2" xfId="28885"/>
    <cellStyle name="Normal 38 4 3 2 3" xfId="28886"/>
    <cellStyle name="Normal 38 4 3 3" xfId="28887"/>
    <cellStyle name="Normal 38 4 3 3 2" xfId="28888"/>
    <cellStyle name="Normal 38 4 3 3 3" xfId="28889"/>
    <cellStyle name="Normal 38 4 3 4" xfId="28890"/>
    <cellStyle name="Normal 38 4 3 5" xfId="28891"/>
    <cellStyle name="Normal 38 4 4" xfId="28892"/>
    <cellStyle name="Normal 38 4 4 2" xfId="28893"/>
    <cellStyle name="Normal 38 4 4 3" xfId="28894"/>
    <cellStyle name="Normal 38 4 5" xfId="28895"/>
    <cellStyle name="Normal 38 4 5 2" xfId="28896"/>
    <cellStyle name="Normal 38 4 5 3" xfId="28897"/>
    <cellStyle name="Normal 38 4 6" xfId="28898"/>
    <cellStyle name="Normal 38 4 7" xfId="28899"/>
    <cellStyle name="Normal 38 5" xfId="28900"/>
    <cellStyle name="Normal 38 5 2" xfId="28901"/>
    <cellStyle name="Normal 38 5 2 2" xfId="28902"/>
    <cellStyle name="Normal 38 5 2 2 2" xfId="28903"/>
    <cellStyle name="Normal 38 5 2 2 3" xfId="28904"/>
    <cellStyle name="Normal 38 5 2 3" xfId="28905"/>
    <cellStyle name="Normal 38 5 2 3 2" xfId="28906"/>
    <cellStyle name="Normal 38 5 2 3 3" xfId="28907"/>
    <cellStyle name="Normal 38 5 2 4" xfId="28908"/>
    <cellStyle name="Normal 38 5 2 5" xfId="28909"/>
    <cellStyle name="Normal 38 5 3" xfId="28910"/>
    <cellStyle name="Normal 38 5 3 2" xfId="28911"/>
    <cellStyle name="Normal 38 5 3 2 2" xfId="28912"/>
    <cellStyle name="Normal 38 5 3 2 3" xfId="28913"/>
    <cellStyle name="Normal 38 5 3 3" xfId="28914"/>
    <cellStyle name="Normal 38 5 3 3 2" xfId="28915"/>
    <cellStyle name="Normal 38 5 3 3 3" xfId="28916"/>
    <cellStyle name="Normal 38 5 3 4" xfId="28917"/>
    <cellStyle name="Normal 38 5 3 5" xfId="28918"/>
    <cellStyle name="Normal 38 5 4" xfId="28919"/>
    <cellStyle name="Normal 38 5 4 2" xfId="28920"/>
    <cellStyle name="Normal 38 5 4 3" xfId="28921"/>
    <cellStyle name="Normal 38 5 5" xfId="28922"/>
    <cellStyle name="Normal 38 5 5 2" xfId="28923"/>
    <cellStyle name="Normal 38 5 5 3" xfId="28924"/>
    <cellStyle name="Normal 38 5 6" xfId="28925"/>
    <cellStyle name="Normal 38 5 7" xfId="28926"/>
    <cellStyle name="Normal 38 6" xfId="28927"/>
    <cellStyle name="Normal 38 6 2" xfId="28928"/>
    <cellStyle name="Normal 38 6 2 2" xfId="28929"/>
    <cellStyle name="Normal 38 6 2 3" xfId="28930"/>
    <cellStyle name="Normal 38 6 3" xfId="28931"/>
    <cellStyle name="Normal 38 6 3 2" xfId="28932"/>
    <cellStyle name="Normal 38 6 3 3" xfId="28933"/>
    <cellStyle name="Normal 38 6 4" xfId="28934"/>
    <cellStyle name="Normal 38 6 5" xfId="28935"/>
    <cellStyle name="Normal 38 7" xfId="28936"/>
    <cellStyle name="Normal 38 7 2" xfId="28937"/>
    <cellStyle name="Normal 38 7 2 2" xfId="28938"/>
    <cellStyle name="Normal 38 7 2 3" xfId="28939"/>
    <cellStyle name="Normal 38 7 3" xfId="28940"/>
    <cellStyle name="Normal 38 7 3 2" xfId="28941"/>
    <cellStyle name="Normal 38 7 3 3" xfId="28942"/>
    <cellStyle name="Normal 38 7 4" xfId="28943"/>
    <cellStyle name="Normal 38 7 5" xfId="28944"/>
    <cellStyle name="Normal 38 8" xfId="28945"/>
    <cellStyle name="Normal 38 8 2" xfId="28946"/>
    <cellStyle name="Normal 38 8 3" xfId="28947"/>
    <cellStyle name="Normal 38 9" xfId="28948"/>
    <cellStyle name="Normal 38 9 2" xfId="28949"/>
    <cellStyle name="Normal 38 9 3" xfId="28950"/>
    <cellStyle name="Normal 39" xfId="28951"/>
    <cellStyle name="Normal 39 2" xfId="28952"/>
    <cellStyle name="Normal 39 2 2" xfId="28953"/>
    <cellStyle name="Normal 39 2 2 2" xfId="28954"/>
    <cellStyle name="Normal 39 2 2 2 2" xfId="28955"/>
    <cellStyle name="Normal 39 2 2 2 2 2" xfId="28956"/>
    <cellStyle name="Normal 39 2 2 2 2 3" xfId="28957"/>
    <cellStyle name="Normal 39 2 2 2 3" xfId="28958"/>
    <cellStyle name="Normal 39 2 2 2 3 2" xfId="28959"/>
    <cellStyle name="Normal 39 2 2 2 3 3" xfId="28960"/>
    <cellStyle name="Normal 39 2 2 2 4" xfId="28961"/>
    <cellStyle name="Normal 39 2 2 2 5" xfId="28962"/>
    <cellStyle name="Normal 39 2 2 3" xfId="28963"/>
    <cellStyle name="Normal 39 2 2 3 2" xfId="28964"/>
    <cellStyle name="Normal 39 2 2 3 2 2" xfId="28965"/>
    <cellStyle name="Normal 39 2 2 3 2 3" xfId="28966"/>
    <cellStyle name="Normal 39 2 2 3 3" xfId="28967"/>
    <cellStyle name="Normal 39 2 2 3 3 2" xfId="28968"/>
    <cellStyle name="Normal 39 2 2 3 3 3" xfId="28969"/>
    <cellStyle name="Normal 39 2 2 3 4" xfId="28970"/>
    <cellStyle name="Normal 39 2 2 3 5" xfId="28971"/>
    <cellStyle name="Normal 39 2 2 4" xfId="28972"/>
    <cellStyle name="Normal 39 2 2 4 2" xfId="28973"/>
    <cellStyle name="Normal 39 2 2 4 3" xfId="28974"/>
    <cellStyle name="Normal 39 2 2 5" xfId="28975"/>
    <cellStyle name="Normal 39 2 2 5 2" xfId="28976"/>
    <cellStyle name="Normal 39 2 2 5 3" xfId="28977"/>
    <cellStyle name="Normal 39 2 2 6" xfId="28978"/>
    <cellStyle name="Normal 39 2 2 7" xfId="28979"/>
    <cellStyle name="Normal 39 2 3" xfId="28980"/>
    <cellStyle name="Normal 39 2 3 2" xfId="28981"/>
    <cellStyle name="Normal 39 2 3 2 2" xfId="28982"/>
    <cellStyle name="Normal 39 2 3 2 2 2" xfId="28983"/>
    <cellStyle name="Normal 39 2 3 2 2 3" xfId="28984"/>
    <cellStyle name="Normal 39 2 3 2 3" xfId="28985"/>
    <cellStyle name="Normal 39 2 3 2 3 2" xfId="28986"/>
    <cellStyle name="Normal 39 2 3 2 3 3" xfId="28987"/>
    <cellStyle name="Normal 39 2 3 2 4" xfId="28988"/>
    <cellStyle name="Normal 39 2 3 2 5" xfId="28989"/>
    <cellStyle name="Normal 39 2 3 3" xfId="28990"/>
    <cellStyle name="Normal 39 2 3 3 2" xfId="28991"/>
    <cellStyle name="Normal 39 2 3 3 2 2" xfId="28992"/>
    <cellStyle name="Normal 39 2 3 3 2 3" xfId="28993"/>
    <cellStyle name="Normal 39 2 3 3 3" xfId="28994"/>
    <cellStyle name="Normal 39 2 3 3 3 2" xfId="28995"/>
    <cellStyle name="Normal 39 2 3 3 3 3" xfId="28996"/>
    <cellStyle name="Normal 39 2 3 3 4" xfId="28997"/>
    <cellStyle name="Normal 39 2 3 3 5" xfId="28998"/>
    <cellStyle name="Normal 39 2 3 4" xfId="28999"/>
    <cellStyle name="Normal 39 2 3 4 2" xfId="29000"/>
    <cellStyle name="Normal 39 2 3 4 3" xfId="29001"/>
    <cellStyle name="Normal 39 2 3 5" xfId="29002"/>
    <cellStyle name="Normal 39 2 3 5 2" xfId="29003"/>
    <cellStyle name="Normal 39 2 3 5 3" xfId="29004"/>
    <cellStyle name="Normal 39 2 3 6" xfId="29005"/>
    <cellStyle name="Normal 39 2 3 7" xfId="29006"/>
    <cellStyle name="Normal 39 2 4" xfId="29007"/>
    <cellStyle name="Normal 39 2 4 2" xfId="29008"/>
    <cellStyle name="Normal 39 2 4 2 2" xfId="29009"/>
    <cellStyle name="Normal 39 2 4 2 3" xfId="29010"/>
    <cellStyle name="Normal 39 2 4 3" xfId="29011"/>
    <cellStyle name="Normal 39 2 4 3 2" xfId="29012"/>
    <cellStyle name="Normal 39 2 4 3 3" xfId="29013"/>
    <cellStyle name="Normal 39 2 4 4" xfId="29014"/>
    <cellStyle name="Normal 39 2 4 5" xfId="29015"/>
    <cellStyle name="Normal 39 2 5" xfId="29016"/>
    <cellStyle name="Normal 39 2 5 2" xfId="29017"/>
    <cellStyle name="Normal 39 2 5 2 2" xfId="29018"/>
    <cellStyle name="Normal 39 2 5 2 3" xfId="29019"/>
    <cellStyle name="Normal 39 2 5 3" xfId="29020"/>
    <cellStyle name="Normal 39 2 5 3 2" xfId="29021"/>
    <cellStyle name="Normal 39 2 5 3 3" xfId="29022"/>
    <cellStyle name="Normal 39 2 5 4" xfId="29023"/>
    <cellStyle name="Normal 39 2 5 5" xfId="29024"/>
    <cellStyle name="Normal 39 2 6" xfId="29025"/>
    <cellStyle name="Normal 39 2 6 2" xfId="29026"/>
    <cellStyle name="Normal 39 2 6 3" xfId="29027"/>
    <cellStyle name="Normal 39 2 7" xfId="29028"/>
    <cellStyle name="Normal 39 2 7 2" xfId="29029"/>
    <cellStyle name="Normal 39 2 7 3" xfId="29030"/>
    <cellStyle name="Normal 39 2 8" xfId="29031"/>
    <cellStyle name="Normal 39 2 9" xfId="29032"/>
    <cellStyle name="Normal 39 3" xfId="29033"/>
    <cellStyle name="Normal 39 3 2" xfId="29034"/>
    <cellStyle name="Normal 39 3 2 2" xfId="29035"/>
    <cellStyle name="Normal 39 3 2 2 2" xfId="29036"/>
    <cellStyle name="Normal 39 3 2 2 2 2" xfId="29037"/>
    <cellStyle name="Normal 39 3 2 2 2 3" xfId="29038"/>
    <cellStyle name="Normal 39 3 2 2 3" xfId="29039"/>
    <cellStyle name="Normal 39 3 2 2 3 2" xfId="29040"/>
    <cellStyle name="Normal 39 3 2 2 3 3" xfId="29041"/>
    <cellStyle name="Normal 39 3 2 2 4" xfId="29042"/>
    <cellStyle name="Normal 39 3 2 2 5" xfId="29043"/>
    <cellStyle name="Normal 39 3 2 3" xfId="29044"/>
    <cellStyle name="Normal 39 3 2 3 2" xfId="29045"/>
    <cellStyle name="Normal 39 3 2 3 2 2" xfId="29046"/>
    <cellStyle name="Normal 39 3 2 3 2 3" xfId="29047"/>
    <cellStyle name="Normal 39 3 2 3 3" xfId="29048"/>
    <cellStyle name="Normal 39 3 2 3 3 2" xfId="29049"/>
    <cellStyle name="Normal 39 3 2 3 3 3" xfId="29050"/>
    <cellStyle name="Normal 39 3 2 3 4" xfId="29051"/>
    <cellStyle name="Normal 39 3 2 3 5" xfId="29052"/>
    <cellStyle name="Normal 39 3 2 4" xfId="29053"/>
    <cellStyle name="Normal 39 3 2 4 2" xfId="29054"/>
    <cellStyle name="Normal 39 3 2 4 3" xfId="29055"/>
    <cellStyle name="Normal 39 3 2 5" xfId="29056"/>
    <cellStyle name="Normal 39 3 2 5 2" xfId="29057"/>
    <cellStyle name="Normal 39 3 2 5 3" xfId="29058"/>
    <cellStyle name="Normal 39 3 2 6" xfId="29059"/>
    <cellStyle name="Normal 39 3 2 7" xfId="29060"/>
    <cellStyle name="Normal 39 3 3" xfId="29061"/>
    <cellStyle name="Normal 39 3 3 2" xfId="29062"/>
    <cellStyle name="Normal 39 3 3 2 2" xfId="29063"/>
    <cellStyle name="Normal 39 3 3 2 2 2" xfId="29064"/>
    <cellStyle name="Normal 39 3 3 2 2 3" xfId="29065"/>
    <cellStyle name="Normal 39 3 3 2 3" xfId="29066"/>
    <cellStyle name="Normal 39 3 3 2 3 2" xfId="29067"/>
    <cellStyle name="Normal 39 3 3 2 3 3" xfId="29068"/>
    <cellStyle name="Normal 39 3 3 2 4" xfId="29069"/>
    <cellStyle name="Normal 39 3 3 2 5" xfId="29070"/>
    <cellStyle name="Normal 39 3 3 3" xfId="29071"/>
    <cellStyle name="Normal 39 3 3 3 2" xfId="29072"/>
    <cellStyle name="Normal 39 3 3 3 2 2" xfId="29073"/>
    <cellStyle name="Normal 39 3 3 3 2 3" xfId="29074"/>
    <cellStyle name="Normal 39 3 3 3 3" xfId="29075"/>
    <cellStyle name="Normal 39 3 3 3 3 2" xfId="29076"/>
    <cellStyle name="Normal 39 3 3 3 3 3" xfId="29077"/>
    <cellStyle name="Normal 39 3 3 3 4" xfId="29078"/>
    <cellStyle name="Normal 39 3 3 3 5" xfId="29079"/>
    <cellStyle name="Normal 39 3 3 4" xfId="29080"/>
    <cellStyle name="Normal 39 3 3 4 2" xfId="29081"/>
    <cellStyle name="Normal 39 3 3 4 3" xfId="29082"/>
    <cellStyle name="Normal 39 3 3 5" xfId="29083"/>
    <cellStyle name="Normal 39 3 3 5 2" xfId="29084"/>
    <cellStyle name="Normal 39 3 3 5 3" xfId="29085"/>
    <cellStyle name="Normal 39 3 3 6" xfId="29086"/>
    <cellStyle name="Normal 39 3 3 7" xfId="29087"/>
    <cellStyle name="Normal 39 3 4" xfId="29088"/>
    <cellStyle name="Normal 39 3 4 2" xfId="29089"/>
    <cellStyle name="Normal 39 3 4 2 2" xfId="29090"/>
    <cellStyle name="Normal 39 3 4 2 3" xfId="29091"/>
    <cellStyle name="Normal 39 3 4 3" xfId="29092"/>
    <cellStyle name="Normal 39 3 4 3 2" xfId="29093"/>
    <cellStyle name="Normal 39 3 4 3 3" xfId="29094"/>
    <cellStyle name="Normal 39 3 4 4" xfId="29095"/>
    <cellStyle name="Normal 39 3 4 5" xfId="29096"/>
    <cellStyle name="Normal 39 3 5" xfId="29097"/>
    <cellStyle name="Normal 39 3 5 2" xfId="29098"/>
    <cellStyle name="Normal 39 3 5 2 2" xfId="29099"/>
    <cellStyle name="Normal 39 3 5 2 3" xfId="29100"/>
    <cellStyle name="Normal 39 3 5 3" xfId="29101"/>
    <cellStyle name="Normal 39 3 5 3 2" xfId="29102"/>
    <cellStyle name="Normal 39 3 5 3 3" xfId="29103"/>
    <cellStyle name="Normal 39 3 5 4" xfId="29104"/>
    <cellStyle name="Normal 39 3 5 5" xfId="29105"/>
    <cellStyle name="Normal 39 3 6" xfId="29106"/>
    <cellStyle name="Normal 39 3 6 2" xfId="29107"/>
    <cellStyle name="Normal 39 3 6 3" xfId="29108"/>
    <cellStyle name="Normal 39 3 7" xfId="29109"/>
    <cellStyle name="Normal 39 3 7 2" xfId="29110"/>
    <cellStyle name="Normal 39 3 7 3" xfId="29111"/>
    <cellStyle name="Normal 39 3 8" xfId="29112"/>
    <cellStyle name="Normal 39 3 9" xfId="29113"/>
    <cellStyle name="Normal 39 4" xfId="29114"/>
    <cellStyle name="Normal 39 4 2" xfId="29115"/>
    <cellStyle name="Normal 39 4 3" xfId="29116"/>
    <cellStyle name="Normal 39 5" xfId="29117"/>
    <cellStyle name="Normal 39 5 2" xfId="29118"/>
    <cellStyle name="Normal 39 5 3" xfId="29119"/>
    <cellStyle name="Normal 39 6" xfId="29120"/>
    <cellStyle name="Normal 39 7" xfId="29121"/>
    <cellStyle name="Normal 4" xfId="29122"/>
    <cellStyle name="Normal 4 10" xfId="29123"/>
    <cellStyle name="Normal 4 11" xfId="29124"/>
    <cellStyle name="Normal 4 12" xfId="29125"/>
    <cellStyle name="Normal 4 13" xfId="29126"/>
    <cellStyle name="Normal 4 14" xfId="29127"/>
    <cellStyle name="Normal 4 15" xfId="29128"/>
    <cellStyle name="Normal 4 16" xfId="29129"/>
    <cellStyle name="Normal 4 17" xfId="29130"/>
    <cellStyle name="Normal 4 18" xfId="29131"/>
    <cellStyle name="Normal 4 19" xfId="29132"/>
    <cellStyle name="Normal 4 2" xfId="29133"/>
    <cellStyle name="Normal 4 2 2" xfId="29134"/>
    <cellStyle name="Normal 4 2 3" xfId="29135"/>
    <cellStyle name="Normal 4 2 4" xfId="29136"/>
    <cellStyle name="Normal 4 2 5" xfId="29137"/>
    <cellStyle name="Normal 4 2 6" xfId="29138"/>
    <cellStyle name="Normal 4 2 7" xfId="29139"/>
    <cellStyle name="Normal 4 2 8" xfId="29140"/>
    <cellStyle name="Normal 4 2 9" xfId="29141"/>
    <cellStyle name="Normal 4 20" xfId="29142"/>
    <cellStyle name="Normal 4 21" xfId="29143"/>
    <cellStyle name="Normal 4 22" xfId="29144"/>
    <cellStyle name="Normal 4 23" xfId="29145"/>
    <cellStyle name="Normal 4 24" xfId="29146"/>
    <cellStyle name="Normal 4 25" xfId="29147"/>
    <cellStyle name="Normal 4 26" xfId="29148"/>
    <cellStyle name="Normal 4 27" xfId="29149"/>
    <cellStyle name="Normal 4 28" xfId="29150"/>
    <cellStyle name="Normal 4 29" xfId="29151"/>
    <cellStyle name="Normal 4 3" xfId="29152"/>
    <cellStyle name="Normal 4 3 2" xfId="29153"/>
    <cellStyle name="Normal 4 3 2 10" xfId="29154"/>
    <cellStyle name="Normal 4 3 2 11" xfId="29155"/>
    <cellStyle name="Normal 4 3 2 2" xfId="29156"/>
    <cellStyle name="Normal 4 3 2 2 10" xfId="29157"/>
    <cellStyle name="Normal 4 3 2 2 2" xfId="29158"/>
    <cellStyle name="Normal 4 3 2 2 2 2" xfId="29159"/>
    <cellStyle name="Normal 4 3 2 2 2 2 2" xfId="29160"/>
    <cellStyle name="Normal 4 3 2 2 2 2 2 2" xfId="29161"/>
    <cellStyle name="Normal 4 3 2 2 2 2 2 2 2" xfId="29162"/>
    <cellStyle name="Normal 4 3 2 2 2 2 2 2 3" xfId="29163"/>
    <cellStyle name="Normal 4 3 2 2 2 2 2 3" xfId="29164"/>
    <cellStyle name="Normal 4 3 2 2 2 2 2 3 2" xfId="29165"/>
    <cellStyle name="Normal 4 3 2 2 2 2 2 3 3" xfId="29166"/>
    <cellStyle name="Normal 4 3 2 2 2 2 2 4" xfId="29167"/>
    <cellStyle name="Normal 4 3 2 2 2 2 2 5" xfId="29168"/>
    <cellStyle name="Normal 4 3 2 2 2 2 3" xfId="29169"/>
    <cellStyle name="Normal 4 3 2 2 2 2 3 2" xfId="29170"/>
    <cellStyle name="Normal 4 3 2 2 2 2 3 2 2" xfId="29171"/>
    <cellStyle name="Normal 4 3 2 2 2 2 3 2 3" xfId="29172"/>
    <cellStyle name="Normal 4 3 2 2 2 2 3 3" xfId="29173"/>
    <cellStyle name="Normal 4 3 2 2 2 2 3 3 2" xfId="29174"/>
    <cellStyle name="Normal 4 3 2 2 2 2 3 3 3" xfId="29175"/>
    <cellStyle name="Normal 4 3 2 2 2 2 3 4" xfId="29176"/>
    <cellStyle name="Normal 4 3 2 2 2 2 3 5" xfId="29177"/>
    <cellStyle name="Normal 4 3 2 2 2 2 4" xfId="29178"/>
    <cellStyle name="Normal 4 3 2 2 2 2 4 2" xfId="29179"/>
    <cellStyle name="Normal 4 3 2 2 2 2 4 3" xfId="29180"/>
    <cellStyle name="Normal 4 3 2 2 2 2 5" xfId="29181"/>
    <cellStyle name="Normal 4 3 2 2 2 2 5 2" xfId="29182"/>
    <cellStyle name="Normal 4 3 2 2 2 2 5 3" xfId="29183"/>
    <cellStyle name="Normal 4 3 2 2 2 2 6" xfId="29184"/>
    <cellStyle name="Normal 4 3 2 2 2 2 7" xfId="29185"/>
    <cellStyle name="Normal 4 3 2 2 2 3" xfId="29186"/>
    <cellStyle name="Normal 4 3 2 2 2 3 2" xfId="29187"/>
    <cellStyle name="Normal 4 3 2 2 2 3 2 2" xfId="29188"/>
    <cellStyle name="Normal 4 3 2 2 2 3 2 2 2" xfId="29189"/>
    <cellStyle name="Normal 4 3 2 2 2 3 2 2 3" xfId="29190"/>
    <cellStyle name="Normal 4 3 2 2 2 3 2 3" xfId="29191"/>
    <cellStyle name="Normal 4 3 2 2 2 3 2 3 2" xfId="29192"/>
    <cellStyle name="Normal 4 3 2 2 2 3 2 3 3" xfId="29193"/>
    <cellStyle name="Normal 4 3 2 2 2 3 2 4" xfId="29194"/>
    <cellStyle name="Normal 4 3 2 2 2 3 2 5" xfId="29195"/>
    <cellStyle name="Normal 4 3 2 2 2 3 3" xfId="29196"/>
    <cellStyle name="Normal 4 3 2 2 2 3 3 2" xfId="29197"/>
    <cellStyle name="Normal 4 3 2 2 2 3 3 2 2" xfId="29198"/>
    <cellStyle name="Normal 4 3 2 2 2 3 3 2 3" xfId="29199"/>
    <cellStyle name="Normal 4 3 2 2 2 3 3 3" xfId="29200"/>
    <cellStyle name="Normal 4 3 2 2 2 3 3 3 2" xfId="29201"/>
    <cellStyle name="Normal 4 3 2 2 2 3 3 3 3" xfId="29202"/>
    <cellStyle name="Normal 4 3 2 2 2 3 3 4" xfId="29203"/>
    <cellStyle name="Normal 4 3 2 2 2 3 3 5" xfId="29204"/>
    <cellStyle name="Normal 4 3 2 2 2 3 4" xfId="29205"/>
    <cellStyle name="Normal 4 3 2 2 2 3 4 2" xfId="29206"/>
    <cellStyle name="Normal 4 3 2 2 2 3 4 3" xfId="29207"/>
    <cellStyle name="Normal 4 3 2 2 2 3 5" xfId="29208"/>
    <cellStyle name="Normal 4 3 2 2 2 3 5 2" xfId="29209"/>
    <cellStyle name="Normal 4 3 2 2 2 3 5 3" xfId="29210"/>
    <cellStyle name="Normal 4 3 2 2 2 3 6" xfId="29211"/>
    <cellStyle name="Normal 4 3 2 2 2 3 7" xfId="29212"/>
    <cellStyle name="Normal 4 3 2 2 2 4" xfId="29213"/>
    <cellStyle name="Normal 4 3 2 2 2 4 2" xfId="29214"/>
    <cellStyle name="Normal 4 3 2 2 2 4 2 2" xfId="29215"/>
    <cellStyle name="Normal 4 3 2 2 2 4 2 3" xfId="29216"/>
    <cellStyle name="Normal 4 3 2 2 2 4 3" xfId="29217"/>
    <cellStyle name="Normal 4 3 2 2 2 4 3 2" xfId="29218"/>
    <cellStyle name="Normal 4 3 2 2 2 4 3 3" xfId="29219"/>
    <cellStyle name="Normal 4 3 2 2 2 4 4" xfId="29220"/>
    <cellStyle name="Normal 4 3 2 2 2 4 5" xfId="29221"/>
    <cellStyle name="Normal 4 3 2 2 2 5" xfId="29222"/>
    <cellStyle name="Normal 4 3 2 2 2 5 2" xfId="29223"/>
    <cellStyle name="Normal 4 3 2 2 2 5 2 2" xfId="29224"/>
    <cellStyle name="Normal 4 3 2 2 2 5 2 3" xfId="29225"/>
    <cellStyle name="Normal 4 3 2 2 2 5 3" xfId="29226"/>
    <cellStyle name="Normal 4 3 2 2 2 5 3 2" xfId="29227"/>
    <cellStyle name="Normal 4 3 2 2 2 5 3 3" xfId="29228"/>
    <cellStyle name="Normal 4 3 2 2 2 5 4" xfId="29229"/>
    <cellStyle name="Normal 4 3 2 2 2 5 5" xfId="29230"/>
    <cellStyle name="Normal 4 3 2 2 2 6" xfId="29231"/>
    <cellStyle name="Normal 4 3 2 2 2 6 2" xfId="29232"/>
    <cellStyle name="Normal 4 3 2 2 2 6 3" xfId="29233"/>
    <cellStyle name="Normal 4 3 2 2 2 7" xfId="29234"/>
    <cellStyle name="Normal 4 3 2 2 2 7 2" xfId="29235"/>
    <cellStyle name="Normal 4 3 2 2 2 7 3" xfId="29236"/>
    <cellStyle name="Normal 4 3 2 2 2 8" xfId="29237"/>
    <cellStyle name="Normal 4 3 2 2 2 9" xfId="29238"/>
    <cellStyle name="Normal 4 3 2 2 3" xfId="29239"/>
    <cellStyle name="Normal 4 3 2 2 3 2" xfId="29240"/>
    <cellStyle name="Normal 4 3 2 2 3 2 2" xfId="29241"/>
    <cellStyle name="Normal 4 3 2 2 3 2 2 2" xfId="29242"/>
    <cellStyle name="Normal 4 3 2 2 3 2 2 3" xfId="29243"/>
    <cellStyle name="Normal 4 3 2 2 3 2 3" xfId="29244"/>
    <cellStyle name="Normal 4 3 2 2 3 2 3 2" xfId="29245"/>
    <cellStyle name="Normal 4 3 2 2 3 2 3 3" xfId="29246"/>
    <cellStyle name="Normal 4 3 2 2 3 2 4" xfId="29247"/>
    <cellStyle name="Normal 4 3 2 2 3 2 5" xfId="29248"/>
    <cellStyle name="Normal 4 3 2 2 3 3" xfId="29249"/>
    <cellStyle name="Normal 4 3 2 2 3 3 2" xfId="29250"/>
    <cellStyle name="Normal 4 3 2 2 3 3 2 2" xfId="29251"/>
    <cellStyle name="Normal 4 3 2 2 3 3 2 3" xfId="29252"/>
    <cellStyle name="Normal 4 3 2 2 3 3 3" xfId="29253"/>
    <cellStyle name="Normal 4 3 2 2 3 3 3 2" xfId="29254"/>
    <cellStyle name="Normal 4 3 2 2 3 3 3 3" xfId="29255"/>
    <cellStyle name="Normal 4 3 2 2 3 3 4" xfId="29256"/>
    <cellStyle name="Normal 4 3 2 2 3 3 5" xfId="29257"/>
    <cellStyle name="Normal 4 3 2 2 3 4" xfId="29258"/>
    <cellStyle name="Normal 4 3 2 2 3 4 2" xfId="29259"/>
    <cellStyle name="Normal 4 3 2 2 3 4 3" xfId="29260"/>
    <cellStyle name="Normal 4 3 2 2 3 5" xfId="29261"/>
    <cellStyle name="Normal 4 3 2 2 3 5 2" xfId="29262"/>
    <cellStyle name="Normal 4 3 2 2 3 5 3" xfId="29263"/>
    <cellStyle name="Normal 4 3 2 2 3 6" xfId="29264"/>
    <cellStyle name="Normal 4 3 2 2 3 7" xfId="29265"/>
    <cellStyle name="Normal 4 3 2 2 4" xfId="29266"/>
    <cellStyle name="Normal 4 3 2 2 4 2" xfId="29267"/>
    <cellStyle name="Normal 4 3 2 2 4 2 2" xfId="29268"/>
    <cellStyle name="Normal 4 3 2 2 4 2 2 2" xfId="29269"/>
    <cellStyle name="Normal 4 3 2 2 4 2 2 3" xfId="29270"/>
    <cellStyle name="Normal 4 3 2 2 4 2 3" xfId="29271"/>
    <cellStyle name="Normal 4 3 2 2 4 2 3 2" xfId="29272"/>
    <cellStyle name="Normal 4 3 2 2 4 2 3 3" xfId="29273"/>
    <cellStyle name="Normal 4 3 2 2 4 2 4" xfId="29274"/>
    <cellStyle name="Normal 4 3 2 2 4 2 5" xfId="29275"/>
    <cellStyle name="Normal 4 3 2 2 4 3" xfId="29276"/>
    <cellStyle name="Normal 4 3 2 2 4 3 2" xfId="29277"/>
    <cellStyle name="Normal 4 3 2 2 4 3 2 2" xfId="29278"/>
    <cellStyle name="Normal 4 3 2 2 4 3 2 3" xfId="29279"/>
    <cellStyle name="Normal 4 3 2 2 4 3 3" xfId="29280"/>
    <cellStyle name="Normal 4 3 2 2 4 3 3 2" xfId="29281"/>
    <cellStyle name="Normal 4 3 2 2 4 3 3 3" xfId="29282"/>
    <cellStyle name="Normal 4 3 2 2 4 3 4" xfId="29283"/>
    <cellStyle name="Normal 4 3 2 2 4 3 5" xfId="29284"/>
    <cellStyle name="Normal 4 3 2 2 4 4" xfId="29285"/>
    <cellStyle name="Normal 4 3 2 2 4 4 2" xfId="29286"/>
    <cellStyle name="Normal 4 3 2 2 4 4 3" xfId="29287"/>
    <cellStyle name="Normal 4 3 2 2 4 5" xfId="29288"/>
    <cellStyle name="Normal 4 3 2 2 4 5 2" xfId="29289"/>
    <cellStyle name="Normal 4 3 2 2 4 5 3" xfId="29290"/>
    <cellStyle name="Normal 4 3 2 2 4 6" xfId="29291"/>
    <cellStyle name="Normal 4 3 2 2 4 7" xfId="29292"/>
    <cellStyle name="Normal 4 3 2 2 5" xfId="29293"/>
    <cellStyle name="Normal 4 3 2 2 5 2" xfId="29294"/>
    <cellStyle name="Normal 4 3 2 2 5 2 2" xfId="29295"/>
    <cellStyle name="Normal 4 3 2 2 5 2 3" xfId="29296"/>
    <cellStyle name="Normal 4 3 2 2 5 3" xfId="29297"/>
    <cellStyle name="Normal 4 3 2 2 5 3 2" xfId="29298"/>
    <cellStyle name="Normal 4 3 2 2 5 3 3" xfId="29299"/>
    <cellStyle name="Normal 4 3 2 2 5 4" xfId="29300"/>
    <cellStyle name="Normal 4 3 2 2 5 5" xfId="29301"/>
    <cellStyle name="Normal 4 3 2 2 6" xfId="29302"/>
    <cellStyle name="Normal 4 3 2 2 6 2" xfId="29303"/>
    <cellStyle name="Normal 4 3 2 2 6 2 2" xfId="29304"/>
    <cellStyle name="Normal 4 3 2 2 6 2 3" xfId="29305"/>
    <cellStyle name="Normal 4 3 2 2 6 3" xfId="29306"/>
    <cellStyle name="Normal 4 3 2 2 6 3 2" xfId="29307"/>
    <cellStyle name="Normal 4 3 2 2 6 3 3" xfId="29308"/>
    <cellStyle name="Normal 4 3 2 2 6 4" xfId="29309"/>
    <cellStyle name="Normal 4 3 2 2 6 5" xfId="29310"/>
    <cellStyle name="Normal 4 3 2 2 7" xfId="29311"/>
    <cellStyle name="Normal 4 3 2 2 7 2" xfId="29312"/>
    <cellStyle name="Normal 4 3 2 2 7 3" xfId="29313"/>
    <cellStyle name="Normal 4 3 2 2 8" xfId="29314"/>
    <cellStyle name="Normal 4 3 2 2 8 2" xfId="29315"/>
    <cellStyle name="Normal 4 3 2 2 8 3" xfId="29316"/>
    <cellStyle name="Normal 4 3 2 2 9" xfId="29317"/>
    <cellStyle name="Normal 4 3 2 3" xfId="29318"/>
    <cellStyle name="Normal 4 3 2 3 2" xfId="29319"/>
    <cellStyle name="Normal 4 3 2 3 2 2" xfId="29320"/>
    <cellStyle name="Normal 4 3 2 3 2 2 2" xfId="29321"/>
    <cellStyle name="Normal 4 3 2 3 2 2 2 2" xfId="29322"/>
    <cellStyle name="Normal 4 3 2 3 2 2 2 3" xfId="29323"/>
    <cellStyle name="Normal 4 3 2 3 2 2 3" xfId="29324"/>
    <cellStyle name="Normal 4 3 2 3 2 2 3 2" xfId="29325"/>
    <cellStyle name="Normal 4 3 2 3 2 2 3 3" xfId="29326"/>
    <cellStyle name="Normal 4 3 2 3 2 2 4" xfId="29327"/>
    <cellStyle name="Normal 4 3 2 3 2 2 5" xfId="29328"/>
    <cellStyle name="Normal 4 3 2 3 2 3" xfId="29329"/>
    <cellStyle name="Normal 4 3 2 3 2 3 2" xfId="29330"/>
    <cellStyle name="Normal 4 3 2 3 2 3 2 2" xfId="29331"/>
    <cellStyle name="Normal 4 3 2 3 2 3 2 3" xfId="29332"/>
    <cellStyle name="Normal 4 3 2 3 2 3 3" xfId="29333"/>
    <cellStyle name="Normal 4 3 2 3 2 3 3 2" xfId="29334"/>
    <cellStyle name="Normal 4 3 2 3 2 3 3 3" xfId="29335"/>
    <cellStyle name="Normal 4 3 2 3 2 3 4" xfId="29336"/>
    <cellStyle name="Normal 4 3 2 3 2 3 5" xfId="29337"/>
    <cellStyle name="Normal 4 3 2 3 2 4" xfId="29338"/>
    <cellStyle name="Normal 4 3 2 3 2 4 2" xfId="29339"/>
    <cellStyle name="Normal 4 3 2 3 2 4 3" xfId="29340"/>
    <cellStyle name="Normal 4 3 2 3 2 5" xfId="29341"/>
    <cellStyle name="Normal 4 3 2 3 2 5 2" xfId="29342"/>
    <cellStyle name="Normal 4 3 2 3 2 5 3" xfId="29343"/>
    <cellStyle name="Normal 4 3 2 3 2 6" xfId="29344"/>
    <cellStyle name="Normal 4 3 2 3 2 7" xfId="29345"/>
    <cellStyle name="Normal 4 3 2 3 3" xfId="29346"/>
    <cellStyle name="Normal 4 3 2 3 3 2" xfId="29347"/>
    <cellStyle name="Normal 4 3 2 3 3 2 2" xfId="29348"/>
    <cellStyle name="Normal 4 3 2 3 3 2 2 2" xfId="29349"/>
    <cellStyle name="Normal 4 3 2 3 3 2 2 3" xfId="29350"/>
    <cellStyle name="Normal 4 3 2 3 3 2 3" xfId="29351"/>
    <cellStyle name="Normal 4 3 2 3 3 2 3 2" xfId="29352"/>
    <cellStyle name="Normal 4 3 2 3 3 2 3 3" xfId="29353"/>
    <cellStyle name="Normal 4 3 2 3 3 2 4" xfId="29354"/>
    <cellStyle name="Normal 4 3 2 3 3 2 5" xfId="29355"/>
    <cellStyle name="Normal 4 3 2 3 3 3" xfId="29356"/>
    <cellStyle name="Normal 4 3 2 3 3 3 2" xfId="29357"/>
    <cellStyle name="Normal 4 3 2 3 3 3 2 2" xfId="29358"/>
    <cellStyle name="Normal 4 3 2 3 3 3 2 3" xfId="29359"/>
    <cellStyle name="Normal 4 3 2 3 3 3 3" xfId="29360"/>
    <cellStyle name="Normal 4 3 2 3 3 3 3 2" xfId="29361"/>
    <cellStyle name="Normal 4 3 2 3 3 3 3 3" xfId="29362"/>
    <cellStyle name="Normal 4 3 2 3 3 3 4" xfId="29363"/>
    <cellStyle name="Normal 4 3 2 3 3 3 5" xfId="29364"/>
    <cellStyle name="Normal 4 3 2 3 3 4" xfId="29365"/>
    <cellStyle name="Normal 4 3 2 3 3 4 2" xfId="29366"/>
    <cellStyle name="Normal 4 3 2 3 3 4 3" xfId="29367"/>
    <cellStyle name="Normal 4 3 2 3 3 5" xfId="29368"/>
    <cellStyle name="Normal 4 3 2 3 3 5 2" xfId="29369"/>
    <cellStyle name="Normal 4 3 2 3 3 5 3" xfId="29370"/>
    <cellStyle name="Normal 4 3 2 3 3 6" xfId="29371"/>
    <cellStyle name="Normal 4 3 2 3 3 7" xfId="29372"/>
    <cellStyle name="Normal 4 3 2 3 4" xfId="29373"/>
    <cellStyle name="Normal 4 3 2 3 4 2" xfId="29374"/>
    <cellStyle name="Normal 4 3 2 3 4 2 2" xfId="29375"/>
    <cellStyle name="Normal 4 3 2 3 4 2 3" xfId="29376"/>
    <cellStyle name="Normal 4 3 2 3 4 3" xfId="29377"/>
    <cellStyle name="Normal 4 3 2 3 4 3 2" xfId="29378"/>
    <cellStyle name="Normal 4 3 2 3 4 3 3" xfId="29379"/>
    <cellStyle name="Normal 4 3 2 3 4 4" xfId="29380"/>
    <cellStyle name="Normal 4 3 2 3 4 5" xfId="29381"/>
    <cellStyle name="Normal 4 3 2 3 5" xfId="29382"/>
    <cellStyle name="Normal 4 3 2 3 5 2" xfId="29383"/>
    <cellStyle name="Normal 4 3 2 3 5 2 2" xfId="29384"/>
    <cellStyle name="Normal 4 3 2 3 5 2 3" xfId="29385"/>
    <cellStyle name="Normal 4 3 2 3 5 3" xfId="29386"/>
    <cellStyle name="Normal 4 3 2 3 5 3 2" xfId="29387"/>
    <cellStyle name="Normal 4 3 2 3 5 3 3" xfId="29388"/>
    <cellStyle name="Normal 4 3 2 3 5 4" xfId="29389"/>
    <cellStyle name="Normal 4 3 2 3 5 5" xfId="29390"/>
    <cellStyle name="Normal 4 3 2 3 6" xfId="29391"/>
    <cellStyle name="Normal 4 3 2 3 6 2" xfId="29392"/>
    <cellStyle name="Normal 4 3 2 3 6 3" xfId="29393"/>
    <cellStyle name="Normal 4 3 2 3 7" xfId="29394"/>
    <cellStyle name="Normal 4 3 2 3 7 2" xfId="29395"/>
    <cellStyle name="Normal 4 3 2 3 7 3" xfId="29396"/>
    <cellStyle name="Normal 4 3 2 3 8" xfId="29397"/>
    <cellStyle name="Normal 4 3 2 3 9" xfId="29398"/>
    <cellStyle name="Normal 4 3 2 4" xfId="29399"/>
    <cellStyle name="Normal 4 3 2 4 2" xfId="29400"/>
    <cellStyle name="Normal 4 3 2 4 2 2" xfId="29401"/>
    <cellStyle name="Normal 4 3 2 4 2 2 2" xfId="29402"/>
    <cellStyle name="Normal 4 3 2 4 2 2 3" xfId="29403"/>
    <cellStyle name="Normal 4 3 2 4 2 3" xfId="29404"/>
    <cellStyle name="Normal 4 3 2 4 2 3 2" xfId="29405"/>
    <cellStyle name="Normal 4 3 2 4 2 3 3" xfId="29406"/>
    <cellStyle name="Normal 4 3 2 4 2 4" xfId="29407"/>
    <cellStyle name="Normal 4 3 2 4 2 5" xfId="29408"/>
    <cellStyle name="Normal 4 3 2 4 3" xfId="29409"/>
    <cellStyle name="Normal 4 3 2 4 3 2" xfId="29410"/>
    <cellStyle name="Normal 4 3 2 4 3 2 2" xfId="29411"/>
    <cellStyle name="Normal 4 3 2 4 3 2 3" xfId="29412"/>
    <cellStyle name="Normal 4 3 2 4 3 3" xfId="29413"/>
    <cellStyle name="Normal 4 3 2 4 3 3 2" xfId="29414"/>
    <cellStyle name="Normal 4 3 2 4 3 3 3" xfId="29415"/>
    <cellStyle name="Normal 4 3 2 4 3 4" xfId="29416"/>
    <cellStyle name="Normal 4 3 2 4 3 5" xfId="29417"/>
    <cellStyle name="Normal 4 3 2 4 4" xfId="29418"/>
    <cellStyle name="Normal 4 3 2 4 4 2" xfId="29419"/>
    <cellStyle name="Normal 4 3 2 4 4 3" xfId="29420"/>
    <cellStyle name="Normal 4 3 2 4 5" xfId="29421"/>
    <cellStyle name="Normal 4 3 2 4 5 2" xfId="29422"/>
    <cellStyle name="Normal 4 3 2 4 5 3" xfId="29423"/>
    <cellStyle name="Normal 4 3 2 4 6" xfId="29424"/>
    <cellStyle name="Normal 4 3 2 4 7" xfId="29425"/>
    <cellStyle name="Normal 4 3 2 5" xfId="29426"/>
    <cellStyle name="Normal 4 3 2 5 2" xfId="29427"/>
    <cellStyle name="Normal 4 3 2 5 2 2" xfId="29428"/>
    <cellStyle name="Normal 4 3 2 5 2 2 2" xfId="29429"/>
    <cellStyle name="Normal 4 3 2 5 2 2 3" xfId="29430"/>
    <cellStyle name="Normal 4 3 2 5 2 3" xfId="29431"/>
    <cellStyle name="Normal 4 3 2 5 2 3 2" xfId="29432"/>
    <cellStyle name="Normal 4 3 2 5 2 3 3" xfId="29433"/>
    <cellStyle name="Normal 4 3 2 5 2 4" xfId="29434"/>
    <cellStyle name="Normal 4 3 2 5 2 5" xfId="29435"/>
    <cellStyle name="Normal 4 3 2 5 3" xfId="29436"/>
    <cellStyle name="Normal 4 3 2 5 3 2" xfId="29437"/>
    <cellStyle name="Normal 4 3 2 5 3 2 2" xfId="29438"/>
    <cellStyle name="Normal 4 3 2 5 3 2 3" xfId="29439"/>
    <cellStyle name="Normal 4 3 2 5 3 3" xfId="29440"/>
    <cellStyle name="Normal 4 3 2 5 3 3 2" xfId="29441"/>
    <cellStyle name="Normal 4 3 2 5 3 3 3" xfId="29442"/>
    <cellStyle name="Normal 4 3 2 5 3 4" xfId="29443"/>
    <cellStyle name="Normal 4 3 2 5 3 5" xfId="29444"/>
    <cellStyle name="Normal 4 3 2 5 4" xfId="29445"/>
    <cellStyle name="Normal 4 3 2 5 4 2" xfId="29446"/>
    <cellStyle name="Normal 4 3 2 5 4 3" xfId="29447"/>
    <cellStyle name="Normal 4 3 2 5 5" xfId="29448"/>
    <cellStyle name="Normal 4 3 2 5 5 2" xfId="29449"/>
    <cellStyle name="Normal 4 3 2 5 5 3" xfId="29450"/>
    <cellStyle name="Normal 4 3 2 5 6" xfId="29451"/>
    <cellStyle name="Normal 4 3 2 5 7" xfId="29452"/>
    <cellStyle name="Normal 4 3 2 6" xfId="29453"/>
    <cellStyle name="Normal 4 3 2 6 2" xfId="29454"/>
    <cellStyle name="Normal 4 3 2 6 2 2" xfId="29455"/>
    <cellStyle name="Normal 4 3 2 6 2 3" xfId="29456"/>
    <cellStyle name="Normal 4 3 2 6 3" xfId="29457"/>
    <cellStyle name="Normal 4 3 2 6 3 2" xfId="29458"/>
    <cellStyle name="Normal 4 3 2 6 3 3" xfId="29459"/>
    <cellStyle name="Normal 4 3 2 6 4" xfId="29460"/>
    <cellStyle name="Normal 4 3 2 6 5" xfId="29461"/>
    <cellStyle name="Normal 4 3 2 7" xfId="29462"/>
    <cellStyle name="Normal 4 3 2 7 2" xfId="29463"/>
    <cellStyle name="Normal 4 3 2 7 2 2" xfId="29464"/>
    <cellStyle name="Normal 4 3 2 7 2 3" xfId="29465"/>
    <cellStyle name="Normal 4 3 2 7 3" xfId="29466"/>
    <cellStyle name="Normal 4 3 2 7 3 2" xfId="29467"/>
    <cellStyle name="Normal 4 3 2 7 3 3" xfId="29468"/>
    <cellStyle name="Normal 4 3 2 7 4" xfId="29469"/>
    <cellStyle name="Normal 4 3 2 7 5" xfId="29470"/>
    <cellStyle name="Normal 4 3 2 8" xfId="29471"/>
    <cellStyle name="Normal 4 3 2 8 2" xfId="29472"/>
    <cellStyle name="Normal 4 3 2 8 3" xfId="29473"/>
    <cellStyle name="Normal 4 3 2 9" xfId="29474"/>
    <cellStyle name="Normal 4 3 2 9 2" xfId="29475"/>
    <cellStyle name="Normal 4 3 2 9 3" xfId="29476"/>
    <cellStyle name="Normal 4 30" xfId="29477"/>
    <cellStyle name="Normal 4 31" xfId="29478"/>
    <cellStyle name="Normal 4 32" xfId="29479"/>
    <cellStyle name="Normal 4 33" xfId="29480"/>
    <cellStyle name="Normal 4 34" xfId="29481"/>
    <cellStyle name="Normal 4 35" xfId="29482"/>
    <cellStyle name="Normal 4 36" xfId="29483"/>
    <cellStyle name="Normal 4 37" xfId="29484"/>
    <cellStyle name="Normal 4 38" xfId="29485"/>
    <cellStyle name="Normal 4 39" xfId="29486"/>
    <cellStyle name="Normal 4 4" xfId="29487"/>
    <cellStyle name="Normal 4 4 2" xfId="29488"/>
    <cellStyle name="Normal 4 4 2 10" xfId="29489"/>
    <cellStyle name="Normal 4 4 2 11" xfId="29490"/>
    <cellStyle name="Normal 4 4 2 2" xfId="29491"/>
    <cellStyle name="Normal 4 4 2 2 10" xfId="29492"/>
    <cellStyle name="Normal 4 4 2 2 2" xfId="29493"/>
    <cellStyle name="Normal 4 4 2 2 2 2" xfId="29494"/>
    <cellStyle name="Normal 4 4 2 2 2 2 2" xfId="29495"/>
    <cellStyle name="Normal 4 4 2 2 2 2 2 2" xfId="29496"/>
    <cellStyle name="Normal 4 4 2 2 2 2 2 2 2" xfId="29497"/>
    <cellStyle name="Normal 4 4 2 2 2 2 2 2 3" xfId="29498"/>
    <cellStyle name="Normal 4 4 2 2 2 2 2 3" xfId="29499"/>
    <cellStyle name="Normal 4 4 2 2 2 2 2 3 2" xfId="29500"/>
    <cellStyle name="Normal 4 4 2 2 2 2 2 3 3" xfId="29501"/>
    <cellStyle name="Normal 4 4 2 2 2 2 2 4" xfId="29502"/>
    <cellStyle name="Normal 4 4 2 2 2 2 2 5" xfId="29503"/>
    <cellStyle name="Normal 4 4 2 2 2 2 3" xfId="29504"/>
    <cellStyle name="Normal 4 4 2 2 2 2 3 2" xfId="29505"/>
    <cellStyle name="Normal 4 4 2 2 2 2 3 2 2" xfId="29506"/>
    <cellStyle name="Normal 4 4 2 2 2 2 3 2 3" xfId="29507"/>
    <cellStyle name="Normal 4 4 2 2 2 2 3 3" xfId="29508"/>
    <cellStyle name="Normal 4 4 2 2 2 2 3 3 2" xfId="29509"/>
    <cellStyle name="Normal 4 4 2 2 2 2 3 3 3" xfId="29510"/>
    <cellStyle name="Normal 4 4 2 2 2 2 3 4" xfId="29511"/>
    <cellStyle name="Normal 4 4 2 2 2 2 3 5" xfId="29512"/>
    <cellStyle name="Normal 4 4 2 2 2 2 4" xfId="29513"/>
    <cellStyle name="Normal 4 4 2 2 2 2 4 2" xfId="29514"/>
    <cellStyle name="Normal 4 4 2 2 2 2 4 3" xfId="29515"/>
    <cellStyle name="Normal 4 4 2 2 2 2 5" xfId="29516"/>
    <cellStyle name="Normal 4 4 2 2 2 2 5 2" xfId="29517"/>
    <cellStyle name="Normal 4 4 2 2 2 2 5 3" xfId="29518"/>
    <cellStyle name="Normal 4 4 2 2 2 2 6" xfId="29519"/>
    <cellStyle name="Normal 4 4 2 2 2 2 7" xfId="29520"/>
    <cellStyle name="Normal 4 4 2 2 2 3" xfId="29521"/>
    <cellStyle name="Normal 4 4 2 2 2 3 2" xfId="29522"/>
    <cellStyle name="Normal 4 4 2 2 2 3 2 2" xfId="29523"/>
    <cellStyle name="Normal 4 4 2 2 2 3 2 2 2" xfId="29524"/>
    <cellStyle name="Normal 4 4 2 2 2 3 2 2 3" xfId="29525"/>
    <cellStyle name="Normal 4 4 2 2 2 3 2 3" xfId="29526"/>
    <cellStyle name="Normal 4 4 2 2 2 3 2 3 2" xfId="29527"/>
    <cellStyle name="Normal 4 4 2 2 2 3 2 3 3" xfId="29528"/>
    <cellStyle name="Normal 4 4 2 2 2 3 2 4" xfId="29529"/>
    <cellStyle name="Normal 4 4 2 2 2 3 2 5" xfId="29530"/>
    <cellStyle name="Normal 4 4 2 2 2 3 3" xfId="29531"/>
    <cellStyle name="Normal 4 4 2 2 2 3 3 2" xfId="29532"/>
    <cellStyle name="Normal 4 4 2 2 2 3 3 2 2" xfId="29533"/>
    <cellStyle name="Normal 4 4 2 2 2 3 3 2 3" xfId="29534"/>
    <cellStyle name="Normal 4 4 2 2 2 3 3 3" xfId="29535"/>
    <cellStyle name="Normal 4 4 2 2 2 3 3 3 2" xfId="29536"/>
    <cellStyle name="Normal 4 4 2 2 2 3 3 3 3" xfId="29537"/>
    <cellStyle name="Normal 4 4 2 2 2 3 3 4" xfId="29538"/>
    <cellStyle name="Normal 4 4 2 2 2 3 3 5" xfId="29539"/>
    <cellStyle name="Normal 4 4 2 2 2 3 4" xfId="29540"/>
    <cellStyle name="Normal 4 4 2 2 2 3 4 2" xfId="29541"/>
    <cellStyle name="Normal 4 4 2 2 2 3 4 3" xfId="29542"/>
    <cellStyle name="Normal 4 4 2 2 2 3 5" xfId="29543"/>
    <cellStyle name="Normal 4 4 2 2 2 3 5 2" xfId="29544"/>
    <cellStyle name="Normal 4 4 2 2 2 3 5 3" xfId="29545"/>
    <cellStyle name="Normal 4 4 2 2 2 3 6" xfId="29546"/>
    <cellStyle name="Normal 4 4 2 2 2 3 7" xfId="29547"/>
    <cellStyle name="Normal 4 4 2 2 2 4" xfId="29548"/>
    <cellStyle name="Normal 4 4 2 2 2 4 2" xfId="29549"/>
    <cellStyle name="Normal 4 4 2 2 2 4 2 2" xfId="29550"/>
    <cellStyle name="Normal 4 4 2 2 2 4 2 3" xfId="29551"/>
    <cellStyle name="Normal 4 4 2 2 2 4 3" xfId="29552"/>
    <cellStyle name="Normal 4 4 2 2 2 4 3 2" xfId="29553"/>
    <cellStyle name="Normal 4 4 2 2 2 4 3 3" xfId="29554"/>
    <cellStyle name="Normal 4 4 2 2 2 4 4" xfId="29555"/>
    <cellStyle name="Normal 4 4 2 2 2 4 5" xfId="29556"/>
    <cellStyle name="Normal 4 4 2 2 2 5" xfId="29557"/>
    <cellStyle name="Normal 4 4 2 2 2 5 2" xfId="29558"/>
    <cellStyle name="Normal 4 4 2 2 2 5 2 2" xfId="29559"/>
    <cellStyle name="Normal 4 4 2 2 2 5 2 3" xfId="29560"/>
    <cellStyle name="Normal 4 4 2 2 2 5 3" xfId="29561"/>
    <cellStyle name="Normal 4 4 2 2 2 5 3 2" xfId="29562"/>
    <cellStyle name="Normal 4 4 2 2 2 5 3 3" xfId="29563"/>
    <cellStyle name="Normal 4 4 2 2 2 5 4" xfId="29564"/>
    <cellStyle name="Normal 4 4 2 2 2 5 5" xfId="29565"/>
    <cellStyle name="Normal 4 4 2 2 2 6" xfId="29566"/>
    <cellStyle name="Normal 4 4 2 2 2 6 2" xfId="29567"/>
    <cellStyle name="Normal 4 4 2 2 2 6 3" xfId="29568"/>
    <cellStyle name="Normal 4 4 2 2 2 7" xfId="29569"/>
    <cellStyle name="Normal 4 4 2 2 2 7 2" xfId="29570"/>
    <cellStyle name="Normal 4 4 2 2 2 7 3" xfId="29571"/>
    <cellStyle name="Normal 4 4 2 2 2 8" xfId="29572"/>
    <cellStyle name="Normal 4 4 2 2 2 9" xfId="29573"/>
    <cellStyle name="Normal 4 4 2 2 3" xfId="29574"/>
    <cellStyle name="Normal 4 4 2 2 3 2" xfId="29575"/>
    <cellStyle name="Normal 4 4 2 2 3 2 2" xfId="29576"/>
    <cellStyle name="Normal 4 4 2 2 3 2 2 2" xfId="29577"/>
    <cellStyle name="Normal 4 4 2 2 3 2 2 3" xfId="29578"/>
    <cellStyle name="Normal 4 4 2 2 3 2 3" xfId="29579"/>
    <cellStyle name="Normal 4 4 2 2 3 2 3 2" xfId="29580"/>
    <cellStyle name="Normal 4 4 2 2 3 2 3 3" xfId="29581"/>
    <cellStyle name="Normal 4 4 2 2 3 2 4" xfId="29582"/>
    <cellStyle name="Normal 4 4 2 2 3 2 5" xfId="29583"/>
    <cellStyle name="Normal 4 4 2 2 3 3" xfId="29584"/>
    <cellStyle name="Normal 4 4 2 2 3 3 2" xfId="29585"/>
    <cellStyle name="Normal 4 4 2 2 3 3 2 2" xfId="29586"/>
    <cellStyle name="Normal 4 4 2 2 3 3 2 3" xfId="29587"/>
    <cellStyle name="Normal 4 4 2 2 3 3 3" xfId="29588"/>
    <cellStyle name="Normal 4 4 2 2 3 3 3 2" xfId="29589"/>
    <cellStyle name="Normal 4 4 2 2 3 3 3 3" xfId="29590"/>
    <cellStyle name="Normal 4 4 2 2 3 3 4" xfId="29591"/>
    <cellStyle name="Normal 4 4 2 2 3 3 5" xfId="29592"/>
    <cellStyle name="Normal 4 4 2 2 3 4" xfId="29593"/>
    <cellStyle name="Normal 4 4 2 2 3 4 2" xfId="29594"/>
    <cellStyle name="Normal 4 4 2 2 3 4 3" xfId="29595"/>
    <cellStyle name="Normal 4 4 2 2 3 5" xfId="29596"/>
    <cellStyle name="Normal 4 4 2 2 3 5 2" xfId="29597"/>
    <cellStyle name="Normal 4 4 2 2 3 5 3" xfId="29598"/>
    <cellStyle name="Normal 4 4 2 2 3 6" xfId="29599"/>
    <cellStyle name="Normal 4 4 2 2 3 7" xfId="29600"/>
    <cellStyle name="Normal 4 4 2 2 4" xfId="29601"/>
    <cellStyle name="Normal 4 4 2 2 4 2" xfId="29602"/>
    <cellStyle name="Normal 4 4 2 2 4 2 2" xfId="29603"/>
    <cellStyle name="Normal 4 4 2 2 4 2 2 2" xfId="29604"/>
    <cellStyle name="Normal 4 4 2 2 4 2 2 3" xfId="29605"/>
    <cellStyle name="Normal 4 4 2 2 4 2 3" xfId="29606"/>
    <cellStyle name="Normal 4 4 2 2 4 2 3 2" xfId="29607"/>
    <cellStyle name="Normal 4 4 2 2 4 2 3 3" xfId="29608"/>
    <cellStyle name="Normal 4 4 2 2 4 2 4" xfId="29609"/>
    <cellStyle name="Normal 4 4 2 2 4 2 5" xfId="29610"/>
    <cellStyle name="Normal 4 4 2 2 4 3" xfId="29611"/>
    <cellStyle name="Normal 4 4 2 2 4 3 2" xfId="29612"/>
    <cellStyle name="Normal 4 4 2 2 4 3 2 2" xfId="29613"/>
    <cellStyle name="Normal 4 4 2 2 4 3 2 3" xfId="29614"/>
    <cellStyle name="Normal 4 4 2 2 4 3 3" xfId="29615"/>
    <cellStyle name="Normal 4 4 2 2 4 3 3 2" xfId="29616"/>
    <cellStyle name="Normal 4 4 2 2 4 3 3 3" xfId="29617"/>
    <cellStyle name="Normal 4 4 2 2 4 3 4" xfId="29618"/>
    <cellStyle name="Normal 4 4 2 2 4 3 5" xfId="29619"/>
    <cellStyle name="Normal 4 4 2 2 4 4" xfId="29620"/>
    <cellStyle name="Normal 4 4 2 2 4 4 2" xfId="29621"/>
    <cellStyle name="Normal 4 4 2 2 4 4 3" xfId="29622"/>
    <cellStyle name="Normal 4 4 2 2 4 5" xfId="29623"/>
    <cellStyle name="Normal 4 4 2 2 4 5 2" xfId="29624"/>
    <cellStyle name="Normal 4 4 2 2 4 5 3" xfId="29625"/>
    <cellStyle name="Normal 4 4 2 2 4 6" xfId="29626"/>
    <cellStyle name="Normal 4 4 2 2 4 7" xfId="29627"/>
    <cellStyle name="Normal 4 4 2 2 5" xfId="29628"/>
    <cellStyle name="Normal 4 4 2 2 5 2" xfId="29629"/>
    <cellStyle name="Normal 4 4 2 2 5 2 2" xfId="29630"/>
    <cellStyle name="Normal 4 4 2 2 5 2 3" xfId="29631"/>
    <cellStyle name="Normal 4 4 2 2 5 3" xfId="29632"/>
    <cellStyle name="Normal 4 4 2 2 5 3 2" xfId="29633"/>
    <cellStyle name="Normal 4 4 2 2 5 3 3" xfId="29634"/>
    <cellStyle name="Normal 4 4 2 2 5 4" xfId="29635"/>
    <cellStyle name="Normal 4 4 2 2 5 5" xfId="29636"/>
    <cellStyle name="Normal 4 4 2 2 6" xfId="29637"/>
    <cellStyle name="Normal 4 4 2 2 6 2" xfId="29638"/>
    <cellStyle name="Normal 4 4 2 2 6 2 2" xfId="29639"/>
    <cellStyle name="Normal 4 4 2 2 6 2 3" xfId="29640"/>
    <cellStyle name="Normal 4 4 2 2 6 3" xfId="29641"/>
    <cellStyle name="Normal 4 4 2 2 6 3 2" xfId="29642"/>
    <cellStyle name="Normal 4 4 2 2 6 3 3" xfId="29643"/>
    <cellStyle name="Normal 4 4 2 2 6 4" xfId="29644"/>
    <cellStyle name="Normal 4 4 2 2 6 5" xfId="29645"/>
    <cellStyle name="Normal 4 4 2 2 7" xfId="29646"/>
    <cellStyle name="Normal 4 4 2 2 7 2" xfId="29647"/>
    <cellStyle name="Normal 4 4 2 2 7 3" xfId="29648"/>
    <cellStyle name="Normal 4 4 2 2 8" xfId="29649"/>
    <cellStyle name="Normal 4 4 2 2 8 2" xfId="29650"/>
    <cellStyle name="Normal 4 4 2 2 8 3" xfId="29651"/>
    <cellStyle name="Normal 4 4 2 2 9" xfId="29652"/>
    <cellStyle name="Normal 4 4 2 3" xfId="29653"/>
    <cellStyle name="Normal 4 4 2 3 2" xfId="29654"/>
    <cellStyle name="Normal 4 4 2 3 2 2" xfId="29655"/>
    <cellStyle name="Normal 4 4 2 3 2 2 2" xfId="29656"/>
    <cellStyle name="Normal 4 4 2 3 2 2 2 2" xfId="29657"/>
    <cellStyle name="Normal 4 4 2 3 2 2 2 3" xfId="29658"/>
    <cellStyle name="Normal 4 4 2 3 2 2 3" xfId="29659"/>
    <cellStyle name="Normal 4 4 2 3 2 2 3 2" xfId="29660"/>
    <cellStyle name="Normal 4 4 2 3 2 2 3 3" xfId="29661"/>
    <cellStyle name="Normal 4 4 2 3 2 2 4" xfId="29662"/>
    <cellStyle name="Normal 4 4 2 3 2 2 5" xfId="29663"/>
    <cellStyle name="Normal 4 4 2 3 2 3" xfId="29664"/>
    <cellStyle name="Normal 4 4 2 3 2 3 2" xfId="29665"/>
    <cellStyle name="Normal 4 4 2 3 2 3 2 2" xfId="29666"/>
    <cellStyle name="Normal 4 4 2 3 2 3 2 3" xfId="29667"/>
    <cellStyle name="Normal 4 4 2 3 2 3 3" xfId="29668"/>
    <cellStyle name="Normal 4 4 2 3 2 3 3 2" xfId="29669"/>
    <cellStyle name="Normal 4 4 2 3 2 3 3 3" xfId="29670"/>
    <cellStyle name="Normal 4 4 2 3 2 3 4" xfId="29671"/>
    <cellStyle name="Normal 4 4 2 3 2 3 5" xfId="29672"/>
    <cellStyle name="Normal 4 4 2 3 2 4" xfId="29673"/>
    <cellStyle name="Normal 4 4 2 3 2 4 2" xfId="29674"/>
    <cellStyle name="Normal 4 4 2 3 2 4 3" xfId="29675"/>
    <cellStyle name="Normal 4 4 2 3 2 5" xfId="29676"/>
    <cellStyle name="Normal 4 4 2 3 2 5 2" xfId="29677"/>
    <cellStyle name="Normal 4 4 2 3 2 5 3" xfId="29678"/>
    <cellStyle name="Normal 4 4 2 3 2 6" xfId="29679"/>
    <cellStyle name="Normal 4 4 2 3 2 7" xfId="29680"/>
    <cellStyle name="Normal 4 4 2 3 3" xfId="29681"/>
    <cellStyle name="Normal 4 4 2 3 3 2" xfId="29682"/>
    <cellStyle name="Normal 4 4 2 3 3 2 2" xfId="29683"/>
    <cellStyle name="Normal 4 4 2 3 3 2 2 2" xfId="29684"/>
    <cellStyle name="Normal 4 4 2 3 3 2 2 3" xfId="29685"/>
    <cellStyle name="Normal 4 4 2 3 3 2 3" xfId="29686"/>
    <cellStyle name="Normal 4 4 2 3 3 2 3 2" xfId="29687"/>
    <cellStyle name="Normal 4 4 2 3 3 2 3 3" xfId="29688"/>
    <cellStyle name="Normal 4 4 2 3 3 2 4" xfId="29689"/>
    <cellStyle name="Normal 4 4 2 3 3 2 5" xfId="29690"/>
    <cellStyle name="Normal 4 4 2 3 3 3" xfId="29691"/>
    <cellStyle name="Normal 4 4 2 3 3 3 2" xfId="29692"/>
    <cellStyle name="Normal 4 4 2 3 3 3 2 2" xfId="29693"/>
    <cellStyle name="Normal 4 4 2 3 3 3 2 3" xfId="29694"/>
    <cellStyle name="Normal 4 4 2 3 3 3 3" xfId="29695"/>
    <cellStyle name="Normal 4 4 2 3 3 3 3 2" xfId="29696"/>
    <cellStyle name="Normal 4 4 2 3 3 3 3 3" xfId="29697"/>
    <cellStyle name="Normal 4 4 2 3 3 3 4" xfId="29698"/>
    <cellStyle name="Normal 4 4 2 3 3 3 5" xfId="29699"/>
    <cellStyle name="Normal 4 4 2 3 3 4" xfId="29700"/>
    <cellStyle name="Normal 4 4 2 3 3 4 2" xfId="29701"/>
    <cellStyle name="Normal 4 4 2 3 3 4 3" xfId="29702"/>
    <cellStyle name="Normal 4 4 2 3 3 5" xfId="29703"/>
    <cellStyle name="Normal 4 4 2 3 3 5 2" xfId="29704"/>
    <cellStyle name="Normal 4 4 2 3 3 5 3" xfId="29705"/>
    <cellStyle name="Normal 4 4 2 3 3 6" xfId="29706"/>
    <cellStyle name="Normal 4 4 2 3 3 7" xfId="29707"/>
    <cellStyle name="Normal 4 4 2 3 4" xfId="29708"/>
    <cellStyle name="Normal 4 4 2 3 4 2" xfId="29709"/>
    <cellStyle name="Normal 4 4 2 3 4 2 2" xfId="29710"/>
    <cellStyle name="Normal 4 4 2 3 4 2 3" xfId="29711"/>
    <cellStyle name="Normal 4 4 2 3 4 3" xfId="29712"/>
    <cellStyle name="Normal 4 4 2 3 4 3 2" xfId="29713"/>
    <cellStyle name="Normal 4 4 2 3 4 3 3" xfId="29714"/>
    <cellStyle name="Normal 4 4 2 3 4 4" xfId="29715"/>
    <cellStyle name="Normal 4 4 2 3 4 5" xfId="29716"/>
    <cellStyle name="Normal 4 4 2 3 5" xfId="29717"/>
    <cellStyle name="Normal 4 4 2 3 5 2" xfId="29718"/>
    <cellStyle name="Normal 4 4 2 3 5 2 2" xfId="29719"/>
    <cellStyle name="Normal 4 4 2 3 5 2 3" xfId="29720"/>
    <cellStyle name="Normal 4 4 2 3 5 3" xfId="29721"/>
    <cellStyle name="Normal 4 4 2 3 5 3 2" xfId="29722"/>
    <cellStyle name="Normal 4 4 2 3 5 3 3" xfId="29723"/>
    <cellStyle name="Normal 4 4 2 3 5 4" xfId="29724"/>
    <cellStyle name="Normal 4 4 2 3 5 5" xfId="29725"/>
    <cellStyle name="Normal 4 4 2 3 6" xfId="29726"/>
    <cellStyle name="Normal 4 4 2 3 6 2" xfId="29727"/>
    <cellStyle name="Normal 4 4 2 3 6 3" xfId="29728"/>
    <cellStyle name="Normal 4 4 2 3 7" xfId="29729"/>
    <cellStyle name="Normal 4 4 2 3 7 2" xfId="29730"/>
    <cellStyle name="Normal 4 4 2 3 7 3" xfId="29731"/>
    <cellStyle name="Normal 4 4 2 3 8" xfId="29732"/>
    <cellStyle name="Normal 4 4 2 3 9" xfId="29733"/>
    <cellStyle name="Normal 4 4 2 4" xfId="29734"/>
    <cellStyle name="Normal 4 4 2 4 2" xfId="29735"/>
    <cellStyle name="Normal 4 4 2 4 2 2" xfId="29736"/>
    <cellStyle name="Normal 4 4 2 4 2 2 2" xfId="29737"/>
    <cellStyle name="Normal 4 4 2 4 2 2 3" xfId="29738"/>
    <cellStyle name="Normal 4 4 2 4 2 3" xfId="29739"/>
    <cellStyle name="Normal 4 4 2 4 2 3 2" xfId="29740"/>
    <cellStyle name="Normal 4 4 2 4 2 3 3" xfId="29741"/>
    <cellStyle name="Normal 4 4 2 4 2 4" xfId="29742"/>
    <cellStyle name="Normal 4 4 2 4 2 5" xfId="29743"/>
    <cellStyle name="Normal 4 4 2 4 3" xfId="29744"/>
    <cellStyle name="Normal 4 4 2 4 3 2" xfId="29745"/>
    <cellStyle name="Normal 4 4 2 4 3 2 2" xfId="29746"/>
    <cellStyle name="Normal 4 4 2 4 3 2 3" xfId="29747"/>
    <cellStyle name="Normal 4 4 2 4 3 3" xfId="29748"/>
    <cellStyle name="Normal 4 4 2 4 3 3 2" xfId="29749"/>
    <cellStyle name="Normal 4 4 2 4 3 3 3" xfId="29750"/>
    <cellStyle name="Normal 4 4 2 4 3 4" xfId="29751"/>
    <cellStyle name="Normal 4 4 2 4 3 5" xfId="29752"/>
    <cellStyle name="Normal 4 4 2 4 4" xfId="29753"/>
    <cellStyle name="Normal 4 4 2 4 4 2" xfId="29754"/>
    <cellStyle name="Normal 4 4 2 4 4 3" xfId="29755"/>
    <cellStyle name="Normal 4 4 2 4 5" xfId="29756"/>
    <cellStyle name="Normal 4 4 2 4 5 2" xfId="29757"/>
    <cellStyle name="Normal 4 4 2 4 5 3" xfId="29758"/>
    <cellStyle name="Normal 4 4 2 4 6" xfId="29759"/>
    <cellStyle name="Normal 4 4 2 4 7" xfId="29760"/>
    <cellStyle name="Normal 4 4 2 5" xfId="29761"/>
    <cellStyle name="Normal 4 4 2 5 2" xfId="29762"/>
    <cellStyle name="Normal 4 4 2 5 2 2" xfId="29763"/>
    <cellStyle name="Normal 4 4 2 5 2 2 2" xfId="29764"/>
    <cellStyle name="Normal 4 4 2 5 2 2 3" xfId="29765"/>
    <cellStyle name="Normal 4 4 2 5 2 3" xfId="29766"/>
    <cellStyle name="Normal 4 4 2 5 2 3 2" xfId="29767"/>
    <cellStyle name="Normal 4 4 2 5 2 3 3" xfId="29768"/>
    <cellStyle name="Normal 4 4 2 5 2 4" xfId="29769"/>
    <cellStyle name="Normal 4 4 2 5 2 5" xfId="29770"/>
    <cellStyle name="Normal 4 4 2 5 3" xfId="29771"/>
    <cellStyle name="Normal 4 4 2 5 3 2" xfId="29772"/>
    <cellStyle name="Normal 4 4 2 5 3 2 2" xfId="29773"/>
    <cellStyle name="Normal 4 4 2 5 3 2 3" xfId="29774"/>
    <cellStyle name="Normal 4 4 2 5 3 3" xfId="29775"/>
    <cellStyle name="Normal 4 4 2 5 3 3 2" xfId="29776"/>
    <cellStyle name="Normal 4 4 2 5 3 3 3" xfId="29777"/>
    <cellStyle name="Normal 4 4 2 5 3 4" xfId="29778"/>
    <cellStyle name="Normal 4 4 2 5 3 5" xfId="29779"/>
    <cellStyle name="Normal 4 4 2 5 4" xfId="29780"/>
    <cellStyle name="Normal 4 4 2 5 4 2" xfId="29781"/>
    <cellStyle name="Normal 4 4 2 5 4 3" xfId="29782"/>
    <cellStyle name="Normal 4 4 2 5 5" xfId="29783"/>
    <cellStyle name="Normal 4 4 2 5 5 2" xfId="29784"/>
    <cellStyle name="Normal 4 4 2 5 5 3" xfId="29785"/>
    <cellStyle name="Normal 4 4 2 5 6" xfId="29786"/>
    <cellStyle name="Normal 4 4 2 5 7" xfId="29787"/>
    <cellStyle name="Normal 4 4 2 6" xfId="29788"/>
    <cellStyle name="Normal 4 4 2 6 2" xfId="29789"/>
    <cellStyle name="Normal 4 4 2 6 2 2" xfId="29790"/>
    <cellStyle name="Normal 4 4 2 6 2 3" xfId="29791"/>
    <cellStyle name="Normal 4 4 2 6 3" xfId="29792"/>
    <cellStyle name="Normal 4 4 2 6 3 2" xfId="29793"/>
    <cellStyle name="Normal 4 4 2 6 3 3" xfId="29794"/>
    <cellStyle name="Normal 4 4 2 6 4" xfId="29795"/>
    <cellStyle name="Normal 4 4 2 6 5" xfId="29796"/>
    <cellStyle name="Normal 4 4 2 7" xfId="29797"/>
    <cellStyle name="Normal 4 4 2 7 2" xfId="29798"/>
    <cellStyle name="Normal 4 4 2 7 2 2" xfId="29799"/>
    <cellStyle name="Normal 4 4 2 7 2 3" xfId="29800"/>
    <cellStyle name="Normal 4 4 2 7 3" xfId="29801"/>
    <cellStyle name="Normal 4 4 2 7 3 2" xfId="29802"/>
    <cellStyle name="Normal 4 4 2 7 3 3" xfId="29803"/>
    <cellStyle name="Normal 4 4 2 7 4" xfId="29804"/>
    <cellStyle name="Normal 4 4 2 7 5" xfId="29805"/>
    <cellStyle name="Normal 4 4 2 8" xfId="29806"/>
    <cellStyle name="Normal 4 4 2 8 2" xfId="29807"/>
    <cellStyle name="Normal 4 4 2 8 3" xfId="29808"/>
    <cellStyle name="Normal 4 4 2 9" xfId="29809"/>
    <cellStyle name="Normal 4 4 2 9 2" xfId="29810"/>
    <cellStyle name="Normal 4 4 2 9 3" xfId="29811"/>
    <cellStyle name="Normal 4 40" xfId="29812"/>
    <cellStyle name="Normal 4 41" xfId="29813"/>
    <cellStyle name="Normal 4 42" xfId="29814"/>
    <cellStyle name="Normal 4 43" xfId="29815"/>
    <cellStyle name="Normal 4 44" xfId="29816"/>
    <cellStyle name="Normal 4 45" xfId="29817"/>
    <cellStyle name="Normal 4 46" xfId="29818"/>
    <cellStyle name="Normal 4 47" xfId="29819"/>
    <cellStyle name="Normal 4 48" xfId="29820"/>
    <cellStyle name="Normal 4 49" xfId="29821"/>
    <cellStyle name="Normal 4 5" xfId="29822"/>
    <cellStyle name="Normal 4 50" xfId="29823"/>
    <cellStyle name="Normal 4 51" xfId="29824"/>
    <cellStyle name="Normal 4 52" xfId="29825"/>
    <cellStyle name="Normal 4 53" xfId="29826"/>
    <cellStyle name="Normal 4 54" xfId="29827"/>
    <cellStyle name="Normal 4 55" xfId="29828"/>
    <cellStyle name="Normal 4 56" xfId="29829"/>
    <cellStyle name="Normal 4 57" xfId="29830"/>
    <cellStyle name="Normal 4 58" xfId="29831"/>
    <cellStyle name="Normal 4 59" xfId="29832"/>
    <cellStyle name="Normal 4 6" xfId="29833"/>
    <cellStyle name="Normal 4 60" xfId="29834"/>
    <cellStyle name="Normal 4 61" xfId="29835"/>
    <cellStyle name="Normal 4 62" xfId="29836"/>
    <cellStyle name="Normal 4 63" xfId="29837"/>
    <cellStyle name="Normal 4 64" xfId="29838"/>
    <cellStyle name="Normal 4 65" xfId="29839"/>
    <cellStyle name="Normal 4 66" xfId="29840"/>
    <cellStyle name="Normal 4 67" xfId="29841"/>
    <cellStyle name="Normal 4 68" xfId="29842"/>
    <cellStyle name="Normal 4 69" xfId="29843"/>
    <cellStyle name="Normal 4 7" xfId="29844"/>
    <cellStyle name="Normal 4 70" xfId="29845"/>
    <cellStyle name="Normal 4 71" xfId="29846"/>
    <cellStyle name="Normal 4 72" xfId="29847"/>
    <cellStyle name="Normal 4 73" xfId="29848"/>
    <cellStyle name="Normal 4 74" xfId="29849"/>
    <cellStyle name="Normal 4 74 2" xfId="29850"/>
    <cellStyle name="Normal 4 74 2 2" xfId="29851"/>
    <cellStyle name="Normal 4 74 2 2 2" xfId="29852"/>
    <cellStyle name="Normal 4 74 2 2 2 2" xfId="29853"/>
    <cellStyle name="Normal 4 74 2 2 2 3" xfId="29854"/>
    <cellStyle name="Normal 4 74 2 2 3" xfId="29855"/>
    <cellStyle name="Normal 4 74 2 2 3 2" xfId="29856"/>
    <cellStyle name="Normal 4 74 2 2 3 3" xfId="29857"/>
    <cellStyle name="Normal 4 74 2 2 4" xfId="29858"/>
    <cellStyle name="Normal 4 74 2 2 5" xfId="29859"/>
    <cellStyle name="Normal 4 74 2 3" xfId="29860"/>
    <cellStyle name="Normal 4 74 2 3 2" xfId="29861"/>
    <cellStyle name="Normal 4 74 2 3 2 2" xfId="29862"/>
    <cellStyle name="Normal 4 74 2 3 2 3" xfId="29863"/>
    <cellStyle name="Normal 4 74 2 3 3" xfId="29864"/>
    <cellStyle name="Normal 4 74 2 3 3 2" xfId="29865"/>
    <cellStyle name="Normal 4 74 2 3 3 3" xfId="29866"/>
    <cellStyle name="Normal 4 74 2 3 4" xfId="29867"/>
    <cellStyle name="Normal 4 74 2 3 5" xfId="29868"/>
    <cellStyle name="Normal 4 74 2 4" xfId="29869"/>
    <cellStyle name="Normal 4 74 2 4 2" xfId="29870"/>
    <cellStyle name="Normal 4 74 2 4 3" xfId="29871"/>
    <cellStyle name="Normal 4 74 2 5" xfId="29872"/>
    <cellStyle name="Normal 4 74 2 5 2" xfId="29873"/>
    <cellStyle name="Normal 4 74 2 5 3" xfId="29874"/>
    <cellStyle name="Normal 4 74 2 6" xfId="29875"/>
    <cellStyle name="Normal 4 74 2 7" xfId="29876"/>
    <cellStyle name="Normal 4 74 3" xfId="29877"/>
    <cellStyle name="Normal 4 74 3 2" xfId="29878"/>
    <cellStyle name="Normal 4 74 3 2 2" xfId="29879"/>
    <cellStyle name="Normal 4 74 3 2 2 2" xfId="29880"/>
    <cellStyle name="Normal 4 74 3 2 2 3" xfId="29881"/>
    <cellStyle name="Normal 4 74 3 2 3" xfId="29882"/>
    <cellStyle name="Normal 4 74 3 2 3 2" xfId="29883"/>
    <cellStyle name="Normal 4 74 3 2 3 3" xfId="29884"/>
    <cellStyle name="Normal 4 74 3 2 4" xfId="29885"/>
    <cellStyle name="Normal 4 74 3 2 5" xfId="29886"/>
    <cellStyle name="Normal 4 74 3 3" xfId="29887"/>
    <cellStyle name="Normal 4 74 3 3 2" xfId="29888"/>
    <cellStyle name="Normal 4 74 3 3 2 2" xfId="29889"/>
    <cellStyle name="Normal 4 74 3 3 2 3" xfId="29890"/>
    <cellStyle name="Normal 4 74 3 3 3" xfId="29891"/>
    <cellStyle name="Normal 4 74 3 3 3 2" xfId="29892"/>
    <cellStyle name="Normal 4 74 3 3 3 3" xfId="29893"/>
    <cellStyle name="Normal 4 74 3 3 4" xfId="29894"/>
    <cellStyle name="Normal 4 74 3 3 5" xfId="29895"/>
    <cellStyle name="Normal 4 74 3 4" xfId="29896"/>
    <cellStyle name="Normal 4 74 3 4 2" xfId="29897"/>
    <cellStyle name="Normal 4 74 3 4 3" xfId="29898"/>
    <cellStyle name="Normal 4 74 3 5" xfId="29899"/>
    <cellStyle name="Normal 4 74 3 5 2" xfId="29900"/>
    <cellStyle name="Normal 4 74 3 5 3" xfId="29901"/>
    <cellStyle name="Normal 4 74 3 6" xfId="29902"/>
    <cellStyle name="Normal 4 74 3 7" xfId="29903"/>
    <cellStyle name="Normal 4 74 4" xfId="29904"/>
    <cellStyle name="Normal 4 74 4 2" xfId="29905"/>
    <cellStyle name="Normal 4 74 4 2 2" xfId="29906"/>
    <cellStyle name="Normal 4 74 4 2 3" xfId="29907"/>
    <cellStyle name="Normal 4 74 4 3" xfId="29908"/>
    <cellStyle name="Normal 4 74 4 3 2" xfId="29909"/>
    <cellStyle name="Normal 4 74 4 3 3" xfId="29910"/>
    <cellStyle name="Normal 4 74 4 4" xfId="29911"/>
    <cellStyle name="Normal 4 74 4 5" xfId="29912"/>
    <cellStyle name="Normal 4 74 5" xfId="29913"/>
    <cellStyle name="Normal 4 74 5 2" xfId="29914"/>
    <cellStyle name="Normal 4 74 5 2 2" xfId="29915"/>
    <cellStyle name="Normal 4 74 5 2 3" xfId="29916"/>
    <cellStyle name="Normal 4 74 5 3" xfId="29917"/>
    <cellStyle name="Normal 4 74 5 3 2" xfId="29918"/>
    <cellStyle name="Normal 4 74 5 3 3" xfId="29919"/>
    <cellStyle name="Normal 4 74 5 4" xfId="29920"/>
    <cellStyle name="Normal 4 74 5 5" xfId="29921"/>
    <cellStyle name="Normal 4 74 6" xfId="29922"/>
    <cellStyle name="Normal 4 74 6 2" xfId="29923"/>
    <cellStyle name="Normal 4 74 6 3" xfId="29924"/>
    <cellStyle name="Normal 4 74 7" xfId="29925"/>
    <cellStyle name="Normal 4 74 7 2" xfId="29926"/>
    <cellStyle name="Normal 4 74 7 3" xfId="29927"/>
    <cellStyle name="Normal 4 74 8" xfId="29928"/>
    <cellStyle name="Normal 4 74 9" xfId="29929"/>
    <cellStyle name="Normal 4 75" xfId="42890"/>
    <cellStyle name="Normal 4 8" xfId="29930"/>
    <cellStyle name="Normal 4 9" xfId="29931"/>
    <cellStyle name="Normal 4_2011 January Forecast Feb 11 copy" xfId="29932"/>
    <cellStyle name="Normal 40" xfId="29933"/>
    <cellStyle name="Normal 40 10" xfId="29934"/>
    <cellStyle name="Normal 40 10 2" xfId="29935"/>
    <cellStyle name="Normal 40 10 3" xfId="29936"/>
    <cellStyle name="Normal 40 11" xfId="29937"/>
    <cellStyle name="Normal 40 12" xfId="29938"/>
    <cellStyle name="Normal 40 2" xfId="29939"/>
    <cellStyle name="Normal 40 2 2" xfId="29940"/>
    <cellStyle name="Normal 40 2 2 2" xfId="29941"/>
    <cellStyle name="Normal 40 2 2 2 2" xfId="29942"/>
    <cellStyle name="Normal 40 2 2 2 2 2" xfId="29943"/>
    <cellStyle name="Normal 40 2 2 2 2 3" xfId="29944"/>
    <cellStyle name="Normal 40 2 2 2 3" xfId="29945"/>
    <cellStyle name="Normal 40 2 2 2 3 2" xfId="29946"/>
    <cellStyle name="Normal 40 2 2 2 3 3" xfId="29947"/>
    <cellStyle name="Normal 40 2 2 2 4" xfId="29948"/>
    <cellStyle name="Normal 40 2 2 2 5" xfId="29949"/>
    <cellStyle name="Normal 40 2 2 3" xfId="29950"/>
    <cellStyle name="Normal 40 2 2 3 2" xfId="29951"/>
    <cellStyle name="Normal 40 2 2 3 2 2" xfId="29952"/>
    <cellStyle name="Normal 40 2 2 3 2 3" xfId="29953"/>
    <cellStyle name="Normal 40 2 2 3 3" xfId="29954"/>
    <cellStyle name="Normal 40 2 2 3 3 2" xfId="29955"/>
    <cellStyle name="Normal 40 2 2 3 3 3" xfId="29956"/>
    <cellStyle name="Normal 40 2 2 3 4" xfId="29957"/>
    <cellStyle name="Normal 40 2 2 3 5" xfId="29958"/>
    <cellStyle name="Normal 40 2 2 4" xfId="29959"/>
    <cellStyle name="Normal 40 2 2 4 2" xfId="29960"/>
    <cellStyle name="Normal 40 2 2 4 3" xfId="29961"/>
    <cellStyle name="Normal 40 2 2 5" xfId="29962"/>
    <cellStyle name="Normal 40 2 2 5 2" xfId="29963"/>
    <cellStyle name="Normal 40 2 2 5 3" xfId="29964"/>
    <cellStyle name="Normal 40 2 2 6" xfId="29965"/>
    <cellStyle name="Normal 40 2 2 7" xfId="29966"/>
    <cellStyle name="Normal 40 2 3" xfId="29967"/>
    <cellStyle name="Normal 40 2 3 2" xfId="29968"/>
    <cellStyle name="Normal 40 2 3 2 2" xfId="29969"/>
    <cellStyle name="Normal 40 2 3 2 2 2" xfId="29970"/>
    <cellStyle name="Normal 40 2 3 2 2 3" xfId="29971"/>
    <cellStyle name="Normal 40 2 3 2 3" xfId="29972"/>
    <cellStyle name="Normal 40 2 3 2 3 2" xfId="29973"/>
    <cellStyle name="Normal 40 2 3 2 3 3" xfId="29974"/>
    <cellStyle name="Normal 40 2 3 2 4" xfId="29975"/>
    <cellStyle name="Normal 40 2 3 2 5" xfId="29976"/>
    <cellStyle name="Normal 40 2 3 3" xfId="29977"/>
    <cellStyle name="Normal 40 2 3 3 2" xfId="29978"/>
    <cellStyle name="Normal 40 2 3 3 2 2" xfId="29979"/>
    <cellStyle name="Normal 40 2 3 3 2 3" xfId="29980"/>
    <cellStyle name="Normal 40 2 3 3 3" xfId="29981"/>
    <cellStyle name="Normal 40 2 3 3 3 2" xfId="29982"/>
    <cellStyle name="Normal 40 2 3 3 3 3" xfId="29983"/>
    <cellStyle name="Normal 40 2 3 3 4" xfId="29984"/>
    <cellStyle name="Normal 40 2 3 3 5" xfId="29985"/>
    <cellStyle name="Normal 40 2 3 4" xfId="29986"/>
    <cellStyle name="Normal 40 2 3 4 2" xfId="29987"/>
    <cellStyle name="Normal 40 2 3 4 3" xfId="29988"/>
    <cellStyle name="Normal 40 2 3 5" xfId="29989"/>
    <cellStyle name="Normal 40 2 3 5 2" xfId="29990"/>
    <cellStyle name="Normal 40 2 3 5 3" xfId="29991"/>
    <cellStyle name="Normal 40 2 3 6" xfId="29992"/>
    <cellStyle name="Normal 40 2 3 7" xfId="29993"/>
    <cellStyle name="Normal 40 2 4" xfId="29994"/>
    <cellStyle name="Normal 40 2 4 2" xfId="29995"/>
    <cellStyle name="Normal 40 2 4 2 2" xfId="29996"/>
    <cellStyle name="Normal 40 2 4 2 3" xfId="29997"/>
    <cellStyle name="Normal 40 2 4 3" xfId="29998"/>
    <cellStyle name="Normal 40 2 4 3 2" xfId="29999"/>
    <cellStyle name="Normal 40 2 4 3 3" xfId="30000"/>
    <cellStyle name="Normal 40 2 4 4" xfId="30001"/>
    <cellStyle name="Normal 40 2 4 5" xfId="30002"/>
    <cellStyle name="Normal 40 2 5" xfId="30003"/>
    <cellStyle name="Normal 40 2 5 2" xfId="30004"/>
    <cellStyle name="Normal 40 2 5 2 2" xfId="30005"/>
    <cellStyle name="Normal 40 2 5 2 3" xfId="30006"/>
    <cellStyle name="Normal 40 2 5 3" xfId="30007"/>
    <cellStyle name="Normal 40 2 5 3 2" xfId="30008"/>
    <cellStyle name="Normal 40 2 5 3 3" xfId="30009"/>
    <cellStyle name="Normal 40 2 5 4" xfId="30010"/>
    <cellStyle name="Normal 40 2 5 5" xfId="30011"/>
    <cellStyle name="Normal 40 2 6" xfId="30012"/>
    <cellStyle name="Normal 40 2 6 2" xfId="30013"/>
    <cellStyle name="Normal 40 2 6 3" xfId="30014"/>
    <cellStyle name="Normal 40 2 7" xfId="30015"/>
    <cellStyle name="Normal 40 2 7 2" xfId="30016"/>
    <cellStyle name="Normal 40 2 7 3" xfId="30017"/>
    <cellStyle name="Normal 40 2 8" xfId="30018"/>
    <cellStyle name="Normal 40 2 9" xfId="30019"/>
    <cellStyle name="Normal 40 3" xfId="30020"/>
    <cellStyle name="Normal 40 3 2" xfId="30021"/>
    <cellStyle name="Normal 40 3 2 2" xfId="30022"/>
    <cellStyle name="Normal 40 3 2 2 2" xfId="30023"/>
    <cellStyle name="Normal 40 3 2 2 2 2" xfId="30024"/>
    <cellStyle name="Normal 40 3 2 2 2 3" xfId="30025"/>
    <cellStyle name="Normal 40 3 2 2 3" xfId="30026"/>
    <cellStyle name="Normal 40 3 2 2 3 2" xfId="30027"/>
    <cellStyle name="Normal 40 3 2 2 3 3" xfId="30028"/>
    <cellStyle name="Normal 40 3 2 2 4" xfId="30029"/>
    <cellStyle name="Normal 40 3 2 2 5" xfId="30030"/>
    <cellStyle name="Normal 40 3 2 3" xfId="30031"/>
    <cellStyle name="Normal 40 3 2 3 2" xfId="30032"/>
    <cellStyle name="Normal 40 3 2 3 2 2" xfId="30033"/>
    <cellStyle name="Normal 40 3 2 3 2 3" xfId="30034"/>
    <cellStyle name="Normal 40 3 2 3 3" xfId="30035"/>
    <cellStyle name="Normal 40 3 2 3 3 2" xfId="30036"/>
    <cellStyle name="Normal 40 3 2 3 3 3" xfId="30037"/>
    <cellStyle name="Normal 40 3 2 3 4" xfId="30038"/>
    <cellStyle name="Normal 40 3 2 3 5" xfId="30039"/>
    <cellStyle name="Normal 40 3 2 4" xfId="30040"/>
    <cellStyle name="Normal 40 3 2 4 2" xfId="30041"/>
    <cellStyle name="Normal 40 3 2 4 3" xfId="30042"/>
    <cellStyle name="Normal 40 3 2 5" xfId="30043"/>
    <cellStyle name="Normal 40 3 2 5 2" xfId="30044"/>
    <cellStyle name="Normal 40 3 2 5 3" xfId="30045"/>
    <cellStyle name="Normal 40 3 2 6" xfId="30046"/>
    <cellStyle name="Normal 40 3 2 7" xfId="30047"/>
    <cellStyle name="Normal 40 3 3" xfId="30048"/>
    <cellStyle name="Normal 40 3 3 2" xfId="30049"/>
    <cellStyle name="Normal 40 3 3 2 2" xfId="30050"/>
    <cellStyle name="Normal 40 3 3 2 2 2" xfId="30051"/>
    <cellStyle name="Normal 40 3 3 2 2 3" xfId="30052"/>
    <cellStyle name="Normal 40 3 3 2 3" xfId="30053"/>
    <cellStyle name="Normal 40 3 3 2 3 2" xfId="30054"/>
    <cellStyle name="Normal 40 3 3 2 3 3" xfId="30055"/>
    <cellStyle name="Normal 40 3 3 2 4" xfId="30056"/>
    <cellStyle name="Normal 40 3 3 2 5" xfId="30057"/>
    <cellStyle name="Normal 40 3 3 3" xfId="30058"/>
    <cellStyle name="Normal 40 3 3 3 2" xfId="30059"/>
    <cellStyle name="Normal 40 3 3 3 2 2" xfId="30060"/>
    <cellStyle name="Normal 40 3 3 3 2 3" xfId="30061"/>
    <cellStyle name="Normal 40 3 3 3 3" xfId="30062"/>
    <cellStyle name="Normal 40 3 3 3 3 2" xfId="30063"/>
    <cellStyle name="Normal 40 3 3 3 3 3" xfId="30064"/>
    <cellStyle name="Normal 40 3 3 3 4" xfId="30065"/>
    <cellStyle name="Normal 40 3 3 3 5" xfId="30066"/>
    <cellStyle name="Normal 40 3 3 4" xfId="30067"/>
    <cellStyle name="Normal 40 3 3 4 2" xfId="30068"/>
    <cellStyle name="Normal 40 3 3 4 3" xfId="30069"/>
    <cellStyle name="Normal 40 3 3 5" xfId="30070"/>
    <cellStyle name="Normal 40 3 3 5 2" xfId="30071"/>
    <cellStyle name="Normal 40 3 3 5 3" xfId="30072"/>
    <cellStyle name="Normal 40 3 3 6" xfId="30073"/>
    <cellStyle name="Normal 40 3 3 7" xfId="30074"/>
    <cellStyle name="Normal 40 3 4" xfId="30075"/>
    <cellStyle name="Normal 40 3 4 2" xfId="30076"/>
    <cellStyle name="Normal 40 3 4 2 2" xfId="30077"/>
    <cellStyle name="Normal 40 3 4 2 3" xfId="30078"/>
    <cellStyle name="Normal 40 3 4 3" xfId="30079"/>
    <cellStyle name="Normal 40 3 4 3 2" xfId="30080"/>
    <cellStyle name="Normal 40 3 4 3 3" xfId="30081"/>
    <cellStyle name="Normal 40 3 4 4" xfId="30082"/>
    <cellStyle name="Normal 40 3 4 5" xfId="30083"/>
    <cellStyle name="Normal 40 3 5" xfId="30084"/>
    <cellStyle name="Normal 40 3 5 2" xfId="30085"/>
    <cellStyle name="Normal 40 3 5 2 2" xfId="30086"/>
    <cellStyle name="Normal 40 3 5 2 3" xfId="30087"/>
    <cellStyle name="Normal 40 3 5 3" xfId="30088"/>
    <cellStyle name="Normal 40 3 5 3 2" xfId="30089"/>
    <cellStyle name="Normal 40 3 5 3 3" xfId="30090"/>
    <cellStyle name="Normal 40 3 5 4" xfId="30091"/>
    <cellStyle name="Normal 40 3 5 5" xfId="30092"/>
    <cellStyle name="Normal 40 3 6" xfId="30093"/>
    <cellStyle name="Normal 40 3 6 2" xfId="30094"/>
    <cellStyle name="Normal 40 3 6 3" xfId="30095"/>
    <cellStyle name="Normal 40 3 7" xfId="30096"/>
    <cellStyle name="Normal 40 3 7 2" xfId="30097"/>
    <cellStyle name="Normal 40 3 7 3" xfId="30098"/>
    <cellStyle name="Normal 40 3 8" xfId="30099"/>
    <cellStyle name="Normal 40 3 9" xfId="30100"/>
    <cellStyle name="Normal 40 4" xfId="30101"/>
    <cellStyle name="Normal 40 4 10" xfId="30102"/>
    <cellStyle name="Normal 40 4 2" xfId="30103"/>
    <cellStyle name="Normal 40 4 2 10" xfId="30104"/>
    <cellStyle name="Normal 40 4 2 2" xfId="30105"/>
    <cellStyle name="Normal 40 4 2 2 2" xfId="30106"/>
    <cellStyle name="Normal 40 4 2 2 2 2" xfId="30107"/>
    <cellStyle name="Normal 40 4 2 2 2 2 2" xfId="30108"/>
    <cellStyle name="Normal 40 4 2 2 2 2 3" xfId="30109"/>
    <cellStyle name="Normal 40 4 2 2 2 3" xfId="30110"/>
    <cellStyle name="Normal 40 4 2 2 2 3 2" xfId="30111"/>
    <cellStyle name="Normal 40 4 2 2 2 3 3" xfId="30112"/>
    <cellStyle name="Normal 40 4 2 2 2 4" xfId="30113"/>
    <cellStyle name="Normal 40 4 2 2 2 5" xfId="30114"/>
    <cellStyle name="Normal 40 4 2 2 3" xfId="30115"/>
    <cellStyle name="Normal 40 4 2 2 3 2" xfId="30116"/>
    <cellStyle name="Normal 40 4 2 2 3 2 2" xfId="30117"/>
    <cellStyle name="Normal 40 4 2 2 3 2 3" xfId="30118"/>
    <cellStyle name="Normal 40 4 2 2 3 3" xfId="30119"/>
    <cellStyle name="Normal 40 4 2 2 3 3 2" xfId="30120"/>
    <cellStyle name="Normal 40 4 2 2 3 3 3" xfId="30121"/>
    <cellStyle name="Normal 40 4 2 2 3 4" xfId="30122"/>
    <cellStyle name="Normal 40 4 2 2 3 5" xfId="30123"/>
    <cellStyle name="Normal 40 4 2 2 4" xfId="30124"/>
    <cellStyle name="Normal 40 4 2 2 4 2" xfId="30125"/>
    <cellStyle name="Normal 40 4 2 2 4 3" xfId="30126"/>
    <cellStyle name="Normal 40 4 2 2 5" xfId="30127"/>
    <cellStyle name="Normal 40 4 2 2 5 2" xfId="30128"/>
    <cellStyle name="Normal 40 4 2 2 5 3" xfId="30129"/>
    <cellStyle name="Normal 40 4 2 2 6" xfId="30130"/>
    <cellStyle name="Normal 40 4 2 2 7" xfId="30131"/>
    <cellStyle name="Normal 40 4 2 3" xfId="30132"/>
    <cellStyle name="Normal 40 4 2 3 2" xfId="30133"/>
    <cellStyle name="Normal 40 4 2 3 2 2" xfId="30134"/>
    <cellStyle name="Normal 40 4 2 3 2 2 2" xfId="30135"/>
    <cellStyle name="Normal 40 4 2 3 2 2 3" xfId="30136"/>
    <cellStyle name="Normal 40 4 2 3 2 3" xfId="30137"/>
    <cellStyle name="Normal 40 4 2 3 2 3 2" xfId="30138"/>
    <cellStyle name="Normal 40 4 2 3 2 3 3" xfId="30139"/>
    <cellStyle name="Normal 40 4 2 3 2 4" xfId="30140"/>
    <cellStyle name="Normal 40 4 2 3 2 5" xfId="30141"/>
    <cellStyle name="Normal 40 4 2 3 3" xfId="30142"/>
    <cellStyle name="Normal 40 4 2 3 3 2" xfId="30143"/>
    <cellStyle name="Normal 40 4 2 3 3 2 2" xfId="30144"/>
    <cellStyle name="Normal 40 4 2 3 3 2 3" xfId="30145"/>
    <cellStyle name="Normal 40 4 2 3 3 3" xfId="30146"/>
    <cellStyle name="Normal 40 4 2 3 3 3 2" xfId="30147"/>
    <cellStyle name="Normal 40 4 2 3 3 3 3" xfId="30148"/>
    <cellStyle name="Normal 40 4 2 3 3 4" xfId="30149"/>
    <cellStyle name="Normal 40 4 2 3 3 5" xfId="30150"/>
    <cellStyle name="Normal 40 4 2 3 4" xfId="30151"/>
    <cellStyle name="Normal 40 4 2 3 4 2" xfId="30152"/>
    <cellStyle name="Normal 40 4 2 3 4 3" xfId="30153"/>
    <cellStyle name="Normal 40 4 2 3 5" xfId="30154"/>
    <cellStyle name="Normal 40 4 2 3 5 2" xfId="30155"/>
    <cellStyle name="Normal 40 4 2 3 5 3" xfId="30156"/>
    <cellStyle name="Normal 40 4 2 3 6" xfId="30157"/>
    <cellStyle name="Normal 40 4 2 3 7" xfId="30158"/>
    <cellStyle name="Normal 40 4 2 4" xfId="30159"/>
    <cellStyle name="Normal 40 4 2 4 2" xfId="30160"/>
    <cellStyle name="Normal 40 4 2 4 2 2" xfId="30161"/>
    <cellStyle name="Normal 40 4 2 4 2 3" xfId="30162"/>
    <cellStyle name="Normal 40 4 2 4 3" xfId="30163"/>
    <cellStyle name="Normal 40 4 2 4 3 2" xfId="30164"/>
    <cellStyle name="Normal 40 4 2 4 3 3" xfId="30165"/>
    <cellStyle name="Normal 40 4 2 4 4" xfId="30166"/>
    <cellStyle name="Normal 40 4 2 4 5" xfId="30167"/>
    <cellStyle name="Normal 40 4 2 5" xfId="30168"/>
    <cellStyle name="Normal 40 4 2 5 2" xfId="30169"/>
    <cellStyle name="Normal 40 4 2 5 2 2" xfId="30170"/>
    <cellStyle name="Normal 40 4 2 5 2 3" xfId="30171"/>
    <cellStyle name="Normal 40 4 2 5 3" xfId="30172"/>
    <cellStyle name="Normal 40 4 2 5 3 2" xfId="30173"/>
    <cellStyle name="Normal 40 4 2 5 3 3" xfId="30174"/>
    <cellStyle name="Normal 40 4 2 5 4" xfId="30175"/>
    <cellStyle name="Normal 40 4 2 5 5" xfId="30176"/>
    <cellStyle name="Normal 40 4 2 6" xfId="30177"/>
    <cellStyle name="Normal 40 4 2 6 2" xfId="30178"/>
    <cellStyle name="Normal 40 4 2 6 2 2" xfId="30179"/>
    <cellStyle name="Normal 40 4 2 6 2 3" xfId="30180"/>
    <cellStyle name="Normal 40 4 2 6 2 4" xfId="30181"/>
    <cellStyle name="Normal 40 4 2 6 3" xfId="30182"/>
    <cellStyle name="Normal 40 4 2 6 4" xfId="30183"/>
    <cellStyle name="Normal 40 4 2 6 5" xfId="30184"/>
    <cellStyle name="Normal 40 4 2 7" xfId="30185"/>
    <cellStyle name="Normal 40 4 2 7 2" xfId="30186"/>
    <cellStyle name="Normal 40 4 2 7 3" xfId="30187"/>
    <cellStyle name="Normal 40 4 2 8" xfId="30188"/>
    <cellStyle name="Normal 40 4 2 8 2" xfId="30189"/>
    <cellStyle name="Normal 40 4 2 8 3" xfId="30190"/>
    <cellStyle name="Normal 40 4 2 9" xfId="30191"/>
    <cellStyle name="Normal 40 4 3" xfId="30192"/>
    <cellStyle name="Normal 40 4 3 2" xfId="30193"/>
    <cellStyle name="Normal 40 4 3 2 2" xfId="30194"/>
    <cellStyle name="Normal 40 4 3 2 2 2" xfId="30195"/>
    <cellStyle name="Normal 40 4 3 2 2 3" xfId="30196"/>
    <cellStyle name="Normal 40 4 3 2 3" xfId="30197"/>
    <cellStyle name="Normal 40 4 3 2 3 2" xfId="30198"/>
    <cellStyle name="Normal 40 4 3 2 3 3" xfId="30199"/>
    <cellStyle name="Normal 40 4 3 2 4" xfId="30200"/>
    <cellStyle name="Normal 40 4 3 2 5" xfId="30201"/>
    <cellStyle name="Normal 40 4 3 3" xfId="30202"/>
    <cellStyle name="Normal 40 4 3 3 2" xfId="30203"/>
    <cellStyle name="Normal 40 4 3 3 2 2" xfId="30204"/>
    <cellStyle name="Normal 40 4 3 3 2 3" xfId="30205"/>
    <cellStyle name="Normal 40 4 3 3 3" xfId="30206"/>
    <cellStyle name="Normal 40 4 3 3 3 2" xfId="30207"/>
    <cellStyle name="Normal 40 4 3 3 3 3" xfId="30208"/>
    <cellStyle name="Normal 40 4 3 3 4" xfId="30209"/>
    <cellStyle name="Normal 40 4 3 3 5" xfId="30210"/>
    <cellStyle name="Normal 40 4 3 4" xfId="30211"/>
    <cellStyle name="Normal 40 4 3 4 2" xfId="30212"/>
    <cellStyle name="Normal 40 4 3 4 3" xfId="30213"/>
    <cellStyle name="Normal 40 4 3 5" xfId="30214"/>
    <cellStyle name="Normal 40 4 3 5 2" xfId="30215"/>
    <cellStyle name="Normal 40 4 3 5 3" xfId="30216"/>
    <cellStyle name="Normal 40 4 3 6" xfId="30217"/>
    <cellStyle name="Normal 40 4 3 7" xfId="30218"/>
    <cellStyle name="Normal 40 4 4" xfId="30219"/>
    <cellStyle name="Normal 40 4 4 2" xfId="30220"/>
    <cellStyle name="Normal 40 4 4 2 2" xfId="30221"/>
    <cellStyle name="Normal 40 4 4 2 2 2" xfId="30222"/>
    <cellStyle name="Normal 40 4 4 2 2 3" xfId="30223"/>
    <cellStyle name="Normal 40 4 4 2 3" xfId="30224"/>
    <cellStyle name="Normal 40 4 4 2 3 2" xfId="30225"/>
    <cellStyle name="Normal 40 4 4 2 3 3" xfId="30226"/>
    <cellStyle name="Normal 40 4 4 2 4" xfId="30227"/>
    <cellStyle name="Normal 40 4 4 2 5" xfId="30228"/>
    <cellStyle name="Normal 40 4 4 3" xfId="30229"/>
    <cellStyle name="Normal 40 4 4 3 2" xfId="30230"/>
    <cellStyle name="Normal 40 4 4 3 2 2" xfId="30231"/>
    <cellStyle name="Normal 40 4 4 3 2 3" xfId="30232"/>
    <cellStyle name="Normal 40 4 4 3 3" xfId="30233"/>
    <cellStyle name="Normal 40 4 4 3 3 2" xfId="30234"/>
    <cellStyle name="Normal 40 4 4 3 3 3" xfId="30235"/>
    <cellStyle name="Normal 40 4 4 3 4" xfId="30236"/>
    <cellStyle name="Normal 40 4 4 3 5" xfId="30237"/>
    <cellStyle name="Normal 40 4 4 4" xfId="30238"/>
    <cellStyle name="Normal 40 4 4 4 2" xfId="30239"/>
    <cellStyle name="Normal 40 4 4 4 3" xfId="30240"/>
    <cellStyle name="Normal 40 4 4 5" xfId="30241"/>
    <cellStyle name="Normal 40 4 4 5 2" xfId="30242"/>
    <cellStyle name="Normal 40 4 4 5 3" xfId="30243"/>
    <cellStyle name="Normal 40 4 4 6" xfId="30244"/>
    <cellStyle name="Normal 40 4 4 7" xfId="30245"/>
    <cellStyle name="Normal 40 4 5" xfId="30246"/>
    <cellStyle name="Normal 40 4 5 2" xfId="30247"/>
    <cellStyle name="Normal 40 4 5 2 2" xfId="30248"/>
    <cellStyle name="Normal 40 4 5 2 3" xfId="30249"/>
    <cellStyle name="Normal 40 4 5 3" xfId="30250"/>
    <cellStyle name="Normal 40 4 5 3 2" xfId="30251"/>
    <cellStyle name="Normal 40 4 5 3 3" xfId="30252"/>
    <cellStyle name="Normal 40 4 5 4" xfId="30253"/>
    <cellStyle name="Normal 40 4 5 5" xfId="30254"/>
    <cellStyle name="Normal 40 4 6" xfId="30255"/>
    <cellStyle name="Normal 40 4 6 2" xfId="30256"/>
    <cellStyle name="Normal 40 4 6 2 2" xfId="30257"/>
    <cellStyle name="Normal 40 4 6 2 3" xfId="30258"/>
    <cellStyle name="Normal 40 4 6 3" xfId="30259"/>
    <cellStyle name="Normal 40 4 6 3 2" xfId="30260"/>
    <cellStyle name="Normal 40 4 6 3 3" xfId="30261"/>
    <cellStyle name="Normal 40 4 6 4" xfId="30262"/>
    <cellStyle name="Normal 40 4 6 5" xfId="30263"/>
    <cellStyle name="Normal 40 4 7" xfId="30264"/>
    <cellStyle name="Normal 40 4 7 2" xfId="30265"/>
    <cellStyle name="Normal 40 4 7 3" xfId="30266"/>
    <cellStyle name="Normal 40 4 8" xfId="30267"/>
    <cellStyle name="Normal 40 4 8 2" xfId="30268"/>
    <cellStyle name="Normal 40 4 8 3" xfId="30269"/>
    <cellStyle name="Normal 40 4 9" xfId="30270"/>
    <cellStyle name="Normal 40 5" xfId="30271"/>
    <cellStyle name="Normal 40 5 2" xfId="30272"/>
    <cellStyle name="Normal 40 5 2 2" xfId="30273"/>
    <cellStyle name="Normal 40 5 2 2 2" xfId="30274"/>
    <cellStyle name="Normal 40 5 2 2 3" xfId="30275"/>
    <cellStyle name="Normal 40 5 2 3" xfId="30276"/>
    <cellStyle name="Normal 40 5 2 3 2" xfId="30277"/>
    <cellStyle name="Normal 40 5 2 3 3" xfId="30278"/>
    <cellStyle name="Normal 40 5 2 4" xfId="30279"/>
    <cellStyle name="Normal 40 5 2 5" xfId="30280"/>
    <cellStyle name="Normal 40 5 3" xfId="30281"/>
    <cellStyle name="Normal 40 5 3 2" xfId="30282"/>
    <cellStyle name="Normal 40 5 3 2 2" xfId="30283"/>
    <cellStyle name="Normal 40 5 3 2 3" xfId="30284"/>
    <cellStyle name="Normal 40 5 3 3" xfId="30285"/>
    <cellStyle name="Normal 40 5 3 3 2" xfId="30286"/>
    <cellStyle name="Normal 40 5 3 3 3" xfId="30287"/>
    <cellStyle name="Normal 40 5 3 4" xfId="30288"/>
    <cellStyle name="Normal 40 5 3 5" xfId="30289"/>
    <cellStyle name="Normal 40 5 4" xfId="30290"/>
    <cellStyle name="Normal 40 5 4 2" xfId="30291"/>
    <cellStyle name="Normal 40 5 4 3" xfId="30292"/>
    <cellStyle name="Normal 40 5 5" xfId="30293"/>
    <cellStyle name="Normal 40 5 5 2" xfId="30294"/>
    <cellStyle name="Normal 40 5 5 3" xfId="30295"/>
    <cellStyle name="Normal 40 5 6" xfId="30296"/>
    <cellStyle name="Normal 40 5 7" xfId="30297"/>
    <cellStyle name="Normal 40 6" xfId="30298"/>
    <cellStyle name="Normal 40 6 2" xfId="30299"/>
    <cellStyle name="Normal 40 6 2 2" xfId="30300"/>
    <cellStyle name="Normal 40 6 2 2 2" xfId="30301"/>
    <cellStyle name="Normal 40 6 2 2 3" xfId="30302"/>
    <cellStyle name="Normal 40 6 2 3" xfId="30303"/>
    <cellStyle name="Normal 40 6 2 3 2" xfId="30304"/>
    <cellStyle name="Normal 40 6 2 3 3" xfId="30305"/>
    <cellStyle name="Normal 40 6 2 4" xfId="30306"/>
    <cellStyle name="Normal 40 6 2 5" xfId="30307"/>
    <cellStyle name="Normal 40 6 3" xfId="30308"/>
    <cellStyle name="Normal 40 6 3 2" xfId="30309"/>
    <cellStyle name="Normal 40 6 3 2 2" xfId="30310"/>
    <cellStyle name="Normal 40 6 3 2 3" xfId="30311"/>
    <cellStyle name="Normal 40 6 3 3" xfId="30312"/>
    <cellStyle name="Normal 40 6 3 3 2" xfId="30313"/>
    <cellStyle name="Normal 40 6 3 3 3" xfId="30314"/>
    <cellStyle name="Normal 40 6 3 4" xfId="30315"/>
    <cellStyle name="Normal 40 6 3 5" xfId="30316"/>
    <cellStyle name="Normal 40 6 4" xfId="30317"/>
    <cellStyle name="Normal 40 6 4 2" xfId="30318"/>
    <cellStyle name="Normal 40 6 4 3" xfId="30319"/>
    <cellStyle name="Normal 40 6 5" xfId="30320"/>
    <cellStyle name="Normal 40 6 5 2" xfId="30321"/>
    <cellStyle name="Normal 40 6 5 3" xfId="30322"/>
    <cellStyle name="Normal 40 6 6" xfId="30323"/>
    <cellStyle name="Normal 40 6 7" xfId="30324"/>
    <cellStyle name="Normal 40 7" xfId="30325"/>
    <cellStyle name="Normal 40 7 2" xfId="30326"/>
    <cellStyle name="Normal 40 7 2 2" xfId="30327"/>
    <cellStyle name="Normal 40 7 2 3" xfId="30328"/>
    <cellStyle name="Normal 40 7 3" xfId="30329"/>
    <cellStyle name="Normal 40 7 3 2" xfId="30330"/>
    <cellStyle name="Normal 40 7 3 3" xfId="30331"/>
    <cellStyle name="Normal 40 7 4" xfId="30332"/>
    <cellStyle name="Normal 40 7 5" xfId="30333"/>
    <cellStyle name="Normal 40 8" xfId="30334"/>
    <cellStyle name="Normal 40 8 2" xfId="30335"/>
    <cellStyle name="Normal 40 8 2 2" xfId="30336"/>
    <cellStyle name="Normal 40 8 2 3" xfId="30337"/>
    <cellStyle name="Normal 40 8 3" xfId="30338"/>
    <cellStyle name="Normal 40 8 3 2" xfId="30339"/>
    <cellStyle name="Normal 40 8 3 3" xfId="30340"/>
    <cellStyle name="Normal 40 8 4" xfId="30341"/>
    <cellStyle name="Normal 40 8 5" xfId="30342"/>
    <cellStyle name="Normal 40 9" xfId="30343"/>
    <cellStyle name="Normal 40 9 2" xfId="30344"/>
    <cellStyle name="Normal 40 9 3" xfId="30345"/>
    <cellStyle name="Normal 41" xfId="30346"/>
    <cellStyle name="Normal 42" xfId="30347"/>
    <cellStyle name="Normal 43" xfId="30348"/>
    <cellStyle name="Normal 43 2" xfId="30349"/>
    <cellStyle name="Normal 43 2 2" xfId="30350"/>
    <cellStyle name="Normal 43 2 3" xfId="30351"/>
    <cellStyle name="Normal 43 3" xfId="30352"/>
    <cellStyle name="Normal 43 4" xfId="30353"/>
    <cellStyle name="Normal 44" xfId="30354"/>
    <cellStyle name="Normal 44 2" xfId="30355"/>
    <cellStyle name="Normal 44 2 2" xfId="30356"/>
    <cellStyle name="Normal 44 2 2 2" xfId="30357"/>
    <cellStyle name="Normal 44 2 2 2 2" xfId="30358"/>
    <cellStyle name="Normal 44 2 2 2 3" xfId="30359"/>
    <cellStyle name="Normal 44 2 2 3" xfId="30360"/>
    <cellStyle name="Normal 44 2 2 3 2" xfId="30361"/>
    <cellStyle name="Normal 44 2 2 3 3" xfId="30362"/>
    <cellStyle name="Normal 44 2 2 4" xfId="30363"/>
    <cellStyle name="Normal 44 2 2 5" xfId="30364"/>
    <cellStyle name="Normal 44 2 3" xfId="30365"/>
    <cellStyle name="Normal 44 2 3 2" xfId="30366"/>
    <cellStyle name="Normal 44 2 3 2 2" xfId="30367"/>
    <cellStyle name="Normal 44 2 3 2 3" xfId="30368"/>
    <cellStyle name="Normal 44 2 3 3" xfId="30369"/>
    <cellStyle name="Normal 44 2 3 3 2" xfId="30370"/>
    <cellStyle name="Normal 44 2 3 3 3" xfId="30371"/>
    <cellStyle name="Normal 44 2 3 4" xfId="30372"/>
    <cellStyle name="Normal 44 2 3 5" xfId="30373"/>
    <cellStyle name="Normal 44 2 4" xfId="30374"/>
    <cellStyle name="Normal 44 2 4 2" xfId="30375"/>
    <cellStyle name="Normal 44 2 4 3" xfId="30376"/>
    <cellStyle name="Normal 44 2 5" xfId="30377"/>
    <cellStyle name="Normal 44 2 5 2" xfId="30378"/>
    <cellStyle name="Normal 44 2 5 3" xfId="30379"/>
    <cellStyle name="Normal 44 2 6" xfId="30380"/>
    <cellStyle name="Normal 44 2 7" xfId="30381"/>
    <cellStyle name="Normal 44 3" xfId="30382"/>
    <cellStyle name="Normal 44 3 2" xfId="30383"/>
    <cellStyle name="Normal 44 3 2 2" xfId="30384"/>
    <cellStyle name="Normal 44 3 2 2 2" xfId="30385"/>
    <cellStyle name="Normal 44 3 2 2 3" xfId="30386"/>
    <cellStyle name="Normal 44 3 2 3" xfId="30387"/>
    <cellStyle name="Normal 44 3 2 3 2" xfId="30388"/>
    <cellStyle name="Normal 44 3 2 3 3" xfId="30389"/>
    <cellStyle name="Normal 44 3 2 4" xfId="30390"/>
    <cellStyle name="Normal 44 3 2 5" xfId="30391"/>
    <cellStyle name="Normal 44 3 3" xfId="30392"/>
    <cellStyle name="Normal 44 3 3 2" xfId="30393"/>
    <cellStyle name="Normal 44 3 3 2 2" xfId="30394"/>
    <cellStyle name="Normal 44 3 3 2 3" xfId="30395"/>
    <cellStyle name="Normal 44 3 3 3" xfId="30396"/>
    <cellStyle name="Normal 44 3 3 3 2" xfId="30397"/>
    <cellStyle name="Normal 44 3 3 3 3" xfId="30398"/>
    <cellStyle name="Normal 44 3 3 4" xfId="30399"/>
    <cellStyle name="Normal 44 3 3 5" xfId="30400"/>
    <cellStyle name="Normal 44 3 4" xfId="30401"/>
    <cellStyle name="Normal 44 3 4 2" xfId="30402"/>
    <cellStyle name="Normal 44 3 4 3" xfId="30403"/>
    <cellStyle name="Normal 44 3 5" xfId="30404"/>
    <cellStyle name="Normal 44 3 5 2" xfId="30405"/>
    <cellStyle name="Normal 44 3 5 3" xfId="30406"/>
    <cellStyle name="Normal 44 3 6" xfId="30407"/>
    <cellStyle name="Normal 44 3 7" xfId="30408"/>
    <cellStyle name="Normal 44 4" xfId="30409"/>
    <cellStyle name="Normal 44 4 2" xfId="30410"/>
    <cellStyle name="Normal 44 4 2 2" xfId="30411"/>
    <cellStyle name="Normal 44 4 2 3" xfId="30412"/>
    <cellStyle name="Normal 44 4 3" xfId="30413"/>
    <cellStyle name="Normal 44 4 3 2" xfId="30414"/>
    <cellStyle name="Normal 44 4 3 3" xfId="30415"/>
    <cellStyle name="Normal 44 4 4" xfId="30416"/>
    <cellStyle name="Normal 44 4 5" xfId="30417"/>
    <cellStyle name="Normal 44 5" xfId="30418"/>
    <cellStyle name="Normal 44 5 2" xfId="30419"/>
    <cellStyle name="Normal 44 5 2 2" xfId="30420"/>
    <cellStyle name="Normal 44 5 2 3" xfId="30421"/>
    <cellStyle name="Normal 44 5 3" xfId="30422"/>
    <cellStyle name="Normal 44 5 3 2" xfId="30423"/>
    <cellStyle name="Normal 44 5 3 3" xfId="30424"/>
    <cellStyle name="Normal 44 5 4" xfId="30425"/>
    <cellStyle name="Normal 44 5 5" xfId="30426"/>
    <cellStyle name="Normal 44 6" xfId="30427"/>
    <cellStyle name="Normal 44 6 2" xfId="30428"/>
    <cellStyle name="Normal 44 6 3" xfId="30429"/>
    <cellStyle name="Normal 44 7" xfId="30430"/>
    <cellStyle name="Normal 44 7 2" xfId="30431"/>
    <cellStyle name="Normal 44 7 3" xfId="30432"/>
    <cellStyle name="Normal 44 8" xfId="30433"/>
    <cellStyle name="Normal 44 9" xfId="30434"/>
    <cellStyle name="Normal 45" xfId="30435"/>
    <cellStyle name="Normal 45 2" xfId="30436"/>
    <cellStyle name="Normal 45 2 2" xfId="30437"/>
    <cellStyle name="Normal 45 2 3" xfId="30438"/>
    <cellStyle name="Normal 45 3" xfId="30439"/>
    <cellStyle name="Normal 45 4" xfId="30440"/>
    <cellStyle name="Normal 46" xfId="30441"/>
    <cellStyle name="Normal 46 2" xfId="30442"/>
    <cellStyle name="Normal 46 2 2" xfId="30443"/>
    <cellStyle name="Normal 46 2 2 2" xfId="30444"/>
    <cellStyle name="Normal 46 2 2 2 2" xfId="30445"/>
    <cellStyle name="Normal 46 2 2 2 3" xfId="30446"/>
    <cellStyle name="Normal 46 2 2 3" xfId="30447"/>
    <cellStyle name="Normal 46 2 2 3 2" xfId="30448"/>
    <cellStyle name="Normal 46 2 2 3 3" xfId="30449"/>
    <cellStyle name="Normal 46 2 2 4" xfId="30450"/>
    <cellStyle name="Normal 46 2 2 5" xfId="30451"/>
    <cellStyle name="Normal 46 2 3" xfId="30452"/>
    <cellStyle name="Normal 46 2 3 2" xfId="30453"/>
    <cellStyle name="Normal 46 2 3 2 2" xfId="30454"/>
    <cellStyle name="Normal 46 2 3 2 3" xfId="30455"/>
    <cellStyle name="Normal 46 2 3 3" xfId="30456"/>
    <cellStyle name="Normal 46 2 3 3 2" xfId="30457"/>
    <cellStyle name="Normal 46 2 3 3 3" xfId="30458"/>
    <cellStyle name="Normal 46 2 3 4" xfId="30459"/>
    <cellStyle name="Normal 46 2 3 5" xfId="30460"/>
    <cellStyle name="Normal 46 2 4" xfId="30461"/>
    <cellStyle name="Normal 46 2 4 2" xfId="30462"/>
    <cellStyle name="Normal 46 2 4 3" xfId="30463"/>
    <cellStyle name="Normal 46 2 5" xfId="30464"/>
    <cellStyle name="Normal 46 2 5 2" xfId="30465"/>
    <cellStyle name="Normal 46 2 5 3" xfId="30466"/>
    <cellStyle name="Normal 46 2 6" xfId="30467"/>
    <cellStyle name="Normal 46 2 7" xfId="30468"/>
    <cellStyle name="Normal 46 3" xfId="30469"/>
    <cellStyle name="Normal 46 3 2" xfId="30470"/>
    <cellStyle name="Normal 46 3 2 2" xfId="30471"/>
    <cellStyle name="Normal 46 3 2 2 2" xfId="30472"/>
    <cellStyle name="Normal 46 3 2 2 3" xfId="30473"/>
    <cellStyle name="Normal 46 3 2 3" xfId="30474"/>
    <cellStyle name="Normal 46 3 2 3 2" xfId="30475"/>
    <cellStyle name="Normal 46 3 2 3 3" xfId="30476"/>
    <cellStyle name="Normal 46 3 2 4" xfId="30477"/>
    <cellStyle name="Normal 46 3 2 5" xfId="30478"/>
    <cellStyle name="Normal 46 3 3" xfId="30479"/>
    <cellStyle name="Normal 46 3 3 2" xfId="30480"/>
    <cellStyle name="Normal 46 3 3 2 2" xfId="30481"/>
    <cellStyle name="Normal 46 3 3 2 3" xfId="30482"/>
    <cellStyle name="Normal 46 3 3 3" xfId="30483"/>
    <cellStyle name="Normal 46 3 3 3 2" xfId="30484"/>
    <cellStyle name="Normal 46 3 3 3 3" xfId="30485"/>
    <cellStyle name="Normal 46 3 3 4" xfId="30486"/>
    <cellStyle name="Normal 46 3 3 5" xfId="30487"/>
    <cellStyle name="Normal 46 3 4" xfId="30488"/>
    <cellStyle name="Normal 46 3 4 2" xfId="30489"/>
    <cellStyle name="Normal 46 3 4 3" xfId="30490"/>
    <cellStyle name="Normal 46 3 5" xfId="30491"/>
    <cellStyle name="Normal 46 3 5 2" xfId="30492"/>
    <cellStyle name="Normal 46 3 5 3" xfId="30493"/>
    <cellStyle name="Normal 46 3 6" xfId="30494"/>
    <cellStyle name="Normal 46 3 7" xfId="30495"/>
    <cellStyle name="Normal 46 4" xfId="30496"/>
    <cellStyle name="Normal 46 4 2" xfId="30497"/>
    <cellStyle name="Normal 46 4 2 2" xfId="30498"/>
    <cellStyle name="Normal 46 4 2 3" xfId="30499"/>
    <cellStyle name="Normal 46 4 3" xfId="30500"/>
    <cellStyle name="Normal 46 4 3 2" xfId="30501"/>
    <cellStyle name="Normal 46 4 3 3" xfId="30502"/>
    <cellStyle name="Normal 46 4 4" xfId="30503"/>
    <cellStyle name="Normal 46 4 5" xfId="30504"/>
    <cellStyle name="Normal 46 5" xfId="30505"/>
    <cellStyle name="Normal 46 5 2" xfId="30506"/>
    <cellStyle name="Normal 46 5 2 2" xfId="30507"/>
    <cellStyle name="Normal 46 5 2 3" xfId="30508"/>
    <cellStyle name="Normal 46 5 3" xfId="30509"/>
    <cellStyle name="Normal 46 5 3 2" xfId="30510"/>
    <cellStyle name="Normal 46 5 3 3" xfId="30511"/>
    <cellStyle name="Normal 46 5 4" xfId="30512"/>
    <cellStyle name="Normal 46 5 5" xfId="30513"/>
    <cellStyle name="Normal 46 6" xfId="30514"/>
    <cellStyle name="Normal 46 6 2" xfId="30515"/>
    <cellStyle name="Normal 46 6 3" xfId="30516"/>
    <cellStyle name="Normal 46 7" xfId="30517"/>
    <cellStyle name="Normal 46 7 2" xfId="30518"/>
    <cellStyle name="Normal 46 7 3" xfId="30519"/>
    <cellStyle name="Normal 46 8" xfId="30520"/>
    <cellStyle name="Normal 46 9" xfId="30521"/>
    <cellStyle name="Normal 47" xfId="30522"/>
    <cellStyle name="Normal 47 2" xfId="30523"/>
    <cellStyle name="Normal 47 2 2" xfId="30524"/>
    <cellStyle name="Normal 47 2 2 2" xfId="30525"/>
    <cellStyle name="Normal 47 2 2 2 2" xfId="30526"/>
    <cellStyle name="Normal 47 2 2 2 3" xfId="30527"/>
    <cellStyle name="Normal 47 2 2 3" xfId="30528"/>
    <cellStyle name="Normal 47 2 2 3 2" xfId="30529"/>
    <cellStyle name="Normal 47 2 2 3 3" xfId="30530"/>
    <cellStyle name="Normal 47 2 2 4" xfId="30531"/>
    <cellStyle name="Normal 47 2 2 5" xfId="30532"/>
    <cellStyle name="Normal 47 2 3" xfId="30533"/>
    <cellStyle name="Normal 47 2 3 2" xfId="30534"/>
    <cellStyle name="Normal 47 2 3 2 2" xfId="30535"/>
    <cellStyle name="Normal 47 2 3 2 3" xfId="30536"/>
    <cellStyle name="Normal 47 2 3 3" xfId="30537"/>
    <cellStyle name="Normal 47 2 3 3 2" xfId="30538"/>
    <cellStyle name="Normal 47 2 3 3 3" xfId="30539"/>
    <cellStyle name="Normal 47 2 3 4" xfId="30540"/>
    <cellStyle name="Normal 47 2 3 5" xfId="30541"/>
    <cellStyle name="Normal 47 2 4" xfId="30542"/>
    <cellStyle name="Normal 47 2 4 2" xfId="30543"/>
    <cellStyle name="Normal 47 2 4 3" xfId="30544"/>
    <cellStyle name="Normal 47 2 5" xfId="30545"/>
    <cellStyle name="Normal 47 2 5 2" xfId="30546"/>
    <cellStyle name="Normal 47 2 5 3" xfId="30547"/>
    <cellStyle name="Normal 47 2 6" xfId="30548"/>
    <cellStyle name="Normal 47 2 7" xfId="30549"/>
    <cellStyle name="Normal 47 3" xfId="30550"/>
    <cellStyle name="Normal 47 3 2" xfId="30551"/>
    <cellStyle name="Normal 47 3 2 2" xfId="30552"/>
    <cellStyle name="Normal 47 3 2 2 2" xfId="30553"/>
    <cellStyle name="Normal 47 3 2 2 3" xfId="30554"/>
    <cellStyle name="Normal 47 3 2 3" xfId="30555"/>
    <cellStyle name="Normal 47 3 2 3 2" xfId="30556"/>
    <cellStyle name="Normal 47 3 2 3 3" xfId="30557"/>
    <cellStyle name="Normal 47 3 2 4" xfId="30558"/>
    <cellStyle name="Normal 47 3 2 5" xfId="30559"/>
    <cellStyle name="Normal 47 3 3" xfId="30560"/>
    <cellStyle name="Normal 47 3 3 2" xfId="30561"/>
    <cellStyle name="Normal 47 3 3 2 2" xfId="30562"/>
    <cellStyle name="Normal 47 3 3 2 3" xfId="30563"/>
    <cellStyle name="Normal 47 3 3 3" xfId="30564"/>
    <cellStyle name="Normal 47 3 3 3 2" xfId="30565"/>
    <cellStyle name="Normal 47 3 3 3 3" xfId="30566"/>
    <cellStyle name="Normal 47 3 3 4" xfId="30567"/>
    <cellStyle name="Normal 47 3 3 5" xfId="30568"/>
    <cellStyle name="Normal 47 3 4" xfId="30569"/>
    <cellStyle name="Normal 47 3 4 2" xfId="30570"/>
    <cellStyle name="Normal 47 3 4 3" xfId="30571"/>
    <cellStyle name="Normal 47 3 5" xfId="30572"/>
    <cellStyle name="Normal 47 3 5 2" xfId="30573"/>
    <cellStyle name="Normal 47 3 5 3" xfId="30574"/>
    <cellStyle name="Normal 47 3 6" xfId="30575"/>
    <cellStyle name="Normal 47 3 7" xfId="30576"/>
    <cellStyle name="Normal 47 4" xfId="30577"/>
    <cellStyle name="Normal 47 4 2" xfId="30578"/>
    <cellStyle name="Normal 47 4 2 2" xfId="30579"/>
    <cellStyle name="Normal 47 4 2 3" xfId="30580"/>
    <cellStyle name="Normal 47 4 3" xfId="30581"/>
    <cellStyle name="Normal 47 4 3 2" xfId="30582"/>
    <cellStyle name="Normal 47 4 3 3" xfId="30583"/>
    <cellStyle name="Normal 47 4 4" xfId="30584"/>
    <cellStyle name="Normal 47 4 5" xfId="30585"/>
    <cellStyle name="Normal 47 5" xfId="30586"/>
    <cellStyle name="Normal 47 5 2" xfId="30587"/>
    <cellStyle name="Normal 47 5 2 2" xfId="30588"/>
    <cellStyle name="Normal 47 5 2 3" xfId="30589"/>
    <cellStyle name="Normal 47 5 3" xfId="30590"/>
    <cellStyle name="Normal 47 5 3 2" xfId="30591"/>
    <cellStyle name="Normal 47 5 3 3" xfId="30592"/>
    <cellStyle name="Normal 47 5 4" xfId="30593"/>
    <cellStyle name="Normal 47 5 5" xfId="30594"/>
    <cellStyle name="Normal 47 6" xfId="30595"/>
    <cellStyle name="Normal 47 6 2" xfId="30596"/>
    <cellStyle name="Normal 47 6 3" xfId="30597"/>
    <cellStyle name="Normal 47 7" xfId="30598"/>
    <cellStyle name="Normal 47 7 2" xfId="30599"/>
    <cellStyle name="Normal 47 7 3" xfId="30600"/>
    <cellStyle name="Normal 47 8" xfId="30601"/>
    <cellStyle name="Normal 47 9" xfId="30602"/>
    <cellStyle name="Normal 48" xfId="30603"/>
    <cellStyle name="Normal 48 2" xfId="30604"/>
    <cellStyle name="Normal 48 2 2" xfId="30605"/>
    <cellStyle name="Normal 48 2 2 2" xfId="30606"/>
    <cellStyle name="Normal 48 2 2 2 2" xfId="30607"/>
    <cellStyle name="Normal 48 2 2 2 3" xfId="30608"/>
    <cellStyle name="Normal 48 2 2 3" xfId="30609"/>
    <cellStyle name="Normal 48 2 2 3 2" xfId="30610"/>
    <cellStyle name="Normal 48 2 2 3 3" xfId="30611"/>
    <cellStyle name="Normal 48 2 2 4" xfId="30612"/>
    <cellStyle name="Normal 48 2 2 5" xfId="30613"/>
    <cellStyle name="Normal 48 2 3" xfId="30614"/>
    <cellStyle name="Normal 48 2 3 2" xfId="30615"/>
    <cellStyle name="Normal 48 2 3 2 2" xfId="30616"/>
    <cellStyle name="Normal 48 2 3 2 3" xfId="30617"/>
    <cellStyle name="Normal 48 2 3 3" xfId="30618"/>
    <cellStyle name="Normal 48 2 3 3 2" xfId="30619"/>
    <cellStyle name="Normal 48 2 3 3 3" xfId="30620"/>
    <cellStyle name="Normal 48 2 3 4" xfId="30621"/>
    <cellStyle name="Normal 48 2 3 5" xfId="30622"/>
    <cellStyle name="Normal 48 2 4" xfId="30623"/>
    <cellStyle name="Normal 48 2 4 2" xfId="30624"/>
    <cellStyle name="Normal 48 2 4 3" xfId="30625"/>
    <cellStyle name="Normal 48 2 5" xfId="30626"/>
    <cellStyle name="Normal 48 2 5 2" xfId="30627"/>
    <cellStyle name="Normal 48 2 5 3" xfId="30628"/>
    <cellStyle name="Normal 48 2 6" xfId="30629"/>
    <cellStyle name="Normal 48 2 7" xfId="30630"/>
    <cellStyle name="Normal 48 3" xfId="30631"/>
    <cellStyle name="Normal 48 3 2" xfId="30632"/>
    <cellStyle name="Normal 48 3 2 2" xfId="30633"/>
    <cellStyle name="Normal 48 3 2 2 2" xfId="30634"/>
    <cellStyle name="Normal 48 3 2 2 3" xfId="30635"/>
    <cellStyle name="Normal 48 3 2 3" xfId="30636"/>
    <cellStyle name="Normal 48 3 2 3 2" xfId="30637"/>
    <cellStyle name="Normal 48 3 2 3 3" xfId="30638"/>
    <cellStyle name="Normal 48 3 2 4" xfId="30639"/>
    <cellStyle name="Normal 48 3 2 5" xfId="30640"/>
    <cellStyle name="Normal 48 3 3" xfId="30641"/>
    <cellStyle name="Normal 48 3 3 2" xfId="30642"/>
    <cellStyle name="Normal 48 3 3 2 2" xfId="30643"/>
    <cellStyle name="Normal 48 3 3 2 3" xfId="30644"/>
    <cellStyle name="Normal 48 3 3 3" xfId="30645"/>
    <cellStyle name="Normal 48 3 3 3 2" xfId="30646"/>
    <cellStyle name="Normal 48 3 3 3 3" xfId="30647"/>
    <cellStyle name="Normal 48 3 3 4" xfId="30648"/>
    <cellStyle name="Normal 48 3 3 5" xfId="30649"/>
    <cellStyle name="Normal 48 3 4" xfId="30650"/>
    <cellStyle name="Normal 48 3 4 2" xfId="30651"/>
    <cellStyle name="Normal 48 3 4 3" xfId="30652"/>
    <cellStyle name="Normal 48 3 5" xfId="30653"/>
    <cellStyle name="Normal 48 3 5 2" xfId="30654"/>
    <cellStyle name="Normal 48 3 5 3" xfId="30655"/>
    <cellStyle name="Normal 48 3 6" xfId="30656"/>
    <cellStyle name="Normal 48 3 7" xfId="30657"/>
    <cellStyle name="Normal 48 4" xfId="30658"/>
    <cellStyle name="Normal 48 4 2" xfId="30659"/>
    <cellStyle name="Normal 48 4 2 2" xfId="30660"/>
    <cellStyle name="Normal 48 4 2 3" xfId="30661"/>
    <cellStyle name="Normal 48 4 3" xfId="30662"/>
    <cellStyle name="Normal 48 4 3 2" xfId="30663"/>
    <cellStyle name="Normal 48 4 3 3" xfId="30664"/>
    <cellStyle name="Normal 48 4 4" xfId="30665"/>
    <cellStyle name="Normal 48 4 5" xfId="30666"/>
    <cellStyle name="Normal 48 5" xfId="30667"/>
    <cellStyle name="Normal 48 5 2" xfId="30668"/>
    <cellStyle name="Normal 48 5 2 2" xfId="30669"/>
    <cellStyle name="Normal 48 5 2 3" xfId="30670"/>
    <cellStyle name="Normal 48 5 3" xfId="30671"/>
    <cellStyle name="Normal 48 5 3 2" xfId="30672"/>
    <cellStyle name="Normal 48 5 3 3" xfId="30673"/>
    <cellStyle name="Normal 48 5 4" xfId="30674"/>
    <cellStyle name="Normal 48 5 5" xfId="30675"/>
    <cellStyle name="Normal 48 6" xfId="30676"/>
    <cellStyle name="Normal 48 6 2" xfId="30677"/>
    <cellStyle name="Normal 48 6 3" xfId="30678"/>
    <cellStyle name="Normal 48 7" xfId="30679"/>
    <cellStyle name="Normal 48 7 2" xfId="30680"/>
    <cellStyle name="Normal 48 7 3" xfId="30681"/>
    <cellStyle name="Normal 48 8" xfId="30682"/>
    <cellStyle name="Normal 48 9" xfId="30683"/>
    <cellStyle name="Normal 49" xfId="30684"/>
    <cellStyle name="Normal 49 2" xfId="30685"/>
    <cellStyle name="Normal 49 2 2" xfId="30686"/>
    <cellStyle name="Normal 49 2 2 2" xfId="30687"/>
    <cellStyle name="Normal 49 2 2 2 2" xfId="30688"/>
    <cellStyle name="Normal 49 2 2 2 3" xfId="30689"/>
    <cellStyle name="Normal 49 2 2 3" xfId="30690"/>
    <cellStyle name="Normal 49 2 2 3 2" xfId="30691"/>
    <cellStyle name="Normal 49 2 2 3 3" xfId="30692"/>
    <cellStyle name="Normal 49 2 2 4" xfId="30693"/>
    <cellStyle name="Normal 49 2 2 5" xfId="30694"/>
    <cellStyle name="Normal 49 2 3" xfId="30695"/>
    <cellStyle name="Normal 49 2 3 2" xfId="30696"/>
    <cellStyle name="Normal 49 2 3 2 2" xfId="30697"/>
    <cellStyle name="Normal 49 2 3 2 3" xfId="30698"/>
    <cellStyle name="Normal 49 2 3 3" xfId="30699"/>
    <cellStyle name="Normal 49 2 3 3 2" xfId="30700"/>
    <cellStyle name="Normal 49 2 3 3 3" xfId="30701"/>
    <cellStyle name="Normal 49 2 3 4" xfId="30702"/>
    <cellStyle name="Normal 49 2 3 5" xfId="30703"/>
    <cellStyle name="Normal 49 2 4" xfId="30704"/>
    <cellStyle name="Normal 49 2 4 2" xfId="30705"/>
    <cellStyle name="Normal 49 2 4 3" xfId="30706"/>
    <cellStyle name="Normal 49 2 5" xfId="30707"/>
    <cellStyle name="Normal 49 2 5 2" xfId="30708"/>
    <cellStyle name="Normal 49 2 5 3" xfId="30709"/>
    <cellStyle name="Normal 49 2 6" xfId="30710"/>
    <cellStyle name="Normal 49 2 7" xfId="30711"/>
    <cellStyle name="Normal 49 3" xfId="30712"/>
    <cellStyle name="Normal 49 3 2" xfId="30713"/>
    <cellStyle name="Normal 49 3 2 2" xfId="30714"/>
    <cellStyle name="Normal 49 3 2 2 2" xfId="30715"/>
    <cellStyle name="Normal 49 3 2 2 3" xfId="30716"/>
    <cellStyle name="Normal 49 3 2 3" xfId="30717"/>
    <cellStyle name="Normal 49 3 2 3 2" xfId="30718"/>
    <cellStyle name="Normal 49 3 2 3 3" xfId="30719"/>
    <cellStyle name="Normal 49 3 2 4" xfId="30720"/>
    <cellStyle name="Normal 49 3 2 5" xfId="30721"/>
    <cellStyle name="Normal 49 3 3" xfId="30722"/>
    <cellStyle name="Normal 49 3 3 2" xfId="30723"/>
    <cellStyle name="Normal 49 3 3 2 2" xfId="30724"/>
    <cellStyle name="Normal 49 3 3 2 3" xfId="30725"/>
    <cellStyle name="Normal 49 3 3 3" xfId="30726"/>
    <cellStyle name="Normal 49 3 3 3 2" xfId="30727"/>
    <cellStyle name="Normal 49 3 3 3 3" xfId="30728"/>
    <cellStyle name="Normal 49 3 3 4" xfId="30729"/>
    <cellStyle name="Normal 49 3 3 5" xfId="30730"/>
    <cellStyle name="Normal 49 3 4" xfId="30731"/>
    <cellStyle name="Normal 49 3 4 2" xfId="30732"/>
    <cellStyle name="Normal 49 3 4 3" xfId="30733"/>
    <cellStyle name="Normal 49 3 5" xfId="30734"/>
    <cellStyle name="Normal 49 3 5 2" xfId="30735"/>
    <cellStyle name="Normal 49 3 5 3" xfId="30736"/>
    <cellStyle name="Normal 49 3 6" xfId="30737"/>
    <cellStyle name="Normal 49 3 7" xfId="30738"/>
    <cellStyle name="Normal 49 4" xfId="30739"/>
    <cellStyle name="Normal 49 4 2" xfId="30740"/>
    <cellStyle name="Normal 49 4 2 2" xfId="30741"/>
    <cellStyle name="Normal 49 4 2 3" xfId="30742"/>
    <cellStyle name="Normal 49 4 3" xfId="30743"/>
    <cellStyle name="Normal 49 4 3 2" xfId="30744"/>
    <cellStyle name="Normal 49 4 3 3" xfId="30745"/>
    <cellStyle name="Normal 49 4 4" xfId="30746"/>
    <cellStyle name="Normal 49 4 5" xfId="30747"/>
    <cellStyle name="Normal 49 5" xfId="30748"/>
    <cellStyle name="Normal 49 5 2" xfId="30749"/>
    <cellStyle name="Normal 49 5 2 2" xfId="30750"/>
    <cellStyle name="Normal 49 5 2 3" xfId="30751"/>
    <cellStyle name="Normal 49 5 3" xfId="30752"/>
    <cellStyle name="Normal 49 5 3 2" xfId="30753"/>
    <cellStyle name="Normal 49 5 3 3" xfId="30754"/>
    <cellStyle name="Normal 49 5 4" xfId="30755"/>
    <cellStyle name="Normal 49 5 5" xfId="30756"/>
    <cellStyle name="Normal 49 6" xfId="30757"/>
    <cellStyle name="Normal 49 6 2" xfId="30758"/>
    <cellStyle name="Normal 49 6 3" xfId="30759"/>
    <cellStyle name="Normal 49 7" xfId="30760"/>
    <cellStyle name="Normal 49 7 2" xfId="30761"/>
    <cellStyle name="Normal 49 7 3" xfId="30762"/>
    <cellStyle name="Normal 49 8" xfId="30763"/>
    <cellStyle name="Normal 49 9" xfId="30764"/>
    <cellStyle name="Normal 5" xfId="30765"/>
    <cellStyle name="Normal 5 10" xfId="30766"/>
    <cellStyle name="Normal 5 11" xfId="30767"/>
    <cellStyle name="Normal 5 12" xfId="30768"/>
    <cellStyle name="Normal 5 13" xfId="30769"/>
    <cellStyle name="Normal 5 14" xfId="30770"/>
    <cellStyle name="Normal 5 15" xfId="30771"/>
    <cellStyle name="Normal 5 16" xfId="30772"/>
    <cellStyle name="Normal 5 17" xfId="30773"/>
    <cellStyle name="Normal 5 18" xfId="30774"/>
    <cellStyle name="Normal 5 19" xfId="30775"/>
    <cellStyle name="Normal 5 2" xfId="30776"/>
    <cellStyle name="Normal 5 2 10" xfId="43091"/>
    <cellStyle name="Normal 5 2 2" xfId="30777"/>
    <cellStyle name="Normal 5 2 3" xfId="30778"/>
    <cellStyle name="Normal 5 2 4" xfId="30779"/>
    <cellStyle name="Normal 5 2 5" xfId="30780"/>
    <cellStyle name="Normal 5 2 6" xfId="30781"/>
    <cellStyle name="Normal 5 2 7" xfId="30782"/>
    <cellStyle name="Normal 5 2 8" xfId="30783"/>
    <cellStyle name="Normal 5 2 9" xfId="30784"/>
    <cellStyle name="Normal 5 20" xfId="30785"/>
    <cellStyle name="Normal 5 21" xfId="30786"/>
    <cellStyle name="Normal 5 22" xfId="30787"/>
    <cellStyle name="Normal 5 23" xfId="30788"/>
    <cellStyle name="Normal 5 24" xfId="30789"/>
    <cellStyle name="Normal 5 25" xfId="30790"/>
    <cellStyle name="Normal 5 26" xfId="30791"/>
    <cellStyle name="Normal 5 27" xfId="30792"/>
    <cellStyle name="Normal 5 28" xfId="30793"/>
    <cellStyle name="Normal 5 29" xfId="30794"/>
    <cellStyle name="Normal 5 3" xfId="30795"/>
    <cellStyle name="Normal 5 30" xfId="30796"/>
    <cellStyle name="Normal 5 31" xfId="30797"/>
    <cellStyle name="Normal 5 32" xfId="30798"/>
    <cellStyle name="Normal 5 33" xfId="30799"/>
    <cellStyle name="Normal 5 34" xfId="30800"/>
    <cellStyle name="Normal 5 35" xfId="30801"/>
    <cellStyle name="Normal 5 36" xfId="30802"/>
    <cellStyle name="Normal 5 37" xfId="30803"/>
    <cellStyle name="Normal 5 38" xfId="30804"/>
    <cellStyle name="Normal 5 39" xfId="30805"/>
    <cellStyle name="Normal 5 4" xfId="30806"/>
    <cellStyle name="Normal 5 40" xfId="30807"/>
    <cellStyle name="Normal 5 41" xfId="30808"/>
    <cellStyle name="Normal 5 42" xfId="30809"/>
    <cellStyle name="Normal 5 43" xfId="30810"/>
    <cellStyle name="Normal 5 44" xfId="30811"/>
    <cellStyle name="Normal 5 45" xfId="30812"/>
    <cellStyle name="Normal 5 46" xfId="30813"/>
    <cellStyle name="Normal 5 47" xfId="30814"/>
    <cellStyle name="Normal 5 48" xfId="30815"/>
    <cellStyle name="Normal 5 49" xfId="30816"/>
    <cellStyle name="Normal 5 5" xfId="30817"/>
    <cellStyle name="Normal 5 50" xfId="30818"/>
    <cellStyle name="Normal 5 51" xfId="30819"/>
    <cellStyle name="Normal 5 52" xfId="30820"/>
    <cellStyle name="Normal 5 53" xfId="30821"/>
    <cellStyle name="Normal 5 54" xfId="30822"/>
    <cellStyle name="Normal 5 55" xfId="30823"/>
    <cellStyle name="Normal 5 56" xfId="30824"/>
    <cellStyle name="Normal 5 57" xfId="30825"/>
    <cellStyle name="Normal 5 58" xfId="42892"/>
    <cellStyle name="Normal 5 59" xfId="43090"/>
    <cellStyle name="Normal 5 6" xfId="30826"/>
    <cellStyle name="Normal 5 7" xfId="30827"/>
    <cellStyle name="Normal 5 8" xfId="30828"/>
    <cellStyle name="Normal 5 9" xfId="30829"/>
    <cellStyle name="Normal 50" xfId="30830"/>
    <cellStyle name="Normal 50 10" xfId="30831"/>
    <cellStyle name="Normal 50 11" xfId="30832"/>
    <cellStyle name="Normal 50 2" xfId="30833"/>
    <cellStyle name="Normal 50 2 2" xfId="30834"/>
    <cellStyle name="Normal 50 2 2 2" xfId="30835"/>
    <cellStyle name="Normal 50 2 2 2 2" xfId="30836"/>
    <cellStyle name="Normal 50 2 2 2 2 2" xfId="30837"/>
    <cellStyle name="Normal 50 2 2 2 2 3" xfId="30838"/>
    <cellStyle name="Normal 50 2 2 2 3" xfId="30839"/>
    <cellStyle name="Normal 50 2 2 2 3 2" xfId="30840"/>
    <cellStyle name="Normal 50 2 2 2 3 3" xfId="30841"/>
    <cellStyle name="Normal 50 2 2 2 4" xfId="30842"/>
    <cellStyle name="Normal 50 2 2 2 5" xfId="30843"/>
    <cellStyle name="Normal 50 2 2 3" xfId="30844"/>
    <cellStyle name="Normal 50 2 2 3 2" xfId="30845"/>
    <cellStyle name="Normal 50 2 2 3 2 2" xfId="30846"/>
    <cellStyle name="Normal 50 2 2 3 2 3" xfId="30847"/>
    <cellStyle name="Normal 50 2 2 3 3" xfId="30848"/>
    <cellStyle name="Normal 50 2 2 3 3 2" xfId="30849"/>
    <cellStyle name="Normal 50 2 2 3 3 3" xfId="30850"/>
    <cellStyle name="Normal 50 2 2 3 4" xfId="30851"/>
    <cellStyle name="Normal 50 2 2 3 5" xfId="30852"/>
    <cellStyle name="Normal 50 2 2 4" xfId="30853"/>
    <cellStyle name="Normal 50 2 2 4 2" xfId="30854"/>
    <cellStyle name="Normal 50 2 2 4 3" xfId="30855"/>
    <cellStyle name="Normal 50 2 2 5" xfId="30856"/>
    <cellStyle name="Normal 50 2 2 5 2" xfId="30857"/>
    <cellStyle name="Normal 50 2 2 5 3" xfId="30858"/>
    <cellStyle name="Normal 50 2 2 6" xfId="30859"/>
    <cellStyle name="Normal 50 2 2 7" xfId="30860"/>
    <cellStyle name="Normal 50 2 3" xfId="30861"/>
    <cellStyle name="Normal 50 2 3 2" xfId="30862"/>
    <cellStyle name="Normal 50 2 3 2 2" xfId="30863"/>
    <cellStyle name="Normal 50 2 3 2 2 2" xfId="30864"/>
    <cellStyle name="Normal 50 2 3 2 2 3" xfId="30865"/>
    <cellStyle name="Normal 50 2 3 2 3" xfId="30866"/>
    <cellStyle name="Normal 50 2 3 2 3 2" xfId="30867"/>
    <cellStyle name="Normal 50 2 3 2 3 3" xfId="30868"/>
    <cellStyle name="Normal 50 2 3 2 4" xfId="30869"/>
    <cellStyle name="Normal 50 2 3 2 5" xfId="30870"/>
    <cellStyle name="Normal 50 2 3 3" xfId="30871"/>
    <cellStyle name="Normal 50 2 3 3 2" xfId="30872"/>
    <cellStyle name="Normal 50 2 3 3 2 2" xfId="30873"/>
    <cellStyle name="Normal 50 2 3 3 2 3" xfId="30874"/>
    <cellStyle name="Normal 50 2 3 3 3" xfId="30875"/>
    <cellStyle name="Normal 50 2 3 3 3 2" xfId="30876"/>
    <cellStyle name="Normal 50 2 3 3 3 3" xfId="30877"/>
    <cellStyle name="Normal 50 2 3 3 4" xfId="30878"/>
    <cellStyle name="Normal 50 2 3 3 5" xfId="30879"/>
    <cellStyle name="Normal 50 2 3 4" xfId="30880"/>
    <cellStyle name="Normal 50 2 3 4 2" xfId="30881"/>
    <cellStyle name="Normal 50 2 3 4 3" xfId="30882"/>
    <cellStyle name="Normal 50 2 3 5" xfId="30883"/>
    <cellStyle name="Normal 50 2 3 5 2" xfId="30884"/>
    <cellStyle name="Normal 50 2 3 5 3" xfId="30885"/>
    <cellStyle name="Normal 50 2 3 6" xfId="30886"/>
    <cellStyle name="Normal 50 2 3 7" xfId="30887"/>
    <cellStyle name="Normal 50 2 4" xfId="30888"/>
    <cellStyle name="Normal 50 2 4 2" xfId="30889"/>
    <cellStyle name="Normal 50 2 4 2 2" xfId="30890"/>
    <cellStyle name="Normal 50 2 4 2 3" xfId="30891"/>
    <cellStyle name="Normal 50 2 4 3" xfId="30892"/>
    <cellStyle name="Normal 50 2 4 3 2" xfId="30893"/>
    <cellStyle name="Normal 50 2 4 3 3" xfId="30894"/>
    <cellStyle name="Normal 50 2 4 4" xfId="30895"/>
    <cellStyle name="Normal 50 2 4 5" xfId="30896"/>
    <cellStyle name="Normal 50 2 5" xfId="30897"/>
    <cellStyle name="Normal 50 2 5 2" xfId="30898"/>
    <cellStyle name="Normal 50 2 5 2 2" xfId="30899"/>
    <cellStyle name="Normal 50 2 5 2 3" xfId="30900"/>
    <cellStyle name="Normal 50 2 5 3" xfId="30901"/>
    <cellStyle name="Normal 50 2 5 3 2" xfId="30902"/>
    <cellStyle name="Normal 50 2 5 3 3" xfId="30903"/>
    <cellStyle name="Normal 50 2 5 4" xfId="30904"/>
    <cellStyle name="Normal 50 2 5 5" xfId="30905"/>
    <cellStyle name="Normal 50 2 6" xfId="30906"/>
    <cellStyle name="Normal 50 2 6 2" xfId="30907"/>
    <cellStyle name="Normal 50 2 6 3" xfId="30908"/>
    <cellStyle name="Normal 50 2 7" xfId="30909"/>
    <cellStyle name="Normal 50 2 7 2" xfId="30910"/>
    <cellStyle name="Normal 50 2 7 3" xfId="30911"/>
    <cellStyle name="Normal 50 2 8" xfId="30912"/>
    <cellStyle name="Normal 50 2 9" xfId="30913"/>
    <cellStyle name="Normal 50 3" xfId="30914"/>
    <cellStyle name="Normal 50 3 2" xfId="30915"/>
    <cellStyle name="Normal 50 3 2 2" xfId="30916"/>
    <cellStyle name="Normal 50 3 2 2 2" xfId="30917"/>
    <cellStyle name="Normal 50 3 2 2 2 2" xfId="30918"/>
    <cellStyle name="Normal 50 3 2 2 2 3" xfId="30919"/>
    <cellStyle name="Normal 50 3 2 2 3" xfId="30920"/>
    <cellStyle name="Normal 50 3 2 2 3 2" xfId="30921"/>
    <cellStyle name="Normal 50 3 2 2 3 3" xfId="30922"/>
    <cellStyle name="Normal 50 3 2 2 4" xfId="30923"/>
    <cellStyle name="Normal 50 3 2 2 5" xfId="30924"/>
    <cellStyle name="Normal 50 3 2 3" xfId="30925"/>
    <cellStyle name="Normal 50 3 2 3 2" xfId="30926"/>
    <cellStyle name="Normal 50 3 2 3 2 2" xfId="30927"/>
    <cellStyle name="Normal 50 3 2 3 2 3" xfId="30928"/>
    <cellStyle name="Normal 50 3 2 3 3" xfId="30929"/>
    <cellStyle name="Normal 50 3 2 3 3 2" xfId="30930"/>
    <cellStyle name="Normal 50 3 2 3 3 3" xfId="30931"/>
    <cellStyle name="Normal 50 3 2 3 4" xfId="30932"/>
    <cellStyle name="Normal 50 3 2 3 5" xfId="30933"/>
    <cellStyle name="Normal 50 3 2 4" xfId="30934"/>
    <cellStyle name="Normal 50 3 2 4 2" xfId="30935"/>
    <cellStyle name="Normal 50 3 2 4 3" xfId="30936"/>
    <cellStyle name="Normal 50 3 2 5" xfId="30937"/>
    <cellStyle name="Normal 50 3 2 5 2" xfId="30938"/>
    <cellStyle name="Normal 50 3 2 5 3" xfId="30939"/>
    <cellStyle name="Normal 50 3 2 6" xfId="30940"/>
    <cellStyle name="Normal 50 3 2 7" xfId="30941"/>
    <cellStyle name="Normal 50 3 3" xfId="30942"/>
    <cellStyle name="Normal 50 3 3 2" xfId="30943"/>
    <cellStyle name="Normal 50 3 3 2 2" xfId="30944"/>
    <cellStyle name="Normal 50 3 3 2 2 2" xfId="30945"/>
    <cellStyle name="Normal 50 3 3 2 2 3" xfId="30946"/>
    <cellStyle name="Normal 50 3 3 2 3" xfId="30947"/>
    <cellStyle name="Normal 50 3 3 2 3 2" xfId="30948"/>
    <cellStyle name="Normal 50 3 3 2 3 3" xfId="30949"/>
    <cellStyle name="Normal 50 3 3 2 4" xfId="30950"/>
    <cellStyle name="Normal 50 3 3 2 5" xfId="30951"/>
    <cellStyle name="Normal 50 3 3 3" xfId="30952"/>
    <cellStyle name="Normal 50 3 3 3 2" xfId="30953"/>
    <cellStyle name="Normal 50 3 3 3 2 2" xfId="30954"/>
    <cellStyle name="Normal 50 3 3 3 2 3" xfId="30955"/>
    <cellStyle name="Normal 50 3 3 3 3" xfId="30956"/>
    <cellStyle name="Normal 50 3 3 3 3 2" xfId="30957"/>
    <cellStyle name="Normal 50 3 3 3 3 3" xfId="30958"/>
    <cellStyle name="Normal 50 3 3 3 4" xfId="30959"/>
    <cellStyle name="Normal 50 3 3 3 5" xfId="30960"/>
    <cellStyle name="Normal 50 3 3 4" xfId="30961"/>
    <cellStyle name="Normal 50 3 3 4 2" xfId="30962"/>
    <cellStyle name="Normal 50 3 3 4 3" xfId="30963"/>
    <cellStyle name="Normal 50 3 3 5" xfId="30964"/>
    <cellStyle name="Normal 50 3 3 5 2" xfId="30965"/>
    <cellStyle name="Normal 50 3 3 5 3" xfId="30966"/>
    <cellStyle name="Normal 50 3 3 6" xfId="30967"/>
    <cellStyle name="Normal 50 3 3 7" xfId="30968"/>
    <cellStyle name="Normal 50 3 4" xfId="30969"/>
    <cellStyle name="Normal 50 3 4 2" xfId="30970"/>
    <cellStyle name="Normal 50 3 4 2 2" xfId="30971"/>
    <cellStyle name="Normal 50 3 4 2 3" xfId="30972"/>
    <cellStyle name="Normal 50 3 4 3" xfId="30973"/>
    <cellStyle name="Normal 50 3 4 3 2" xfId="30974"/>
    <cellStyle name="Normal 50 3 4 3 3" xfId="30975"/>
    <cellStyle name="Normal 50 3 4 4" xfId="30976"/>
    <cellStyle name="Normal 50 3 4 5" xfId="30977"/>
    <cellStyle name="Normal 50 3 5" xfId="30978"/>
    <cellStyle name="Normal 50 3 5 2" xfId="30979"/>
    <cellStyle name="Normal 50 3 5 2 2" xfId="30980"/>
    <cellStyle name="Normal 50 3 5 2 3" xfId="30981"/>
    <cellStyle name="Normal 50 3 5 3" xfId="30982"/>
    <cellStyle name="Normal 50 3 5 3 2" xfId="30983"/>
    <cellStyle name="Normal 50 3 5 3 3" xfId="30984"/>
    <cellStyle name="Normal 50 3 5 4" xfId="30985"/>
    <cellStyle name="Normal 50 3 5 5" xfId="30986"/>
    <cellStyle name="Normal 50 3 6" xfId="30987"/>
    <cellStyle name="Normal 50 3 6 2" xfId="30988"/>
    <cellStyle name="Normal 50 3 6 3" xfId="30989"/>
    <cellStyle name="Normal 50 3 7" xfId="30990"/>
    <cellStyle name="Normal 50 3 7 2" xfId="30991"/>
    <cellStyle name="Normal 50 3 7 3" xfId="30992"/>
    <cellStyle name="Normal 50 3 8" xfId="30993"/>
    <cellStyle name="Normal 50 3 9" xfId="30994"/>
    <cellStyle name="Normal 50 4" xfId="30995"/>
    <cellStyle name="Normal 50 4 2" xfId="30996"/>
    <cellStyle name="Normal 50 4 2 2" xfId="30997"/>
    <cellStyle name="Normal 50 4 2 2 2" xfId="30998"/>
    <cellStyle name="Normal 50 4 2 2 3" xfId="30999"/>
    <cellStyle name="Normal 50 4 2 3" xfId="31000"/>
    <cellStyle name="Normal 50 4 2 3 2" xfId="31001"/>
    <cellStyle name="Normal 50 4 2 3 3" xfId="31002"/>
    <cellStyle name="Normal 50 4 2 4" xfId="31003"/>
    <cellStyle name="Normal 50 4 2 5" xfId="31004"/>
    <cellStyle name="Normal 50 4 3" xfId="31005"/>
    <cellStyle name="Normal 50 4 3 2" xfId="31006"/>
    <cellStyle name="Normal 50 4 3 2 2" xfId="31007"/>
    <cellStyle name="Normal 50 4 3 2 3" xfId="31008"/>
    <cellStyle name="Normal 50 4 3 3" xfId="31009"/>
    <cellStyle name="Normal 50 4 3 3 2" xfId="31010"/>
    <cellStyle name="Normal 50 4 3 3 3" xfId="31011"/>
    <cellStyle name="Normal 50 4 3 4" xfId="31012"/>
    <cellStyle name="Normal 50 4 3 5" xfId="31013"/>
    <cellStyle name="Normal 50 4 4" xfId="31014"/>
    <cellStyle name="Normal 50 4 4 2" xfId="31015"/>
    <cellStyle name="Normal 50 4 4 3" xfId="31016"/>
    <cellStyle name="Normal 50 4 5" xfId="31017"/>
    <cellStyle name="Normal 50 4 5 2" xfId="31018"/>
    <cellStyle name="Normal 50 4 5 3" xfId="31019"/>
    <cellStyle name="Normal 50 4 6" xfId="31020"/>
    <cellStyle name="Normal 50 4 7" xfId="31021"/>
    <cellStyle name="Normal 50 5" xfId="31022"/>
    <cellStyle name="Normal 50 5 2" xfId="31023"/>
    <cellStyle name="Normal 50 5 2 2" xfId="31024"/>
    <cellStyle name="Normal 50 5 2 2 2" xfId="31025"/>
    <cellStyle name="Normal 50 5 2 2 3" xfId="31026"/>
    <cellStyle name="Normal 50 5 2 3" xfId="31027"/>
    <cellStyle name="Normal 50 5 2 3 2" xfId="31028"/>
    <cellStyle name="Normal 50 5 2 3 3" xfId="31029"/>
    <cellStyle name="Normal 50 5 2 4" xfId="31030"/>
    <cellStyle name="Normal 50 5 2 5" xfId="31031"/>
    <cellStyle name="Normal 50 5 3" xfId="31032"/>
    <cellStyle name="Normal 50 5 3 2" xfId="31033"/>
    <cellStyle name="Normal 50 5 3 2 2" xfId="31034"/>
    <cellStyle name="Normal 50 5 3 2 3" xfId="31035"/>
    <cellStyle name="Normal 50 5 3 3" xfId="31036"/>
    <cellStyle name="Normal 50 5 3 3 2" xfId="31037"/>
    <cellStyle name="Normal 50 5 3 3 3" xfId="31038"/>
    <cellStyle name="Normal 50 5 3 4" xfId="31039"/>
    <cellStyle name="Normal 50 5 3 5" xfId="31040"/>
    <cellStyle name="Normal 50 5 4" xfId="31041"/>
    <cellStyle name="Normal 50 5 4 2" xfId="31042"/>
    <cellStyle name="Normal 50 5 4 3" xfId="31043"/>
    <cellStyle name="Normal 50 5 5" xfId="31044"/>
    <cellStyle name="Normal 50 5 5 2" xfId="31045"/>
    <cellStyle name="Normal 50 5 5 3" xfId="31046"/>
    <cellStyle name="Normal 50 5 6" xfId="31047"/>
    <cellStyle name="Normal 50 5 7" xfId="31048"/>
    <cellStyle name="Normal 50 6" xfId="31049"/>
    <cellStyle name="Normal 50 6 2" xfId="31050"/>
    <cellStyle name="Normal 50 6 2 2" xfId="31051"/>
    <cellStyle name="Normal 50 6 2 3" xfId="31052"/>
    <cellStyle name="Normal 50 6 3" xfId="31053"/>
    <cellStyle name="Normal 50 6 3 2" xfId="31054"/>
    <cellStyle name="Normal 50 6 3 3" xfId="31055"/>
    <cellStyle name="Normal 50 6 4" xfId="31056"/>
    <cellStyle name="Normal 50 6 5" xfId="31057"/>
    <cellStyle name="Normal 50 7" xfId="31058"/>
    <cellStyle name="Normal 50 7 2" xfId="31059"/>
    <cellStyle name="Normal 50 7 2 2" xfId="31060"/>
    <cellStyle name="Normal 50 7 2 3" xfId="31061"/>
    <cellStyle name="Normal 50 7 3" xfId="31062"/>
    <cellStyle name="Normal 50 7 3 2" xfId="31063"/>
    <cellStyle name="Normal 50 7 3 3" xfId="31064"/>
    <cellStyle name="Normal 50 7 4" xfId="31065"/>
    <cellStyle name="Normal 50 7 5" xfId="31066"/>
    <cellStyle name="Normal 50 8" xfId="31067"/>
    <cellStyle name="Normal 50 8 2" xfId="31068"/>
    <cellStyle name="Normal 50 8 3" xfId="31069"/>
    <cellStyle name="Normal 50 9" xfId="31070"/>
    <cellStyle name="Normal 50 9 2" xfId="31071"/>
    <cellStyle name="Normal 50 9 3" xfId="31072"/>
    <cellStyle name="Normal 51" xfId="31073"/>
    <cellStyle name="Normal 51 2" xfId="31074"/>
    <cellStyle name="Normal 52" xfId="31075"/>
    <cellStyle name="Normal 52 2" xfId="31076"/>
    <cellStyle name="Normal 52 2 2" xfId="31077"/>
    <cellStyle name="Normal 52 2 2 2" xfId="31078"/>
    <cellStyle name="Normal 52 2 2 2 2" xfId="31079"/>
    <cellStyle name="Normal 52 2 2 2 3" xfId="31080"/>
    <cellStyle name="Normal 52 2 2 3" xfId="31081"/>
    <cellStyle name="Normal 52 2 2 3 2" xfId="31082"/>
    <cellStyle name="Normal 52 2 2 3 3" xfId="31083"/>
    <cellStyle name="Normal 52 2 2 4" xfId="31084"/>
    <cellStyle name="Normal 52 2 2 5" xfId="31085"/>
    <cellStyle name="Normal 52 2 3" xfId="31086"/>
    <cellStyle name="Normal 52 2 3 2" xfId="31087"/>
    <cellStyle name="Normal 52 2 3 2 2" xfId="31088"/>
    <cellStyle name="Normal 52 2 3 2 3" xfId="31089"/>
    <cellStyle name="Normal 52 2 3 3" xfId="31090"/>
    <cellStyle name="Normal 52 2 3 3 2" xfId="31091"/>
    <cellStyle name="Normal 52 2 3 3 3" xfId="31092"/>
    <cellStyle name="Normal 52 2 3 4" xfId="31093"/>
    <cellStyle name="Normal 52 2 3 5" xfId="31094"/>
    <cellStyle name="Normal 52 2 4" xfId="31095"/>
    <cellStyle name="Normal 52 2 4 2" xfId="31096"/>
    <cellStyle name="Normal 52 2 4 3" xfId="31097"/>
    <cellStyle name="Normal 52 2 5" xfId="31098"/>
    <cellStyle name="Normal 52 2 5 2" xfId="31099"/>
    <cellStyle name="Normal 52 2 5 3" xfId="31100"/>
    <cellStyle name="Normal 52 2 6" xfId="31101"/>
    <cellStyle name="Normal 52 2 7" xfId="31102"/>
    <cellStyle name="Normal 52 3" xfId="31103"/>
    <cellStyle name="Normal 52 3 2" xfId="31104"/>
    <cellStyle name="Normal 52 3 2 2" xfId="31105"/>
    <cellStyle name="Normal 52 3 2 2 2" xfId="31106"/>
    <cellStyle name="Normal 52 3 2 2 3" xfId="31107"/>
    <cellStyle name="Normal 52 3 2 3" xfId="31108"/>
    <cellStyle name="Normal 52 3 2 3 2" xfId="31109"/>
    <cellStyle name="Normal 52 3 2 3 3" xfId="31110"/>
    <cellStyle name="Normal 52 3 2 4" xfId="31111"/>
    <cellStyle name="Normal 52 3 2 5" xfId="31112"/>
    <cellStyle name="Normal 52 3 3" xfId="31113"/>
    <cellStyle name="Normal 52 3 3 2" xfId="31114"/>
    <cellStyle name="Normal 52 3 3 2 2" xfId="31115"/>
    <cellStyle name="Normal 52 3 3 2 3" xfId="31116"/>
    <cellStyle name="Normal 52 3 3 3" xfId="31117"/>
    <cellStyle name="Normal 52 3 3 3 2" xfId="31118"/>
    <cellStyle name="Normal 52 3 3 3 3" xfId="31119"/>
    <cellStyle name="Normal 52 3 3 4" xfId="31120"/>
    <cellStyle name="Normal 52 3 3 5" xfId="31121"/>
    <cellStyle name="Normal 52 3 4" xfId="31122"/>
    <cellStyle name="Normal 52 3 4 2" xfId="31123"/>
    <cellStyle name="Normal 52 3 4 3" xfId="31124"/>
    <cellStyle name="Normal 52 3 5" xfId="31125"/>
    <cellStyle name="Normal 52 3 5 2" xfId="31126"/>
    <cellStyle name="Normal 52 3 5 3" xfId="31127"/>
    <cellStyle name="Normal 52 3 6" xfId="31128"/>
    <cellStyle name="Normal 52 3 7" xfId="31129"/>
    <cellStyle name="Normal 52 4" xfId="31130"/>
    <cellStyle name="Normal 52 4 2" xfId="31131"/>
    <cellStyle name="Normal 52 4 2 2" xfId="31132"/>
    <cellStyle name="Normal 52 4 2 3" xfId="31133"/>
    <cellStyle name="Normal 52 4 3" xfId="31134"/>
    <cellStyle name="Normal 52 4 3 2" xfId="31135"/>
    <cellStyle name="Normal 52 4 3 3" xfId="31136"/>
    <cellStyle name="Normal 52 4 4" xfId="31137"/>
    <cellStyle name="Normal 52 4 5" xfId="31138"/>
    <cellStyle name="Normal 52 5" xfId="31139"/>
    <cellStyle name="Normal 52 5 2" xfId="31140"/>
    <cellStyle name="Normal 52 5 2 2" xfId="31141"/>
    <cellStyle name="Normal 52 5 2 3" xfId="31142"/>
    <cellStyle name="Normal 52 5 3" xfId="31143"/>
    <cellStyle name="Normal 52 5 3 2" xfId="31144"/>
    <cellStyle name="Normal 52 5 3 3" xfId="31145"/>
    <cellStyle name="Normal 52 5 4" xfId="31146"/>
    <cellStyle name="Normal 52 5 5" xfId="31147"/>
    <cellStyle name="Normal 52 6" xfId="31148"/>
    <cellStyle name="Normal 52 6 2" xfId="31149"/>
    <cellStyle name="Normal 52 6 3" xfId="31150"/>
    <cellStyle name="Normal 52 7" xfId="31151"/>
    <cellStyle name="Normal 52 7 2" xfId="31152"/>
    <cellStyle name="Normal 52 7 3" xfId="31153"/>
    <cellStyle name="Normal 52 8" xfId="31154"/>
    <cellStyle name="Normal 52 9" xfId="31155"/>
    <cellStyle name="Normal 53" xfId="31156"/>
    <cellStyle name="Normal 53 2" xfId="31157"/>
    <cellStyle name="Normal 53 2 2" xfId="31158"/>
    <cellStyle name="Normal 53 2 2 2" xfId="31159"/>
    <cellStyle name="Normal 53 2 2 2 2" xfId="31160"/>
    <cellStyle name="Normal 53 2 2 2 3" xfId="31161"/>
    <cellStyle name="Normal 53 2 2 3" xfId="31162"/>
    <cellStyle name="Normal 53 2 2 3 2" xfId="31163"/>
    <cellStyle name="Normal 53 2 2 3 3" xfId="31164"/>
    <cellStyle name="Normal 53 2 2 4" xfId="31165"/>
    <cellStyle name="Normal 53 2 2 5" xfId="31166"/>
    <cellStyle name="Normal 53 2 3" xfId="31167"/>
    <cellStyle name="Normal 53 2 3 2" xfId="31168"/>
    <cellStyle name="Normal 53 2 3 2 2" xfId="31169"/>
    <cellStyle name="Normal 53 2 3 2 3" xfId="31170"/>
    <cellStyle name="Normal 53 2 3 3" xfId="31171"/>
    <cellStyle name="Normal 53 2 3 3 2" xfId="31172"/>
    <cellStyle name="Normal 53 2 3 3 3" xfId="31173"/>
    <cellStyle name="Normal 53 2 3 4" xfId="31174"/>
    <cellStyle name="Normal 53 2 3 5" xfId="31175"/>
    <cellStyle name="Normal 53 2 4" xfId="31176"/>
    <cellStyle name="Normal 53 2 4 2" xfId="31177"/>
    <cellStyle name="Normal 53 2 4 3" xfId="31178"/>
    <cellStyle name="Normal 53 2 5" xfId="31179"/>
    <cellStyle name="Normal 53 2 5 2" xfId="31180"/>
    <cellStyle name="Normal 53 2 5 3" xfId="31181"/>
    <cellStyle name="Normal 53 2 6" xfId="31182"/>
    <cellStyle name="Normal 53 2 7" xfId="31183"/>
    <cellStyle name="Normal 53 3" xfId="31184"/>
    <cellStyle name="Normal 53 3 2" xfId="31185"/>
    <cellStyle name="Normal 53 3 2 2" xfId="31186"/>
    <cellStyle name="Normal 53 3 2 2 2" xfId="31187"/>
    <cellStyle name="Normal 53 3 2 2 3" xfId="31188"/>
    <cellStyle name="Normal 53 3 2 3" xfId="31189"/>
    <cellStyle name="Normal 53 3 2 3 2" xfId="31190"/>
    <cellStyle name="Normal 53 3 2 3 3" xfId="31191"/>
    <cellStyle name="Normal 53 3 2 4" xfId="31192"/>
    <cellStyle name="Normal 53 3 2 5" xfId="31193"/>
    <cellStyle name="Normal 53 3 3" xfId="31194"/>
    <cellStyle name="Normal 53 3 3 2" xfId="31195"/>
    <cellStyle name="Normal 53 3 3 2 2" xfId="31196"/>
    <cellStyle name="Normal 53 3 3 2 3" xfId="31197"/>
    <cellStyle name="Normal 53 3 3 3" xfId="31198"/>
    <cellStyle name="Normal 53 3 3 3 2" xfId="31199"/>
    <cellStyle name="Normal 53 3 3 3 3" xfId="31200"/>
    <cellStyle name="Normal 53 3 3 4" xfId="31201"/>
    <cellStyle name="Normal 53 3 3 5" xfId="31202"/>
    <cellStyle name="Normal 53 3 4" xfId="31203"/>
    <cellStyle name="Normal 53 3 4 2" xfId="31204"/>
    <cellStyle name="Normal 53 3 4 3" xfId="31205"/>
    <cellStyle name="Normal 53 3 5" xfId="31206"/>
    <cellStyle name="Normal 53 3 5 2" xfId="31207"/>
    <cellStyle name="Normal 53 3 5 3" xfId="31208"/>
    <cellStyle name="Normal 53 3 6" xfId="31209"/>
    <cellStyle name="Normal 53 3 7" xfId="31210"/>
    <cellStyle name="Normal 53 4" xfId="31211"/>
    <cellStyle name="Normal 53 4 2" xfId="31212"/>
    <cellStyle name="Normal 53 4 2 2" xfId="31213"/>
    <cellStyle name="Normal 53 4 2 3" xfId="31214"/>
    <cellStyle name="Normal 53 4 3" xfId="31215"/>
    <cellStyle name="Normal 53 4 3 2" xfId="31216"/>
    <cellStyle name="Normal 53 4 3 3" xfId="31217"/>
    <cellStyle name="Normal 53 4 4" xfId="31218"/>
    <cellStyle name="Normal 53 4 5" xfId="31219"/>
    <cellStyle name="Normal 53 5" xfId="31220"/>
    <cellStyle name="Normal 53 5 2" xfId="31221"/>
    <cellStyle name="Normal 53 5 2 2" xfId="31222"/>
    <cellStyle name="Normal 53 5 2 3" xfId="31223"/>
    <cellStyle name="Normal 53 5 3" xfId="31224"/>
    <cellStyle name="Normal 53 5 3 2" xfId="31225"/>
    <cellStyle name="Normal 53 5 3 3" xfId="31226"/>
    <cellStyle name="Normal 53 5 4" xfId="31227"/>
    <cellStyle name="Normal 53 5 5" xfId="31228"/>
    <cellStyle name="Normal 53 6" xfId="31229"/>
    <cellStyle name="Normal 53 6 2" xfId="31230"/>
    <cellStyle name="Normal 53 6 3" xfId="31231"/>
    <cellStyle name="Normal 53 7" xfId="31232"/>
    <cellStyle name="Normal 53 7 2" xfId="31233"/>
    <cellStyle name="Normal 53 7 3" xfId="31234"/>
    <cellStyle name="Normal 53 8" xfId="31235"/>
    <cellStyle name="Normal 53 9" xfId="31236"/>
    <cellStyle name="Normal 54" xfId="31237"/>
    <cellStyle name="Normal 54 10" xfId="10"/>
    <cellStyle name="Normal 54 2" xfId="31238"/>
    <cellStyle name="Normal 54 2 2" xfId="31239"/>
    <cellStyle name="Normal 54 2 2 2" xfId="31240"/>
    <cellStyle name="Normal 54 2 2 2 2" xfId="31241"/>
    <cellStyle name="Normal 54 2 2 2 3" xfId="31242"/>
    <cellStyle name="Normal 54 2 2 3" xfId="31243"/>
    <cellStyle name="Normal 54 2 2 3 2" xfId="31244"/>
    <cellStyle name="Normal 54 2 2 3 2 2" xfId="31245"/>
    <cellStyle name="Normal 54 2 2 3 3" xfId="31246"/>
    <cellStyle name="Normal 54 2 2 4" xfId="31247"/>
    <cellStyle name="Normal 54 2 2 5" xfId="31248"/>
    <cellStyle name="Normal 54 2 3" xfId="31249"/>
    <cellStyle name="Normal 54 2 3 2" xfId="31250"/>
    <cellStyle name="Normal 54 2 3 2 2" xfId="31251"/>
    <cellStyle name="Normal 54 2 3 2 3" xfId="31252"/>
    <cellStyle name="Normal 54 2 3 3" xfId="31253"/>
    <cellStyle name="Normal 54 2 3 3 2" xfId="31254"/>
    <cellStyle name="Normal 54 2 3 3 3" xfId="31255"/>
    <cellStyle name="Normal 54 2 3 4" xfId="31256"/>
    <cellStyle name="Normal 54 2 3 5" xfId="31257"/>
    <cellStyle name="Normal 54 2 4" xfId="31258"/>
    <cellStyle name="Normal 54 2 4 2" xfId="31259"/>
    <cellStyle name="Normal 54 2 4 3" xfId="31260"/>
    <cellStyle name="Normal 54 2 5" xfId="31261"/>
    <cellStyle name="Normal 54 2 5 2" xfId="31262"/>
    <cellStyle name="Normal 54 2 5 3" xfId="31263"/>
    <cellStyle name="Normal 54 2 6" xfId="31264"/>
    <cellStyle name="Normal 54 2 7" xfId="31265"/>
    <cellStyle name="Normal 54 3" xfId="31266"/>
    <cellStyle name="Normal 54 3 2" xfId="31267"/>
    <cellStyle name="Normal 54 3 2 2" xfId="31268"/>
    <cellStyle name="Normal 54 3 2 2 2" xfId="31269"/>
    <cellStyle name="Normal 54 3 2 2 3" xfId="31270"/>
    <cellStyle name="Normal 54 3 2 3" xfId="31271"/>
    <cellStyle name="Normal 54 3 2 3 2" xfId="31272"/>
    <cellStyle name="Normal 54 3 2 3 3" xfId="31273"/>
    <cellStyle name="Normal 54 3 2 4" xfId="31274"/>
    <cellStyle name="Normal 54 3 2 5" xfId="31275"/>
    <cellStyle name="Normal 54 3 3" xfId="31276"/>
    <cellStyle name="Normal 54 3 3 2" xfId="31277"/>
    <cellStyle name="Normal 54 3 3 2 2" xfId="31278"/>
    <cellStyle name="Normal 54 3 3 2 3" xfId="31279"/>
    <cellStyle name="Normal 54 3 3 3" xfId="31280"/>
    <cellStyle name="Normal 54 3 3 3 2" xfId="31281"/>
    <cellStyle name="Normal 54 3 3 3 3" xfId="31282"/>
    <cellStyle name="Normal 54 3 3 4" xfId="31283"/>
    <cellStyle name="Normal 54 3 3 5" xfId="31284"/>
    <cellStyle name="Normal 54 3 4" xfId="31285"/>
    <cellStyle name="Normal 54 3 4 2" xfId="31286"/>
    <cellStyle name="Normal 54 3 4 3" xfId="31287"/>
    <cellStyle name="Normal 54 3 5" xfId="31288"/>
    <cellStyle name="Normal 54 3 5 2" xfId="31289"/>
    <cellStyle name="Normal 54 3 5 3" xfId="31290"/>
    <cellStyle name="Normal 54 3 6" xfId="31291"/>
    <cellStyle name="Normal 54 3 7" xfId="31292"/>
    <cellStyle name="Normal 54 4" xfId="31293"/>
    <cellStyle name="Normal 54 4 2" xfId="31294"/>
    <cellStyle name="Normal 54 4 2 2" xfId="31295"/>
    <cellStyle name="Normal 54 4 2 3" xfId="31296"/>
    <cellStyle name="Normal 54 4 3" xfId="31297"/>
    <cellStyle name="Normal 54 4 3 2" xfId="31298"/>
    <cellStyle name="Normal 54 4 3 3" xfId="31299"/>
    <cellStyle name="Normal 54 4 4" xfId="31300"/>
    <cellStyle name="Normal 54 4 5" xfId="31301"/>
    <cellStyle name="Normal 54 5" xfId="31302"/>
    <cellStyle name="Normal 54 5 2" xfId="31303"/>
    <cellStyle name="Normal 54 5 2 2" xfId="31304"/>
    <cellStyle name="Normal 54 5 2 3" xfId="31305"/>
    <cellStyle name="Normal 54 5 3" xfId="31306"/>
    <cellStyle name="Normal 54 5 3 2" xfId="31307"/>
    <cellStyle name="Normal 54 5 3 3" xfId="31308"/>
    <cellStyle name="Normal 54 5 4" xfId="31309"/>
    <cellStyle name="Normal 54 5 5" xfId="31310"/>
    <cellStyle name="Normal 54 6" xfId="31311"/>
    <cellStyle name="Normal 54 6 2" xfId="31312"/>
    <cellStyle name="Normal 54 6 3" xfId="31313"/>
    <cellStyle name="Normal 54 7" xfId="31314"/>
    <cellStyle name="Normal 54 7 2" xfId="31315"/>
    <cellStyle name="Normal 54 7 2 2" xfId="31316"/>
    <cellStyle name="Normal 54 7 3" xfId="31317"/>
    <cellStyle name="Normal 54 8" xfId="31318"/>
    <cellStyle name="Normal 54 8 2" xfId="31319"/>
    <cellStyle name="Normal 54 9" xfId="31320"/>
    <cellStyle name="Normal 55" xfId="31321"/>
    <cellStyle name="Normal 55 2" xfId="31322"/>
    <cellStyle name="Normal 55 2 2" xfId="31323"/>
    <cellStyle name="Normal 55 2 2 2" xfId="31324"/>
    <cellStyle name="Normal 55 2 2 2 2" xfId="31325"/>
    <cellStyle name="Normal 55 2 2 2 3" xfId="31326"/>
    <cellStyle name="Normal 55 2 2 3" xfId="31327"/>
    <cellStyle name="Normal 55 2 2 3 2" xfId="31328"/>
    <cellStyle name="Normal 55 2 2 3 3" xfId="31329"/>
    <cellStyle name="Normal 55 2 2 4" xfId="31330"/>
    <cellStyle name="Normal 55 2 2 5" xfId="31331"/>
    <cellStyle name="Normal 55 2 3" xfId="31332"/>
    <cellStyle name="Normal 55 2 3 2" xfId="31333"/>
    <cellStyle name="Normal 55 2 3 2 2" xfId="31334"/>
    <cellStyle name="Normal 55 2 3 2 3" xfId="31335"/>
    <cellStyle name="Normal 55 2 3 3" xfId="31336"/>
    <cellStyle name="Normal 55 2 3 3 2" xfId="31337"/>
    <cellStyle name="Normal 55 2 3 3 3" xfId="31338"/>
    <cellStyle name="Normal 55 2 3 4" xfId="31339"/>
    <cellStyle name="Normal 55 2 3 5" xfId="31340"/>
    <cellStyle name="Normal 55 2 4" xfId="31341"/>
    <cellStyle name="Normal 55 2 4 2" xfId="31342"/>
    <cellStyle name="Normal 55 2 4 3" xfId="31343"/>
    <cellStyle name="Normal 55 2 5" xfId="31344"/>
    <cellStyle name="Normal 55 2 5 2" xfId="31345"/>
    <cellStyle name="Normal 55 2 5 3" xfId="31346"/>
    <cellStyle name="Normal 55 2 6" xfId="31347"/>
    <cellStyle name="Normal 55 2 7" xfId="31348"/>
    <cellStyle name="Normal 55 3" xfId="31349"/>
    <cellStyle name="Normal 55 3 2" xfId="31350"/>
    <cellStyle name="Normal 55 3 2 2" xfId="31351"/>
    <cellStyle name="Normal 55 3 2 2 2" xfId="31352"/>
    <cellStyle name="Normal 55 3 2 2 3" xfId="31353"/>
    <cellStyle name="Normal 55 3 2 3" xfId="31354"/>
    <cellStyle name="Normal 55 3 2 3 2" xfId="31355"/>
    <cellStyle name="Normal 55 3 2 3 3" xfId="31356"/>
    <cellStyle name="Normal 55 3 2 4" xfId="31357"/>
    <cellStyle name="Normal 55 3 2 5" xfId="31358"/>
    <cellStyle name="Normal 55 3 3" xfId="31359"/>
    <cellStyle name="Normal 55 3 3 2" xfId="31360"/>
    <cellStyle name="Normal 55 3 3 2 2" xfId="31361"/>
    <cellStyle name="Normal 55 3 3 2 3" xfId="31362"/>
    <cellStyle name="Normal 55 3 3 3" xfId="31363"/>
    <cellStyle name="Normal 55 3 3 3 2" xfId="31364"/>
    <cellStyle name="Normal 55 3 3 3 3" xfId="31365"/>
    <cellStyle name="Normal 55 3 3 4" xfId="31366"/>
    <cellStyle name="Normal 55 3 3 5" xfId="31367"/>
    <cellStyle name="Normal 55 3 4" xfId="31368"/>
    <cellStyle name="Normal 55 3 4 2" xfId="31369"/>
    <cellStyle name="Normal 55 3 4 3" xfId="31370"/>
    <cellStyle name="Normal 55 3 5" xfId="31371"/>
    <cellStyle name="Normal 55 3 5 2" xfId="31372"/>
    <cellStyle name="Normal 55 3 5 3" xfId="31373"/>
    <cellStyle name="Normal 55 3 6" xfId="31374"/>
    <cellStyle name="Normal 55 3 7" xfId="31375"/>
    <cellStyle name="Normal 55 4" xfId="31376"/>
    <cellStyle name="Normal 55 4 2" xfId="31377"/>
    <cellStyle name="Normal 55 4 2 2" xfId="31378"/>
    <cellStyle name="Normal 55 4 2 3" xfId="31379"/>
    <cellStyle name="Normal 55 4 3" xfId="31380"/>
    <cellStyle name="Normal 55 4 3 2" xfId="31381"/>
    <cellStyle name="Normal 55 4 3 3" xfId="31382"/>
    <cellStyle name="Normal 55 4 4" xfId="31383"/>
    <cellStyle name="Normal 55 4 5" xfId="31384"/>
    <cellStyle name="Normal 55 5" xfId="31385"/>
    <cellStyle name="Normal 55 5 2" xfId="31386"/>
    <cellStyle name="Normal 55 5 2 2" xfId="31387"/>
    <cellStyle name="Normal 55 5 2 3" xfId="31388"/>
    <cellStyle name="Normal 55 5 3" xfId="31389"/>
    <cellStyle name="Normal 55 5 3 2" xfId="31390"/>
    <cellStyle name="Normal 55 5 3 3" xfId="31391"/>
    <cellStyle name="Normal 55 5 4" xfId="31392"/>
    <cellStyle name="Normal 55 5 5" xfId="31393"/>
    <cellStyle name="Normal 55 6" xfId="31394"/>
    <cellStyle name="Normal 55 6 2" xfId="31395"/>
    <cellStyle name="Normal 55 6 3" xfId="31396"/>
    <cellStyle name="Normal 55 7" xfId="31397"/>
    <cellStyle name="Normal 55 7 2" xfId="31398"/>
    <cellStyle name="Normal 55 7 3" xfId="31399"/>
    <cellStyle name="Normal 55 8" xfId="31400"/>
    <cellStyle name="Normal 55 9" xfId="31401"/>
    <cellStyle name="Normal 56" xfId="31402"/>
    <cellStyle name="Normal 56 2" xfId="31403"/>
    <cellStyle name="Normal 56 2 2" xfId="31404"/>
    <cellStyle name="Normal 56 2 2 2" xfId="31405"/>
    <cellStyle name="Normal 56 2 2 2 2" xfId="31406"/>
    <cellStyle name="Normal 56 2 2 2 3" xfId="31407"/>
    <cellStyle name="Normal 56 2 2 3" xfId="31408"/>
    <cellStyle name="Normal 56 2 2 3 2" xfId="31409"/>
    <cellStyle name="Normal 56 2 2 3 3" xfId="31410"/>
    <cellStyle name="Normal 56 2 2 4" xfId="31411"/>
    <cellStyle name="Normal 56 2 2 5" xfId="31412"/>
    <cellStyle name="Normal 56 2 3" xfId="31413"/>
    <cellStyle name="Normal 56 2 3 2" xfId="31414"/>
    <cellStyle name="Normal 56 2 3 2 2" xfId="31415"/>
    <cellStyle name="Normal 56 2 3 2 3" xfId="31416"/>
    <cellStyle name="Normal 56 2 3 3" xfId="31417"/>
    <cellStyle name="Normal 56 2 3 3 2" xfId="31418"/>
    <cellStyle name="Normal 56 2 3 3 3" xfId="31419"/>
    <cellStyle name="Normal 56 2 3 4" xfId="31420"/>
    <cellStyle name="Normal 56 2 3 5" xfId="31421"/>
    <cellStyle name="Normal 56 2 4" xfId="31422"/>
    <cellStyle name="Normal 56 2 4 2" xfId="31423"/>
    <cellStyle name="Normal 56 2 4 3" xfId="31424"/>
    <cellStyle name="Normal 56 2 5" xfId="31425"/>
    <cellStyle name="Normal 56 2 5 2" xfId="31426"/>
    <cellStyle name="Normal 56 2 5 3" xfId="31427"/>
    <cellStyle name="Normal 56 2 6" xfId="31428"/>
    <cellStyle name="Normal 56 2 7" xfId="31429"/>
    <cellStyle name="Normal 56 3" xfId="31430"/>
    <cellStyle name="Normal 56 3 2" xfId="31431"/>
    <cellStyle name="Normal 56 3 2 2" xfId="31432"/>
    <cellStyle name="Normal 56 3 2 2 2" xfId="31433"/>
    <cellStyle name="Normal 56 3 2 2 3" xfId="31434"/>
    <cellStyle name="Normal 56 3 2 3" xfId="31435"/>
    <cellStyle name="Normal 56 3 2 3 2" xfId="31436"/>
    <cellStyle name="Normal 56 3 2 3 3" xfId="31437"/>
    <cellStyle name="Normal 56 3 2 4" xfId="31438"/>
    <cellStyle name="Normal 56 3 2 5" xfId="31439"/>
    <cellStyle name="Normal 56 3 3" xfId="31440"/>
    <cellStyle name="Normal 56 3 3 2" xfId="31441"/>
    <cellStyle name="Normal 56 3 3 2 2" xfId="31442"/>
    <cellStyle name="Normal 56 3 3 2 3" xfId="31443"/>
    <cellStyle name="Normal 56 3 3 3" xfId="31444"/>
    <cellStyle name="Normal 56 3 3 3 2" xfId="31445"/>
    <cellStyle name="Normal 56 3 3 3 3" xfId="31446"/>
    <cellStyle name="Normal 56 3 3 4" xfId="31447"/>
    <cellStyle name="Normal 56 3 3 5" xfId="31448"/>
    <cellStyle name="Normal 56 3 4" xfId="31449"/>
    <cellStyle name="Normal 56 3 4 2" xfId="31450"/>
    <cellStyle name="Normal 56 3 4 3" xfId="31451"/>
    <cellStyle name="Normal 56 3 5" xfId="31452"/>
    <cellStyle name="Normal 56 3 5 2" xfId="31453"/>
    <cellStyle name="Normal 56 3 5 3" xfId="31454"/>
    <cellStyle name="Normal 56 3 6" xfId="31455"/>
    <cellStyle name="Normal 56 3 7" xfId="31456"/>
    <cellStyle name="Normal 56 4" xfId="31457"/>
    <cellStyle name="Normal 56 4 2" xfId="31458"/>
    <cellStyle name="Normal 56 4 2 2" xfId="31459"/>
    <cellStyle name="Normal 56 4 2 3" xfId="31460"/>
    <cellStyle name="Normal 56 4 3" xfId="31461"/>
    <cellStyle name="Normal 56 4 3 2" xfId="31462"/>
    <cellStyle name="Normal 56 4 3 3" xfId="31463"/>
    <cellStyle name="Normal 56 4 4" xfId="31464"/>
    <cellStyle name="Normal 56 4 5" xfId="31465"/>
    <cellStyle name="Normal 56 5" xfId="31466"/>
    <cellStyle name="Normal 56 5 2" xfId="31467"/>
    <cellStyle name="Normal 56 5 2 2" xfId="31468"/>
    <cellStyle name="Normal 56 5 2 3" xfId="31469"/>
    <cellStyle name="Normal 56 5 3" xfId="31470"/>
    <cellStyle name="Normal 56 5 3 2" xfId="31471"/>
    <cellStyle name="Normal 56 5 3 3" xfId="31472"/>
    <cellStyle name="Normal 56 5 4" xfId="31473"/>
    <cellStyle name="Normal 56 5 5" xfId="31474"/>
    <cellStyle name="Normal 56 6" xfId="31475"/>
    <cellStyle name="Normal 56 6 2" xfId="31476"/>
    <cellStyle name="Normal 56 6 3" xfId="31477"/>
    <cellStyle name="Normal 56 7" xfId="31478"/>
    <cellStyle name="Normal 56 7 2" xfId="31479"/>
    <cellStyle name="Normal 56 7 3" xfId="31480"/>
    <cellStyle name="Normal 56 8" xfId="31481"/>
    <cellStyle name="Normal 56 9" xfId="31482"/>
    <cellStyle name="Normal 57" xfId="31483"/>
    <cellStyle name="Normal 57 2" xfId="31484"/>
    <cellStyle name="Normal 57 2 2" xfId="31485"/>
    <cellStyle name="Normal 57 2 2 2" xfId="31486"/>
    <cellStyle name="Normal 57 2 2 2 2" xfId="31487"/>
    <cellStyle name="Normal 57 2 2 2 3" xfId="31488"/>
    <cellStyle name="Normal 57 2 2 3" xfId="31489"/>
    <cellStyle name="Normal 57 2 2 3 2" xfId="31490"/>
    <cellStyle name="Normal 57 2 2 3 3" xfId="31491"/>
    <cellStyle name="Normal 57 2 2 4" xfId="31492"/>
    <cellStyle name="Normal 57 2 2 5" xfId="31493"/>
    <cellStyle name="Normal 57 2 3" xfId="31494"/>
    <cellStyle name="Normal 57 2 3 2" xfId="31495"/>
    <cellStyle name="Normal 57 2 3 2 2" xfId="31496"/>
    <cellStyle name="Normal 57 2 3 2 3" xfId="31497"/>
    <cellStyle name="Normal 57 2 3 3" xfId="31498"/>
    <cellStyle name="Normal 57 2 3 3 2" xfId="31499"/>
    <cellStyle name="Normal 57 2 3 3 3" xfId="31500"/>
    <cellStyle name="Normal 57 2 3 4" xfId="31501"/>
    <cellStyle name="Normal 57 2 3 5" xfId="31502"/>
    <cellStyle name="Normal 57 2 4" xfId="31503"/>
    <cellStyle name="Normal 57 2 4 2" xfId="31504"/>
    <cellStyle name="Normal 57 2 4 3" xfId="31505"/>
    <cellStyle name="Normal 57 2 5" xfId="31506"/>
    <cellStyle name="Normal 57 2 5 2" xfId="31507"/>
    <cellStyle name="Normal 57 2 5 3" xfId="31508"/>
    <cellStyle name="Normal 57 2 6" xfId="31509"/>
    <cellStyle name="Normal 57 2 7" xfId="31510"/>
    <cellStyle name="Normal 57 3" xfId="31511"/>
    <cellStyle name="Normal 57 3 2" xfId="31512"/>
    <cellStyle name="Normal 57 3 2 2" xfId="31513"/>
    <cellStyle name="Normal 57 3 2 2 2" xfId="31514"/>
    <cellStyle name="Normal 57 3 2 2 3" xfId="31515"/>
    <cellStyle name="Normal 57 3 2 3" xfId="31516"/>
    <cellStyle name="Normal 57 3 2 3 2" xfId="31517"/>
    <cellStyle name="Normal 57 3 2 3 3" xfId="31518"/>
    <cellStyle name="Normal 57 3 2 4" xfId="31519"/>
    <cellStyle name="Normal 57 3 2 5" xfId="31520"/>
    <cellStyle name="Normal 57 3 3" xfId="31521"/>
    <cellStyle name="Normal 57 3 3 2" xfId="31522"/>
    <cellStyle name="Normal 57 3 3 2 2" xfId="31523"/>
    <cellStyle name="Normal 57 3 3 2 3" xfId="31524"/>
    <cellStyle name="Normal 57 3 3 3" xfId="31525"/>
    <cellStyle name="Normal 57 3 3 3 2" xfId="31526"/>
    <cellStyle name="Normal 57 3 3 3 3" xfId="31527"/>
    <cellStyle name="Normal 57 3 3 4" xfId="31528"/>
    <cellStyle name="Normal 57 3 3 5" xfId="31529"/>
    <cellStyle name="Normal 57 3 4" xfId="31530"/>
    <cellStyle name="Normal 57 3 4 2" xfId="31531"/>
    <cellStyle name="Normal 57 3 4 3" xfId="31532"/>
    <cellStyle name="Normal 57 3 5" xfId="31533"/>
    <cellStyle name="Normal 57 3 5 2" xfId="31534"/>
    <cellStyle name="Normal 57 3 5 3" xfId="31535"/>
    <cellStyle name="Normal 57 3 6" xfId="31536"/>
    <cellStyle name="Normal 57 3 7" xfId="31537"/>
    <cellStyle name="Normal 57 4" xfId="31538"/>
    <cellStyle name="Normal 57 4 2" xfId="31539"/>
    <cellStyle name="Normal 57 4 2 2" xfId="31540"/>
    <cellStyle name="Normal 57 4 2 3" xfId="31541"/>
    <cellStyle name="Normal 57 4 3" xfId="31542"/>
    <cellStyle name="Normal 57 4 3 2" xfId="31543"/>
    <cellStyle name="Normal 57 4 3 3" xfId="31544"/>
    <cellStyle name="Normal 57 4 4" xfId="31545"/>
    <cellStyle name="Normal 57 4 5" xfId="31546"/>
    <cellStyle name="Normal 57 5" xfId="31547"/>
    <cellStyle name="Normal 57 5 2" xfId="31548"/>
    <cellStyle name="Normal 57 5 2 2" xfId="31549"/>
    <cellStyle name="Normal 57 5 2 3" xfId="31550"/>
    <cellStyle name="Normal 57 5 3" xfId="31551"/>
    <cellStyle name="Normal 57 5 3 2" xfId="31552"/>
    <cellStyle name="Normal 57 5 3 3" xfId="31553"/>
    <cellStyle name="Normal 57 5 4" xfId="31554"/>
    <cellStyle name="Normal 57 5 5" xfId="31555"/>
    <cellStyle name="Normal 57 6" xfId="31556"/>
    <cellStyle name="Normal 57 6 2" xfId="31557"/>
    <cellStyle name="Normal 57 6 3" xfId="31558"/>
    <cellStyle name="Normal 57 7" xfId="31559"/>
    <cellStyle name="Normal 57 7 2" xfId="31560"/>
    <cellStyle name="Normal 57 7 3" xfId="31561"/>
    <cellStyle name="Normal 57 8" xfId="31562"/>
    <cellStyle name="Normal 57 9" xfId="31563"/>
    <cellStyle name="Normal 58" xfId="13"/>
    <cellStyle name="Normal 58 2" xfId="31564"/>
    <cellStyle name="Normal 58 3" xfId="31565"/>
    <cellStyle name="Normal 59" xfId="31566"/>
    <cellStyle name="Normal 59 2" xfId="31567"/>
    <cellStyle name="Normal 59 3" xfId="31568"/>
    <cellStyle name="Normal 6" xfId="31569"/>
    <cellStyle name="Normal 6 10" xfId="31570"/>
    <cellStyle name="Normal 6 11" xfId="31571"/>
    <cellStyle name="Normal 6 12" xfId="31572"/>
    <cellStyle name="Normal 6 13" xfId="31573"/>
    <cellStyle name="Normal 6 14" xfId="31574"/>
    <cellStyle name="Normal 6 15" xfId="31575"/>
    <cellStyle name="Normal 6 16" xfId="31576"/>
    <cellStyle name="Normal 6 17" xfId="31577"/>
    <cellStyle name="Normal 6 18" xfId="31578"/>
    <cellStyle name="Normal 6 19" xfId="31579"/>
    <cellStyle name="Normal 6 2" xfId="31580"/>
    <cellStyle name="Normal 6 2 10" xfId="43093"/>
    <cellStyle name="Normal 6 2 2" xfId="31581"/>
    <cellStyle name="Normal 6 2 3" xfId="31582"/>
    <cellStyle name="Normal 6 2 4" xfId="31583"/>
    <cellStyle name="Normal 6 2 5" xfId="31584"/>
    <cellStyle name="Normal 6 2 6" xfId="31585"/>
    <cellStyle name="Normal 6 2 7" xfId="31586"/>
    <cellStyle name="Normal 6 2 8" xfId="31587"/>
    <cellStyle name="Normal 6 2 9" xfId="31588"/>
    <cellStyle name="Normal 6 20" xfId="31589"/>
    <cellStyle name="Normal 6 21" xfId="31590"/>
    <cellStyle name="Normal 6 22" xfId="31591"/>
    <cellStyle name="Normal 6 23" xfId="31592"/>
    <cellStyle name="Normal 6 24" xfId="31593"/>
    <cellStyle name="Normal 6 25" xfId="31594"/>
    <cellStyle name="Normal 6 26" xfId="31595"/>
    <cellStyle name="Normal 6 27" xfId="31596"/>
    <cellStyle name="Normal 6 28" xfId="31597"/>
    <cellStyle name="Normal 6 29" xfId="31598"/>
    <cellStyle name="Normal 6 3" xfId="31599"/>
    <cellStyle name="Normal 6 30" xfId="31600"/>
    <cellStyle name="Normal 6 31" xfId="31601"/>
    <cellStyle name="Normal 6 32" xfId="31602"/>
    <cellStyle name="Normal 6 33" xfId="31603"/>
    <cellStyle name="Normal 6 34" xfId="31604"/>
    <cellStyle name="Normal 6 35" xfId="31605"/>
    <cellStyle name="Normal 6 36" xfId="31606"/>
    <cellStyle name="Normal 6 37" xfId="31607"/>
    <cellStyle name="Normal 6 38" xfId="31608"/>
    <cellStyle name="Normal 6 39" xfId="31609"/>
    <cellStyle name="Normal 6 4" xfId="31610"/>
    <cellStyle name="Normal 6 40" xfId="31611"/>
    <cellStyle name="Normal 6 41" xfId="31612"/>
    <cellStyle name="Normal 6 42" xfId="31613"/>
    <cellStyle name="Normal 6 43" xfId="31614"/>
    <cellStyle name="Normal 6 44" xfId="31615"/>
    <cellStyle name="Normal 6 45" xfId="31616"/>
    <cellStyle name="Normal 6 46" xfId="31617"/>
    <cellStyle name="Normal 6 47" xfId="31618"/>
    <cellStyle name="Normal 6 48" xfId="31619"/>
    <cellStyle name="Normal 6 49" xfId="31620"/>
    <cellStyle name="Normal 6 5" xfId="31621"/>
    <cellStyle name="Normal 6 50" xfId="31622"/>
    <cellStyle name="Normal 6 51" xfId="31623"/>
    <cellStyle name="Normal 6 52" xfId="31624"/>
    <cellStyle name="Normal 6 53" xfId="31625"/>
    <cellStyle name="Normal 6 54" xfId="31626"/>
    <cellStyle name="Normal 6 55" xfId="31627"/>
    <cellStyle name="Normal 6 56" xfId="31628"/>
    <cellStyle name="Normal 6 57" xfId="31629"/>
    <cellStyle name="Normal 6 58" xfId="31630"/>
    <cellStyle name="Normal 6 59" xfId="31631"/>
    <cellStyle name="Normal 6 6" xfId="31632"/>
    <cellStyle name="Normal 6 60" xfId="31633"/>
    <cellStyle name="Normal 6 61" xfId="31634"/>
    <cellStyle name="Normal 6 62" xfId="31635"/>
    <cellStyle name="Normal 6 63" xfId="31636"/>
    <cellStyle name="Normal 6 64" xfId="31637"/>
    <cellStyle name="Normal 6 65" xfId="31638"/>
    <cellStyle name="Normal 6 66" xfId="31639"/>
    <cellStyle name="Normal 6 67" xfId="31640"/>
    <cellStyle name="Normal 6 68" xfId="31641"/>
    <cellStyle name="Normal 6 69" xfId="31642"/>
    <cellStyle name="Normal 6 7" xfId="31643"/>
    <cellStyle name="Normal 6 70" xfId="31644"/>
    <cellStyle name="Normal 6 71" xfId="31645"/>
    <cellStyle name="Normal 6 72" xfId="31646"/>
    <cellStyle name="Normal 6 73" xfId="42900"/>
    <cellStyle name="Normal 6 74" xfId="43092"/>
    <cellStyle name="Normal 6 8" xfId="31647"/>
    <cellStyle name="Normal 6 9" xfId="31648"/>
    <cellStyle name="Normal 60" xfId="31649"/>
    <cellStyle name="Normal 60 2" xfId="31650"/>
    <cellStyle name="Normal 60 3" xfId="31651"/>
    <cellStyle name="Normal 61" xfId="31652"/>
    <cellStyle name="Normal 61 2" xfId="31653"/>
    <cellStyle name="Normal 61 2 2" xfId="31654"/>
    <cellStyle name="Normal 61 2 2 2" xfId="31655"/>
    <cellStyle name="Normal 61 2 2 2 2" xfId="31656"/>
    <cellStyle name="Normal 61 2 2 2 3" xfId="31657"/>
    <cellStyle name="Normal 61 2 2 3" xfId="31658"/>
    <cellStyle name="Normal 61 2 2 3 2" xfId="31659"/>
    <cellStyle name="Normal 61 2 2 3 3" xfId="31660"/>
    <cellStyle name="Normal 61 2 2 4" xfId="31661"/>
    <cellStyle name="Normal 61 2 2 5" xfId="31662"/>
    <cellStyle name="Normal 61 2 3" xfId="31663"/>
    <cellStyle name="Normal 61 2 3 2" xfId="31664"/>
    <cellStyle name="Normal 61 2 3 2 2" xfId="31665"/>
    <cellStyle name="Normal 61 2 3 2 3" xfId="31666"/>
    <cellStyle name="Normal 61 2 3 3" xfId="31667"/>
    <cellStyle name="Normal 61 2 3 3 2" xfId="31668"/>
    <cellStyle name="Normal 61 2 3 3 3" xfId="31669"/>
    <cellStyle name="Normal 61 2 3 4" xfId="31670"/>
    <cellStyle name="Normal 61 2 3 5" xfId="31671"/>
    <cellStyle name="Normal 61 2 4" xfId="31672"/>
    <cellStyle name="Normal 61 2 4 2" xfId="31673"/>
    <cellStyle name="Normal 61 2 4 3" xfId="31674"/>
    <cellStyle name="Normal 61 2 5" xfId="31675"/>
    <cellStyle name="Normal 61 2 5 2" xfId="31676"/>
    <cellStyle name="Normal 61 2 5 3" xfId="31677"/>
    <cellStyle name="Normal 61 2 6" xfId="31678"/>
    <cellStyle name="Normal 61 2 7" xfId="31679"/>
    <cellStyle name="Normal 61 3" xfId="31680"/>
    <cellStyle name="Normal 61 3 2" xfId="31681"/>
    <cellStyle name="Normal 61 3 2 2" xfId="31682"/>
    <cellStyle name="Normal 61 3 2 2 2" xfId="31683"/>
    <cellStyle name="Normal 61 3 2 2 3" xfId="31684"/>
    <cellStyle name="Normal 61 3 2 3" xfId="31685"/>
    <cellStyle name="Normal 61 3 2 3 2" xfId="31686"/>
    <cellStyle name="Normal 61 3 2 3 3" xfId="31687"/>
    <cellStyle name="Normal 61 3 2 4" xfId="31688"/>
    <cellStyle name="Normal 61 3 2 5" xfId="31689"/>
    <cellStyle name="Normal 61 3 3" xfId="31690"/>
    <cellStyle name="Normal 61 3 3 2" xfId="31691"/>
    <cellStyle name="Normal 61 3 3 2 2" xfId="31692"/>
    <cellStyle name="Normal 61 3 3 2 3" xfId="31693"/>
    <cellStyle name="Normal 61 3 3 3" xfId="31694"/>
    <cellStyle name="Normal 61 3 3 3 2" xfId="31695"/>
    <cellStyle name="Normal 61 3 3 3 3" xfId="31696"/>
    <cellStyle name="Normal 61 3 3 4" xfId="31697"/>
    <cellStyle name="Normal 61 3 3 5" xfId="31698"/>
    <cellStyle name="Normal 61 3 4" xfId="31699"/>
    <cellStyle name="Normal 61 3 4 2" xfId="31700"/>
    <cellStyle name="Normal 61 3 4 3" xfId="31701"/>
    <cellStyle name="Normal 61 3 5" xfId="31702"/>
    <cellStyle name="Normal 61 3 5 2" xfId="31703"/>
    <cellStyle name="Normal 61 3 5 3" xfId="31704"/>
    <cellStyle name="Normal 61 3 6" xfId="31705"/>
    <cellStyle name="Normal 61 3 7" xfId="31706"/>
    <cellStyle name="Normal 61 4" xfId="31707"/>
    <cellStyle name="Normal 61 4 2" xfId="31708"/>
    <cellStyle name="Normal 61 4 2 2" xfId="31709"/>
    <cellStyle name="Normal 61 4 2 3" xfId="31710"/>
    <cellStyle name="Normal 61 4 3" xfId="31711"/>
    <cellStyle name="Normal 61 4 3 2" xfId="31712"/>
    <cellStyle name="Normal 61 4 3 3" xfId="31713"/>
    <cellStyle name="Normal 61 4 4" xfId="31714"/>
    <cellStyle name="Normal 61 4 5" xfId="31715"/>
    <cellStyle name="Normal 61 5" xfId="31716"/>
    <cellStyle name="Normal 61 5 2" xfId="31717"/>
    <cellStyle name="Normal 61 5 2 2" xfId="31718"/>
    <cellStyle name="Normal 61 5 2 3" xfId="31719"/>
    <cellStyle name="Normal 61 5 3" xfId="31720"/>
    <cellStyle name="Normal 61 5 3 2" xfId="31721"/>
    <cellStyle name="Normal 61 5 3 3" xfId="31722"/>
    <cellStyle name="Normal 61 5 4" xfId="31723"/>
    <cellStyle name="Normal 61 5 5" xfId="31724"/>
    <cellStyle name="Normal 61 6" xfId="31725"/>
    <cellStyle name="Normal 61 6 2" xfId="31726"/>
    <cellStyle name="Normal 61 6 3" xfId="31727"/>
    <cellStyle name="Normal 61 7" xfId="31728"/>
    <cellStyle name="Normal 61 7 2" xfId="31729"/>
    <cellStyle name="Normal 61 7 3" xfId="31730"/>
    <cellStyle name="Normal 61 8" xfId="31731"/>
    <cellStyle name="Normal 61 9" xfId="31732"/>
    <cellStyle name="Normal 62" xfId="31733"/>
    <cellStyle name="Normal 62 2" xfId="31734"/>
    <cellStyle name="Normal 62 2 2" xfId="31735"/>
    <cellStyle name="Normal 62 2 2 2" xfId="31736"/>
    <cellStyle name="Normal 62 2 2 2 2" xfId="31737"/>
    <cellStyle name="Normal 62 2 2 2 3" xfId="31738"/>
    <cellStyle name="Normal 62 2 2 3" xfId="31739"/>
    <cellStyle name="Normal 62 2 2 3 2" xfId="31740"/>
    <cellStyle name="Normal 62 2 2 3 3" xfId="31741"/>
    <cellStyle name="Normal 62 2 2 4" xfId="31742"/>
    <cellStyle name="Normal 62 2 2 5" xfId="31743"/>
    <cellStyle name="Normal 62 2 3" xfId="31744"/>
    <cellStyle name="Normal 62 2 3 2" xfId="31745"/>
    <cellStyle name="Normal 62 2 3 2 2" xfId="31746"/>
    <cellStyle name="Normal 62 2 3 2 3" xfId="31747"/>
    <cellStyle name="Normal 62 2 3 3" xfId="31748"/>
    <cellStyle name="Normal 62 2 3 3 2" xfId="31749"/>
    <cellStyle name="Normal 62 2 3 3 3" xfId="31750"/>
    <cellStyle name="Normal 62 2 3 4" xfId="31751"/>
    <cellStyle name="Normal 62 2 3 5" xfId="31752"/>
    <cellStyle name="Normal 62 2 4" xfId="31753"/>
    <cellStyle name="Normal 62 2 4 2" xfId="31754"/>
    <cellStyle name="Normal 62 2 4 3" xfId="31755"/>
    <cellStyle name="Normal 62 2 5" xfId="31756"/>
    <cellStyle name="Normal 62 2 5 2" xfId="31757"/>
    <cellStyle name="Normal 62 2 5 3" xfId="31758"/>
    <cellStyle name="Normal 62 2 6" xfId="31759"/>
    <cellStyle name="Normal 62 2 7" xfId="31760"/>
    <cellStyle name="Normal 62 3" xfId="31761"/>
    <cellStyle name="Normal 62 3 2" xfId="31762"/>
    <cellStyle name="Normal 62 3 2 2" xfId="31763"/>
    <cellStyle name="Normal 62 3 2 2 2" xfId="31764"/>
    <cellStyle name="Normal 62 3 2 2 3" xfId="31765"/>
    <cellStyle name="Normal 62 3 2 3" xfId="31766"/>
    <cellStyle name="Normal 62 3 2 3 2" xfId="31767"/>
    <cellStyle name="Normal 62 3 2 3 3" xfId="31768"/>
    <cellStyle name="Normal 62 3 2 4" xfId="31769"/>
    <cellStyle name="Normal 62 3 2 5" xfId="31770"/>
    <cellStyle name="Normal 62 3 3" xfId="31771"/>
    <cellStyle name="Normal 62 3 3 2" xfId="31772"/>
    <cellStyle name="Normal 62 3 3 2 2" xfId="31773"/>
    <cellStyle name="Normal 62 3 3 2 3" xfId="31774"/>
    <cellStyle name="Normal 62 3 3 3" xfId="31775"/>
    <cellStyle name="Normal 62 3 3 3 2" xfId="31776"/>
    <cellStyle name="Normal 62 3 3 3 3" xfId="31777"/>
    <cellStyle name="Normal 62 3 3 4" xfId="31778"/>
    <cellStyle name="Normal 62 3 3 5" xfId="31779"/>
    <cellStyle name="Normal 62 3 4" xfId="31780"/>
    <cellStyle name="Normal 62 3 4 2" xfId="31781"/>
    <cellStyle name="Normal 62 3 4 3" xfId="31782"/>
    <cellStyle name="Normal 62 3 5" xfId="31783"/>
    <cellStyle name="Normal 62 3 5 2" xfId="31784"/>
    <cellStyle name="Normal 62 3 5 3" xfId="31785"/>
    <cellStyle name="Normal 62 3 6" xfId="31786"/>
    <cellStyle name="Normal 62 3 7" xfId="31787"/>
    <cellStyle name="Normal 62 4" xfId="31788"/>
    <cellStyle name="Normal 62 4 2" xfId="31789"/>
    <cellStyle name="Normal 62 4 2 2" xfId="31790"/>
    <cellStyle name="Normal 62 4 2 3" xfId="31791"/>
    <cellStyle name="Normal 62 4 3" xfId="31792"/>
    <cellStyle name="Normal 62 4 3 2" xfId="31793"/>
    <cellStyle name="Normal 62 4 3 3" xfId="31794"/>
    <cellStyle name="Normal 62 4 4" xfId="31795"/>
    <cellStyle name="Normal 62 4 5" xfId="31796"/>
    <cellStyle name="Normal 62 5" xfId="31797"/>
    <cellStyle name="Normal 62 5 2" xfId="31798"/>
    <cellStyle name="Normal 62 5 2 2" xfId="31799"/>
    <cellStyle name="Normal 62 5 2 3" xfId="31800"/>
    <cellStyle name="Normal 62 5 3" xfId="31801"/>
    <cellStyle name="Normal 62 5 3 2" xfId="31802"/>
    <cellStyle name="Normal 62 5 3 3" xfId="31803"/>
    <cellStyle name="Normal 62 5 4" xfId="31804"/>
    <cellStyle name="Normal 62 5 5" xfId="31805"/>
    <cellStyle name="Normal 62 6" xfId="31806"/>
    <cellStyle name="Normal 62 6 2" xfId="31807"/>
    <cellStyle name="Normal 62 6 3" xfId="31808"/>
    <cellStyle name="Normal 62 7" xfId="31809"/>
    <cellStyle name="Normal 62 7 2" xfId="31810"/>
    <cellStyle name="Normal 62 7 3" xfId="31811"/>
    <cellStyle name="Normal 62 8" xfId="31812"/>
    <cellStyle name="Normal 62 9" xfId="31813"/>
    <cellStyle name="Normal 63" xfId="31814"/>
    <cellStyle name="Normal 63 2" xfId="31815"/>
    <cellStyle name="Normal 63 2 2" xfId="31816"/>
    <cellStyle name="Normal 63 2 2 2" xfId="31817"/>
    <cellStyle name="Normal 63 2 2 2 2" xfId="31818"/>
    <cellStyle name="Normal 63 2 2 2 3" xfId="31819"/>
    <cellStyle name="Normal 63 2 2 3" xfId="31820"/>
    <cellStyle name="Normal 63 2 2 3 2" xfId="31821"/>
    <cellStyle name="Normal 63 2 2 3 3" xfId="31822"/>
    <cellStyle name="Normal 63 2 2 4" xfId="31823"/>
    <cellStyle name="Normal 63 2 2 5" xfId="31824"/>
    <cellStyle name="Normal 63 2 3" xfId="31825"/>
    <cellStyle name="Normal 63 2 3 2" xfId="31826"/>
    <cellStyle name="Normal 63 2 3 2 2" xfId="31827"/>
    <cellStyle name="Normal 63 2 3 2 3" xfId="31828"/>
    <cellStyle name="Normal 63 2 3 3" xfId="31829"/>
    <cellStyle name="Normal 63 2 3 3 2" xfId="31830"/>
    <cellStyle name="Normal 63 2 3 3 3" xfId="31831"/>
    <cellStyle name="Normal 63 2 3 4" xfId="31832"/>
    <cellStyle name="Normal 63 2 3 5" xfId="31833"/>
    <cellStyle name="Normal 63 2 4" xfId="31834"/>
    <cellStyle name="Normal 63 2 4 2" xfId="31835"/>
    <cellStyle name="Normal 63 2 4 3" xfId="31836"/>
    <cellStyle name="Normal 63 2 5" xfId="31837"/>
    <cellStyle name="Normal 63 2 5 2" xfId="31838"/>
    <cellStyle name="Normal 63 2 5 3" xfId="31839"/>
    <cellStyle name="Normal 63 2 6" xfId="31840"/>
    <cellStyle name="Normal 63 2 7" xfId="31841"/>
    <cellStyle name="Normal 63 3" xfId="31842"/>
    <cellStyle name="Normal 63 3 2" xfId="31843"/>
    <cellStyle name="Normal 63 3 2 2" xfId="31844"/>
    <cellStyle name="Normal 63 3 2 2 2" xfId="31845"/>
    <cellStyle name="Normal 63 3 2 2 3" xfId="31846"/>
    <cellStyle name="Normal 63 3 2 3" xfId="31847"/>
    <cellStyle name="Normal 63 3 2 3 2" xfId="31848"/>
    <cellStyle name="Normal 63 3 2 3 3" xfId="31849"/>
    <cellStyle name="Normal 63 3 2 4" xfId="31850"/>
    <cellStyle name="Normal 63 3 2 5" xfId="31851"/>
    <cellStyle name="Normal 63 3 3" xfId="31852"/>
    <cellStyle name="Normal 63 3 3 2" xfId="31853"/>
    <cellStyle name="Normal 63 3 3 2 2" xfId="31854"/>
    <cellStyle name="Normal 63 3 3 2 3" xfId="31855"/>
    <cellStyle name="Normal 63 3 3 3" xfId="31856"/>
    <cellStyle name="Normal 63 3 3 3 2" xfId="31857"/>
    <cellStyle name="Normal 63 3 3 3 3" xfId="31858"/>
    <cellStyle name="Normal 63 3 3 4" xfId="31859"/>
    <cellStyle name="Normal 63 3 3 5" xfId="31860"/>
    <cellStyle name="Normal 63 3 4" xfId="31861"/>
    <cellStyle name="Normal 63 3 4 2" xfId="31862"/>
    <cellStyle name="Normal 63 3 4 3" xfId="31863"/>
    <cellStyle name="Normal 63 3 5" xfId="31864"/>
    <cellStyle name="Normal 63 3 5 2" xfId="31865"/>
    <cellStyle name="Normal 63 3 5 3" xfId="31866"/>
    <cellStyle name="Normal 63 3 6" xfId="31867"/>
    <cellStyle name="Normal 63 3 7" xfId="31868"/>
    <cellStyle name="Normal 63 4" xfId="31869"/>
    <cellStyle name="Normal 63 4 2" xfId="31870"/>
    <cellStyle name="Normal 63 4 2 2" xfId="31871"/>
    <cellStyle name="Normal 63 4 2 3" xfId="31872"/>
    <cellStyle name="Normal 63 4 3" xfId="31873"/>
    <cellStyle name="Normal 63 4 3 2" xfId="31874"/>
    <cellStyle name="Normal 63 4 3 3" xfId="31875"/>
    <cellStyle name="Normal 63 4 4" xfId="31876"/>
    <cellStyle name="Normal 63 4 5" xfId="31877"/>
    <cellStyle name="Normal 63 5" xfId="31878"/>
    <cellStyle name="Normal 63 5 2" xfId="31879"/>
    <cellStyle name="Normal 63 5 2 2" xfId="31880"/>
    <cellStyle name="Normal 63 5 2 3" xfId="31881"/>
    <cellStyle name="Normal 63 5 3" xfId="31882"/>
    <cellStyle name="Normal 63 5 3 2" xfId="31883"/>
    <cellStyle name="Normal 63 5 3 3" xfId="31884"/>
    <cellStyle name="Normal 63 5 4" xfId="31885"/>
    <cellStyle name="Normal 63 5 5" xfId="31886"/>
    <cellStyle name="Normal 63 6" xfId="31887"/>
    <cellStyle name="Normal 63 6 2" xfId="31888"/>
    <cellStyle name="Normal 63 6 3" xfId="31889"/>
    <cellStyle name="Normal 63 7" xfId="31890"/>
    <cellStyle name="Normal 63 7 2" xfId="31891"/>
    <cellStyle name="Normal 63 7 3" xfId="31892"/>
    <cellStyle name="Normal 63 8" xfId="31893"/>
    <cellStyle name="Normal 63 9" xfId="31894"/>
    <cellStyle name="Normal 64" xfId="31895"/>
    <cellStyle name="Normal 64 2" xfId="31896"/>
    <cellStyle name="Normal 64 2 2" xfId="31897"/>
    <cellStyle name="Normal 64 2 2 2" xfId="31898"/>
    <cellStyle name="Normal 64 2 2 2 2" xfId="31899"/>
    <cellStyle name="Normal 64 2 2 2 3" xfId="31900"/>
    <cellStyle name="Normal 64 2 2 3" xfId="31901"/>
    <cellStyle name="Normal 64 2 2 3 2" xfId="31902"/>
    <cellStyle name="Normal 64 2 2 3 3" xfId="31903"/>
    <cellStyle name="Normal 64 2 2 4" xfId="31904"/>
    <cellStyle name="Normal 64 2 2 5" xfId="31905"/>
    <cellStyle name="Normal 64 2 3" xfId="31906"/>
    <cellStyle name="Normal 64 2 3 2" xfId="31907"/>
    <cellStyle name="Normal 64 2 3 2 2" xfId="31908"/>
    <cellStyle name="Normal 64 2 3 2 3" xfId="31909"/>
    <cellStyle name="Normal 64 2 3 3" xfId="31910"/>
    <cellStyle name="Normal 64 2 3 3 2" xfId="31911"/>
    <cellStyle name="Normal 64 2 3 3 3" xfId="31912"/>
    <cellStyle name="Normal 64 2 3 4" xfId="31913"/>
    <cellStyle name="Normal 64 2 3 5" xfId="31914"/>
    <cellStyle name="Normal 64 2 4" xfId="31915"/>
    <cellStyle name="Normal 64 2 4 2" xfId="31916"/>
    <cellStyle name="Normal 64 2 4 3" xfId="31917"/>
    <cellStyle name="Normal 64 2 5" xfId="31918"/>
    <cellStyle name="Normal 64 2 5 2" xfId="31919"/>
    <cellStyle name="Normal 64 2 5 3" xfId="31920"/>
    <cellStyle name="Normal 64 2 6" xfId="31921"/>
    <cellStyle name="Normal 64 2 7" xfId="31922"/>
    <cellStyle name="Normal 64 3" xfId="31923"/>
    <cellStyle name="Normal 64 3 2" xfId="31924"/>
    <cellStyle name="Normal 64 3 2 2" xfId="31925"/>
    <cellStyle name="Normal 64 3 2 2 2" xfId="31926"/>
    <cellStyle name="Normal 64 3 2 2 3" xfId="31927"/>
    <cellStyle name="Normal 64 3 2 3" xfId="31928"/>
    <cellStyle name="Normal 64 3 2 3 2" xfId="31929"/>
    <cellStyle name="Normal 64 3 2 3 3" xfId="31930"/>
    <cellStyle name="Normal 64 3 2 4" xfId="31931"/>
    <cellStyle name="Normal 64 3 2 5" xfId="31932"/>
    <cellStyle name="Normal 64 3 3" xfId="31933"/>
    <cellStyle name="Normal 64 3 3 2" xfId="31934"/>
    <cellStyle name="Normal 64 3 3 2 2" xfId="31935"/>
    <cellStyle name="Normal 64 3 3 2 3" xfId="31936"/>
    <cellStyle name="Normal 64 3 3 3" xfId="31937"/>
    <cellStyle name="Normal 64 3 3 3 2" xfId="31938"/>
    <cellStyle name="Normal 64 3 3 3 3" xfId="31939"/>
    <cellStyle name="Normal 64 3 3 4" xfId="31940"/>
    <cellStyle name="Normal 64 3 3 5" xfId="31941"/>
    <cellStyle name="Normal 64 3 4" xfId="31942"/>
    <cellStyle name="Normal 64 3 4 2" xfId="31943"/>
    <cellStyle name="Normal 64 3 4 3" xfId="31944"/>
    <cellStyle name="Normal 64 3 5" xfId="31945"/>
    <cellStyle name="Normal 64 3 5 2" xfId="31946"/>
    <cellStyle name="Normal 64 3 5 3" xfId="31947"/>
    <cellStyle name="Normal 64 3 6" xfId="31948"/>
    <cellStyle name="Normal 64 3 7" xfId="31949"/>
    <cellStyle name="Normal 64 4" xfId="31950"/>
    <cellStyle name="Normal 64 4 2" xfId="31951"/>
    <cellStyle name="Normal 64 4 2 2" xfId="31952"/>
    <cellStyle name="Normal 64 4 2 3" xfId="31953"/>
    <cellStyle name="Normal 64 4 3" xfId="31954"/>
    <cellStyle name="Normal 64 4 3 2" xfId="31955"/>
    <cellStyle name="Normal 64 4 3 3" xfId="31956"/>
    <cellStyle name="Normal 64 4 4" xfId="31957"/>
    <cellStyle name="Normal 64 4 5" xfId="31958"/>
    <cellStyle name="Normal 64 5" xfId="31959"/>
    <cellStyle name="Normal 64 5 2" xfId="31960"/>
    <cellStyle name="Normal 64 5 2 2" xfId="31961"/>
    <cellStyle name="Normal 64 5 2 3" xfId="31962"/>
    <cellStyle name="Normal 64 5 3" xfId="31963"/>
    <cellStyle name="Normal 64 5 3 2" xfId="31964"/>
    <cellStyle name="Normal 64 5 3 3" xfId="31965"/>
    <cellStyle name="Normal 64 5 4" xfId="31966"/>
    <cellStyle name="Normal 64 5 5" xfId="31967"/>
    <cellStyle name="Normal 64 6" xfId="31968"/>
    <cellStyle name="Normal 64 6 2" xfId="31969"/>
    <cellStyle name="Normal 64 6 3" xfId="31970"/>
    <cellStyle name="Normal 64 7" xfId="31971"/>
    <cellStyle name="Normal 64 7 2" xfId="31972"/>
    <cellStyle name="Normal 64 7 3" xfId="31973"/>
    <cellStyle name="Normal 64 8" xfId="31974"/>
    <cellStyle name="Normal 64 9" xfId="31975"/>
    <cellStyle name="Normal 65" xfId="31976"/>
    <cellStyle name="Normal 66" xfId="31977"/>
    <cellStyle name="Normal 67" xfId="31978"/>
    <cellStyle name="Normal 68" xfId="31979"/>
    <cellStyle name="Normal 68 10" xfId="31980"/>
    <cellStyle name="Normal 68 2" xfId="31981"/>
    <cellStyle name="Normal 68 2 2" xfId="31982"/>
    <cellStyle name="Normal 68 2 2 2" xfId="31983"/>
    <cellStyle name="Normal 68 2 2 2 2" xfId="31984"/>
    <cellStyle name="Normal 68 2 2 2 2 2" xfId="31985"/>
    <cellStyle name="Normal 68 2 2 2 2 3" xfId="31986"/>
    <cellStyle name="Normal 68 2 2 2 3" xfId="31987"/>
    <cellStyle name="Normal 68 2 2 2 3 2" xfId="31988"/>
    <cellStyle name="Normal 68 2 2 2 3 3" xfId="31989"/>
    <cellStyle name="Normal 68 2 2 2 4" xfId="31990"/>
    <cellStyle name="Normal 68 2 2 2 5" xfId="31991"/>
    <cellStyle name="Normal 68 2 2 3" xfId="31992"/>
    <cellStyle name="Normal 68 2 2 3 2" xfId="31993"/>
    <cellStyle name="Normal 68 2 2 3 2 2" xfId="31994"/>
    <cellStyle name="Normal 68 2 2 3 2 3" xfId="31995"/>
    <cellStyle name="Normal 68 2 2 3 3" xfId="31996"/>
    <cellStyle name="Normal 68 2 2 3 3 2" xfId="31997"/>
    <cellStyle name="Normal 68 2 2 3 3 3" xfId="31998"/>
    <cellStyle name="Normal 68 2 2 3 4" xfId="31999"/>
    <cellStyle name="Normal 68 2 2 3 5" xfId="32000"/>
    <cellStyle name="Normal 68 2 2 4" xfId="32001"/>
    <cellStyle name="Normal 68 2 2 4 2" xfId="32002"/>
    <cellStyle name="Normal 68 2 2 4 3" xfId="32003"/>
    <cellStyle name="Normal 68 2 2 5" xfId="32004"/>
    <cellStyle name="Normal 68 2 2 5 2" xfId="32005"/>
    <cellStyle name="Normal 68 2 2 5 3" xfId="32006"/>
    <cellStyle name="Normal 68 2 2 6" xfId="32007"/>
    <cellStyle name="Normal 68 2 2 7" xfId="32008"/>
    <cellStyle name="Normal 68 2 3" xfId="32009"/>
    <cellStyle name="Normal 68 2 3 2" xfId="32010"/>
    <cellStyle name="Normal 68 2 3 2 2" xfId="32011"/>
    <cellStyle name="Normal 68 2 3 2 2 2" xfId="32012"/>
    <cellStyle name="Normal 68 2 3 2 2 3" xfId="32013"/>
    <cellStyle name="Normal 68 2 3 2 3" xfId="32014"/>
    <cellStyle name="Normal 68 2 3 2 3 2" xfId="32015"/>
    <cellStyle name="Normal 68 2 3 2 3 3" xfId="32016"/>
    <cellStyle name="Normal 68 2 3 2 4" xfId="32017"/>
    <cellStyle name="Normal 68 2 3 2 5" xfId="32018"/>
    <cellStyle name="Normal 68 2 3 3" xfId="32019"/>
    <cellStyle name="Normal 68 2 3 3 2" xfId="32020"/>
    <cellStyle name="Normal 68 2 3 3 2 2" xfId="32021"/>
    <cellStyle name="Normal 68 2 3 3 2 3" xfId="32022"/>
    <cellStyle name="Normal 68 2 3 3 3" xfId="32023"/>
    <cellStyle name="Normal 68 2 3 3 3 2" xfId="32024"/>
    <cellStyle name="Normal 68 2 3 3 3 3" xfId="32025"/>
    <cellStyle name="Normal 68 2 3 3 4" xfId="32026"/>
    <cellStyle name="Normal 68 2 3 3 5" xfId="32027"/>
    <cellStyle name="Normal 68 2 3 4" xfId="32028"/>
    <cellStyle name="Normal 68 2 3 4 2" xfId="32029"/>
    <cellStyle name="Normal 68 2 3 4 3" xfId="32030"/>
    <cellStyle name="Normal 68 2 3 5" xfId="32031"/>
    <cellStyle name="Normal 68 2 3 5 2" xfId="32032"/>
    <cellStyle name="Normal 68 2 3 5 3" xfId="32033"/>
    <cellStyle name="Normal 68 2 3 6" xfId="32034"/>
    <cellStyle name="Normal 68 2 3 7" xfId="32035"/>
    <cellStyle name="Normal 68 2 4" xfId="32036"/>
    <cellStyle name="Normal 68 2 4 2" xfId="32037"/>
    <cellStyle name="Normal 68 2 4 2 2" xfId="32038"/>
    <cellStyle name="Normal 68 2 4 2 3" xfId="32039"/>
    <cellStyle name="Normal 68 2 4 3" xfId="32040"/>
    <cellStyle name="Normal 68 2 4 3 2" xfId="32041"/>
    <cellStyle name="Normal 68 2 4 3 3" xfId="32042"/>
    <cellStyle name="Normal 68 2 4 4" xfId="32043"/>
    <cellStyle name="Normal 68 2 4 5" xfId="32044"/>
    <cellStyle name="Normal 68 2 5" xfId="32045"/>
    <cellStyle name="Normal 68 2 5 2" xfId="32046"/>
    <cellStyle name="Normal 68 2 5 2 2" xfId="32047"/>
    <cellStyle name="Normal 68 2 5 2 3" xfId="32048"/>
    <cellStyle name="Normal 68 2 5 3" xfId="32049"/>
    <cellStyle name="Normal 68 2 5 3 2" xfId="32050"/>
    <cellStyle name="Normal 68 2 5 3 3" xfId="32051"/>
    <cellStyle name="Normal 68 2 5 4" xfId="32052"/>
    <cellStyle name="Normal 68 2 5 5" xfId="32053"/>
    <cellStyle name="Normal 68 2 6" xfId="32054"/>
    <cellStyle name="Normal 68 2 6 2" xfId="32055"/>
    <cellStyle name="Normal 68 2 6 3" xfId="32056"/>
    <cellStyle name="Normal 68 2 7" xfId="32057"/>
    <cellStyle name="Normal 68 2 7 2" xfId="32058"/>
    <cellStyle name="Normal 68 2 7 3" xfId="32059"/>
    <cellStyle name="Normal 68 2 8" xfId="32060"/>
    <cellStyle name="Normal 68 2 9" xfId="32061"/>
    <cellStyle name="Normal 68 3" xfId="32062"/>
    <cellStyle name="Normal 68 3 2" xfId="32063"/>
    <cellStyle name="Normal 68 3 2 2" xfId="32064"/>
    <cellStyle name="Normal 68 3 2 2 2" xfId="32065"/>
    <cellStyle name="Normal 68 3 2 2 3" xfId="32066"/>
    <cellStyle name="Normal 68 3 2 3" xfId="32067"/>
    <cellStyle name="Normal 68 3 2 3 2" xfId="32068"/>
    <cellStyle name="Normal 68 3 2 3 3" xfId="32069"/>
    <cellStyle name="Normal 68 3 2 4" xfId="32070"/>
    <cellStyle name="Normal 68 3 2 5" xfId="32071"/>
    <cellStyle name="Normal 68 3 3" xfId="32072"/>
    <cellStyle name="Normal 68 3 3 2" xfId="32073"/>
    <cellStyle name="Normal 68 3 3 2 2" xfId="32074"/>
    <cellStyle name="Normal 68 3 3 2 3" xfId="32075"/>
    <cellStyle name="Normal 68 3 3 3" xfId="32076"/>
    <cellStyle name="Normal 68 3 3 3 2" xfId="32077"/>
    <cellStyle name="Normal 68 3 3 3 3" xfId="32078"/>
    <cellStyle name="Normal 68 3 3 4" xfId="32079"/>
    <cellStyle name="Normal 68 3 3 5" xfId="32080"/>
    <cellStyle name="Normal 68 3 4" xfId="32081"/>
    <cellStyle name="Normal 68 3 4 2" xfId="32082"/>
    <cellStyle name="Normal 68 3 4 3" xfId="32083"/>
    <cellStyle name="Normal 68 3 5" xfId="32084"/>
    <cellStyle name="Normal 68 3 5 2" xfId="32085"/>
    <cellStyle name="Normal 68 3 5 3" xfId="32086"/>
    <cellStyle name="Normal 68 3 6" xfId="32087"/>
    <cellStyle name="Normal 68 3 7" xfId="32088"/>
    <cellStyle name="Normal 68 4" xfId="32089"/>
    <cellStyle name="Normal 68 4 2" xfId="32090"/>
    <cellStyle name="Normal 68 4 2 2" xfId="32091"/>
    <cellStyle name="Normal 68 4 2 2 2" xfId="32092"/>
    <cellStyle name="Normal 68 4 2 2 3" xfId="32093"/>
    <cellStyle name="Normal 68 4 2 3" xfId="32094"/>
    <cellStyle name="Normal 68 4 2 3 2" xfId="32095"/>
    <cellStyle name="Normal 68 4 2 3 3" xfId="32096"/>
    <cellStyle name="Normal 68 4 2 4" xfId="32097"/>
    <cellStyle name="Normal 68 4 2 5" xfId="32098"/>
    <cellStyle name="Normal 68 4 3" xfId="32099"/>
    <cellStyle name="Normal 68 4 3 2" xfId="32100"/>
    <cellStyle name="Normal 68 4 3 2 2" xfId="32101"/>
    <cellStyle name="Normal 68 4 3 2 3" xfId="32102"/>
    <cellStyle name="Normal 68 4 3 3" xfId="32103"/>
    <cellStyle name="Normal 68 4 3 3 2" xfId="32104"/>
    <cellStyle name="Normal 68 4 3 3 3" xfId="32105"/>
    <cellStyle name="Normal 68 4 3 4" xfId="32106"/>
    <cellStyle name="Normal 68 4 3 5" xfId="32107"/>
    <cellStyle name="Normal 68 4 4" xfId="32108"/>
    <cellStyle name="Normal 68 4 4 2" xfId="32109"/>
    <cellStyle name="Normal 68 4 4 3" xfId="32110"/>
    <cellStyle name="Normal 68 4 5" xfId="32111"/>
    <cellStyle name="Normal 68 4 5 2" xfId="32112"/>
    <cellStyle name="Normal 68 4 5 3" xfId="32113"/>
    <cellStyle name="Normal 68 4 6" xfId="32114"/>
    <cellStyle name="Normal 68 4 7" xfId="32115"/>
    <cellStyle name="Normal 68 5" xfId="32116"/>
    <cellStyle name="Normal 68 5 2" xfId="32117"/>
    <cellStyle name="Normal 68 5 2 2" xfId="32118"/>
    <cellStyle name="Normal 68 5 2 3" xfId="32119"/>
    <cellStyle name="Normal 68 5 3" xfId="32120"/>
    <cellStyle name="Normal 68 5 3 2" xfId="32121"/>
    <cellStyle name="Normal 68 5 3 3" xfId="32122"/>
    <cellStyle name="Normal 68 5 4" xfId="32123"/>
    <cellStyle name="Normal 68 5 5" xfId="32124"/>
    <cellStyle name="Normal 68 6" xfId="32125"/>
    <cellStyle name="Normal 68 6 2" xfId="32126"/>
    <cellStyle name="Normal 68 6 2 2" xfId="32127"/>
    <cellStyle name="Normal 68 6 2 3" xfId="32128"/>
    <cellStyle name="Normal 68 6 3" xfId="32129"/>
    <cellStyle name="Normal 68 6 3 2" xfId="32130"/>
    <cellStyle name="Normal 68 6 3 3" xfId="32131"/>
    <cellStyle name="Normal 68 6 4" xfId="32132"/>
    <cellStyle name="Normal 68 6 5" xfId="32133"/>
    <cellStyle name="Normal 68 7" xfId="32134"/>
    <cellStyle name="Normal 68 7 2" xfId="32135"/>
    <cellStyle name="Normal 68 7 3" xfId="32136"/>
    <cellStyle name="Normal 68 8" xfId="32137"/>
    <cellStyle name="Normal 68 8 2" xfId="32138"/>
    <cellStyle name="Normal 68 8 3" xfId="32139"/>
    <cellStyle name="Normal 68 9" xfId="32140"/>
    <cellStyle name="Normal 69" xfId="32141"/>
    <cellStyle name="Normal 69 10" xfId="32142"/>
    <cellStyle name="Normal 69 2" xfId="32143"/>
    <cellStyle name="Normal 69 2 2" xfId="32144"/>
    <cellStyle name="Normal 69 2 2 2" xfId="32145"/>
    <cellStyle name="Normal 69 2 2 2 2" xfId="32146"/>
    <cellStyle name="Normal 69 2 2 2 2 2" xfId="32147"/>
    <cellStyle name="Normal 69 2 2 2 2 3" xfId="32148"/>
    <cellStyle name="Normal 69 2 2 2 3" xfId="32149"/>
    <cellStyle name="Normal 69 2 2 2 3 2" xfId="32150"/>
    <cellStyle name="Normal 69 2 2 2 3 3" xfId="32151"/>
    <cellStyle name="Normal 69 2 2 2 4" xfId="32152"/>
    <cellStyle name="Normal 69 2 2 2 5" xfId="32153"/>
    <cellStyle name="Normal 69 2 2 3" xfId="32154"/>
    <cellStyle name="Normal 69 2 2 3 2" xfId="32155"/>
    <cellStyle name="Normal 69 2 2 3 2 2" xfId="32156"/>
    <cellStyle name="Normal 69 2 2 3 2 3" xfId="32157"/>
    <cellStyle name="Normal 69 2 2 3 3" xfId="32158"/>
    <cellStyle name="Normal 69 2 2 3 3 2" xfId="32159"/>
    <cellStyle name="Normal 69 2 2 3 3 3" xfId="32160"/>
    <cellStyle name="Normal 69 2 2 3 4" xfId="32161"/>
    <cellStyle name="Normal 69 2 2 3 5" xfId="32162"/>
    <cellStyle name="Normal 69 2 2 4" xfId="32163"/>
    <cellStyle name="Normal 69 2 2 4 2" xfId="32164"/>
    <cellStyle name="Normal 69 2 2 4 3" xfId="32165"/>
    <cellStyle name="Normal 69 2 2 5" xfId="32166"/>
    <cellStyle name="Normal 69 2 2 5 2" xfId="32167"/>
    <cellStyle name="Normal 69 2 2 5 3" xfId="32168"/>
    <cellStyle name="Normal 69 2 2 6" xfId="32169"/>
    <cellStyle name="Normal 69 2 2 7" xfId="32170"/>
    <cellStyle name="Normal 69 2 3" xfId="32171"/>
    <cellStyle name="Normal 69 2 3 2" xfId="32172"/>
    <cellStyle name="Normal 69 2 3 2 2" xfId="32173"/>
    <cellStyle name="Normal 69 2 3 2 2 2" xfId="32174"/>
    <cellStyle name="Normal 69 2 3 2 2 3" xfId="32175"/>
    <cellStyle name="Normal 69 2 3 2 3" xfId="32176"/>
    <cellStyle name="Normal 69 2 3 2 3 2" xfId="32177"/>
    <cellStyle name="Normal 69 2 3 2 3 3" xfId="32178"/>
    <cellStyle name="Normal 69 2 3 2 4" xfId="32179"/>
    <cellStyle name="Normal 69 2 3 2 5" xfId="32180"/>
    <cellStyle name="Normal 69 2 3 3" xfId="32181"/>
    <cellStyle name="Normal 69 2 3 3 2" xfId="32182"/>
    <cellStyle name="Normal 69 2 3 3 2 2" xfId="32183"/>
    <cellStyle name="Normal 69 2 3 3 2 3" xfId="32184"/>
    <cellStyle name="Normal 69 2 3 3 3" xfId="32185"/>
    <cellStyle name="Normal 69 2 3 3 3 2" xfId="32186"/>
    <cellStyle name="Normal 69 2 3 3 3 3" xfId="32187"/>
    <cellStyle name="Normal 69 2 3 3 4" xfId="32188"/>
    <cellStyle name="Normal 69 2 3 3 5" xfId="32189"/>
    <cellStyle name="Normal 69 2 3 4" xfId="32190"/>
    <cellStyle name="Normal 69 2 3 4 2" xfId="32191"/>
    <cellStyle name="Normal 69 2 3 4 3" xfId="32192"/>
    <cellStyle name="Normal 69 2 3 5" xfId="32193"/>
    <cellStyle name="Normal 69 2 3 5 2" xfId="32194"/>
    <cellStyle name="Normal 69 2 3 5 3" xfId="32195"/>
    <cellStyle name="Normal 69 2 3 6" xfId="32196"/>
    <cellStyle name="Normal 69 2 3 7" xfId="32197"/>
    <cellStyle name="Normal 69 2 4" xfId="32198"/>
    <cellStyle name="Normal 69 2 4 2" xfId="32199"/>
    <cellStyle name="Normal 69 2 4 2 2" xfId="32200"/>
    <cellStyle name="Normal 69 2 4 2 3" xfId="32201"/>
    <cellStyle name="Normal 69 2 4 3" xfId="32202"/>
    <cellStyle name="Normal 69 2 4 3 2" xfId="32203"/>
    <cellStyle name="Normal 69 2 4 3 3" xfId="32204"/>
    <cellStyle name="Normal 69 2 4 4" xfId="32205"/>
    <cellStyle name="Normal 69 2 4 5" xfId="32206"/>
    <cellStyle name="Normal 69 2 5" xfId="32207"/>
    <cellStyle name="Normal 69 2 5 2" xfId="32208"/>
    <cellStyle name="Normal 69 2 5 2 2" xfId="32209"/>
    <cellStyle name="Normal 69 2 5 2 3" xfId="32210"/>
    <cellStyle name="Normal 69 2 5 3" xfId="32211"/>
    <cellStyle name="Normal 69 2 5 3 2" xfId="32212"/>
    <cellStyle name="Normal 69 2 5 3 3" xfId="32213"/>
    <cellStyle name="Normal 69 2 5 4" xfId="32214"/>
    <cellStyle name="Normal 69 2 5 5" xfId="32215"/>
    <cellStyle name="Normal 69 2 6" xfId="32216"/>
    <cellStyle name="Normal 69 2 6 2" xfId="32217"/>
    <cellStyle name="Normal 69 2 6 3" xfId="32218"/>
    <cellStyle name="Normal 69 2 7" xfId="32219"/>
    <cellStyle name="Normal 69 2 7 2" xfId="32220"/>
    <cellStyle name="Normal 69 2 7 3" xfId="32221"/>
    <cellStyle name="Normal 69 2 8" xfId="32222"/>
    <cellStyle name="Normal 69 2 9" xfId="32223"/>
    <cellStyle name="Normal 69 3" xfId="32224"/>
    <cellStyle name="Normal 69 3 2" xfId="32225"/>
    <cellStyle name="Normal 69 3 2 2" xfId="32226"/>
    <cellStyle name="Normal 69 3 2 2 2" xfId="32227"/>
    <cellStyle name="Normal 69 3 2 2 3" xfId="32228"/>
    <cellStyle name="Normal 69 3 2 3" xfId="32229"/>
    <cellStyle name="Normal 69 3 2 3 2" xfId="32230"/>
    <cellStyle name="Normal 69 3 2 3 3" xfId="32231"/>
    <cellStyle name="Normal 69 3 2 4" xfId="32232"/>
    <cellStyle name="Normal 69 3 2 5" xfId="32233"/>
    <cellStyle name="Normal 69 3 3" xfId="32234"/>
    <cellStyle name="Normal 69 3 3 2" xfId="32235"/>
    <cellStyle name="Normal 69 3 3 2 2" xfId="32236"/>
    <cellStyle name="Normal 69 3 3 2 3" xfId="32237"/>
    <cellStyle name="Normal 69 3 3 3" xfId="32238"/>
    <cellStyle name="Normal 69 3 3 3 2" xfId="32239"/>
    <cellStyle name="Normal 69 3 3 3 3" xfId="32240"/>
    <cellStyle name="Normal 69 3 3 4" xfId="32241"/>
    <cellStyle name="Normal 69 3 3 5" xfId="32242"/>
    <cellStyle name="Normal 69 3 4" xfId="32243"/>
    <cellStyle name="Normal 69 3 4 2" xfId="32244"/>
    <cellStyle name="Normal 69 3 4 3" xfId="32245"/>
    <cellStyle name="Normal 69 3 5" xfId="32246"/>
    <cellStyle name="Normal 69 3 5 2" xfId="32247"/>
    <cellStyle name="Normal 69 3 5 3" xfId="32248"/>
    <cellStyle name="Normal 69 3 6" xfId="32249"/>
    <cellStyle name="Normal 69 3 7" xfId="32250"/>
    <cellStyle name="Normal 69 4" xfId="32251"/>
    <cellStyle name="Normal 69 4 2" xfId="32252"/>
    <cellStyle name="Normal 69 4 2 2" xfId="32253"/>
    <cellStyle name="Normal 69 4 2 2 2" xfId="32254"/>
    <cellStyle name="Normal 69 4 2 2 3" xfId="32255"/>
    <cellStyle name="Normal 69 4 2 3" xfId="32256"/>
    <cellStyle name="Normal 69 4 2 3 2" xfId="32257"/>
    <cellStyle name="Normal 69 4 2 3 3" xfId="32258"/>
    <cellStyle name="Normal 69 4 2 4" xfId="32259"/>
    <cellStyle name="Normal 69 4 2 5" xfId="32260"/>
    <cellStyle name="Normal 69 4 3" xfId="32261"/>
    <cellStyle name="Normal 69 4 3 2" xfId="32262"/>
    <cellStyle name="Normal 69 4 3 2 2" xfId="32263"/>
    <cellStyle name="Normal 69 4 3 2 3" xfId="32264"/>
    <cellStyle name="Normal 69 4 3 3" xfId="32265"/>
    <cellStyle name="Normal 69 4 3 3 2" xfId="32266"/>
    <cellStyle name="Normal 69 4 3 3 3" xfId="32267"/>
    <cellStyle name="Normal 69 4 3 4" xfId="32268"/>
    <cellStyle name="Normal 69 4 3 5" xfId="32269"/>
    <cellStyle name="Normal 69 4 4" xfId="32270"/>
    <cellStyle name="Normal 69 4 4 2" xfId="32271"/>
    <cellStyle name="Normal 69 4 4 3" xfId="32272"/>
    <cellStyle name="Normal 69 4 5" xfId="32273"/>
    <cellStyle name="Normal 69 4 5 2" xfId="32274"/>
    <cellStyle name="Normal 69 4 5 3" xfId="32275"/>
    <cellStyle name="Normal 69 4 6" xfId="32276"/>
    <cellStyle name="Normal 69 4 7" xfId="32277"/>
    <cellStyle name="Normal 69 5" xfId="32278"/>
    <cellStyle name="Normal 69 5 2" xfId="32279"/>
    <cellStyle name="Normal 69 5 2 2" xfId="32280"/>
    <cellStyle name="Normal 69 5 2 3" xfId="32281"/>
    <cellStyle name="Normal 69 5 3" xfId="32282"/>
    <cellStyle name="Normal 69 5 3 2" xfId="32283"/>
    <cellStyle name="Normal 69 5 3 3" xfId="32284"/>
    <cellStyle name="Normal 69 5 4" xfId="32285"/>
    <cellStyle name="Normal 69 5 5" xfId="32286"/>
    <cellStyle name="Normal 69 6" xfId="32287"/>
    <cellStyle name="Normal 69 6 2" xfId="32288"/>
    <cellStyle name="Normal 69 6 2 2" xfId="32289"/>
    <cellStyle name="Normal 69 6 2 3" xfId="32290"/>
    <cellStyle name="Normal 69 6 3" xfId="32291"/>
    <cellStyle name="Normal 69 6 3 2" xfId="32292"/>
    <cellStyle name="Normal 69 6 3 3" xfId="32293"/>
    <cellStyle name="Normal 69 6 4" xfId="32294"/>
    <cellStyle name="Normal 69 6 5" xfId="32295"/>
    <cellStyle name="Normal 69 7" xfId="32296"/>
    <cellStyle name="Normal 69 7 2" xfId="32297"/>
    <cellStyle name="Normal 69 7 3" xfId="32298"/>
    <cellStyle name="Normal 69 8" xfId="32299"/>
    <cellStyle name="Normal 69 8 2" xfId="32300"/>
    <cellStyle name="Normal 69 8 3" xfId="32301"/>
    <cellStyle name="Normal 69 9" xfId="32302"/>
    <cellStyle name="Normal 7" xfId="32303"/>
    <cellStyle name="Normal 7 10" xfId="32304"/>
    <cellStyle name="Normal 7 11" xfId="32305"/>
    <cellStyle name="Normal 7 12" xfId="32306"/>
    <cellStyle name="Normal 7 13" xfId="32307"/>
    <cellStyle name="Normal 7 14" xfId="32308"/>
    <cellStyle name="Normal 7 15" xfId="32309"/>
    <cellStyle name="Normal 7 16" xfId="32310"/>
    <cellStyle name="Normal 7 17" xfId="32311"/>
    <cellStyle name="Normal 7 18" xfId="32312"/>
    <cellStyle name="Normal 7 19" xfId="32313"/>
    <cellStyle name="Normal 7 19 10" xfId="32314"/>
    <cellStyle name="Normal 7 19 11" xfId="32315"/>
    <cellStyle name="Normal 7 19 2" xfId="32316"/>
    <cellStyle name="Normal 7 19 2 10" xfId="32317"/>
    <cellStyle name="Normal 7 19 2 2" xfId="32318"/>
    <cellStyle name="Normal 7 19 2 2 2" xfId="32319"/>
    <cellStyle name="Normal 7 19 2 2 2 2" xfId="32320"/>
    <cellStyle name="Normal 7 19 2 2 2 2 2" xfId="32321"/>
    <cellStyle name="Normal 7 19 2 2 2 2 2 2" xfId="32322"/>
    <cellStyle name="Normal 7 19 2 2 2 2 2 3" xfId="32323"/>
    <cellStyle name="Normal 7 19 2 2 2 2 3" xfId="32324"/>
    <cellStyle name="Normal 7 19 2 2 2 2 3 2" xfId="32325"/>
    <cellStyle name="Normal 7 19 2 2 2 2 3 3" xfId="32326"/>
    <cellStyle name="Normal 7 19 2 2 2 2 4" xfId="32327"/>
    <cellStyle name="Normal 7 19 2 2 2 2 5" xfId="32328"/>
    <cellStyle name="Normal 7 19 2 2 2 3" xfId="32329"/>
    <cellStyle name="Normal 7 19 2 2 2 3 2" xfId="32330"/>
    <cellStyle name="Normal 7 19 2 2 2 3 2 2" xfId="32331"/>
    <cellStyle name="Normal 7 19 2 2 2 3 2 3" xfId="32332"/>
    <cellStyle name="Normal 7 19 2 2 2 3 3" xfId="32333"/>
    <cellStyle name="Normal 7 19 2 2 2 3 3 2" xfId="32334"/>
    <cellStyle name="Normal 7 19 2 2 2 3 3 3" xfId="32335"/>
    <cellStyle name="Normal 7 19 2 2 2 3 4" xfId="32336"/>
    <cellStyle name="Normal 7 19 2 2 2 3 5" xfId="32337"/>
    <cellStyle name="Normal 7 19 2 2 2 4" xfId="32338"/>
    <cellStyle name="Normal 7 19 2 2 2 4 2" xfId="32339"/>
    <cellStyle name="Normal 7 19 2 2 2 4 3" xfId="32340"/>
    <cellStyle name="Normal 7 19 2 2 2 5" xfId="32341"/>
    <cellStyle name="Normal 7 19 2 2 2 5 2" xfId="32342"/>
    <cellStyle name="Normal 7 19 2 2 2 5 3" xfId="32343"/>
    <cellStyle name="Normal 7 19 2 2 2 6" xfId="32344"/>
    <cellStyle name="Normal 7 19 2 2 2 7" xfId="32345"/>
    <cellStyle name="Normal 7 19 2 2 3" xfId="32346"/>
    <cellStyle name="Normal 7 19 2 2 3 2" xfId="32347"/>
    <cellStyle name="Normal 7 19 2 2 3 2 2" xfId="32348"/>
    <cellStyle name="Normal 7 19 2 2 3 2 2 2" xfId="32349"/>
    <cellStyle name="Normal 7 19 2 2 3 2 2 3" xfId="32350"/>
    <cellStyle name="Normal 7 19 2 2 3 2 3" xfId="32351"/>
    <cellStyle name="Normal 7 19 2 2 3 2 3 2" xfId="32352"/>
    <cellStyle name="Normal 7 19 2 2 3 2 3 3" xfId="32353"/>
    <cellStyle name="Normal 7 19 2 2 3 2 4" xfId="32354"/>
    <cellStyle name="Normal 7 19 2 2 3 2 5" xfId="32355"/>
    <cellStyle name="Normal 7 19 2 2 3 3" xfId="32356"/>
    <cellStyle name="Normal 7 19 2 2 3 3 2" xfId="32357"/>
    <cellStyle name="Normal 7 19 2 2 3 3 2 2" xfId="32358"/>
    <cellStyle name="Normal 7 19 2 2 3 3 2 3" xfId="32359"/>
    <cellStyle name="Normal 7 19 2 2 3 3 3" xfId="32360"/>
    <cellStyle name="Normal 7 19 2 2 3 3 3 2" xfId="32361"/>
    <cellStyle name="Normal 7 19 2 2 3 3 3 3" xfId="32362"/>
    <cellStyle name="Normal 7 19 2 2 3 3 4" xfId="32363"/>
    <cellStyle name="Normal 7 19 2 2 3 3 5" xfId="32364"/>
    <cellStyle name="Normal 7 19 2 2 3 4" xfId="32365"/>
    <cellStyle name="Normal 7 19 2 2 3 4 2" xfId="32366"/>
    <cellStyle name="Normal 7 19 2 2 3 4 3" xfId="32367"/>
    <cellStyle name="Normal 7 19 2 2 3 5" xfId="32368"/>
    <cellStyle name="Normal 7 19 2 2 3 5 2" xfId="32369"/>
    <cellStyle name="Normal 7 19 2 2 3 5 3" xfId="32370"/>
    <cellStyle name="Normal 7 19 2 2 3 6" xfId="32371"/>
    <cellStyle name="Normal 7 19 2 2 3 7" xfId="32372"/>
    <cellStyle name="Normal 7 19 2 2 4" xfId="32373"/>
    <cellStyle name="Normal 7 19 2 2 4 2" xfId="32374"/>
    <cellStyle name="Normal 7 19 2 2 4 2 2" xfId="32375"/>
    <cellStyle name="Normal 7 19 2 2 4 2 3" xfId="32376"/>
    <cellStyle name="Normal 7 19 2 2 4 3" xfId="32377"/>
    <cellStyle name="Normal 7 19 2 2 4 3 2" xfId="32378"/>
    <cellStyle name="Normal 7 19 2 2 4 3 3" xfId="32379"/>
    <cellStyle name="Normal 7 19 2 2 4 4" xfId="32380"/>
    <cellStyle name="Normal 7 19 2 2 4 5" xfId="32381"/>
    <cellStyle name="Normal 7 19 2 2 5" xfId="32382"/>
    <cellStyle name="Normal 7 19 2 2 5 2" xfId="32383"/>
    <cellStyle name="Normal 7 19 2 2 5 2 2" xfId="32384"/>
    <cellStyle name="Normal 7 19 2 2 5 2 3" xfId="32385"/>
    <cellStyle name="Normal 7 19 2 2 5 3" xfId="32386"/>
    <cellStyle name="Normal 7 19 2 2 5 3 2" xfId="32387"/>
    <cellStyle name="Normal 7 19 2 2 5 3 3" xfId="32388"/>
    <cellStyle name="Normal 7 19 2 2 5 4" xfId="32389"/>
    <cellStyle name="Normal 7 19 2 2 5 5" xfId="32390"/>
    <cellStyle name="Normal 7 19 2 2 6" xfId="32391"/>
    <cellStyle name="Normal 7 19 2 2 6 2" xfId="32392"/>
    <cellStyle name="Normal 7 19 2 2 6 3" xfId="32393"/>
    <cellStyle name="Normal 7 19 2 2 7" xfId="32394"/>
    <cellStyle name="Normal 7 19 2 2 7 2" xfId="32395"/>
    <cellStyle name="Normal 7 19 2 2 7 3" xfId="32396"/>
    <cellStyle name="Normal 7 19 2 2 8" xfId="32397"/>
    <cellStyle name="Normal 7 19 2 2 9" xfId="32398"/>
    <cellStyle name="Normal 7 19 2 3" xfId="32399"/>
    <cellStyle name="Normal 7 19 2 3 2" xfId="32400"/>
    <cellStyle name="Normal 7 19 2 3 2 2" xfId="32401"/>
    <cellStyle name="Normal 7 19 2 3 2 2 2" xfId="32402"/>
    <cellStyle name="Normal 7 19 2 3 2 2 3" xfId="32403"/>
    <cellStyle name="Normal 7 19 2 3 2 3" xfId="32404"/>
    <cellStyle name="Normal 7 19 2 3 2 3 2" xfId="32405"/>
    <cellStyle name="Normal 7 19 2 3 2 3 3" xfId="32406"/>
    <cellStyle name="Normal 7 19 2 3 2 4" xfId="32407"/>
    <cellStyle name="Normal 7 19 2 3 2 5" xfId="32408"/>
    <cellStyle name="Normal 7 19 2 3 3" xfId="32409"/>
    <cellStyle name="Normal 7 19 2 3 3 2" xfId="32410"/>
    <cellStyle name="Normal 7 19 2 3 3 2 2" xfId="32411"/>
    <cellStyle name="Normal 7 19 2 3 3 2 3" xfId="32412"/>
    <cellStyle name="Normal 7 19 2 3 3 3" xfId="32413"/>
    <cellStyle name="Normal 7 19 2 3 3 3 2" xfId="32414"/>
    <cellStyle name="Normal 7 19 2 3 3 3 3" xfId="32415"/>
    <cellStyle name="Normal 7 19 2 3 3 4" xfId="32416"/>
    <cellStyle name="Normal 7 19 2 3 3 5" xfId="32417"/>
    <cellStyle name="Normal 7 19 2 3 4" xfId="32418"/>
    <cellStyle name="Normal 7 19 2 3 4 2" xfId="32419"/>
    <cellStyle name="Normal 7 19 2 3 4 3" xfId="32420"/>
    <cellStyle name="Normal 7 19 2 3 5" xfId="32421"/>
    <cellStyle name="Normal 7 19 2 3 5 2" xfId="32422"/>
    <cellStyle name="Normal 7 19 2 3 5 3" xfId="32423"/>
    <cellStyle name="Normal 7 19 2 3 6" xfId="32424"/>
    <cellStyle name="Normal 7 19 2 3 7" xfId="32425"/>
    <cellStyle name="Normal 7 19 2 4" xfId="32426"/>
    <cellStyle name="Normal 7 19 2 4 2" xfId="32427"/>
    <cellStyle name="Normal 7 19 2 4 2 2" xfId="32428"/>
    <cellStyle name="Normal 7 19 2 4 2 2 2" xfId="32429"/>
    <cellStyle name="Normal 7 19 2 4 2 2 3" xfId="32430"/>
    <cellStyle name="Normal 7 19 2 4 2 3" xfId="32431"/>
    <cellStyle name="Normal 7 19 2 4 2 3 2" xfId="32432"/>
    <cellStyle name="Normal 7 19 2 4 2 3 3" xfId="32433"/>
    <cellStyle name="Normal 7 19 2 4 2 4" xfId="32434"/>
    <cellStyle name="Normal 7 19 2 4 2 5" xfId="32435"/>
    <cellStyle name="Normal 7 19 2 4 3" xfId="32436"/>
    <cellStyle name="Normal 7 19 2 4 3 2" xfId="32437"/>
    <cellStyle name="Normal 7 19 2 4 3 2 2" xfId="32438"/>
    <cellStyle name="Normal 7 19 2 4 3 2 3" xfId="32439"/>
    <cellStyle name="Normal 7 19 2 4 3 3" xfId="32440"/>
    <cellStyle name="Normal 7 19 2 4 3 3 2" xfId="32441"/>
    <cellStyle name="Normal 7 19 2 4 3 3 3" xfId="32442"/>
    <cellStyle name="Normal 7 19 2 4 3 4" xfId="32443"/>
    <cellStyle name="Normal 7 19 2 4 3 5" xfId="32444"/>
    <cellStyle name="Normal 7 19 2 4 4" xfId="32445"/>
    <cellStyle name="Normal 7 19 2 4 4 2" xfId="32446"/>
    <cellStyle name="Normal 7 19 2 4 4 3" xfId="32447"/>
    <cellStyle name="Normal 7 19 2 4 5" xfId="32448"/>
    <cellStyle name="Normal 7 19 2 4 5 2" xfId="32449"/>
    <cellStyle name="Normal 7 19 2 4 5 3" xfId="32450"/>
    <cellStyle name="Normal 7 19 2 4 6" xfId="32451"/>
    <cellStyle name="Normal 7 19 2 4 7" xfId="32452"/>
    <cellStyle name="Normal 7 19 2 5" xfId="32453"/>
    <cellStyle name="Normal 7 19 2 5 2" xfId="32454"/>
    <cellStyle name="Normal 7 19 2 5 2 2" xfId="32455"/>
    <cellStyle name="Normal 7 19 2 5 2 3" xfId="32456"/>
    <cellStyle name="Normal 7 19 2 5 3" xfId="32457"/>
    <cellStyle name="Normal 7 19 2 5 3 2" xfId="32458"/>
    <cellStyle name="Normal 7 19 2 5 3 3" xfId="32459"/>
    <cellStyle name="Normal 7 19 2 5 4" xfId="32460"/>
    <cellStyle name="Normal 7 19 2 5 5" xfId="32461"/>
    <cellStyle name="Normal 7 19 2 6" xfId="32462"/>
    <cellStyle name="Normal 7 19 2 6 2" xfId="32463"/>
    <cellStyle name="Normal 7 19 2 6 2 2" xfId="32464"/>
    <cellStyle name="Normal 7 19 2 6 2 3" xfId="32465"/>
    <cellStyle name="Normal 7 19 2 6 3" xfId="32466"/>
    <cellStyle name="Normal 7 19 2 6 3 2" xfId="32467"/>
    <cellStyle name="Normal 7 19 2 6 3 3" xfId="32468"/>
    <cellStyle name="Normal 7 19 2 6 4" xfId="32469"/>
    <cellStyle name="Normal 7 19 2 6 5" xfId="32470"/>
    <cellStyle name="Normal 7 19 2 7" xfId="32471"/>
    <cellStyle name="Normal 7 19 2 7 2" xfId="32472"/>
    <cellStyle name="Normal 7 19 2 7 3" xfId="32473"/>
    <cellStyle name="Normal 7 19 2 8" xfId="32474"/>
    <cellStyle name="Normal 7 19 2 8 2" xfId="32475"/>
    <cellStyle name="Normal 7 19 2 8 3" xfId="32476"/>
    <cellStyle name="Normal 7 19 2 9" xfId="32477"/>
    <cellStyle name="Normal 7 19 3" xfId="32478"/>
    <cellStyle name="Normal 7 19 3 2" xfId="32479"/>
    <cellStyle name="Normal 7 19 3 2 2" xfId="32480"/>
    <cellStyle name="Normal 7 19 3 2 2 2" xfId="32481"/>
    <cellStyle name="Normal 7 19 3 2 2 2 2" xfId="32482"/>
    <cellStyle name="Normal 7 19 3 2 2 2 3" xfId="32483"/>
    <cellStyle name="Normal 7 19 3 2 2 3" xfId="32484"/>
    <cellStyle name="Normal 7 19 3 2 2 3 2" xfId="32485"/>
    <cellStyle name="Normal 7 19 3 2 2 3 3" xfId="32486"/>
    <cellStyle name="Normal 7 19 3 2 2 4" xfId="32487"/>
    <cellStyle name="Normal 7 19 3 2 2 5" xfId="32488"/>
    <cellStyle name="Normal 7 19 3 2 3" xfId="32489"/>
    <cellStyle name="Normal 7 19 3 2 3 2" xfId="32490"/>
    <cellStyle name="Normal 7 19 3 2 3 2 2" xfId="32491"/>
    <cellStyle name="Normal 7 19 3 2 3 2 3" xfId="32492"/>
    <cellStyle name="Normal 7 19 3 2 3 3" xfId="32493"/>
    <cellStyle name="Normal 7 19 3 2 3 3 2" xfId="32494"/>
    <cellStyle name="Normal 7 19 3 2 3 3 3" xfId="32495"/>
    <cellStyle name="Normal 7 19 3 2 3 4" xfId="32496"/>
    <cellStyle name="Normal 7 19 3 2 3 5" xfId="32497"/>
    <cellStyle name="Normal 7 19 3 2 4" xfId="32498"/>
    <cellStyle name="Normal 7 19 3 2 4 2" xfId="32499"/>
    <cellStyle name="Normal 7 19 3 2 4 3" xfId="32500"/>
    <cellStyle name="Normal 7 19 3 2 5" xfId="32501"/>
    <cellStyle name="Normal 7 19 3 2 5 2" xfId="32502"/>
    <cellStyle name="Normal 7 19 3 2 5 3" xfId="32503"/>
    <cellStyle name="Normal 7 19 3 2 6" xfId="32504"/>
    <cellStyle name="Normal 7 19 3 2 7" xfId="32505"/>
    <cellStyle name="Normal 7 19 3 3" xfId="32506"/>
    <cellStyle name="Normal 7 19 3 3 2" xfId="32507"/>
    <cellStyle name="Normal 7 19 3 3 2 2" xfId="32508"/>
    <cellStyle name="Normal 7 19 3 3 2 2 2" xfId="32509"/>
    <cellStyle name="Normal 7 19 3 3 2 2 3" xfId="32510"/>
    <cellStyle name="Normal 7 19 3 3 2 3" xfId="32511"/>
    <cellStyle name="Normal 7 19 3 3 2 3 2" xfId="32512"/>
    <cellStyle name="Normal 7 19 3 3 2 3 3" xfId="32513"/>
    <cellStyle name="Normal 7 19 3 3 2 4" xfId="32514"/>
    <cellStyle name="Normal 7 19 3 3 2 5" xfId="32515"/>
    <cellStyle name="Normal 7 19 3 3 3" xfId="32516"/>
    <cellStyle name="Normal 7 19 3 3 3 2" xfId="32517"/>
    <cellStyle name="Normal 7 19 3 3 3 2 2" xfId="32518"/>
    <cellStyle name="Normal 7 19 3 3 3 2 3" xfId="32519"/>
    <cellStyle name="Normal 7 19 3 3 3 3" xfId="32520"/>
    <cellStyle name="Normal 7 19 3 3 3 3 2" xfId="32521"/>
    <cellStyle name="Normal 7 19 3 3 3 3 3" xfId="32522"/>
    <cellStyle name="Normal 7 19 3 3 3 4" xfId="32523"/>
    <cellStyle name="Normal 7 19 3 3 3 5" xfId="32524"/>
    <cellStyle name="Normal 7 19 3 3 4" xfId="32525"/>
    <cellStyle name="Normal 7 19 3 3 4 2" xfId="32526"/>
    <cellStyle name="Normal 7 19 3 3 4 3" xfId="32527"/>
    <cellStyle name="Normal 7 19 3 3 5" xfId="32528"/>
    <cellStyle name="Normal 7 19 3 3 5 2" xfId="32529"/>
    <cellStyle name="Normal 7 19 3 3 5 3" xfId="32530"/>
    <cellStyle name="Normal 7 19 3 3 6" xfId="32531"/>
    <cellStyle name="Normal 7 19 3 3 7" xfId="32532"/>
    <cellStyle name="Normal 7 19 3 4" xfId="32533"/>
    <cellStyle name="Normal 7 19 3 4 2" xfId="32534"/>
    <cellStyle name="Normal 7 19 3 4 2 2" xfId="32535"/>
    <cellStyle name="Normal 7 19 3 4 2 3" xfId="32536"/>
    <cellStyle name="Normal 7 19 3 4 3" xfId="32537"/>
    <cellStyle name="Normal 7 19 3 4 3 2" xfId="32538"/>
    <cellStyle name="Normal 7 19 3 4 3 3" xfId="32539"/>
    <cellStyle name="Normal 7 19 3 4 4" xfId="32540"/>
    <cellStyle name="Normal 7 19 3 4 5" xfId="32541"/>
    <cellStyle name="Normal 7 19 3 5" xfId="32542"/>
    <cellStyle name="Normal 7 19 3 5 2" xfId="32543"/>
    <cellStyle name="Normal 7 19 3 5 2 2" xfId="32544"/>
    <cellStyle name="Normal 7 19 3 5 2 3" xfId="32545"/>
    <cellStyle name="Normal 7 19 3 5 3" xfId="32546"/>
    <cellStyle name="Normal 7 19 3 5 3 2" xfId="32547"/>
    <cellStyle name="Normal 7 19 3 5 3 3" xfId="32548"/>
    <cellStyle name="Normal 7 19 3 5 4" xfId="32549"/>
    <cellStyle name="Normal 7 19 3 5 5" xfId="32550"/>
    <cellStyle name="Normal 7 19 3 6" xfId="32551"/>
    <cellStyle name="Normal 7 19 3 6 2" xfId="32552"/>
    <cellStyle name="Normal 7 19 3 6 3" xfId="32553"/>
    <cellStyle name="Normal 7 19 3 7" xfId="32554"/>
    <cellStyle name="Normal 7 19 3 7 2" xfId="32555"/>
    <cellStyle name="Normal 7 19 3 7 3" xfId="32556"/>
    <cellStyle name="Normal 7 19 3 8" xfId="32557"/>
    <cellStyle name="Normal 7 19 3 9" xfId="32558"/>
    <cellStyle name="Normal 7 19 4" xfId="32559"/>
    <cellStyle name="Normal 7 19 4 2" xfId="32560"/>
    <cellStyle name="Normal 7 19 4 2 2" xfId="32561"/>
    <cellStyle name="Normal 7 19 4 2 2 2" xfId="32562"/>
    <cellStyle name="Normal 7 19 4 2 2 3" xfId="32563"/>
    <cellStyle name="Normal 7 19 4 2 3" xfId="32564"/>
    <cellStyle name="Normal 7 19 4 2 3 2" xfId="32565"/>
    <cellStyle name="Normal 7 19 4 2 3 3" xfId="32566"/>
    <cellStyle name="Normal 7 19 4 2 4" xfId="32567"/>
    <cellStyle name="Normal 7 19 4 2 5" xfId="32568"/>
    <cellStyle name="Normal 7 19 4 3" xfId="32569"/>
    <cellStyle name="Normal 7 19 4 3 2" xfId="32570"/>
    <cellStyle name="Normal 7 19 4 3 2 2" xfId="32571"/>
    <cellStyle name="Normal 7 19 4 3 2 3" xfId="32572"/>
    <cellStyle name="Normal 7 19 4 3 3" xfId="32573"/>
    <cellStyle name="Normal 7 19 4 3 3 2" xfId="32574"/>
    <cellStyle name="Normal 7 19 4 3 3 3" xfId="32575"/>
    <cellStyle name="Normal 7 19 4 3 4" xfId="32576"/>
    <cellStyle name="Normal 7 19 4 3 5" xfId="32577"/>
    <cellStyle name="Normal 7 19 4 4" xfId="32578"/>
    <cellStyle name="Normal 7 19 4 4 2" xfId="32579"/>
    <cellStyle name="Normal 7 19 4 4 3" xfId="32580"/>
    <cellStyle name="Normal 7 19 4 5" xfId="32581"/>
    <cellStyle name="Normal 7 19 4 5 2" xfId="32582"/>
    <cellStyle name="Normal 7 19 4 5 3" xfId="32583"/>
    <cellStyle name="Normal 7 19 4 6" xfId="32584"/>
    <cellStyle name="Normal 7 19 4 7" xfId="32585"/>
    <cellStyle name="Normal 7 19 5" xfId="32586"/>
    <cellStyle name="Normal 7 19 5 2" xfId="32587"/>
    <cellStyle name="Normal 7 19 5 2 2" xfId="32588"/>
    <cellStyle name="Normal 7 19 5 2 2 2" xfId="32589"/>
    <cellStyle name="Normal 7 19 5 2 2 3" xfId="32590"/>
    <cellStyle name="Normal 7 19 5 2 3" xfId="32591"/>
    <cellStyle name="Normal 7 19 5 2 3 2" xfId="32592"/>
    <cellStyle name="Normal 7 19 5 2 3 3" xfId="32593"/>
    <cellStyle name="Normal 7 19 5 2 4" xfId="32594"/>
    <cellStyle name="Normal 7 19 5 2 5" xfId="32595"/>
    <cellStyle name="Normal 7 19 5 3" xfId="32596"/>
    <cellStyle name="Normal 7 19 5 3 2" xfId="32597"/>
    <cellStyle name="Normal 7 19 5 3 2 2" xfId="32598"/>
    <cellStyle name="Normal 7 19 5 3 2 3" xfId="32599"/>
    <cellStyle name="Normal 7 19 5 3 3" xfId="32600"/>
    <cellStyle name="Normal 7 19 5 3 3 2" xfId="32601"/>
    <cellStyle name="Normal 7 19 5 3 3 3" xfId="32602"/>
    <cellStyle name="Normal 7 19 5 3 4" xfId="32603"/>
    <cellStyle name="Normal 7 19 5 3 5" xfId="32604"/>
    <cellStyle name="Normal 7 19 5 4" xfId="32605"/>
    <cellStyle name="Normal 7 19 5 4 2" xfId="32606"/>
    <cellStyle name="Normal 7 19 5 4 3" xfId="32607"/>
    <cellStyle name="Normal 7 19 5 5" xfId="32608"/>
    <cellStyle name="Normal 7 19 5 5 2" xfId="32609"/>
    <cellStyle name="Normal 7 19 5 5 3" xfId="32610"/>
    <cellStyle name="Normal 7 19 5 6" xfId="32611"/>
    <cellStyle name="Normal 7 19 5 7" xfId="32612"/>
    <cellStyle name="Normal 7 19 6" xfId="32613"/>
    <cellStyle name="Normal 7 19 6 2" xfId="32614"/>
    <cellStyle name="Normal 7 19 6 2 2" xfId="32615"/>
    <cellStyle name="Normal 7 19 6 2 3" xfId="32616"/>
    <cellStyle name="Normal 7 19 6 3" xfId="32617"/>
    <cellStyle name="Normal 7 19 6 3 2" xfId="32618"/>
    <cellStyle name="Normal 7 19 6 3 3" xfId="32619"/>
    <cellStyle name="Normal 7 19 6 4" xfId="32620"/>
    <cellStyle name="Normal 7 19 6 5" xfId="32621"/>
    <cellStyle name="Normal 7 19 7" xfId="32622"/>
    <cellStyle name="Normal 7 19 7 2" xfId="32623"/>
    <cellStyle name="Normal 7 19 7 2 2" xfId="32624"/>
    <cellStyle name="Normal 7 19 7 2 3" xfId="32625"/>
    <cellStyle name="Normal 7 19 7 3" xfId="32626"/>
    <cellStyle name="Normal 7 19 7 3 2" xfId="32627"/>
    <cellStyle name="Normal 7 19 7 3 3" xfId="32628"/>
    <cellStyle name="Normal 7 19 7 4" xfId="32629"/>
    <cellStyle name="Normal 7 19 7 5" xfId="32630"/>
    <cellStyle name="Normal 7 19 8" xfId="32631"/>
    <cellStyle name="Normal 7 19 8 2" xfId="32632"/>
    <cellStyle name="Normal 7 19 8 3" xfId="32633"/>
    <cellStyle name="Normal 7 19 9" xfId="32634"/>
    <cellStyle name="Normal 7 19 9 2" xfId="32635"/>
    <cellStyle name="Normal 7 19 9 3" xfId="32636"/>
    <cellStyle name="Normal 7 2" xfId="32637"/>
    <cellStyle name="Normal 7 2 2" xfId="32638"/>
    <cellStyle name="Normal 7 2 2 2" xfId="32639"/>
    <cellStyle name="Normal 7 2 3" xfId="32640"/>
    <cellStyle name="Normal 7 20" xfId="32641"/>
    <cellStyle name="Normal 7 20 10" xfId="32642"/>
    <cellStyle name="Normal 7 20 2" xfId="32643"/>
    <cellStyle name="Normal 7 20 2 2" xfId="32644"/>
    <cellStyle name="Normal 7 20 2 2 2" xfId="32645"/>
    <cellStyle name="Normal 7 20 2 2 2 2" xfId="32646"/>
    <cellStyle name="Normal 7 20 2 2 2 2 2" xfId="32647"/>
    <cellStyle name="Normal 7 20 2 2 2 2 3" xfId="32648"/>
    <cellStyle name="Normal 7 20 2 2 2 3" xfId="32649"/>
    <cellStyle name="Normal 7 20 2 2 2 3 2" xfId="32650"/>
    <cellStyle name="Normal 7 20 2 2 2 3 3" xfId="32651"/>
    <cellStyle name="Normal 7 20 2 2 2 4" xfId="32652"/>
    <cellStyle name="Normal 7 20 2 2 2 5" xfId="32653"/>
    <cellStyle name="Normal 7 20 2 2 3" xfId="32654"/>
    <cellStyle name="Normal 7 20 2 2 3 2" xfId="32655"/>
    <cellStyle name="Normal 7 20 2 2 3 2 2" xfId="32656"/>
    <cellStyle name="Normal 7 20 2 2 3 2 3" xfId="32657"/>
    <cellStyle name="Normal 7 20 2 2 3 3" xfId="32658"/>
    <cellStyle name="Normal 7 20 2 2 3 3 2" xfId="32659"/>
    <cellStyle name="Normal 7 20 2 2 3 3 3" xfId="32660"/>
    <cellStyle name="Normal 7 20 2 2 3 4" xfId="32661"/>
    <cellStyle name="Normal 7 20 2 2 3 5" xfId="32662"/>
    <cellStyle name="Normal 7 20 2 2 4" xfId="32663"/>
    <cellStyle name="Normal 7 20 2 2 4 2" xfId="32664"/>
    <cellStyle name="Normal 7 20 2 2 4 3" xfId="32665"/>
    <cellStyle name="Normal 7 20 2 2 5" xfId="32666"/>
    <cellStyle name="Normal 7 20 2 2 5 2" xfId="32667"/>
    <cellStyle name="Normal 7 20 2 2 5 3" xfId="32668"/>
    <cellStyle name="Normal 7 20 2 2 6" xfId="32669"/>
    <cellStyle name="Normal 7 20 2 2 7" xfId="32670"/>
    <cellStyle name="Normal 7 20 2 3" xfId="32671"/>
    <cellStyle name="Normal 7 20 2 3 2" xfId="32672"/>
    <cellStyle name="Normal 7 20 2 3 2 2" xfId="32673"/>
    <cellStyle name="Normal 7 20 2 3 2 2 2" xfId="32674"/>
    <cellStyle name="Normal 7 20 2 3 2 2 3" xfId="32675"/>
    <cellStyle name="Normal 7 20 2 3 2 3" xfId="32676"/>
    <cellStyle name="Normal 7 20 2 3 2 3 2" xfId="32677"/>
    <cellStyle name="Normal 7 20 2 3 2 3 3" xfId="32678"/>
    <cellStyle name="Normal 7 20 2 3 2 4" xfId="32679"/>
    <cellStyle name="Normal 7 20 2 3 2 5" xfId="32680"/>
    <cellStyle name="Normal 7 20 2 3 3" xfId="32681"/>
    <cellStyle name="Normal 7 20 2 3 3 2" xfId="32682"/>
    <cellStyle name="Normal 7 20 2 3 3 2 2" xfId="32683"/>
    <cellStyle name="Normal 7 20 2 3 3 2 3" xfId="32684"/>
    <cellStyle name="Normal 7 20 2 3 3 3" xfId="32685"/>
    <cellStyle name="Normal 7 20 2 3 3 3 2" xfId="32686"/>
    <cellStyle name="Normal 7 20 2 3 3 3 3" xfId="32687"/>
    <cellStyle name="Normal 7 20 2 3 3 4" xfId="32688"/>
    <cellStyle name="Normal 7 20 2 3 3 5" xfId="32689"/>
    <cellStyle name="Normal 7 20 2 3 4" xfId="32690"/>
    <cellStyle name="Normal 7 20 2 3 4 2" xfId="32691"/>
    <cellStyle name="Normal 7 20 2 3 4 3" xfId="32692"/>
    <cellStyle name="Normal 7 20 2 3 5" xfId="32693"/>
    <cellStyle name="Normal 7 20 2 3 5 2" xfId="32694"/>
    <cellStyle name="Normal 7 20 2 3 5 3" xfId="32695"/>
    <cellStyle name="Normal 7 20 2 3 6" xfId="32696"/>
    <cellStyle name="Normal 7 20 2 3 7" xfId="32697"/>
    <cellStyle name="Normal 7 20 2 4" xfId="32698"/>
    <cellStyle name="Normal 7 20 2 4 2" xfId="32699"/>
    <cellStyle name="Normal 7 20 2 4 2 2" xfId="32700"/>
    <cellStyle name="Normal 7 20 2 4 2 3" xfId="32701"/>
    <cellStyle name="Normal 7 20 2 4 3" xfId="32702"/>
    <cellStyle name="Normal 7 20 2 4 3 2" xfId="32703"/>
    <cellStyle name="Normal 7 20 2 4 3 3" xfId="32704"/>
    <cellStyle name="Normal 7 20 2 4 4" xfId="32705"/>
    <cellStyle name="Normal 7 20 2 4 5" xfId="32706"/>
    <cellStyle name="Normal 7 20 2 5" xfId="32707"/>
    <cellStyle name="Normal 7 20 2 5 2" xfId="32708"/>
    <cellStyle name="Normal 7 20 2 5 2 2" xfId="32709"/>
    <cellStyle name="Normal 7 20 2 5 2 3" xfId="32710"/>
    <cellStyle name="Normal 7 20 2 5 3" xfId="32711"/>
    <cellStyle name="Normal 7 20 2 5 3 2" xfId="32712"/>
    <cellStyle name="Normal 7 20 2 5 3 3" xfId="32713"/>
    <cellStyle name="Normal 7 20 2 5 4" xfId="32714"/>
    <cellStyle name="Normal 7 20 2 5 5" xfId="32715"/>
    <cellStyle name="Normal 7 20 2 6" xfId="32716"/>
    <cellStyle name="Normal 7 20 2 6 2" xfId="32717"/>
    <cellStyle name="Normal 7 20 2 6 3" xfId="32718"/>
    <cellStyle name="Normal 7 20 2 7" xfId="32719"/>
    <cellStyle name="Normal 7 20 2 7 2" xfId="32720"/>
    <cellStyle name="Normal 7 20 2 7 3" xfId="32721"/>
    <cellStyle name="Normal 7 20 2 8" xfId="32722"/>
    <cellStyle name="Normal 7 20 2 9" xfId="32723"/>
    <cellStyle name="Normal 7 20 3" xfId="32724"/>
    <cellStyle name="Normal 7 20 3 2" xfId="32725"/>
    <cellStyle name="Normal 7 20 3 2 2" xfId="32726"/>
    <cellStyle name="Normal 7 20 3 2 2 2" xfId="32727"/>
    <cellStyle name="Normal 7 20 3 2 2 3" xfId="32728"/>
    <cellStyle name="Normal 7 20 3 2 3" xfId="32729"/>
    <cellStyle name="Normal 7 20 3 2 3 2" xfId="32730"/>
    <cellStyle name="Normal 7 20 3 2 3 3" xfId="32731"/>
    <cellStyle name="Normal 7 20 3 2 4" xfId="32732"/>
    <cellStyle name="Normal 7 20 3 2 5" xfId="32733"/>
    <cellStyle name="Normal 7 20 3 3" xfId="32734"/>
    <cellStyle name="Normal 7 20 3 3 2" xfId="32735"/>
    <cellStyle name="Normal 7 20 3 3 2 2" xfId="32736"/>
    <cellStyle name="Normal 7 20 3 3 2 3" xfId="32737"/>
    <cellStyle name="Normal 7 20 3 3 3" xfId="32738"/>
    <cellStyle name="Normal 7 20 3 3 3 2" xfId="32739"/>
    <cellStyle name="Normal 7 20 3 3 3 3" xfId="32740"/>
    <cellStyle name="Normal 7 20 3 3 4" xfId="32741"/>
    <cellStyle name="Normal 7 20 3 3 5" xfId="32742"/>
    <cellStyle name="Normal 7 20 3 4" xfId="32743"/>
    <cellStyle name="Normal 7 20 3 4 2" xfId="32744"/>
    <cellStyle name="Normal 7 20 3 4 3" xfId="32745"/>
    <cellStyle name="Normal 7 20 3 5" xfId="32746"/>
    <cellStyle name="Normal 7 20 3 5 2" xfId="32747"/>
    <cellStyle name="Normal 7 20 3 5 3" xfId="32748"/>
    <cellStyle name="Normal 7 20 3 6" xfId="32749"/>
    <cellStyle name="Normal 7 20 3 7" xfId="32750"/>
    <cellStyle name="Normal 7 20 4" xfId="32751"/>
    <cellStyle name="Normal 7 20 4 2" xfId="32752"/>
    <cellStyle name="Normal 7 20 4 2 2" xfId="32753"/>
    <cellStyle name="Normal 7 20 4 2 2 2" xfId="32754"/>
    <cellStyle name="Normal 7 20 4 2 2 3" xfId="32755"/>
    <cellStyle name="Normal 7 20 4 2 3" xfId="32756"/>
    <cellStyle name="Normal 7 20 4 2 3 2" xfId="32757"/>
    <cellStyle name="Normal 7 20 4 2 3 3" xfId="32758"/>
    <cellStyle name="Normal 7 20 4 2 4" xfId="32759"/>
    <cellStyle name="Normal 7 20 4 2 5" xfId="32760"/>
    <cellStyle name="Normal 7 20 4 3" xfId="32761"/>
    <cellStyle name="Normal 7 20 4 3 2" xfId="32762"/>
    <cellStyle name="Normal 7 20 4 3 2 2" xfId="32763"/>
    <cellStyle name="Normal 7 20 4 3 2 3" xfId="32764"/>
    <cellStyle name="Normal 7 20 4 3 3" xfId="32765"/>
    <cellStyle name="Normal 7 20 4 3 3 2" xfId="32766"/>
    <cellStyle name="Normal 7 20 4 3 3 3" xfId="32767"/>
    <cellStyle name="Normal 7 20 4 3 4" xfId="32768"/>
    <cellStyle name="Normal 7 20 4 3 5" xfId="32769"/>
    <cellStyle name="Normal 7 20 4 4" xfId="32770"/>
    <cellStyle name="Normal 7 20 4 4 2" xfId="32771"/>
    <cellStyle name="Normal 7 20 4 4 3" xfId="32772"/>
    <cellStyle name="Normal 7 20 4 5" xfId="32773"/>
    <cellStyle name="Normal 7 20 4 5 2" xfId="32774"/>
    <cellStyle name="Normal 7 20 4 5 3" xfId="32775"/>
    <cellStyle name="Normal 7 20 4 6" xfId="32776"/>
    <cellStyle name="Normal 7 20 4 7" xfId="32777"/>
    <cellStyle name="Normal 7 20 5" xfId="32778"/>
    <cellStyle name="Normal 7 20 5 2" xfId="32779"/>
    <cellStyle name="Normal 7 20 5 2 2" xfId="32780"/>
    <cellStyle name="Normal 7 20 5 2 3" xfId="32781"/>
    <cellStyle name="Normal 7 20 5 3" xfId="32782"/>
    <cellStyle name="Normal 7 20 5 3 2" xfId="32783"/>
    <cellStyle name="Normal 7 20 5 3 3" xfId="32784"/>
    <cellStyle name="Normal 7 20 5 4" xfId="32785"/>
    <cellStyle name="Normal 7 20 5 5" xfId="32786"/>
    <cellStyle name="Normal 7 20 6" xfId="32787"/>
    <cellStyle name="Normal 7 20 6 2" xfId="32788"/>
    <cellStyle name="Normal 7 20 6 2 2" xfId="32789"/>
    <cellStyle name="Normal 7 20 6 2 3" xfId="32790"/>
    <cellStyle name="Normal 7 20 6 3" xfId="32791"/>
    <cellStyle name="Normal 7 20 6 3 2" xfId="32792"/>
    <cellStyle name="Normal 7 20 6 3 3" xfId="32793"/>
    <cellStyle name="Normal 7 20 6 4" xfId="32794"/>
    <cellStyle name="Normal 7 20 6 5" xfId="32795"/>
    <cellStyle name="Normal 7 20 7" xfId="32796"/>
    <cellStyle name="Normal 7 20 7 2" xfId="32797"/>
    <cellStyle name="Normal 7 20 7 3" xfId="32798"/>
    <cellStyle name="Normal 7 20 8" xfId="32799"/>
    <cellStyle name="Normal 7 20 8 2" xfId="32800"/>
    <cellStyle name="Normal 7 20 8 3" xfId="32801"/>
    <cellStyle name="Normal 7 20 9" xfId="32802"/>
    <cellStyle name="Normal 7 21" xfId="32803"/>
    <cellStyle name="Normal 7 22" xfId="32804"/>
    <cellStyle name="Normal 7 23" xfId="32805"/>
    <cellStyle name="Normal 7 24" xfId="32806"/>
    <cellStyle name="Normal 7 25" xfId="32807"/>
    <cellStyle name="Normal 7 26" xfId="32808"/>
    <cellStyle name="Normal 7 27" xfId="32809"/>
    <cellStyle name="Normal 7 28" xfId="32810"/>
    <cellStyle name="Normal 7 29" xfId="32811"/>
    <cellStyle name="Normal 7 3" xfId="32812"/>
    <cellStyle name="Normal 7 3 2" xfId="32813"/>
    <cellStyle name="Normal 7 30" xfId="32814"/>
    <cellStyle name="Normal 7 31" xfId="32815"/>
    <cellStyle name="Normal 7 32" xfId="32816"/>
    <cellStyle name="Normal 7 33" xfId="32817"/>
    <cellStyle name="Normal 7 34" xfId="32818"/>
    <cellStyle name="Normal 7 35" xfId="32819"/>
    <cellStyle name="Normal 7 36" xfId="32820"/>
    <cellStyle name="Normal 7 37" xfId="32821"/>
    <cellStyle name="Normal 7 38" xfId="32822"/>
    <cellStyle name="Normal 7 39" xfId="32823"/>
    <cellStyle name="Normal 7 4" xfId="32824"/>
    <cellStyle name="Normal 7 40" xfId="32825"/>
    <cellStyle name="Normal 7 41" xfId="32826"/>
    <cellStyle name="Normal 7 42" xfId="32827"/>
    <cellStyle name="Normal 7 43" xfId="32828"/>
    <cellStyle name="Normal 7 44" xfId="32829"/>
    <cellStyle name="Normal 7 45" xfId="32830"/>
    <cellStyle name="Normal 7 46" xfId="32831"/>
    <cellStyle name="Normal 7 47" xfId="32832"/>
    <cellStyle name="Normal 7 48" xfId="32833"/>
    <cellStyle name="Normal 7 49" xfId="32834"/>
    <cellStyle name="Normal 7 5" xfId="32835"/>
    <cellStyle name="Normal 7 5 2" xfId="32836"/>
    <cellStyle name="Normal 7 5 2 2" xfId="32837"/>
    <cellStyle name="Normal 7 5 2 2 2" xfId="32838"/>
    <cellStyle name="Normal 7 5 2 2 2 2" xfId="32839"/>
    <cellStyle name="Normal 7 5 2 2 2 3" xfId="32840"/>
    <cellStyle name="Normal 7 5 2 2 3" xfId="32841"/>
    <cellStyle name="Normal 7 5 2 2 3 2" xfId="32842"/>
    <cellStyle name="Normal 7 5 2 2 3 3" xfId="32843"/>
    <cellStyle name="Normal 7 5 2 2 4" xfId="32844"/>
    <cellStyle name="Normal 7 5 2 2 5" xfId="32845"/>
    <cellStyle name="Normal 7 5 2 3" xfId="32846"/>
    <cellStyle name="Normal 7 5 2 3 2" xfId="32847"/>
    <cellStyle name="Normal 7 5 2 3 2 2" xfId="32848"/>
    <cellStyle name="Normal 7 5 2 3 2 3" xfId="32849"/>
    <cellStyle name="Normal 7 5 2 3 3" xfId="32850"/>
    <cellStyle name="Normal 7 5 2 3 3 2" xfId="32851"/>
    <cellStyle name="Normal 7 5 2 3 3 3" xfId="32852"/>
    <cellStyle name="Normal 7 5 2 3 4" xfId="32853"/>
    <cellStyle name="Normal 7 5 2 3 5" xfId="32854"/>
    <cellStyle name="Normal 7 5 2 4" xfId="32855"/>
    <cellStyle name="Normal 7 5 2 4 2" xfId="32856"/>
    <cellStyle name="Normal 7 5 2 4 3" xfId="32857"/>
    <cellStyle name="Normal 7 5 2 5" xfId="32858"/>
    <cellStyle name="Normal 7 5 2 5 2" xfId="32859"/>
    <cellStyle name="Normal 7 5 2 5 3" xfId="32860"/>
    <cellStyle name="Normal 7 5 2 6" xfId="32861"/>
    <cellStyle name="Normal 7 5 2 7" xfId="32862"/>
    <cellStyle name="Normal 7 5 3" xfId="32863"/>
    <cellStyle name="Normal 7 5 3 2" xfId="32864"/>
    <cellStyle name="Normal 7 5 3 2 2" xfId="32865"/>
    <cellStyle name="Normal 7 5 3 2 2 2" xfId="32866"/>
    <cellStyle name="Normal 7 5 3 2 2 3" xfId="32867"/>
    <cellStyle name="Normal 7 5 3 2 3" xfId="32868"/>
    <cellStyle name="Normal 7 5 3 2 3 2" xfId="32869"/>
    <cellStyle name="Normal 7 5 3 2 3 3" xfId="32870"/>
    <cellStyle name="Normal 7 5 3 2 4" xfId="32871"/>
    <cellStyle name="Normal 7 5 3 2 5" xfId="32872"/>
    <cellStyle name="Normal 7 5 3 3" xfId="32873"/>
    <cellStyle name="Normal 7 5 3 3 2" xfId="32874"/>
    <cellStyle name="Normal 7 5 3 3 2 2" xfId="32875"/>
    <cellStyle name="Normal 7 5 3 3 2 3" xfId="32876"/>
    <cellStyle name="Normal 7 5 3 3 3" xfId="32877"/>
    <cellStyle name="Normal 7 5 3 3 3 2" xfId="32878"/>
    <cellStyle name="Normal 7 5 3 3 3 3" xfId="32879"/>
    <cellStyle name="Normal 7 5 3 3 4" xfId="32880"/>
    <cellStyle name="Normal 7 5 3 3 5" xfId="32881"/>
    <cellStyle name="Normal 7 5 3 4" xfId="32882"/>
    <cellStyle name="Normal 7 5 3 4 2" xfId="32883"/>
    <cellStyle name="Normal 7 5 3 4 3" xfId="32884"/>
    <cellStyle name="Normal 7 5 3 5" xfId="32885"/>
    <cellStyle name="Normal 7 5 3 5 2" xfId="32886"/>
    <cellStyle name="Normal 7 5 3 5 3" xfId="32887"/>
    <cellStyle name="Normal 7 5 3 6" xfId="32888"/>
    <cellStyle name="Normal 7 5 3 7" xfId="32889"/>
    <cellStyle name="Normal 7 5 4" xfId="32890"/>
    <cellStyle name="Normal 7 5 4 2" xfId="32891"/>
    <cellStyle name="Normal 7 5 4 2 2" xfId="32892"/>
    <cellStyle name="Normal 7 5 4 2 3" xfId="32893"/>
    <cellStyle name="Normal 7 5 4 3" xfId="32894"/>
    <cellStyle name="Normal 7 5 4 3 2" xfId="32895"/>
    <cellStyle name="Normal 7 5 4 3 3" xfId="32896"/>
    <cellStyle name="Normal 7 5 4 4" xfId="32897"/>
    <cellStyle name="Normal 7 5 4 5" xfId="32898"/>
    <cellStyle name="Normal 7 5 5" xfId="32899"/>
    <cellStyle name="Normal 7 5 5 2" xfId="32900"/>
    <cellStyle name="Normal 7 5 5 2 2" xfId="32901"/>
    <cellStyle name="Normal 7 5 5 2 3" xfId="32902"/>
    <cellStyle name="Normal 7 5 5 3" xfId="32903"/>
    <cellStyle name="Normal 7 5 5 3 2" xfId="32904"/>
    <cellStyle name="Normal 7 5 5 3 3" xfId="32905"/>
    <cellStyle name="Normal 7 5 5 4" xfId="32906"/>
    <cellStyle name="Normal 7 5 5 5" xfId="32907"/>
    <cellStyle name="Normal 7 5 6" xfId="32908"/>
    <cellStyle name="Normal 7 5 6 2" xfId="32909"/>
    <cellStyle name="Normal 7 5 6 3" xfId="32910"/>
    <cellStyle name="Normal 7 5 7" xfId="32911"/>
    <cellStyle name="Normal 7 5 7 2" xfId="32912"/>
    <cellStyle name="Normal 7 5 7 3" xfId="32913"/>
    <cellStyle name="Normal 7 5 8" xfId="32914"/>
    <cellStyle name="Normal 7 5 9" xfId="32915"/>
    <cellStyle name="Normal 7 50" xfId="32916"/>
    <cellStyle name="Normal 7 51" xfId="32917"/>
    <cellStyle name="Normal 7 52" xfId="32918"/>
    <cellStyle name="Normal 7 53" xfId="32919"/>
    <cellStyle name="Normal 7 54" xfId="32920"/>
    <cellStyle name="Normal 7 55" xfId="32921"/>
    <cellStyle name="Normal 7 56" xfId="32922"/>
    <cellStyle name="Normal 7 57" xfId="32923"/>
    <cellStyle name="Normal 7 58" xfId="32924"/>
    <cellStyle name="Normal 7 59" xfId="32925"/>
    <cellStyle name="Normal 7 6" xfId="32926"/>
    <cellStyle name="Normal 7 6 2" xfId="32927"/>
    <cellStyle name="Normal 7 6 2 2" xfId="32928"/>
    <cellStyle name="Normal 7 6 2 2 2" xfId="32929"/>
    <cellStyle name="Normal 7 6 2 2 2 2" xfId="32930"/>
    <cellStyle name="Normal 7 6 2 2 2 3" xfId="32931"/>
    <cellStyle name="Normal 7 6 2 2 3" xfId="32932"/>
    <cellStyle name="Normal 7 6 2 2 3 2" xfId="32933"/>
    <cellStyle name="Normal 7 6 2 2 3 3" xfId="32934"/>
    <cellStyle name="Normal 7 6 2 2 4" xfId="32935"/>
    <cellStyle name="Normal 7 6 2 2 5" xfId="32936"/>
    <cellStyle name="Normal 7 6 2 3" xfId="32937"/>
    <cellStyle name="Normal 7 6 2 3 2" xfId="32938"/>
    <cellStyle name="Normal 7 6 2 3 2 2" xfId="32939"/>
    <cellStyle name="Normal 7 6 2 3 2 3" xfId="32940"/>
    <cellStyle name="Normal 7 6 2 3 3" xfId="32941"/>
    <cellStyle name="Normal 7 6 2 3 3 2" xfId="32942"/>
    <cellStyle name="Normal 7 6 2 3 3 3" xfId="32943"/>
    <cellStyle name="Normal 7 6 2 3 4" xfId="32944"/>
    <cellStyle name="Normal 7 6 2 3 5" xfId="32945"/>
    <cellStyle name="Normal 7 6 2 4" xfId="32946"/>
    <cellStyle name="Normal 7 6 2 4 2" xfId="32947"/>
    <cellStyle name="Normal 7 6 2 4 3" xfId="32948"/>
    <cellStyle name="Normal 7 6 2 5" xfId="32949"/>
    <cellStyle name="Normal 7 6 2 5 2" xfId="32950"/>
    <cellStyle name="Normal 7 6 2 5 3" xfId="32951"/>
    <cellStyle name="Normal 7 6 2 6" xfId="32952"/>
    <cellStyle name="Normal 7 6 2 7" xfId="32953"/>
    <cellStyle name="Normal 7 6 3" xfId="32954"/>
    <cellStyle name="Normal 7 6 3 2" xfId="32955"/>
    <cellStyle name="Normal 7 6 3 2 2" xfId="32956"/>
    <cellStyle name="Normal 7 6 3 2 2 2" xfId="32957"/>
    <cellStyle name="Normal 7 6 3 2 2 3" xfId="32958"/>
    <cellStyle name="Normal 7 6 3 2 3" xfId="32959"/>
    <cellStyle name="Normal 7 6 3 2 3 2" xfId="32960"/>
    <cellStyle name="Normal 7 6 3 2 3 3" xfId="32961"/>
    <cellStyle name="Normal 7 6 3 2 4" xfId="32962"/>
    <cellStyle name="Normal 7 6 3 2 5" xfId="32963"/>
    <cellStyle name="Normal 7 6 3 3" xfId="32964"/>
    <cellStyle name="Normal 7 6 3 3 2" xfId="32965"/>
    <cellStyle name="Normal 7 6 3 3 2 2" xfId="32966"/>
    <cellStyle name="Normal 7 6 3 3 2 3" xfId="32967"/>
    <cellStyle name="Normal 7 6 3 3 3" xfId="32968"/>
    <cellStyle name="Normal 7 6 3 3 3 2" xfId="32969"/>
    <cellStyle name="Normal 7 6 3 3 3 3" xfId="32970"/>
    <cellStyle name="Normal 7 6 3 3 4" xfId="32971"/>
    <cellStyle name="Normal 7 6 3 3 5" xfId="32972"/>
    <cellStyle name="Normal 7 6 3 4" xfId="32973"/>
    <cellStyle name="Normal 7 6 3 4 2" xfId="32974"/>
    <cellStyle name="Normal 7 6 3 4 3" xfId="32975"/>
    <cellStyle name="Normal 7 6 3 5" xfId="32976"/>
    <cellStyle name="Normal 7 6 3 5 2" xfId="32977"/>
    <cellStyle name="Normal 7 6 3 5 3" xfId="32978"/>
    <cellStyle name="Normal 7 6 3 6" xfId="32979"/>
    <cellStyle name="Normal 7 6 3 7" xfId="32980"/>
    <cellStyle name="Normal 7 6 4" xfId="32981"/>
    <cellStyle name="Normal 7 6 4 2" xfId="32982"/>
    <cellStyle name="Normal 7 6 4 2 2" xfId="32983"/>
    <cellStyle name="Normal 7 6 4 2 3" xfId="32984"/>
    <cellStyle name="Normal 7 6 4 3" xfId="32985"/>
    <cellStyle name="Normal 7 6 4 3 2" xfId="32986"/>
    <cellStyle name="Normal 7 6 4 3 3" xfId="32987"/>
    <cellStyle name="Normal 7 6 4 4" xfId="32988"/>
    <cellStyle name="Normal 7 6 4 5" xfId="32989"/>
    <cellStyle name="Normal 7 6 5" xfId="32990"/>
    <cellStyle name="Normal 7 6 5 2" xfId="32991"/>
    <cellStyle name="Normal 7 6 5 2 2" xfId="32992"/>
    <cellStyle name="Normal 7 6 5 2 3" xfId="32993"/>
    <cellStyle name="Normal 7 6 5 3" xfId="32994"/>
    <cellStyle name="Normal 7 6 5 3 2" xfId="32995"/>
    <cellStyle name="Normal 7 6 5 3 3" xfId="32996"/>
    <cellStyle name="Normal 7 6 5 4" xfId="32997"/>
    <cellStyle name="Normal 7 6 5 5" xfId="32998"/>
    <cellStyle name="Normal 7 6 6" xfId="32999"/>
    <cellStyle name="Normal 7 6 6 2" xfId="33000"/>
    <cellStyle name="Normal 7 6 6 3" xfId="33001"/>
    <cellStyle name="Normal 7 6 7" xfId="33002"/>
    <cellStyle name="Normal 7 6 7 2" xfId="33003"/>
    <cellStyle name="Normal 7 6 7 3" xfId="33004"/>
    <cellStyle name="Normal 7 6 8" xfId="33005"/>
    <cellStyle name="Normal 7 6 9" xfId="33006"/>
    <cellStyle name="Normal 7 60" xfId="33007"/>
    <cellStyle name="Normal 7 61" xfId="33008"/>
    <cellStyle name="Normal 7 62" xfId="33009"/>
    <cellStyle name="Normal 7 63" xfId="33010"/>
    <cellStyle name="Normal 7 64" xfId="33011"/>
    <cellStyle name="Normal 7 65" xfId="33012"/>
    <cellStyle name="Normal 7 66" xfId="33013"/>
    <cellStyle name="Normal 7 67" xfId="33014"/>
    <cellStyle name="Normal 7 68" xfId="33015"/>
    <cellStyle name="Normal 7 69" xfId="33016"/>
    <cellStyle name="Normal 7 7" xfId="33017"/>
    <cellStyle name="Normal 7 70" xfId="33018"/>
    <cellStyle name="Normal 7 71" xfId="33019"/>
    <cellStyle name="Normal 7 72" xfId="33020"/>
    <cellStyle name="Normal 7 73" xfId="33021"/>
    <cellStyle name="Normal 7 73 2" xfId="33022"/>
    <cellStyle name="Normal 7 73 2 2" xfId="33023"/>
    <cellStyle name="Normal 7 73 2 2 2" xfId="33024"/>
    <cellStyle name="Normal 7 73 2 2 2 2" xfId="33025"/>
    <cellStyle name="Normal 7 73 2 2 2 3" xfId="33026"/>
    <cellStyle name="Normal 7 73 2 2 3" xfId="33027"/>
    <cellStyle name="Normal 7 73 2 2 3 2" xfId="33028"/>
    <cellStyle name="Normal 7 73 2 2 3 3" xfId="33029"/>
    <cellStyle name="Normal 7 73 2 2 4" xfId="33030"/>
    <cellStyle name="Normal 7 73 2 2 5" xfId="33031"/>
    <cellStyle name="Normal 7 73 2 3" xfId="33032"/>
    <cellStyle name="Normal 7 73 2 3 2" xfId="33033"/>
    <cellStyle name="Normal 7 73 2 3 2 2" xfId="33034"/>
    <cellStyle name="Normal 7 73 2 3 2 3" xfId="33035"/>
    <cellStyle name="Normal 7 73 2 3 3" xfId="33036"/>
    <cellStyle name="Normal 7 73 2 3 3 2" xfId="33037"/>
    <cellStyle name="Normal 7 73 2 3 3 3" xfId="33038"/>
    <cellStyle name="Normal 7 73 2 3 4" xfId="33039"/>
    <cellStyle name="Normal 7 73 2 3 5" xfId="33040"/>
    <cellStyle name="Normal 7 73 2 4" xfId="33041"/>
    <cellStyle name="Normal 7 73 2 4 2" xfId="33042"/>
    <cellStyle name="Normal 7 73 2 4 3" xfId="33043"/>
    <cellStyle name="Normal 7 73 2 5" xfId="33044"/>
    <cellStyle name="Normal 7 73 2 5 2" xfId="33045"/>
    <cellStyle name="Normal 7 73 2 5 3" xfId="33046"/>
    <cellStyle name="Normal 7 73 2 6" xfId="33047"/>
    <cellStyle name="Normal 7 73 2 7" xfId="33048"/>
    <cellStyle name="Normal 7 73 3" xfId="33049"/>
    <cellStyle name="Normal 7 73 3 2" xfId="33050"/>
    <cellStyle name="Normal 7 73 3 2 2" xfId="33051"/>
    <cellStyle name="Normal 7 73 3 2 2 2" xfId="33052"/>
    <cellStyle name="Normal 7 73 3 2 2 3" xfId="33053"/>
    <cellStyle name="Normal 7 73 3 2 3" xfId="33054"/>
    <cellStyle name="Normal 7 73 3 2 3 2" xfId="33055"/>
    <cellStyle name="Normal 7 73 3 2 3 3" xfId="33056"/>
    <cellStyle name="Normal 7 73 3 2 4" xfId="33057"/>
    <cellStyle name="Normal 7 73 3 2 5" xfId="33058"/>
    <cellStyle name="Normal 7 73 3 3" xfId="33059"/>
    <cellStyle name="Normal 7 73 3 3 2" xfId="33060"/>
    <cellStyle name="Normal 7 73 3 3 2 2" xfId="33061"/>
    <cellStyle name="Normal 7 73 3 3 2 3" xfId="33062"/>
    <cellStyle name="Normal 7 73 3 3 3" xfId="33063"/>
    <cellStyle name="Normal 7 73 3 3 3 2" xfId="33064"/>
    <cellStyle name="Normal 7 73 3 3 3 3" xfId="33065"/>
    <cellStyle name="Normal 7 73 3 3 4" xfId="33066"/>
    <cellStyle name="Normal 7 73 3 3 5" xfId="33067"/>
    <cellStyle name="Normal 7 73 3 4" xfId="33068"/>
    <cellStyle name="Normal 7 73 3 4 2" xfId="33069"/>
    <cellStyle name="Normal 7 73 3 4 3" xfId="33070"/>
    <cellStyle name="Normal 7 73 3 5" xfId="33071"/>
    <cellStyle name="Normal 7 73 3 5 2" xfId="33072"/>
    <cellStyle name="Normal 7 73 3 5 3" xfId="33073"/>
    <cellStyle name="Normal 7 73 3 6" xfId="33074"/>
    <cellStyle name="Normal 7 73 3 7" xfId="33075"/>
    <cellStyle name="Normal 7 73 4" xfId="33076"/>
    <cellStyle name="Normal 7 73 4 2" xfId="33077"/>
    <cellStyle name="Normal 7 73 4 2 2" xfId="33078"/>
    <cellStyle name="Normal 7 73 4 2 3" xfId="33079"/>
    <cellStyle name="Normal 7 73 4 3" xfId="33080"/>
    <cellStyle name="Normal 7 73 4 3 2" xfId="33081"/>
    <cellStyle name="Normal 7 73 4 3 3" xfId="33082"/>
    <cellStyle name="Normal 7 73 4 4" xfId="33083"/>
    <cellStyle name="Normal 7 73 4 5" xfId="33084"/>
    <cellStyle name="Normal 7 73 5" xfId="33085"/>
    <cellStyle name="Normal 7 73 5 2" xfId="33086"/>
    <cellStyle name="Normal 7 73 5 2 2" xfId="33087"/>
    <cellStyle name="Normal 7 73 5 2 3" xfId="33088"/>
    <cellStyle name="Normal 7 73 5 3" xfId="33089"/>
    <cellStyle name="Normal 7 73 5 3 2" xfId="33090"/>
    <cellStyle name="Normal 7 73 5 3 3" xfId="33091"/>
    <cellStyle name="Normal 7 73 5 4" xfId="33092"/>
    <cellStyle name="Normal 7 73 5 5" xfId="33093"/>
    <cellStyle name="Normal 7 73 6" xfId="33094"/>
    <cellStyle name="Normal 7 73 6 2" xfId="33095"/>
    <cellStyle name="Normal 7 73 6 3" xfId="33096"/>
    <cellStyle name="Normal 7 73 7" xfId="33097"/>
    <cellStyle name="Normal 7 73 7 2" xfId="33098"/>
    <cellStyle name="Normal 7 73 7 3" xfId="33099"/>
    <cellStyle name="Normal 7 73 8" xfId="33100"/>
    <cellStyle name="Normal 7 73 9" xfId="33101"/>
    <cellStyle name="Normal 7 74" xfId="33102"/>
    <cellStyle name="Normal 7 74 2" xfId="33103"/>
    <cellStyle name="Normal 7 74 2 2" xfId="33104"/>
    <cellStyle name="Normal 7 74 2 2 2" xfId="33105"/>
    <cellStyle name="Normal 7 74 2 2 3" xfId="33106"/>
    <cellStyle name="Normal 7 74 2 3" xfId="33107"/>
    <cellStyle name="Normal 7 74 2 3 2" xfId="33108"/>
    <cellStyle name="Normal 7 74 2 3 3" xfId="33109"/>
    <cellStyle name="Normal 7 74 2 4" xfId="33110"/>
    <cellStyle name="Normal 7 74 2 5" xfId="33111"/>
    <cellStyle name="Normal 7 74 3" xfId="33112"/>
    <cellStyle name="Normal 7 74 3 2" xfId="33113"/>
    <cellStyle name="Normal 7 74 3 2 2" xfId="33114"/>
    <cellStyle name="Normal 7 74 3 2 3" xfId="33115"/>
    <cellStyle name="Normal 7 74 3 3" xfId="33116"/>
    <cellStyle name="Normal 7 74 3 3 2" xfId="33117"/>
    <cellStyle name="Normal 7 74 3 3 3" xfId="33118"/>
    <cellStyle name="Normal 7 74 3 4" xfId="33119"/>
    <cellStyle name="Normal 7 74 3 5" xfId="33120"/>
    <cellStyle name="Normal 7 74 4" xfId="33121"/>
    <cellStyle name="Normal 7 74 4 2" xfId="33122"/>
    <cellStyle name="Normal 7 74 4 3" xfId="33123"/>
    <cellStyle name="Normal 7 74 5" xfId="33124"/>
    <cellStyle name="Normal 7 74 5 2" xfId="33125"/>
    <cellStyle name="Normal 7 74 5 3" xfId="33126"/>
    <cellStyle name="Normal 7 74 6" xfId="33127"/>
    <cellStyle name="Normal 7 74 7" xfId="33128"/>
    <cellStyle name="Normal 7 75" xfId="33129"/>
    <cellStyle name="Normal 7 75 2" xfId="33130"/>
    <cellStyle name="Normal 7 75 2 2" xfId="33131"/>
    <cellStyle name="Normal 7 75 2 2 2" xfId="33132"/>
    <cellStyle name="Normal 7 75 2 2 3" xfId="33133"/>
    <cellStyle name="Normal 7 75 2 3" xfId="33134"/>
    <cellStyle name="Normal 7 75 2 3 2" xfId="33135"/>
    <cellStyle name="Normal 7 75 2 3 3" xfId="33136"/>
    <cellStyle name="Normal 7 75 2 4" xfId="33137"/>
    <cellStyle name="Normal 7 75 2 5" xfId="33138"/>
    <cellStyle name="Normal 7 75 3" xfId="33139"/>
    <cellStyle name="Normal 7 75 3 2" xfId="33140"/>
    <cellStyle name="Normal 7 75 3 2 2" xfId="33141"/>
    <cellStyle name="Normal 7 75 3 2 3" xfId="33142"/>
    <cellStyle name="Normal 7 75 3 3" xfId="33143"/>
    <cellStyle name="Normal 7 75 3 3 2" xfId="33144"/>
    <cellStyle name="Normal 7 75 3 3 3" xfId="33145"/>
    <cellStyle name="Normal 7 75 3 4" xfId="33146"/>
    <cellStyle name="Normal 7 75 3 5" xfId="33147"/>
    <cellStyle name="Normal 7 75 4" xfId="33148"/>
    <cellStyle name="Normal 7 75 4 2" xfId="33149"/>
    <cellStyle name="Normal 7 75 4 3" xfId="33150"/>
    <cellStyle name="Normal 7 75 5" xfId="33151"/>
    <cellStyle name="Normal 7 75 5 2" xfId="33152"/>
    <cellStyle name="Normal 7 75 5 3" xfId="33153"/>
    <cellStyle name="Normal 7 75 6" xfId="33154"/>
    <cellStyle name="Normal 7 75 7" xfId="33155"/>
    <cellStyle name="Normal 7 76" xfId="33156"/>
    <cellStyle name="Normal 7 76 2" xfId="33157"/>
    <cellStyle name="Normal 7 76 2 2" xfId="33158"/>
    <cellStyle name="Normal 7 76 2 3" xfId="33159"/>
    <cellStyle name="Normal 7 76 3" xfId="33160"/>
    <cellStyle name="Normal 7 76 3 2" xfId="33161"/>
    <cellStyle name="Normal 7 76 3 3" xfId="33162"/>
    <cellStyle name="Normal 7 76 4" xfId="33163"/>
    <cellStyle name="Normal 7 76 5" xfId="33164"/>
    <cellStyle name="Normal 7 77" xfId="33165"/>
    <cellStyle name="Normal 7 77 2" xfId="33166"/>
    <cellStyle name="Normal 7 77 2 2" xfId="33167"/>
    <cellStyle name="Normal 7 77 2 3" xfId="33168"/>
    <cellStyle name="Normal 7 77 3" xfId="33169"/>
    <cellStyle name="Normal 7 77 3 2" xfId="33170"/>
    <cellStyle name="Normal 7 77 3 3" xfId="33171"/>
    <cellStyle name="Normal 7 77 4" xfId="33172"/>
    <cellStyle name="Normal 7 77 5" xfId="33173"/>
    <cellStyle name="Normal 7 78" xfId="33174"/>
    <cellStyle name="Normal 7 78 2" xfId="33175"/>
    <cellStyle name="Normal 7 78 3" xfId="33176"/>
    <cellStyle name="Normal 7 79" xfId="33177"/>
    <cellStyle name="Normal 7 79 2" xfId="33178"/>
    <cellStyle name="Normal 7 79 3" xfId="33179"/>
    <cellStyle name="Normal 7 8" xfId="33180"/>
    <cellStyle name="Normal 7 80" xfId="33181"/>
    <cellStyle name="Normal 7 81" xfId="33182"/>
    <cellStyle name="Normal 7 82" xfId="43095"/>
    <cellStyle name="Normal 7 9" xfId="33183"/>
    <cellStyle name="Normal 70" xfId="33184"/>
    <cellStyle name="Normal 70 2" xfId="33185"/>
    <cellStyle name="Normal 70 2 2" xfId="33186"/>
    <cellStyle name="Normal 70 2 2 2" xfId="33187"/>
    <cellStyle name="Normal 70 2 2 2 2" xfId="33188"/>
    <cellStyle name="Normal 70 2 2 2 3" xfId="33189"/>
    <cellStyle name="Normal 70 2 2 3" xfId="33190"/>
    <cellStyle name="Normal 70 2 2 3 2" xfId="33191"/>
    <cellStyle name="Normal 70 2 2 3 3" xfId="33192"/>
    <cellStyle name="Normal 70 2 2 4" xfId="33193"/>
    <cellStyle name="Normal 70 2 2 5" xfId="33194"/>
    <cellStyle name="Normal 70 2 3" xfId="33195"/>
    <cellStyle name="Normal 70 2 3 2" xfId="33196"/>
    <cellStyle name="Normal 70 2 3 2 2" xfId="33197"/>
    <cellStyle name="Normal 70 2 3 2 3" xfId="33198"/>
    <cellStyle name="Normal 70 2 3 3" xfId="33199"/>
    <cellStyle name="Normal 70 2 3 3 2" xfId="33200"/>
    <cellStyle name="Normal 70 2 3 3 3" xfId="33201"/>
    <cellStyle name="Normal 70 2 3 4" xfId="33202"/>
    <cellStyle name="Normal 70 2 3 5" xfId="33203"/>
    <cellStyle name="Normal 70 2 4" xfId="33204"/>
    <cellStyle name="Normal 70 2 4 2" xfId="33205"/>
    <cellStyle name="Normal 70 2 4 3" xfId="33206"/>
    <cellStyle name="Normal 70 2 5" xfId="33207"/>
    <cellStyle name="Normal 70 2 5 2" xfId="33208"/>
    <cellStyle name="Normal 70 2 5 3" xfId="33209"/>
    <cellStyle name="Normal 70 2 6" xfId="33210"/>
    <cellStyle name="Normal 70 2 7" xfId="33211"/>
    <cellStyle name="Normal 70 3" xfId="33212"/>
    <cellStyle name="Normal 70 3 2" xfId="33213"/>
    <cellStyle name="Normal 70 3 2 2" xfId="33214"/>
    <cellStyle name="Normal 70 3 2 2 2" xfId="33215"/>
    <cellStyle name="Normal 70 3 2 2 3" xfId="33216"/>
    <cellStyle name="Normal 70 3 2 3" xfId="33217"/>
    <cellStyle name="Normal 70 3 2 3 2" xfId="33218"/>
    <cellStyle name="Normal 70 3 2 3 3" xfId="33219"/>
    <cellStyle name="Normal 70 3 2 4" xfId="33220"/>
    <cellStyle name="Normal 70 3 2 5" xfId="33221"/>
    <cellStyle name="Normal 70 3 3" xfId="33222"/>
    <cellStyle name="Normal 70 3 3 2" xfId="33223"/>
    <cellStyle name="Normal 70 3 3 2 2" xfId="33224"/>
    <cellStyle name="Normal 70 3 3 2 3" xfId="33225"/>
    <cellStyle name="Normal 70 3 3 3" xfId="33226"/>
    <cellStyle name="Normal 70 3 3 3 2" xfId="33227"/>
    <cellStyle name="Normal 70 3 3 3 3" xfId="33228"/>
    <cellStyle name="Normal 70 3 3 4" xfId="33229"/>
    <cellStyle name="Normal 70 3 3 5" xfId="33230"/>
    <cellStyle name="Normal 70 3 4" xfId="33231"/>
    <cellStyle name="Normal 70 3 4 2" xfId="33232"/>
    <cellStyle name="Normal 70 3 4 3" xfId="33233"/>
    <cellStyle name="Normal 70 3 5" xfId="33234"/>
    <cellStyle name="Normal 70 3 5 2" xfId="33235"/>
    <cellStyle name="Normal 70 3 5 3" xfId="33236"/>
    <cellStyle name="Normal 70 3 6" xfId="33237"/>
    <cellStyle name="Normal 70 3 7" xfId="33238"/>
    <cellStyle name="Normal 70 4" xfId="33239"/>
    <cellStyle name="Normal 70 4 2" xfId="33240"/>
    <cellStyle name="Normal 70 4 2 2" xfId="33241"/>
    <cellStyle name="Normal 70 4 2 3" xfId="33242"/>
    <cellStyle name="Normal 70 4 3" xfId="33243"/>
    <cellStyle name="Normal 70 4 3 2" xfId="33244"/>
    <cellStyle name="Normal 70 4 3 3" xfId="33245"/>
    <cellStyle name="Normal 70 4 4" xfId="33246"/>
    <cellStyle name="Normal 70 4 5" xfId="33247"/>
    <cellStyle name="Normal 70 5" xfId="33248"/>
    <cellStyle name="Normal 70 5 2" xfId="33249"/>
    <cellStyle name="Normal 70 5 2 2" xfId="33250"/>
    <cellStyle name="Normal 70 5 2 3" xfId="33251"/>
    <cellStyle name="Normal 70 5 3" xfId="33252"/>
    <cellStyle name="Normal 70 5 3 2" xfId="33253"/>
    <cellStyle name="Normal 70 5 3 3" xfId="33254"/>
    <cellStyle name="Normal 70 5 4" xfId="33255"/>
    <cellStyle name="Normal 70 5 5" xfId="33256"/>
    <cellStyle name="Normal 70 6" xfId="33257"/>
    <cellStyle name="Normal 70 6 2" xfId="33258"/>
    <cellStyle name="Normal 70 6 3" xfId="33259"/>
    <cellStyle name="Normal 70 7" xfId="33260"/>
    <cellStyle name="Normal 70 7 2" xfId="33261"/>
    <cellStyle name="Normal 70 7 3" xfId="33262"/>
    <cellStyle name="Normal 70 8" xfId="33263"/>
    <cellStyle name="Normal 70 9" xfId="33264"/>
    <cellStyle name="Normal 71" xfId="5"/>
    <cellStyle name="Normal 72" xfId="33265"/>
    <cellStyle name="Normal 72 10" xfId="33266"/>
    <cellStyle name="Normal 72 2" xfId="33267"/>
    <cellStyle name="Normal 72 2 2" xfId="33268"/>
    <cellStyle name="Normal 72 2 2 2" xfId="33269"/>
    <cellStyle name="Normal 72 2 2 2 2" xfId="33270"/>
    <cellStyle name="Normal 72 2 2 2 2 2" xfId="33271"/>
    <cellStyle name="Normal 72 2 2 2 2 3" xfId="33272"/>
    <cellStyle name="Normal 72 2 2 2 3" xfId="33273"/>
    <cellStyle name="Normal 72 2 2 2 3 2" xfId="33274"/>
    <cellStyle name="Normal 72 2 2 2 3 3" xfId="33275"/>
    <cellStyle name="Normal 72 2 2 2 4" xfId="33276"/>
    <cellStyle name="Normal 72 2 2 2 5" xfId="33277"/>
    <cellStyle name="Normal 72 2 2 3" xfId="33278"/>
    <cellStyle name="Normal 72 2 2 3 2" xfId="33279"/>
    <cellStyle name="Normal 72 2 2 3 2 2" xfId="33280"/>
    <cellStyle name="Normal 72 2 2 3 2 3" xfId="33281"/>
    <cellStyle name="Normal 72 2 2 3 3" xfId="33282"/>
    <cellStyle name="Normal 72 2 2 3 3 2" xfId="33283"/>
    <cellStyle name="Normal 72 2 2 3 3 3" xfId="33284"/>
    <cellStyle name="Normal 72 2 2 3 4" xfId="33285"/>
    <cellStyle name="Normal 72 2 2 3 5" xfId="33286"/>
    <cellStyle name="Normal 72 2 2 4" xfId="33287"/>
    <cellStyle name="Normal 72 2 2 4 2" xfId="33288"/>
    <cellStyle name="Normal 72 2 2 4 3" xfId="33289"/>
    <cellStyle name="Normal 72 2 2 5" xfId="33290"/>
    <cellStyle name="Normal 72 2 2 5 2" xfId="33291"/>
    <cellStyle name="Normal 72 2 2 5 3" xfId="33292"/>
    <cellStyle name="Normal 72 2 2 6" xfId="33293"/>
    <cellStyle name="Normal 72 2 2 7" xfId="33294"/>
    <cellStyle name="Normal 72 2 3" xfId="33295"/>
    <cellStyle name="Normal 72 2 3 2" xfId="33296"/>
    <cellStyle name="Normal 72 2 3 2 2" xfId="33297"/>
    <cellStyle name="Normal 72 2 3 2 2 2" xfId="33298"/>
    <cellStyle name="Normal 72 2 3 2 2 3" xfId="33299"/>
    <cellStyle name="Normal 72 2 3 2 3" xfId="33300"/>
    <cellStyle name="Normal 72 2 3 2 3 2" xfId="33301"/>
    <cellStyle name="Normal 72 2 3 2 3 3" xfId="33302"/>
    <cellStyle name="Normal 72 2 3 2 4" xfId="33303"/>
    <cellStyle name="Normal 72 2 3 2 5" xfId="33304"/>
    <cellStyle name="Normal 72 2 3 3" xfId="33305"/>
    <cellStyle name="Normal 72 2 3 3 2" xfId="33306"/>
    <cellStyle name="Normal 72 2 3 3 2 2" xfId="33307"/>
    <cellStyle name="Normal 72 2 3 3 2 3" xfId="33308"/>
    <cellStyle name="Normal 72 2 3 3 3" xfId="33309"/>
    <cellStyle name="Normal 72 2 3 3 3 2" xfId="33310"/>
    <cellStyle name="Normal 72 2 3 3 3 3" xfId="33311"/>
    <cellStyle name="Normal 72 2 3 3 4" xfId="33312"/>
    <cellStyle name="Normal 72 2 3 3 5" xfId="33313"/>
    <cellStyle name="Normal 72 2 3 4" xfId="33314"/>
    <cellStyle name="Normal 72 2 3 4 2" xfId="33315"/>
    <cellStyle name="Normal 72 2 3 4 3" xfId="33316"/>
    <cellStyle name="Normal 72 2 3 5" xfId="33317"/>
    <cellStyle name="Normal 72 2 3 5 2" xfId="33318"/>
    <cellStyle name="Normal 72 2 3 5 3" xfId="33319"/>
    <cellStyle name="Normal 72 2 3 6" xfId="33320"/>
    <cellStyle name="Normal 72 2 3 7" xfId="33321"/>
    <cellStyle name="Normal 72 2 4" xfId="33322"/>
    <cellStyle name="Normal 72 2 4 2" xfId="33323"/>
    <cellStyle name="Normal 72 2 4 2 2" xfId="33324"/>
    <cellStyle name="Normal 72 2 4 2 3" xfId="33325"/>
    <cellStyle name="Normal 72 2 4 3" xfId="33326"/>
    <cellStyle name="Normal 72 2 4 3 2" xfId="33327"/>
    <cellStyle name="Normal 72 2 4 3 3" xfId="33328"/>
    <cellStyle name="Normal 72 2 4 4" xfId="33329"/>
    <cellStyle name="Normal 72 2 4 5" xfId="33330"/>
    <cellStyle name="Normal 72 2 5" xfId="33331"/>
    <cellStyle name="Normal 72 2 5 2" xfId="33332"/>
    <cellStyle name="Normal 72 2 5 2 2" xfId="33333"/>
    <cellStyle name="Normal 72 2 5 2 3" xfId="33334"/>
    <cellStyle name="Normal 72 2 5 3" xfId="33335"/>
    <cellStyle name="Normal 72 2 5 3 2" xfId="33336"/>
    <cellStyle name="Normal 72 2 5 3 3" xfId="33337"/>
    <cellStyle name="Normal 72 2 5 4" xfId="33338"/>
    <cellStyle name="Normal 72 2 5 5" xfId="33339"/>
    <cellStyle name="Normal 72 2 6" xfId="33340"/>
    <cellStyle name="Normal 72 2 6 2" xfId="33341"/>
    <cellStyle name="Normal 72 2 6 3" xfId="33342"/>
    <cellStyle name="Normal 72 2 7" xfId="33343"/>
    <cellStyle name="Normal 72 2 7 2" xfId="33344"/>
    <cellStyle name="Normal 72 2 7 3" xfId="33345"/>
    <cellStyle name="Normal 72 2 8" xfId="33346"/>
    <cellStyle name="Normal 72 2 9" xfId="33347"/>
    <cellStyle name="Normal 72 3" xfId="33348"/>
    <cellStyle name="Normal 72 3 2" xfId="33349"/>
    <cellStyle name="Normal 72 3 2 2" xfId="33350"/>
    <cellStyle name="Normal 72 3 2 2 2" xfId="33351"/>
    <cellStyle name="Normal 72 3 2 2 3" xfId="33352"/>
    <cellStyle name="Normal 72 3 2 3" xfId="33353"/>
    <cellStyle name="Normal 72 3 2 3 2" xfId="33354"/>
    <cellStyle name="Normal 72 3 2 3 3" xfId="33355"/>
    <cellStyle name="Normal 72 3 2 4" xfId="33356"/>
    <cellStyle name="Normal 72 3 2 5" xfId="33357"/>
    <cellStyle name="Normal 72 3 3" xfId="33358"/>
    <cellStyle name="Normal 72 3 3 2" xfId="33359"/>
    <cellStyle name="Normal 72 3 3 2 2" xfId="33360"/>
    <cellStyle name="Normal 72 3 3 2 3" xfId="33361"/>
    <cellStyle name="Normal 72 3 3 3" xfId="33362"/>
    <cellStyle name="Normal 72 3 3 3 2" xfId="33363"/>
    <cellStyle name="Normal 72 3 3 3 3" xfId="33364"/>
    <cellStyle name="Normal 72 3 3 4" xfId="33365"/>
    <cellStyle name="Normal 72 3 3 5" xfId="33366"/>
    <cellStyle name="Normal 72 3 4" xfId="33367"/>
    <cellStyle name="Normal 72 3 4 2" xfId="33368"/>
    <cellStyle name="Normal 72 3 4 3" xfId="33369"/>
    <cellStyle name="Normal 72 3 5" xfId="33370"/>
    <cellStyle name="Normal 72 3 5 2" xfId="33371"/>
    <cellStyle name="Normal 72 3 5 3" xfId="33372"/>
    <cellStyle name="Normal 72 3 6" xfId="33373"/>
    <cellStyle name="Normal 72 3 7" xfId="33374"/>
    <cellStyle name="Normal 72 4" xfId="33375"/>
    <cellStyle name="Normal 72 4 2" xfId="33376"/>
    <cellStyle name="Normal 72 4 2 2" xfId="33377"/>
    <cellStyle name="Normal 72 4 2 2 2" xfId="33378"/>
    <cellStyle name="Normal 72 4 2 2 3" xfId="33379"/>
    <cellStyle name="Normal 72 4 2 3" xfId="33380"/>
    <cellStyle name="Normal 72 4 2 3 2" xfId="33381"/>
    <cellStyle name="Normal 72 4 2 3 3" xfId="33382"/>
    <cellStyle name="Normal 72 4 2 4" xfId="33383"/>
    <cellStyle name="Normal 72 4 2 5" xfId="33384"/>
    <cellStyle name="Normal 72 4 3" xfId="33385"/>
    <cellStyle name="Normal 72 4 3 2" xfId="33386"/>
    <cellStyle name="Normal 72 4 3 2 2" xfId="33387"/>
    <cellStyle name="Normal 72 4 3 2 3" xfId="33388"/>
    <cellStyle name="Normal 72 4 3 3" xfId="33389"/>
    <cellStyle name="Normal 72 4 3 3 2" xfId="33390"/>
    <cellStyle name="Normal 72 4 3 3 3" xfId="33391"/>
    <cellStyle name="Normal 72 4 3 4" xfId="33392"/>
    <cellStyle name="Normal 72 4 3 5" xfId="33393"/>
    <cellStyle name="Normal 72 4 4" xfId="33394"/>
    <cellStyle name="Normal 72 4 4 2" xfId="33395"/>
    <cellStyle name="Normal 72 4 4 3" xfId="33396"/>
    <cellStyle name="Normal 72 4 5" xfId="33397"/>
    <cellStyle name="Normal 72 4 5 2" xfId="33398"/>
    <cellStyle name="Normal 72 4 5 3" xfId="33399"/>
    <cellStyle name="Normal 72 4 6" xfId="33400"/>
    <cellStyle name="Normal 72 4 7" xfId="33401"/>
    <cellStyle name="Normal 72 5" xfId="33402"/>
    <cellStyle name="Normal 72 5 2" xfId="33403"/>
    <cellStyle name="Normal 72 5 2 2" xfId="33404"/>
    <cellStyle name="Normal 72 5 2 3" xfId="33405"/>
    <cellStyle name="Normal 72 5 3" xfId="33406"/>
    <cellStyle name="Normal 72 5 3 2" xfId="33407"/>
    <cellStyle name="Normal 72 5 3 3" xfId="33408"/>
    <cellStyle name="Normal 72 5 4" xfId="33409"/>
    <cellStyle name="Normal 72 5 5" xfId="33410"/>
    <cellStyle name="Normal 72 6" xfId="33411"/>
    <cellStyle name="Normal 72 6 2" xfId="33412"/>
    <cellStyle name="Normal 72 6 2 2" xfId="33413"/>
    <cellStyle name="Normal 72 6 2 3" xfId="33414"/>
    <cellStyle name="Normal 72 6 3" xfId="33415"/>
    <cellStyle name="Normal 72 6 3 2" xfId="33416"/>
    <cellStyle name="Normal 72 6 3 3" xfId="33417"/>
    <cellStyle name="Normal 72 6 4" xfId="33418"/>
    <cellStyle name="Normal 72 6 5" xfId="33419"/>
    <cellStyle name="Normal 72 7" xfId="33420"/>
    <cellStyle name="Normal 72 7 2" xfId="33421"/>
    <cellStyle name="Normal 72 7 3" xfId="33422"/>
    <cellStyle name="Normal 72 8" xfId="33423"/>
    <cellStyle name="Normal 72 8 2" xfId="33424"/>
    <cellStyle name="Normal 72 8 3" xfId="33425"/>
    <cellStyle name="Normal 72 9" xfId="33426"/>
    <cellStyle name="Normal 73" xfId="33427"/>
    <cellStyle name="Normal 73 10" xfId="33428"/>
    <cellStyle name="Normal 73 2" xfId="33429"/>
    <cellStyle name="Normal 73 2 2" xfId="33430"/>
    <cellStyle name="Normal 73 2 2 2" xfId="33431"/>
    <cellStyle name="Normal 73 2 2 2 2" xfId="33432"/>
    <cellStyle name="Normal 73 2 2 2 2 2" xfId="33433"/>
    <cellStyle name="Normal 73 2 2 2 2 3" xfId="33434"/>
    <cellStyle name="Normal 73 2 2 2 3" xfId="33435"/>
    <cellStyle name="Normal 73 2 2 2 3 2" xfId="33436"/>
    <cellStyle name="Normal 73 2 2 2 3 3" xfId="33437"/>
    <cellStyle name="Normal 73 2 2 2 4" xfId="33438"/>
    <cellStyle name="Normal 73 2 2 2 5" xfId="33439"/>
    <cellStyle name="Normal 73 2 2 3" xfId="33440"/>
    <cellStyle name="Normal 73 2 2 3 2" xfId="33441"/>
    <cellStyle name="Normal 73 2 2 3 2 2" xfId="33442"/>
    <cellStyle name="Normal 73 2 2 3 2 3" xfId="33443"/>
    <cellStyle name="Normal 73 2 2 3 3" xfId="33444"/>
    <cellStyle name="Normal 73 2 2 3 3 2" xfId="33445"/>
    <cellStyle name="Normal 73 2 2 3 3 3" xfId="33446"/>
    <cellStyle name="Normal 73 2 2 3 4" xfId="33447"/>
    <cellStyle name="Normal 73 2 2 3 5" xfId="33448"/>
    <cellStyle name="Normal 73 2 2 4" xfId="33449"/>
    <cellStyle name="Normal 73 2 2 4 2" xfId="33450"/>
    <cellStyle name="Normal 73 2 2 4 3" xfId="33451"/>
    <cellStyle name="Normal 73 2 2 5" xfId="33452"/>
    <cellStyle name="Normal 73 2 2 5 2" xfId="33453"/>
    <cellStyle name="Normal 73 2 2 5 3" xfId="33454"/>
    <cellStyle name="Normal 73 2 2 6" xfId="33455"/>
    <cellStyle name="Normal 73 2 2 7" xfId="33456"/>
    <cellStyle name="Normal 73 2 3" xfId="33457"/>
    <cellStyle name="Normal 73 2 3 2" xfId="33458"/>
    <cellStyle name="Normal 73 2 3 2 2" xfId="33459"/>
    <cellStyle name="Normal 73 2 3 2 2 2" xfId="33460"/>
    <cellStyle name="Normal 73 2 3 2 2 3" xfId="33461"/>
    <cellStyle name="Normal 73 2 3 2 3" xfId="33462"/>
    <cellStyle name="Normal 73 2 3 2 3 2" xfId="33463"/>
    <cellStyle name="Normal 73 2 3 2 3 3" xfId="33464"/>
    <cellStyle name="Normal 73 2 3 2 4" xfId="33465"/>
    <cellStyle name="Normal 73 2 3 2 5" xfId="33466"/>
    <cellStyle name="Normal 73 2 3 3" xfId="33467"/>
    <cellStyle name="Normal 73 2 3 3 2" xfId="33468"/>
    <cellStyle name="Normal 73 2 3 3 2 2" xfId="33469"/>
    <cellStyle name="Normal 73 2 3 3 2 3" xfId="33470"/>
    <cellStyle name="Normal 73 2 3 3 3" xfId="33471"/>
    <cellStyle name="Normal 73 2 3 3 3 2" xfId="33472"/>
    <cellStyle name="Normal 73 2 3 3 3 3" xfId="33473"/>
    <cellStyle name="Normal 73 2 3 3 4" xfId="33474"/>
    <cellStyle name="Normal 73 2 3 3 5" xfId="33475"/>
    <cellStyle name="Normal 73 2 3 4" xfId="33476"/>
    <cellStyle name="Normal 73 2 3 4 2" xfId="33477"/>
    <cellStyle name="Normal 73 2 3 4 3" xfId="33478"/>
    <cellStyle name="Normal 73 2 3 5" xfId="33479"/>
    <cellStyle name="Normal 73 2 3 5 2" xfId="33480"/>
    <cellStyle name="Normal 73 2 3 5 3" xfId="33481"/>
    <cellStyle name="Normal 73 2 3 6" xfId="33482"/>
    <cellStyle name="Normal 73 2 3 7" xfId="33483"/>
    <cellStyle name="Normal 73 2 4" xfId="33484"/>
    <cellStyle name="Normal 73 2 4 2" xfId="33485"/>
    <cellStyle name="Normal 73 2 4 2 2" xfId="33486"/>
    <cellStyle name="Normal 73 2 4 2 3" xfId="33487"/>
    <cellStyle name="Normal 73 2 4 3" xfId="33488"/>
    <cellStyle name="Normal 73 2 4 3 2" xfId="33489"/>
    <cellStyle name="Normal 73 2 4 3 3" xfId="33490"/>
    <cellStyle name="Normal 73 2 4 4" xfId="33491"/>
    <cellStyle name="Normal 73 2 4 5" xfId="33492"/>
    <cellStyle name="Normal 73 2 5" xfId="33493"/>
    <cellStyle name="Normal 73 2 5 2" xfId="33494"/>
    <cellStyle name="Normal 73 2 5 2 2" xfId="33495"/>
    <cellStyle name="Normal 73 2 5 2 3" xfId="33496"/>
    <cellStyle name="Normal 73 2 5 3" xfId="33497"/>
    <cellStyle name="Normal 73 2 5 3 2" xfId="33498"/>
    <cellStyle name="Normal 73 2 5 3 3" xfId="33499"/>
    <cellStyle name="Normal 73 2 5 4" xfId="33500"/>
    <cellStyle name="Normal 73 2 5 5" xfId="33501"/>
    <cellStyle name="Normal 73 2 6" xfId="33502"/>
    <cellStyle name="Normal 73 2 6 2" xfId="33503"/>
    <cellStyle name="Normal 73 2 6 3" xfId="33504"/>
    <cellStyle name="Normal 73 2 7" xfId="33505"/>
    <cellStyle name="Normal 73 2 7 2" xfId="33506"/>
    <cellStyle name="Normal 73 2 7 3" xfId="33507"/>
    <cellStyle name="Normal 73 2 8" xfId="33508"/>
    <cellStyle name="Normal 73 2 9" xfId="33509"/>
    <cellStyle name="Normal 73 3" xfId="33510"/>
    <cellStyle name="Normal 73 3 2" xfId="33511"/>
    <cellStyle name="Normal 73 3 2 2" xfId="33512"/>
    <cellStyle name="Normal 73 3 2 2 2" xfId="33513"/>
    <cellStyle name="Normal 73 3 2 2 3" xfId="33514"/>
    <cellStyle name="Normal 73 3 2 3" xfId="33515"/>
    <cellStyle name="Normal 73 3 2 3 2" xfId="33516"/>
    <cellStyle name="Normal 73 3 2 3 3" xfId="33517"/>
    <cellStyle name="Normal 73 3 2 4" xfId="33518"/>
    <cellStyle name="Normal 73 3 2 5" xfId="33519"/>
    <cellStyle name="Normal 73 3 3" xfId="33520"/>
    <cellStyle name="Normal 73 3 3 2" xfId="33521"/>
    <cellStyle name="Normal 73 3 3 2 2" xfId="33522"/>
    <cellStyle name="Normal 73 3 3 2 3" xfId="33523"/>
    <cellStyle name="Normal 73 3 3 3" xfId="33524"/>
    <cellStyle name="Normal 73 3 3 3 2" xfId="33525"/>
    <cellStyle name="Normal 73 3 3 3 3" xfId="33526"/>
    <cellStyle name="Normal 73 3 3 4" xfId="33527"/>
    <cellStyle name="Normal 73 3 3 5" xfId="33528"/>
    <cellStyle name="Normal 73 3 4" xfId="33529"/>
    <cellStyle name="Normal 73 3 4 2" xfId="33530"/>
    <cellStyle name="Normal 73 3 4 3" xfId="33531"/>
    <cellStyle name="Normal 73 3 5" xfId="33532"/>
    <cellStyle name="Normal 73 3 5 2" xfId="33533"/>
    <cellStyle name="Normal 73 3 5 3" xfId="33534"/>
    <cellStyle name="Normal 73 3 6" xfId="33535"/>
    <cellStyle name="Normal 73 3 7" xfId="33536"/>
    <cellStyle name="Normal 73 4" xfId="33537"/>
    <cellStyle name="Normal 73 4 2" xfId="33538"/>
    <cellStyle name="Normal 73 4 2 2" xfId="33539"/>
    <cellStyle name="Normal 73 4 2 2 2" xfId="33540"/>
    <cellStyle name="Normal 73 4 2 2 3" xfId="33541"/>
    <cellStyle name="Normal 73 4 2 3" xfId="33542"/>
    <cellStyle name="Normal 73 4 2 3 2" xfId="33543"/>
    <cellStyle name="Normal 73 4 2 3 3" xfId="33544"/>
    <cellStyle name="Normal 73 4 2 4" xfId="33545"/>
    <cellStyle name="Normal 73 4 2 5" xfId="33546"/>
    <cellStyle name="Normal 73 4 3" xfId="33547"/>
    <cellStyle name="Normal 73 4 3 2" xfId="33548"/>
    <cellStyle name="Normal 73 4 3 2 2" xfId="33549"/>
    <cellStyle name="Normal 73 4 3 2 3" xfId="33550"/>
    <cellStyle name="Normal 73 4 3 3" xfId="33551"/>
    <cellStyle name="Normal 73 4 3 3 2" xfId="33552"/>
    <cellStyle name="Normal 73 4 3 3 3" xfId="33553"/>
    <cellStyle name="Normal 73 4 3 4" xfId="33554"/>
    <cellStyle name="Normal 73 4 3 5" xfId="33555"/>
    <cellStyle name="Normal 73 4 4" xfId="33556"/>
    <cellStyle name="Normal 73 4 4 2" xfId="33557"/>
    <cellStyle name="Normal 73 4 4 3" xfId="33558"/>
    <cellStyle name="Normal 73 4 5" xfId="33559"/>
    <cellStyle name="Normal 73 4 5 2" xfId="33560"/>
    <cellStyle name="Normal 73 4 5 3" xfId="33561"/>
    <cellStyle name="Normal 73 4 6" xfId="33562"/>
    <cellStyle name="Normal 73 4 7" xfId="33563"/>
    <cellStyle name="Normal 73 5" xfId="33564"/>
    <cellStyle name="Normal 73 5 2" xfId="33565"/>
    <cellStyle name="Normal 73 5 2 2" xfId="33566"/>
    <cellStyle name="Normal 73 5 2 3" xfId="33567"/>
    <cellStyle name="Normal 73 5 3" xfId="33568"/>
    <cellStyle name="Normal 73 5 3 2" xfId="33569"/>
    <cellStyle name="Normal 73 5 3 3" xfId="33570"/>
    <cellStyle name="Normal 73 5 4" xfId="33571"/>
    <cellStyle name="Normal 73 5 5" xfId="33572"/>
    <cellStyle name="Normal 73 6" xfId="33573"/>
    <cellStyle name="Normal 73 6 2" xfId="33574"/>
    <cellStyle name="Normal 73 6 2 2" xfId="33575"/>
    <cellStyle name="Normal 73 6 2 3" xfId="33576"/>
    <cellStyle name="Normal 73 6 3" xfId="33577"/>
    <cellStyle name="Normal 73 6 3 2" xfId="33578"/>
    <cellStyle name="Normal 73 6 3 3" xfId="33579"/>
    <cellStyle name="Normal 73 6 4" xfId="33580"/>
    <cellStyle name="Normal 73 6 5" xfId="33581"/>
    <cellStyle name="Normal 73 7" xfId="33582"/>
    <cellStyle name="Normal 73 7 2" xfId="33583"/>
    <cellStyle name="Normal 73 7 3" xfId="33584"/>
    <cellStyle name="Normal 73 8" xfId="33585"/>
    <cellStyle name="Normal 73 8 2" xfId="33586"/>
    <cellStyle name="Normal 73 8 3" xfId="33587"/>
    <cellStyle name="Normal 73 9" xfId="33588"/>
    <cellStyle name="Normal 74" xfId="9"/>
    <cellStyle name="Normal 75" xfId="33589"/>
    <cellStyle name="Normal 75 10" xfId="33590"/>
    <cellStyle name="Normal 75 2" xfId="33591"/>
    <cellStyle name="Normal 75 2 2" xfId="33592"/>
    <cellStyle name="Normal 75 2 2 2" xfId="33593"/>
    <cellStyle name="Normal 75 2 2 2 2" xfId="33594"/>
    <cellStyle name="Normal 75 2 2 2 2 2" xfId="33595"/>
    <cellStyle name="Normal 75 2 2 2 2 3" xfId="33596"/>
    <cellStyle name="Normal 75 2 2 2 3" xfId="33597"/>
    <cellStyle name="Normal 75 2 2 2 3 2" xfId="33598"/>
    <cellStyle name="Normal 75 2 2 2 3 3" xfId="33599"/>
    <cellStyle name="Normal 75 2 2 2 4" xfId="33600"/>
    <cellStyle name="Normal 75 2 2 2 5" xfId="33601"/>
    <cellStyle name="Normal 75 2 2 3" xfId="33602"/>
    <cellStyle name="Normal 75 2 2 3 2" xfId="33603"/>
    <cellStyle name="Normal 75 2 2 3 2 2" xfId="33604"/>
    <cellStyle name="Normal 75 2 2 3 2 3" xfId="33605"/>
    <cellStyle name="Normal 75 2 2 3 3" xfId="33606"/>
    <cellStyle name="Normal 75 2 2 3 3 2" xfId="33607"/>
    <cellStyle name="Normal 75 2 2 3 3 3" xfId="33608"/>
    <cellStyle name="Normal 75 2 2 3 4" xfId="33609"/>
    <cellStyle name="Normal 75 2 2 3 5" xfId="33610"/>
    <cellStyle name="Normal 75 2 2 4" xfId="33611"/>
    <cellStyle name="Normal 75 2 2 4 2" xfId="33612"/>
    <cellStyle name="Normal 75 2 2 4 3" xfId="33613"/>
    <cellStyle name="Normal 75 2 2 5" xfId="33614"/>
    <cellStyle name="Normal 75 2 2 5 2" xfId="33615"/>
    <cellStyle name="Normal 75 2 2 5 3" xfId="33616"/>
    <cellStyle name="Normal 75 2 2 6" xfId="33617"/>
    <cellStyle name="Normal 75 2 2 7" xfId="33618"/>
    <cellStyle name="Normal 75 2 3" xfId="33619"/>
    <cellStyle name="Normal 75 2 3 2" xfId="33620"/>
    <cellStyle name="Normal 75 2 3 2 2" xfId="33621"/>
    <cellStyle name="Normal 75 2 3 2 2 2" xfId="33622"/>
    <cellStyle name="Normal 75 2 3 2 2 3" xfId="33623"/>
    <cellStyle name="Normal 75 2 3 2 3" xfId="33624"/>
    <cellStyle name="Normal 75 2 3 2 3 2" xfId="33625"/>
    <cellStyle name="Normal 75 2 3 2 3 3" xfId="33626"/>
    <cellStyle name="Normal 75 2 3 2 4" xfId="33627"/>
    <cellStyle name="Normal 75 2 3 2 5" xfId="33628"/>
    <cellStyle name="Normal 75 2 3 3" xfId="33629"/>
    <cellStyle name="Normal 75 2 3 3 2" xfId="33630"/>
    <cellStyle name="Normal 75 2 3 3 2 2" xfId="33631"/>
    <cellStyle name="Normal 75 2 3 3 2 3" xfId="33632"/>
    <cellStyle name="Normal 75 2 3 3 3" xfId="33633"/>
    <cellStyle name="Normal 75 2 3 3 3 2" xfId="33634"/>
    <cellStyle name="Normal 75 2 3 3 3 3" xfId="33635"/>
    <cellStyle name="Normal 75 2 3 3 4" xfId="33636"/>
    <cellStyle name="Normal 75 2 3 3 5" xfId="33637"/>
    <cellStyle name="Normal 75 2 3 4" xfId="33638"/>
    <cellStyle name="Normal 75 2 3 4 2" xfId="33639"/>
    <cellStyle name="Normal 75 2 3 4 3" xfId="33640"/>
    <cellStyle name="Normal 75 2 3 5" xfId="33641"/>
    <cellStyle name="Normal 75 2 3 5 2" xfId="33642"/>
    <cellStyle name="Normal 75 2 3 5 3" xfId="33643"/>
    <cellStyle name="Normal 75 2 3 6" xfId="33644"/>
    <cellStyle name="Normal 75 2 3 7" xfId="33645"/>
    <cellStyle name="Normal 75 2 4" xfId="33646"/>
    <cellStyle name="Normal 75 2 4 2" xfId="33647"/>
    <cellStyle name="Normal 75 2 4 2 2" xfId="33648"/>
    <cellStyle name="Normal 75 2 4 2 3" xfId="33649"/>
    <cellStyle name="Normal 75 2 4 3" xfId="33650"/>
    <cellStyle name="Normal 75 2 4 3 2" xfId="33651"/>
    <cellStyle name="Normal 75 2 4 3 3" xfId="33652"/>
    <cellStyle name="Normal 75 2 4 4" xfId="33653"/>
    <cellStyle name="Normal 75 2 4 5" xfId="33654"/>
    <cellStyle name="Normal 75 2 5" xfId="33655"/>
    <cellStyle name="Normal 75 2 5 2" xfId="33656"/>
    <cellStyle name="Normal 75 2 5 2 2" xfId="33657"/>
    <cellStyle name="Normal 75 2 5 2 3" xfId="33658"/>
    <cellStyle name="Normal 75 2 5 3" xfId="33659"/>
    <cellStyle name="Normal 75 2 5 3 2" xfId="33660"/>
    <cellStyle name="Normal 75 2 5 3 3" xfId="33661"/>
    <cellStyle name="Normal 75 2 5 4" xfId="33662"/>
    <cellStyle name="Normal 75 2 5 5" xfId="33663"/>
    <cellStyle name="Normal 75 2 6" xfId="33664"/>
    <cellStyle name="Normal 75 2 6 2" xfId="33665"/>
    <cellStyle name="Normal 75 2 6 3" xfId="33666"/>
    <cellStyle name="Normal 75 2 7" xfId="33667"/>
    <cellStyle name="Normal 75 2 7 2" xfId="33668"/>
    <cellStyle name="Normal 75 2 7 3" xfId="33669"/>
    <cellStyle name="Normal 75 2 8" xfId="33670"/>
    <cellStyle name="Normal 75 2 9" xfId="33671"/>
    <cellStyle name="Normal 75 3" xfId="33672"/>
    <cellStyle name="Normal 75 3 2" xfId="33673"/>
    <cellStyle name="Normal 75 3 2 2" xfId="33674"/>
    <cellStyle name="Normal 75 3 2 2 2" xfId="33675"/>
    <cellStyle name="Normal 75 3 2 2 3" xfId="33676"/>
    <cellStyle name="Normal 75 3 2 3" xfId="33677"/>
    <cellStyle name="Normal 75 3 2 3 2" xfId="33678"/>
    <cellStyle name="Normal 75 3 2 3 3" xfId="33679"/>
    <cellStyle name="Normal 75 3 2 4" xfId="33680"/>
    <cellStyle name="Normal 75 3 2 5" xfId="33681"/>
    <cellStyle name="Normal 75 3 3" xfId="33682"/>
    <cellStyle name="Normal 75 3 3 2" xfId="33683"/>
    <cellStyle name="Normal 75 3 3 2 2" xfId="33684"/>
    <cellStyle name="Normal 75 3 3 2 3" xfId="33685"/>
    <cellStyle name="Normal 75 3 3 3" xfId="33686"/>
    <cellStyle name="Normal 75 3 3 3 2" xfId="33687"/>
    <cellStyle name="Normal 75 3 3 3 3" xfId="33688"/>
    <cellStyle name="Normal 75 3 3 4" xfId="33689"/>
    <cellStyle name="Normal 75 3 3 5" xfId="33690"/>
    <cellStyle name="Normal 75 3 4" xfId="33691"/>
    <cellStyle name="Normal 75 3 4 2" xfId="33692"/>
    <cellStyle name="Normal 75 3 4 3" xfId="33693"/>
    <cellStyle name="Normal 75 3 5" xfId="33694"/>
    <cellStyle name="Normal 75 3 5 2" xfId="33695"/>
    <cellStyle name="Normal 75 3 5 3" xfId="33696"/>
    <cellStyle name="Normal 75 3 6" xfId="33697"/>
    <cellStyle name="Normal 75 3 7" xfId="33698"/>
    <cellStyle name="Normal 75 4" xfId="33699"/>
    <cellStyle name="Normal 75 4 2" xfId="33700"/>
    <cellStyle name="Normal 75 4 2 2" xfId="33701"/>
    <cellStyle name="Normal 75 4 2 2 2" xfId="33702"/>
    <cellStyle name="Normal 75 4 2 2 3" xfId="33703"/>
    <cellStyle name="Normal 75 4 2 3" xfId="33704"/>
    <cellStyle name="Normal 75 4 2 3 2" xfId="33705"/>
    <cellStyle name="Normal 75 4 2 3 3" xfId="33706"/>
    <cellStyle name="Normal 75 4 2 4" xfId="33707"/>
    <cellStyle name="Normal 75 4 2 5" xfId="33708"/>
    <cellStyle name="Normal 75 4 3" xfId="33709"/>
    <cellStyle name="Normal 75 4 3 2" xfId="33710"/>
    <cellStyle name="Normal 75 4 3 2 2" xfId="33711"/>
    <cellStyle name="Normal 75 4 3 2 3" xfId="33712"/>
    <cellStyle name="Normal 75 4 3 3" xfId="33713"/>
    <cellStyle name="Normal 75 4 3 3 2" xfId="33714"/>
    <cellStyle name="Normal 75 4 3 3 3" xfId="33715"/>
    <cellStyle name="Normal 75 4 3 4" xfId="33716"/>
    <cellStyle name="Normal 75 4 3 5" xfId="33717"/>
    <cellStyle name="Normal 75 4 4" xfId="33718"/>
    <cellStyle name="Normal 75 4 4 2" xfId="33719"/>
    <cellStyle name="Normal 75 4 4 3" xfId="33720"/>
    <cellStyle name="Normal 75 4 5" xfId="33721"/>
    <cellStyle name="Normal 75 4 5 2" xfId="33722"/>
    <cellStyle name="Normal 75 4 5 3" xfId="33723"/>
    <cellStyle name="Normal 75 4 6" xfId="33724"/>
    <cellStyle name="Normal 75 4 7" xfId="33725"/>
    <cellStyle name="Normal 75 5" xfId="33726"/>
    <cellStyle name="Normal 75 5 2" xfId="33727"/>
    <cellStyle name="Normal 75 5 2 2" xfId="33728"/>
    <cellStyle name="Normal 75 5 2 3" xfId="33729"/>
    <cellStyle name="Normal 75 5 3" xfId="33730"/>
    <cellStyle name="Normal 75 5 3 2" xfId="33731"/>
    <cellStyle name="Normal 75 5 3 3" xfId="33732"/>
    <cellStyle name="Normal 75 5 4" xfId="33733"/>
    <cellStyle name="Normal 75 5 5" xfId="33734"/>
    <cellStyle name="Normal 75 6" xfId="33735"/>
    <cellStyle name="Normal 75 6 2" xfId="33736"/>
    <cellStyle name="Normal 75 6 2 2" xfId="33737"/>
    <cellStyle name="Normal 75 6 2 3" xfId="33738"/>
    <cellStyle name="Normal 75 6 3" xfId="33739"/>
    <cellStyle name="Normal 75 6 3 2" xfId="33740"/>
    <cellStyle name="Normal 75 6 3 3" xfId="33741"/>
    <cellStyle name="Normal 75 6 4" xfId="33742"/>
    <cellStyle name="Normal 75 6 5" xfId="33743"/>
    <cellStyle name="Normal 75 7" xfId="33744"/>
    <cellStyle name="Normal 75 7 2" xfId="33745"/>
    <cellStyle name="Normal 75 7 3" xfId="33746"/>
    <cellStyle name="Normal 75 8" xfId="33747"/>
    <cellStyle name="Normal 75 8 2" xfId="33748"/>
    <cellStyle name="Normal 75 8 3" xfId="33749"/>
    <cellStyle name="Normal 75 9" xfId="33750"/>
    <cellStyle name="Normal 76" xfId="33751"/>
    <cellStyle name="Normal 77" xfId="33752"/>
    <cellStyle name="Normal 77 10" xfId="33753"/>
    <cellStyle name="Normal 77 2" xfId="33754"/>
    <cellStyle name="Normal 77 2 2" xfId="33755"/>
    <cellStyle name="Normal 77 2 2 2" xfId="33756"/>
    <cellStyle name="Normal 77 2 2 2 2" xfId="33757"/>
    <cellStyle name="Normal 77 2 2 2 2 2" xfId="33758"/>
    <cellStyle name="Normal 77 2 2 2 2 3" xfId="33759"/>
    <cellStyle name="Normal 77 2 2 2 3" xfId="33760"/>
    <cellStyle name="Normal 77 2 2 2 3 2" xfId="33761"/>
    <cellStyle name="Normal 77 2 2 2 3 3" xfId="33762"/>
    <cellStyle name="Normal 77 2 2 2 4" xfId="33763"/>
    <cellStyle name="Normal 77 2 2 2 5" xfId="33764"/>
    <cellStyle name="Normal 77 2 2 3" xfId="33765"/>
    <cellStyle name="Normal 77 2 2 3 2" xfId="33766"/>
    <cellStyle name="Normal 77 2 2 3 2 2" xfId="33767"/>
    <cellStyle name="Normal 77 2 2 3 2 3" xfId="33768"/>
    <cellStyle name="Normal 77 2 2 3 3" xfId="33769"/>
    <cellStyle name="Normal 77 2 2 3 3 2" xfId="33770"/>
    <cellStyle name="Normal 77 2 2 3 3 3" xfId="33771"/>
    <cellStyle name="Normal 77 2 2 3 4" xfId="33772"/>
    <cellStyle name="Normal 77 2 2 3 5" xfId="33773"/>
    <cellStyle name="Normal 77 2 2 4" xfId="33774"/>
    <cellStyle name="Normal 77 2 2 4 2" xfId="33775"/>
    <cellStyle name="Normal 77 2 2 4 3" xfId="33776"/>
    <cellStyle name="Normal 77 2 2 5" xfId="33777"/>
    <cellStyle name="Normal 77 2 2 5 2" xfId="33778"/>
    <cellStyle name="Normal 77 2 2 5 3" xfId="33779"/>
    <cellStyle name="Normal 77 2 2 6" xfId="33780"/>
    <cellStyle name="Normal 77 2 2 7" xfId="33781"/>
    <cellStyle name="Normal 77 2 3" xfId="33782"/>
    <cellStyle name="Normal 77 2 3 2" xfId="33783"/>
    <cellStyle name="Normal 77 2 3 2 2" xfId="33784"/>
    <cellStyle name="Normal 77 2 3 2 2 2" xfId="33785"/>
    <cellStyle name="Normal 77 2 3 2 2 3" xfId="33786"/>
    <cellStyle name="Normal 77 2 3 2 3" xfId="33787"/>
    <cellStyle name="Normal 77 2 3 2 3 2" xfId="33788"/>
    <cellStyle name="Normal 77 2 3 2 3 3" xfId="33789"/>
    <cellStyle name="Normal 77 2 3 2 4" xfId="33790"/>
    <cellStyle name="Normal 77 2 3 2 5" xfId="33791"/>
    <cellStyle name="Normal 77 2 3 3" xfId="33792"/>
    <cellStyle name="Normal 77 2 3 3 2" xfId="33793"/>
    <cellStyle name="Normal 77 2 3 3 2 2" xfId="33794"/>
    <cellStyle name="Normal 77 2 3 3 2 3" xfId="33795"/>
    <cellStyle name="Normal 77 2 3 3 3" xfId="33796"/>
    <cellStyle name="Normal 77 2 3 3 3 2" xfId="33797"/>
    <cellStyle name="Normal 77 2 3 3 3 3" xfId="33798"/>
    <cellStyle name="Normal 77 2 3 3 4" xfId="33799"/>
    <cellStyle name="Normal 77 2 3 3 5" xfId="33800"/>
    <cellStyle name="Normal 77 2 3 4" xfId="33801"/>
    <cellStyle name="Normal 77 2 3 4 2" xfId="33802"/>
    <cellStyle name="Normal 77 2 3 4 3" xfId="33803"/>
    <cellStyle name="Normal 77 2 3 5" xfId="33804"/>
    <cellStyle name="Normal 77 2 3 5 2" xfId="33805"/>
    <cellStyle name="Normal 77 2 3 5 3" xfId="33806"/>
    <cellStyle name="Normal 77 2 3 6" xfId="33807"/>
    <cellStyle name="Normal 77 2 3 7" xfId="33808"/>
    <cellStyle name="Normal 77 2 4" xfId="33809"/>
    <cellStyle name="Normal 77 2 4 2" xfId="33810"/>
    <cellStyle name="Normal 77 2 4 2 2" xfId="33811"/>
    <cellStyle name="Normal 77 2 4 2 3" xfId="33812"/>
    <cellStyle name="Normal 77 2 4 3" xfId="33813"/>
    <cellStyle name="Normal 77 2 4 3 2" xfId="33814"/>
    <cellStyle name="Normal 77 2 4 3 3" xfId="33815"/>
    <cellStyle name="Normal 77 2 4 4" xfId="33816"/>
    <cellStyle name="Normal 77 2 4 5" xfId="33817"/>
    <cellStyle name="Normal 77 2 5" xfId="33818"/>
    <cellStyle name="Normal 77 2 5 2" xfId="33819"/>
    <cellStyle name="Normal 77 2 5 2 2" xfId="33820"/>
    <cellStyle name="Normal 77 2 5 2 3" xfId="33821"/>
    <cellStyle name="Normal 77 2 5 3" xfId="33822"/>
    <cellStyle name="Normal 77 2 5 3 2" xfId="33823"/>
    <cellStyle name="Normal 77 2 5 3 3" xfId="33824"/>
    <cellStyle name="Normal 77 2 5 4" xfId="33825"/>
    <cellStyle name="Normal 77 2 5 5" xfId="33826"/>
    <cellStyle name="Normal 77 2 6" xfId="33827"/>
    <cellStyle name="Normal 77 2 6 2" xfId="33828"/>
    <cellStyle name="Normal 77 2 6 3" xfId="33829"/>
    <cellStyle name="Normal 77 2 7" xfId="33830"/>
    <cellStyle name="Normal 77 2 7 2" xfId="33831"/>
    <cellStyle name="Normal 77 2 7 3" xfId="33832"/>
    <cellStyle name="Normal 77 2 8" xfId="33833"/>
    <cellStyle name="Normal 77 2 9" xfId="33834"/>
    <cellStyle name="Normal 77 3" xfId="33835"/>
    <cellStyle name="Normal 77 3 2" xfId="33836"/>
    <cellStyle name="Normal 77 3 2 2" xfId="33837"/>
    <cellStyle name="Normal 77 3 2 2 2" xfId="33838"/>
    <cellStyle name="Normal 77 3 2 2 3" xfId="33839"/>
    <cellStyle name="Normal 77 3 2 3" xfId="33840"/>
    <cellStyle name="Normal 77 3 2 3 2" xfId="33841"/>
    <cellStyle name="Normal 77 3 2 3 3" xfId="33842"/>
    <cellStyle name="Normal 77 3 2 4" xfId="33843"/>
    <cellStyle name="Normal 77 3 2 5" xfId="33844"/>
    <cellStyle name="Normal 77 3 3" xfId="33845"/>
    <cellStyle name="Normal 77 3 3 2" xfId="33846"/>
    <cellStyle name="Normal 77 3 3 2 2" xfId="33847"/>
    <cellStyle name="Normal 77 3 3 2 3" xfId="33848"/>
    <cellStyle name="Normal 77 3 3 3" xfId="33849"/>
    <cellStyle name="Normal 77 3 3 3 2" xfId="33850"/>
    <cellStyle name="Normal 77 3 3 3 3" xfId="33851"/>
    <cellStyle name="Normal 77 3 3 4" xfId="33852"/>
    <cellStyle name="Normal 77 3 3 5" xfId="33853"/>
    <cellStyle name="Normal 77 3 4" xfId="33854"/>
    <cellStyle name="Normal 77 3 4 2" xfId="33855"/>
    <cellStyle name="Normal 77 3 4 3" xfId="33856"/>
    <cellStyle name="Normal 77 3 5" xfId="33857"/>
    <cellStyle name="Normal 77 3 5 2" xfId="33858"/>
    <cellStyle name="Normal 77 3 5 3" xfId="33859"/>
    <cellStyle name="Normal 77 3 6" xfId="33860"/>
    <cellStyle name="Normal 77 3 7" xfId="33861"/>
    <cellStyle name="Normal 77 4" xfId="33862"/>
    <cellStyle name="Normal 77 4 2" xfId="33863"/>
    <cellStyle name="Normal 77 4 2 2" xfId="33864"/>
    <cellStyle name="Normal 77 4 2 2 2" xfId="33865"/>
    <cellStyle name="Normal 77 4 2 2 3" xfId="33866"/>
    <cellStyle name="Normal 77 4 2 3" xfId="33867"/>
    <cellStyle name="Normal 77 4 2 3 2" xfId="33868"/>
    <cellStyle name="Normal 77 4 2 3 3" xfId="33869"/>
    <cellStyle name="Normal 77 4 2 4" xfId="33870"/>
    <cellStyle name="Normal 77 4 2 5" xfId="33871"/>
    <cellStyle name="Normal 77 4 3" xfId="33872"/>
    <cellStyle name="Normal 77 4 3 2" xfId="33873"/>
    <cellStyle name="Normal 77 4 3 2 2" xfId="33874"/>
    <cellStyle name="Normal 77 4 3 2 3" xfId="33875"/>
    <cellStyle name="Normal 77 4 3 3" xfId="33876"/>
    <cellStyle name="Normal 77 4 3 3 2" xfId="33877"/>
    <cellStyle name="Normal 77 4 3 3 3" xfId="33878"/>
    <cellStyle name="Normal 77 4 3 4" xfId="33879"/>
    <cellStyle name="Normal 77 4 3 5" xfId="33880"/>
    <cellStyle name="Normal 77 4 4" xfId="33881"/>
    <cellStyle name="Normal 77 4 4 2" xfId="33882"/>
    <cellStyle name="Normal 77 4 4 3" xfId="33883"/>
    <cellStyle name="Normal 77 4 5" xfId="33884"/>
    <cellStyle name="Normal 77 4 5 2" xfId="33885"/>
    <cellStyle name="Normal 77 4 5 3" xfId="33886"/>
    <cellStyle name="Normal 77 4 6" xfId="33887"/>
    <cellStyle name="Normal 77 4 7" xfId="33888"/>
    <cellStyle name="Normal 77 5" xfId="33889"/>
    <cellStyle name="Normal 77 5 2" xfId="33890"/>
    <cellStyle name="Normal 77 5 2 2" xfId="33891"/>
    <cellStyle name="Normal 77 5 2 3" xfId="33892"/>
    <cellStyle name="Normal 77 5 3" xfId="33893"/>
    <cellStyle name="Normal 77 5 3 2" xfId="33894"/>
    <cellStyle name="Normal 77 5 3 3" xfId="33895"/>
    <cellStyle name="Normal 77 5 4" xfId="33896"/>
    <cellStyle name="Normal 77 5 5" xfId="33897"/>
    <cellStyle name="Normal 77 6" xfId="33898"/>
    <cellStyle name="Normal 77 6 2" xfId="33899"/>
    <cellStyle name="Normal 77 6 2 2" xfId="33900"/>
    <cellStyle name="Normal 77 6 2 3" xfId="33901"/>
    <cellStyle name="Normal 77 6 3" xfId="33902"/>
    <cellStyle name="Normal 77 6 3 2" xfId="33903"/>
    <cellStyle name="Normal 77 6 3 3" xfId="33904"/>
    <cellStyle name="Normal 77 6 4" xfId="33905"/>
    <cellStyle name="Normal 77 6 5" xfId="33906"/>
    <cellStyle name="Normal 77 7" xfId="33907"/>
    <cellStyle name="Normal 77 7 2" xfId="33908"/>
    <cellStyle name="Normal 77 7 3" xfId="33909"/>
    <cellStyle name="Normal 77 8" xfId="33910"/>
    <cellStyle name="Normal 77 8 2" xfId="33911"/>
    <cellStyle name="Normal 77 8 3" xfId="33912"/>
    <cellStyle name="Normal 77 9" xfId="33913"/>
    <cellStyle name="Normal 78" xfId="33914"/>
    <cellStyle name="Normal 79" xfId="33915"/>
    <cellStyle name="Normal 79 10" xfId="33916"/>
    <cellStyle name="Normal 79 2" xfId="33917"/>
    <cellStyle name="Normal 79 2 2" xfId="33918"/>
    <cellStyle name="Normal 79 2 2 2" xfId="33919"/>
    <cellStyle name="Normal 79 2 2 2 2" xfId="33920"/>
    <cellStyle name="Normal 79 2 2 2 2 2" xfId="33921"/>
    <cellStyle name="Normal 79 2 2 2 2 3" xfId="33922"/>
    <cellStyle name="Normal 79 2 2 2 3" xfId="33923"/>
    <cellStyle name="Normal 79 2 2 2 3 2" xfId="33924"/>
    <cellStyle name="Normal 79 2 2 2 3 3" xfId="33925"/>
    <cellStyle name="Normal 79 2 2 2 4" xfId="33926"/>
    <cellStyle name="Normal 79 2 2 2 5" xfId="33927"/>
    <cellStyle name="Normal 79 2 2 3" xfId="33928"/>
    <cellStyle name="Normal 79 2 2 3 2" xfId="33929"/>
    <cellStyle name="Normal 79 2 2 3 2 2" xfId="33930"/>
    <cellStyle name="Normal 79 2 2 3 2 3" xfId="33931"/>
    <cellStyle name="Normal 79 2 2 3 3" xfId="33932"/>
    <cellStyle name="Normal 79 2 2 3 3 2" xfId="33933"/>
    <cellStyle name="Normal 79 2 2 3 3 3" xfId="33934"/>
    <cellStyle name="Normal 79 2 2 3 4" xfId="33935"/>
    <cellStyle name="Normal 79 2 2 3 5" xfId="33936"/>
    <cellStyle name="Normal 79 2 2 4" xfId="33937"/>
    <cellStyle name="Normal 79 2 2 4 2" xfId="33938"/>
    <cellStyle name="Normal 79 2 2 4 3" xfId="33939"/>
    <cellStyle name="Normal 79 2 2 5" xfId="33940"/>
    <cellStyle name="Normal 79 2 2 5 2" xfId="33941"/>
    <cellStyle name="Normal 79 2 2 5 3" xfId="33942"/>
    <cellStyle name="Normal 79 2 2 6" xfId="33943"/>
    <cellStyle name="Normal 79 2 2 7" xfId="33944"/>
    <cellStyle name="Normal 79 2 3" xfId="33945"/>
    <cellStyle name="Normal 79 2 3 2" xfId="33946"/>
    <cellStyle name="Normal 79 2 3 2 2" xfId="33947"/>
    <cellStyle name="Normal 79 2 3 2 2 2" xfId="33948"/>
    <cellStyle name="Normal 79 2 3 2 2 3" xfId="33949"/>
    <cellStyle name="Normal 79 2 3 2 3" xfId="33950"/>
    <cellStyle name="Normal 79 2 3 2 3 2" xfId="33951"/>
    <cellStyle name="Normal 79 2 3 2 3 3" xfId="33952"/>
    <cellStyle name="Normal 79 2 3 2 4" xfId="33953"/>
    <cellStyle name="Normal 79 2 3 2 5" xfId="33954"/>
    <cellStyle name="Normal 79 2 3 3" xfId="33955"/>
    <cellStyle name="Normal 79 2 3 3 2" xfId="33956"/>
    <cellStyle name="Normal 79 2 3 3 2 2" xfId="33957"/>
    <cellStyle name="Normal 79 2 3 3 2 3" xfId="33958"/>
    <cellStyle name="Normal 79 2 3 3 3" xfId="33959"/>
    <cellStyle name="Normal 79 2 3 3 3 2" xfId="33960"/>
    <cellStyle name="Normal 79 2 3 3 3 3" xfId="33961"/>
    <cellStyle name="Normal 79 2 3 3 4" xfId="33962"/>
    <cellStyle name="Normal 79 2 3 3 5" xfId="33963"/>
    <cellStyle name="Normal 79 2 3 4" xfId="33964"/>
    <cellStyle name="Normal 79 2 3 4 2" xfId="33965"/>
    <cellStyle name="Normal 79 2 3 4 3" xfId="33966"/>
    <cellStyle name="Normal 79 2 3 5" xfId="33967"/>
    <cellStyle name="Normal 79 2 3 5 2" xfId="33968"/>
    <cellStyle name="Normal 79 2 3 5 3" xfId="33969"/>
    <cellStyle name="Normal 79 2 3 6" xfId="33970"/>
    <cellStyle name="Normal 79 2 3 7" xfId="33971"/>
    <cellStyle name="Normal 79 2 4" xfId="33972"/>
    <cellStyle name="Normal 79 2 4 2" xfId="33973"/>
    <cellStyle name="Normal 79 2 4 2 2" xfId="33974"/>
    <cellStyle name="Normal 79 2 4 2 3" xfId="33975"/>
    <cellStyle name="Normal 79 2 4 3" xfId="33976"/>
    <cellStyle name="Normal 79 2 4 3 2" xfId="33977"/>
    <cellStyle name="Normal 79 2 4 3 3" xfId="33978"/>
    <cellStyle name="Normal 79 2 4 4" xfId="33979"/>
    <cellStyle name="Normal 79 2 4 5" xfId="33980"/>
    <cellStyle name="Normal 79 2 5" xfId="33981"/>
    <cellStyle name="Normal 79 2 5 2" xfId="33982"/>
    <cellStyle name="Normal 79 2 5 2 2" xfId="33983"/>
    <cellStyle name="Normal 79 2 5 2 3" xfId="33984"/>
    <cellStyle name="Normal 79 2 5 3" xfId="33985"/>
    <cellStyle name="Normal 79 2 5 3 2" xfId="33986"/>
    <cellStyle name="Normal 79 2 5 3 3" xfId="33987"/>
    <cellStyle name="Normal 79 2 5 4" xfId="33988"/>
    <cellStyle name="Normal 79 2 5 5" xfId="33989"/>
    <cellStyle name="Normal 79 2 6" xfId="33990"/>
    <cellStyle name="Normal 79 2 6 2" xfId="33991"/>
    <cellStyle name="Normal 79 2 6 3" xfId="33992"/>
    <cellStyle name="Normal 79 2 7" xfId="33993"/>
    <cellStyle name="Normal 79 2 7 2" xfId="33994"/>
    <cellStyle name="Normal 79 2 7 3" xfId="33995"/>
    <cellStyle name="Normal 79 2 8" xfId="33996"/>
    <cellStyle name="Normal 79 2 9" xfId="33997"/>
    <cellStyle name="Normal 79 3" xfId="33998"/>
    <cellStyle name="Normal 79 3 2" xfId="33999"/>
    <cellStyle name="Normal 79 3 2 2" xfId="34000"/>
    <cellStyle name="Normal 79 3 2 2 2" xfId="34001"/>
    <cellStyle name="Normal 79 3 2 2 3" xfId="34002"/>
    <cellStyle name="Normal 79 3 2 3" xfId="34003"/>
    <cellStyle name="Normal 79 3 2 3 2" xfId="34004"/>
    <cellStyle name="Normal 79 3 2 3 3" xfId="34005"/>
    <cellStyle name="Normal 79 3 2 4" xfId="34006"/>
    <cellStyle name="Normal 79 3 2 5" xfId="34007"/>
    <cellStyle name="Normal 79 3 3" xfId="34008"/>
    <cellStyle name="Normal 79 3 3 2" xfId="34009"/>
    <cellStyle name="Normal 79 3 3 2 2" xfId="34010"/>
    <cellStyle name="Normal 79 3 3 2 3" xfId="34011"/>
    <cellStyle name="Normal 79 3 3 3" xfId="34012"/>
    <cellStyle name="Normal 79 3 3 3 2" xfId="34013"/>
    <cellStyle name="Normal 79 3 3 3 3" xfId="34014"/>
    <cellStyle name="Normal 79 3 3 4" xfId="34015"/>
    <cellStyle name="Normal 79 3 3 5" xfId="34016"/>
    <cellStyle name="Normal 79 3 4" xfId="34017"/>
    <cellStyle name="Normal 79 3 4 2" xfId="34018"/>
    <cellStyle name="Normal 79 3 4 3" xfId="34019"/>
    <cellStyle name="Normal 79 3 5" xfId="34020"/>
    <cellStyle name="Normal 79 3 5 2" xfId="34021"/>
    <cellStyle name="Normal 79 3 5 3" xfId="34022"/>
    <cellStyle name="Normal 79 3 6" xfId="34023"/>
    <cellStyle name="Normal 79 3 7" xfId="34024"/>
    <cellStyle name="Normal 79 4" xfId="34025"/>
    <cellStyle name="Normal 79 4 2" xfId="34026"/>
    <cellStyle name="Normal 79 4 2 2" xfId="34027"/>
    <cellStyle name="Normal 79 4 2 2 2" xfId="34028"/>
    <cellStyle name="Normal 79 4 2 2 3" xfId="34029"/>
    <cellStyle name="Normal 79 4 2 3" xfId="34030"/>
    <cellStyle name="Normal 79 4 2 3 2" xfId="34031"/>
    <cellStyle name="Normal 79 4 2 3 3" xfId="34032"/>
    <cellStyle name="Normal 79 4 2 4" xfId="34033"/>
    <cellStyle name="Normal 79 4 2 5" xfId="34034"/>
    <cellStyle name="Normal 79 4 3" xfId="34035"/>
    <cellStyle name="Normal 79 4 3 2" xfId="34036"/>
    <cellStyle name="Normal 79 4 3 2 2" xfId="34037"/>
    <cellStyle name="Normal 79 4 3 2 3" xfId="34038"/>
    <cellStyle name="Normal 79 4 3 3" xfId="34039"/>
    <cellStyle name="Normal 79 4 3 3 2" xfId="34040"/>
    <cellStyle name="Normal 79 4 3 3 3" xfId="34041"/>
    <cellStyle name="Normal 79 4 3 4" xfId="34042"/>
    <cellStyle name="Normal 79 4 3 5" xfId="34043"/>
    <cellStyle name="Normal 79 4 4" xfId="34044"/>
    <cellStyle name="Normal 79 4 4 2" xfId="34045"/>
    <cellStyle name="Normal 79 4 4 3" xfId="34046"/>
    <cellStyle name="Normal 79 4 5" xfId="34047"/>
    <cellStyle name="Normal 79 4 5 2" xfId="34048"/>
    <cellStyle name="Normal 79 4 5 3" xfId="34049"/>
    <cellStyle name="Normal 79 4 6" xfId="34050"/>
    <cellStyle name="Normal 79 4 7" xfId="34051"/>
    <cellStyle name="Normal 79 5" xfId="34052"/>
    <cellStyle name="Normal 79 5 2" xfId="34053"/>
    <cellStyle name="Normal 79 5 2 2" xfId="34054"/>
    <cellStyle name="Normal 79 5 2 3" xfId="34055"/>
    <cellStyle name="Normal 79 5 3" xfId="34056"/>
    <cellStyle name="Normal 79 5 3 2" xfId="34057"/>
    <cellStyle name="Normal 79 5 3 3" xfId="34058"/>
    <cellStyle name="Normal 79 5 4" xfId="34059"/>
    <cellStyle name="Normal 79 5 5" xfId="34060"/>
    <cellStyle name="Normal 79 6" xfId="34061"/>
    <cellStyle name="Normal 79 6 2" xfId="34062"/>
    <cellStyle name="Normal 79 6 2 2" xfId="34063"/>
    <cellStyle name="Normal 79 6 2 3" xfId="34064"/>
    <cellStyle name="Normal 79 6 3" xfId="34065"/>
    <cellStyle name="Normal 79 6 3 2" xfId="34066"/>
    <cellStyle name="Normal 79 6 3 3" xfId="34067"/>
    <cellStyle name="Normal 79 6 4" xfId="34068"/>
    <cellStyle name="Normal 79 6 5" xfId="34069"/>
    <cellStyle name="Normal 79 7" xfId="34070"/>
    <cellStyle name="Normal 79 7 2" xfId="34071"/>
    <cellStyle name="Normal 79 7 3" xfId="34072"/>
    <cellStyle name="Normal 79 8" xfId="34073"/>
    <cellStyle name="Normal 79 8 2" xfId="34074"/>
    <cellStyle name="Normal 79 8 3" xfId="34075"/>
    <cellStyle name="Normal 79 9" xfId="34076"/>
    <cellStyle name="Normal 8" xfId="34077"/>
    <cellStyle name="Normal 8 10" xfId="34078"/>
    <cellStyle name="Normal 8 11" xfId="34079"/>
    <cellStyle name="Normal 8 12" xfId="34080"/>
    <cellStyle name="Normal 8 13" xfId="34081"/>
    <cellStyle name="Normal 8 14" xfId="34082"/>
    <cellStyle name="Normal 8 15" xfId="34083"/>
    <cellStyle name="Normal 8 16" xfId="34084"/>
    <cellStyle name="Normal 8 17" xfId="34085"/>
    <cellStyle name="Normal 8 18" xfId="34086"/>
    <cellStyle name="Normal 8 19" xfId="34087"/>
    <cellStyle name="Normal 8 2" xfId="34088"/>
    <cellStyle name="Normal 8 2 2" xfId="34089"/>
    <cellStyle name="Normal 8 2 2 10" xfId="34090"/>
    <cellStyle name="Normal 8 2 2 2" xfId="34091"/>
    <cellStyle name="Normal 8 2 2 2 2" xfId="34092"/>
    <cellStyle name="Normal 8 2 2 2 2 2" xfId="34093"/>
    <cellStyle name="Normal 8 2 2 2 2 2 2" xfId="34094"/>
    <cellStyle name="Normal 8 2 2 2 2 2 2 2" xfId="34095"/>
    <cellStyle name="Normal 8 2 2 2 2 2 2 3" xfId="34096"/>
    <cellStyle name="Normal 8 2 2 2 2 2 3" xfId="34097"/>
    <cellStyle name="Normal 8 2 2 2 2 2 3 2" xfId="34098"/>
    <cellStyle name="Normal 8 2 2 2 2 2 3 3" xfId="34099"/>
    <cellStyle name="Normal 8 2 2 2 2 2 4" xfId="34100"/>
    <cellStyle name="Normal 8 2 2 2 2 2 5" xfId="34101"/>
    <cellStyle name="Normal 8 2 2 2 2 3" xfId="34102"/>
    <cellStyle name="Normal 8 2 2 2 2 3 2" xfId="34103"/>
    <cellStyle name="Normal 8 2 2 2 2 3 2 2" xfId="34104"/>
    <cellStyle name="Normal 8 2 2 2 2 3 2 3" xfId="34105"/>
    <cellStyle name="Normal 8 2 2 2 2 3 3" xfId="34106"/>
    <cellStyle name="Normal 8 2 2 2 2 3 3 2" xfId="34107"/>
    <cellStyle name="Normal 8 2 2 2 2 3 3 3" xfId="34108"/>
    <cellStyle name="Normal 8 2 2 2 2 3 4" xfId="34109"/>
    <cellStyle name="Normal 8 2 2 2 2 3 5" xfId="34110"/>
    <cellStyle name="Normal 8 2 2 2 2 4" xfId="34111"/>
    <cellStyle name="Normal 8 2 2 2 2 4 2" xfId="34112"/>
    <cellStyle name="Normal 8 2 2 2 2 4 3" xfId="34113"/>
    <cellStyle name="Normal 8 2 2 2 2 5" xfId="34114"/>
    <cellStyle name="Normal 8 2 2 2 2 5 2" xfId="34115"/>
    <cellStyle name="Normal 8 2 2 2 2 5 3" xfId="34116"/>
    <cellStyle name="Normal 8 2 2 2 2 6" xfId="34117"/>
    <cellStyle name="Normal 8 2 2 2 2 7" xfId="34118"/>
    <cellStyle name="Normal 8 2 2 2 3" xfId="34119"/>
    <cellStyle name="Normal 8 2 2 2 3 2" xfId="34120"/>
    <cellStyle name="Normal 8 2 2 2 3 2 2" xfId="34121"/>
    <cellStyle name="Normal 8 2 2 2 3 2 2 2" xfId="34122"/>
    <cellStyle name="Normal 8 2 2 2 3 2 2 3" xfId="34123"/>
    <cellStyle name="Normal 8 2 2 2 3 2 3" xfId="34124"/>
    <cellStyle name="Normal 8 2 2 2 3 2 3 2" xfId="34125"/>
    <cellStyle name="Normal 8 2 2 2 3 2 3 3" xfId="34126"/>
    <cellStyle name="Normal 8 2 2 2 3 2 4" xfId="34127"/>
    <cellStyle name="Normal 8 2 2 2 3 2 5" xfId="34128"/>
    <cellStyle name="Normal 8 2 2 2 3 3" xfId="34129"/>
    <cellStyle name="Normal 8 2 2 2 3 3 2" xfId="34130"/>
    <cellStyle name="Normal 8 2 2 2 3 3 2 2" xfId="34131"/>
    <cellStyle name="Normal 8 2 2 2 3 3 2 3" xfId="34132"/>
    <cellStyle name="Normal 8 2 2 2 3 3 3" xfId="34133"/>
    <cellStyle name="Normal 8 2 2 2 3 3 3 2" xfId="34134"/>
    <cellStyle name="Normal 8 2 2 2 3 3 3 3" xfId="34135"/>
    <cellStyle name="Normal 8 2 2 2 3 3 4" xfId="34136"/>
    <cellStyle name="Normal 8 2 2 2 3 3 5" xfId="34137"/>
    <cellStyle name="Normal 8 2 2 2 3 4" xfId="34138"/>
    <cellStyle name="Normal 8 2 2 2 3 4 2" xfId="34139"/>
    <cellStyle name="Normal 8 2 2 2 3 4 3" xfId="34140"/>
    <cellStyle name="Normal 8 2 2 2 3 5" xfId="34141"/>
    <cellStyle name="Normal 8 2 2 2 3 5 2" xfId="34142"/>
    <cellStyle name="Normal 8 2 2 2 3 5 3" xfId="34143"/>
    <cellStyle name="Normal 8 2 2 2 3 6" xfId="34144"/>
    <cellStyle name="Normal 8 2 2 2 3 7" xfId="34145"/>
    <cellStyle name="Normal 8 2 2 2 4" xfId="34146"/>
    <cellStyle name="Normal 8 2 2 2 4 2" xfId="34147"/>
    <cellStyle name="Normal 8 2 2 2 4 2 2" xfId="34148"/>
    <cellStyle name="Normal 8 2 2 2 4 2 3" xfId="34149"/>
    <cellStyle name="Normal 8 2 2 2 4 3" xfId="34150"/>
    <cellStyle name="Normal 8 2 2 2 4 3 2" xfId="34151"/>
    <cellStyle name="Normal 8 2 2 2 4 3 3" xfId="34152"/>
    <cellStyle name="Normal 8 2 2 2 4 4" xfId="34153"/>
    <cellStyle name="Normal 8 2 2 2 4 5" xfId="34154"/>
    <cellStyle name="Normal 8 2 2 2 5" xfId="34155"/>
    <cellStyle name="Normal 8 2 2 2 5 2" xfId="34156"/>
    <cellStyle name="Normal 8 2 2 2 5 2 2" xfId="34157"/>
    <cellStyle name="Normal 8 2 2 2 5 2 3" xfId="34158"/>
    <cellStyle name="Normal 8 2 2 2 5 3" xfId="34159"/>
    <cellStyle name="Normal 8 2 2 2 5 3 2" xfId="34160"/>
    <cellStyle name="Normal 8 2 2 2 5 3 3" xfId="34161"/>
    <cellStyle name="Normal 8 2 2 2 5 4" xfId="34162"/>
    <cellStyle name="Normal 8 2 2 2 5 5" xfId="34163"/>
    <cellStyle name="Normal 8 2 2 2 6" xfId="34164"/>
    <cellStyle name="Normal 8 2 2 2 6 2" xfId="34165"/>
    <cellStyle name="Normal 8 2 2 2 6 3" xfId="34166"/>
    <cellStyle name="Normal 8 2 2 2 7" xfId="34167"/>
    <cellStyle name="Normal 8 2 2 2 7 2" xfId="34168"/>
    <cellStyle name="Normal 8 2 2 2 7 3" xfId="34169"/>
    <cellStyle name="Normal 8 2 2 2 8" xfId="34170"/>
    <cellStyle name="Normal 8 2 2 2 9" xfId="34171"/>
    <cellStyle name="Normal 8 2 2 3" xfId="34172"/>
    <cellStyle name="Normal 8 2 2 3 2" xfId="34173"/>
    <cellStyle name="Normal 8 2 2 3 2 2" xfId="34174"/>
    <cellStyle name="Normal 8 2 2 3 2 2 2" xfId="34175"/>
    <cellStyle name="Normal 8 2 2 3 2 2 3" xfId="34176"/>
    <cellStyle name="Normal 8 2 2 3 2 3" xfId="34177"/>
    <cellStyle name="Normal 8 2 2 3 2 3 2" xfId="34178"/>
    <cellStyle name="Normal 8 2 2 3 2 3 3" xfId="34179"/>
    <cellStyle name="Normal 8 2 2 3 2 4" xfId="34180"/>
    <cellStyle name="Normal 8 2 2 3 2 5" xfId="34181"/>
    <cellStyle name="Normal 8 2 2 3 3" xfId="34182"/>
    <cellStyle name="Normal 8 2 2 3 3 2" xfId="34183"/>
    <cellStyle name="Normal 8 2 2 3 3 2 2" xfId="34184"/>
    <cellStyle name="Normal 8 2 2 3 3 2 3" xfId="34185"/>
    <cellStyle name="Normal 8 2 2 3 3 3" xfId="34186"/>
    <cellStyle name="Normal 8 2 2 3 3 3 2" xfId="34187"/>
    <cellStyle name="Normal 8 2 2 3 3 3 3" xfId="34188"/>
    <cellStyle name="Normal 8 2 2 3 3 4" xfId="34189"/>
    <cellStyle name="Normal 8 2 2 3 3 5" xfId="34190"/>
    <cellStyle name="Normal 8 2 2 3 4" xfId="34191"/>
    <cellStyle name="Normal 8 2 2 3 4 2" xfId="34192"/>
    <cellStyle name="Normal 8 2 2 3 4 3" xfId="34193"/>
    <cellStyle name="Normal 8 2 2 3 5" xfId="34194"/>
    <cellStyle name="Normal 8 2 2 3 5 2" xfId="34195"/>
    <cellStyle name="Normal 8 2 2 3 5 3" xfId="34196"/>
    <cellStyle name="Normal 8 2 2 3 6" xfId="34197"/>
    <cellStyle name="Normal 8 2 2 3 7" xfId="34198"/>
    <cellStyle name="Normal 8 2 2 4" xfId="34199"/>
    <cellStyle name="Normal 8 2 2 4 2" xfId="34200"/>
    <cellStyle name="Normal 8 2 2 4 2 2" xfId="34201"/>
    <cellStyle name="Normal 8 2 2 4 2 2 2" xfId="34202"/>
    <cellStyle name="Normal 8 2 2 4 2 2 3" xfId="34203"/>
    <cellStyle name="Normal 8 2 2 4 2 3" xfId="34204"/>
    <cellStyle name="Normal 8 2 2 4 2 3 2" xfId="34205"/>
    <cellStyle name="Normal 8 2 2 4 2 3 3" xfId="34206"/>
    <cellStyle name="Normal 8 2 2 4 2 4" xfId="34207"/>
    <cellStyle name="Normal 8 2 2 4 2 5" xfId="34208"/>
    <cellStyle name="Normal 8 2 2 4 3" xfId="34209"/>
    <cellStyle name="Normal 8 2 2 4 3 2" xfId="34210"/>
    <cellStyle name="Normal 8 2 2 4 3 2 2" xfId="34211"/>
    <cellStyle name="Normal 8 2 2 4 3 2 3" xfId="34212"/>
    <cellStyle name="Normal 8 2 2 4 3 3" xfId="34213"/>
    <cellStyle name="Normal 8 2 2 4 3 3 2" xfId="34214"/>
    <cellStyle name="Normal 8 2 2 4 3 3 3" xfId="34215"/>
    <cellStyle name="Normal 8 2 2 4 3 4" xfId="34216"/>
    <cellStyle name="Normal 8 2 2 4 3 5" xfId="34217"/>
    <cellStyle name="Normal 8 2 2 4 4" xfId="34218"/>
    <cellStyle name="Normal 8 2 2 4 4 2" xfId="34219"/>
    <cellStyle name="Normal 8 2 2 4 4 3" xfId="34220"/>
    <cellStyle name="Normal 8 2 2 4 5" xfId="34221"/>
    <cellStyle name="Normal 8 2 2 4 5 2" xfId="34222"/>
    <cellStyle name="Normal 8 2 2 4 5 3" xfId="34223"/>
    <cellStyle name="Normal 8 2 2 4 6" xfId="34224"/>
    <cellStyle name="Normal 8 2 2 4 7" xfId="34225"/>
    <cellStyle name="Normal 8 2 2 5" xfId="34226"/>
    <cellStyle name="Normal 8 2 2 5 2" xfId="34227"/>
    <cellStyle name="Normal 8 2 2 5 2 2" xfId="34228"/>
    <cellStyle name="Normal 8 2 2 5 2 3" xfId="34229"/>
    <cellStyle name="Normal 8 2 2 5 3" xfId="34230"/>
    <cellStyle name="Normal 8 2 2 5 3 2" xfId="34231"/>
    <cellStyle name="Normal 8 2 2 5 3 3" xfId="34232"/>
    <cellStyle name="Normal 8 2 2 5 4" xfId="34233"/>
    <cellStyle name="Normal 8 2 2 5 5" xfId="34234"/>
    <cellStyle name="Normal 8 2 2 6" xfId="34235"/>
    <cellStyle name="Normal 8 2 2 6 2" xfId="34236"/>
    <cellStyle name="Normal 8 2 2 6 2 2" xfId="34237"/>
    <cellStyle name="Normal 8 2 2 6 2 3" xfId="34238"/>
    <cellStyle name="Normal 8 2 2 6 3" xfId="34239"/>
    <cellStyle name="Normal 8 2 2 6 3 2" xfId="34240"/>
    <cellStyle name="Normal 8 2 2 6 3 3" xfId="34241"/>
    <cellStyle name="Normal 8 2 2 6 4" xfId="34242"/>
    <cellStyle name="Normal 8 2 2 6 5" xfId="34243"/>
    <cellStyle name="Normal 8 2 2 7" xfId="34244"/>
    <cellStyle name="Normal 8 2 2 7 2" xfId="34245"/>
    <cellStyle name="Normal 8 2 2 7 3" xfId="34246"/>
    <cellStyle name="Normal 8 2 2 8" xfId="34247"/>
    <cellStyle name="Normal 8 2 2 8 2" xfId="34248"/>
    <cellStyle name="Normal 8 2 2 8 3" xfId="34249"/>
    <cellStyle name="Normal 8 2 2 9" xfId="34250"/>
    <cellStyle name="Normal 8 2 3" xfId="34251"/>
    <cellStyle name="Normal 8 2 3 2" xfId="34252"/>
    <cellStyle name="Normal 8 2 3 2 2" xfId="34253"/>
    <cellStyle name="Normal 8 2 3 2 2 2" xfId="34254"/>
    <cellStyle name="Normal 8 2 3 2 2 2 2" xfId="34255"/>
    <cellStyle name="Normal 8 2 3 2 2 2 3" xfId="34256"/>
    <cellStyle name="Normal 8 2 3 2 2 3" xfId="34257"/>
    <cellStyle name="Normal 8 2 3 2 2 3 2" xfId="34258"/>
    <cellStyle name="Normal 8 2 3 2 2 3 3" xfId="34259"/>
    <cellStyle name="Normal 8 2 3 2 2 4" xfId="34260"/>
    <cellStyle name="Normal 8 2 3 2 2 5" xfId="34261"/>
    <cellStyle name="Normal 8 2 3 2 3" xfId="34262"/>
    <cellStyle name="Normal 8 2 3 2 3 2" xfId="34263"/>
    <cellStyle name="Normal 8 2 3 2 3 2 2" xfId="34264"/>
    <cellStyle name="Normal 8 2 3 2 3 2 3" xfId="34265"/>
    <cellStyle name="Normal 8 2 3 2 3 3" xfId="34266"/>
    <cellStyle name="Normal 8 2 3 2 3 3 2" xfId="34267"/>
    <cellStyle name="Normal 8 2 3 2 3 3 3" xfId="34268"/>
    <cellStyle name="Normal 8 2 3 2 3 4" xfId="34269"/>
    <cellStyle name="Normal 8 2 3 2 3 5" xfId="34270"/>
    <cellStyle name="Normal 8 2 3 2 4" xfId="34271"/>
    <cellStyle name="Normal 8 2 3 2 4 2" xfId="34272"/>
    <cellStyle name="Normal 8 2 3 2 4 3" xfId="34273"/>
    <cellStyle name="Normal 8 2 3 2 5" xfId="34274"/>
    <cellStyle name="Normal 8 2 3 2 5 2" xfId="34275"/>
    <cellStyle name="Normal 8 2 3 2 5 3" xfId="34276"/>
    <cellStyle name="Normal 8 2 3 2 6" xfId="34277"/>
    <cellStyle name="Normal 8 2 3 2 7" xfId="34278"/>
    <cellStyle name="Normal 8 2 3 3" xfId="34279"/>
    <cellStyle name="Normal 8 2 3 3 2" xfId="34280"/>
    <cellStyle name="Normal 8 2 3 3 2 2" xfId="34281"/>
    <cellStyle name="Normal 8 2 3 3 2 2 2" xfId="34282"/>
    <cellStyle name="Normal 8 2 3 3 2 2 3" xfId="34283"/>
    <cellStyle name="Normal 8 2 3 3 2 3" xfId="34284"/>
    <cellStyle name="Normal 8 2 3 3 2 3 2" xfId="34285"/>
    <cellStyle name="Normal 8 2 3 3 2 3 3" xfId="34286"/>
    <cellStyle name="Normal 8 2 3 3 2 4" xfId="34287"/>
    <cellStyle name="Normal 8 2 3 3 2 5" xfId="34288"/>
    <cellStyle name="Normal 8 2 3 3 3" xfId="34289"/>
    <cellStyle name="Normal 8 2 3 3 3 2" xfId="34290"/>
    <cellStyle name="Normal 8 2 3 3 3 2 2" xfId="34291"/>
    <cellStyle name="Normal 8 2 3 3 3 2 3" xfId="34292"/>
    <cellStyle name="Normal 8 2 3 3 3 3" xfId="34293"/>
    <cellStyle name="Normal 8 2 3 3 3 3 2" xfId="34294"/>
    <cellStyle name="Normal 8 2 3 3 3 3 3" xfId="34295"/>
    <cellStyle name="Normal 8 2 3 3 3 4" xfId="34296"/>
    <cellStyle name="Normal 8 2 3 3 3 5" xfId="34297"/>
    <cellStyle name="Normal 8 2 3 3 4" xfId="34298"/>
    <cellStyle name="Normal 8 2 3 3 4 2" xfId="34299"/>
    <cellStyle name="Normal 8 2 3 3 4 3" xfId="34300"/>
    <cellStyle name="Normal 8 2 3 3 5" xfId="34301"/>
    <cellStyle name="Normal 8 2 3 3 5 2" xfId="34302"/>
    <cellStyle name="Normal 8 2 3 3 5 3" xfId="34303"/>
    <cellStyle name="Normal 8 2 3 3 6" xfId="34304"/>
    <cellStyle name="Normal 8 2 3 3 7" xfId="34305"/>
    <cellStyle name="Normal 8 2 3 4" xfId="34306"/>
    <cellStyle name="Normal 8 2 3 4 2" xfId="34307"/>
    <cellStyle name="Normal 8 2 3 4 2 2" xfId="34308"/>
    <cellStyle name="Normal 8 2 3 4 2 3" xfId="34309"/>
    <cellStyle name="Normal 8 2 3 4 3" xfId="34310"/>
    <cellStyle name="Normal 8 2 3 4 3 2" xfId="34311"/>
    <cellStyle name="Normal 8 2 3 4 3 3" xfId="34312"/>
    <cellStyle name="Normal 8 2 3 4 4" xfId="34313"/>
    <cellStyle name="Normal 8 2 3 4 5" xfId="34314"/>
    <cellStyle name="Normal 8 2 3 5" xfId="34315"/>
    <cellStyle name="Normal 8 2 3 5 2" xfId="34316"/>
    <cellStyle name="Normal 8 2 3 5 2 2" xfId="34317"/>
    <cellStyle name="Normal 8 2 3 5 2 3" xfId="34318"/>
    <cellStyle name="Normal 8 2 3 5 3" xfId="34319"/>
    <cellStyle name="Normal 8 2 3 5 3 2" xfId="34320"/>
    <cellStyle name="Normal 8 2 3 5 3 3" xfId="34321"/>
    <cellStyle name="Normal 8 2 3 5 4" xfId="34322"/>
    <cellStyle name="Normal 8 2 3 5 5" xfId="34323"/>
    <cellStyle name="Normal 8 2 3 6" xfId="34324"/>
    <cellStyle name="Normal 8 2 3 6 2" xfId="34325"/>
    <cellStyle name="Normal 8 2 3 6 3" xfId="34326"/>
    <cellStyle name="Normal 8 2 3 7" xfId="34327"/>
    <cellStyle name="Normal 8 2 3 7 2" xfId="34328"/>
    <cellStyle name="Normal 8 2 3 7 3" xfId="34329"/>
    <cellStyle name="Normal 8 2 3 8" xfId="34330"/>
    <cellStyle name="Normal 8 2 3 9" xfId="34331"/>
    <cellStyle name="Normal 8 20" xfId="34332"/>
    <cellStyle name="Normal 8 21" xfId="34333"/>
    <cellStyle name="Normal 8 22" xfId="34334"/>
    <cellStyle name="Normal 8 23" xfId="34335"/>
    <cellStyle name="Normal 8 24" xfId="34336"/>
    <cellStyle name="Normal 8 25" xfId="34337"/>
    <cellStyle name="Normal 8 26" xfId="34338"/>
    <cellStyle name="Normal 8 27" xfId="34339"/>
    <cellStyle name="Normal 8 28" xfId="34340"/>
    <cellStyle name="Normal 8 29" xfId="34341"/>
    <cellStyle name="Normal 8 3" xfId="34342"/>
    <cellStyle name="Normal 8 3 10" xfId="34343"/>
    <cellStyle name="Normal 8 3 11" xfId="34344"/>
    <cellStyle name="Normal 8 3 2" xfId="34345"/>
    <cellStyle name="Normal 8 3 2 2" xfId="34346"/>
    <cellStyle name="Normal 8 3 2 2 2" xfId="34347"/>
    <cellStyle name="Normal 8 3 2 2 2 2" xfId="34348"/>
    <cellStyle name="Normal 8 3 2 2 2 2 2" xfId="34349"/>
    <cellStyle name="Normal 8 3 2 2 2 2 3" xfId="34350"/>
    <cellStyle name="Normal 8 3 2 2 2 3" xfId="34351"/>
    <cellStyle name="Normal 8 3 2 2 2 3 2" xfId="34352"/>
    <cellStyle name="Normal 8 3 2 2 2 3 3" xfId="34353"/>
    <cellStyle name="Normal 8 3 2 2 2 4" xfId="34354"/>
    <cellStyle name="Normal 8 3 2 2 2 5" xfId="34355"/>
    <cellStyle name="Normal 8 3 2 2 3" xfId="34356"/>
    <cellStyle name="Normal 8 3 2 2 3 2" xfId="34357"/>
    <cellStyle name="Normal 8 3 2 2 3 2 2" xfId="34358"/>
    <cellStyle name="Normal 8 3 2 2 3 2 3" xfId="34359"/>
    <cellStyle name="Normal 8 3 2 2 3 3" xfId="34360"/>
    <cellStyle name="Normal 8 3 2 2 3 3 2" xfId="34361"/>
    <cellStyle name="Normal 8 3 2 2 3 3 3" xfId="34362"/>
    <cellStyle name="Normal 8 3 2 2 3 4" xfId="34363"/>
    <cellStyle name="Normal 8 3 2 2 3 5" xfId="34364"/>
    <cellStyle name="Normal 8 3 2 2 4" xfId="34365"/>
    <cellStyle name="Normal 8 3 2 2 4 2" xfId="34366"/>
    <cellStyle name="Normal 8 3 2 2 4 3" xfId="34367"/>
    <cellStyle name="Normal 8 3 2 2 5" xfId="34368"/>
    <cellStyle name="Normal 8 3 2 2 5 2" xfId="34369"/>
    <cellStyle name="Normal 8 3 2 2 5 3" xfId="34370"/>
    <cellStyle name="Normal 8 3 2 2 6" xfId="34371"/>
    <cellStyle name="Normal 8 3 2 2 7" xfId="34372"/>
    <cellStyle name="Normal 8 3 2 3" xfId="34373"/>
    <cellStyle name="Normal 8 3 2 3 2" xfId="34374"/>
    <cellStyle name="Normal 8 3 2 3 2 2" xfId="34375"/>
    <cellStyle name="Normal 8 3 2 3 2 2 2" xfId="34376"/>
    <cellStyle name="Normal 8 3 2 3 2 2 3" xfId="34377"/>
    <cellStyle name="Normal 8 3 2 3 2 3" xfId="34378"/>
    <cellStyle name="Normal 8 3 2 3 2 3 2" xfId="34379"/>
    <cellStyle name="Normal 8 3 2 3 2 3 3" xfId="34380"/>
    <cellStyle name="Normal 8 3 2 3 2 4" xfId="34381"/>
    <cellStyle name="Normal 8 3 2 3 2 5" xfId="34382"/>
    <cellStyle name="Normal 8 3 2 3 3" xfId="34383"/>
    <cellStyle name="Normal 8 3 2 3 3 2" xfId="34384"/>
    <cellStyle name="Normal 8 3 2 3 3 2 2" xfId="34385"/>
    <cellStyle name="Normal 8 3 2 3 3 2 3" xfId="34386"/>
    <cellStyle name="Normal 8 3 2 3 3 3" xfId="34387"/>
    <cellStyle name="Normal 8 3 2 3 3 3 2" xfId="34388"/>
    <cellStyle name="Normal 8 3 2 3 3 3 3" xfId="34389"/>
    <cellStyle name="Normal 8 3 2 3 3 4" xfId="34390"/>
    <cellStyle name="Normal 8 3 2 3 3 5" xfId="34391"/>
    <cellStyle name="Normal 8 3 2 3 4" xfId="34392"/>
    <cellStyle name="Normal 8 3 2 3 4 2" xfId="34393"/>
    <cellStyle name="Normal 8 3 2 3 4 3" xfId="34394"/>
    <cellStyle name="Normal 8 3 2 3 5" xfId="34395"/>
    <cellStyle name="Normal 8 3 2 3 5 2" xfId="34396"/>
    <cellStyle name="Normal 8 3 2 3 5 3" xfId="34397"/>
    <cellStyle name="Normal 8 3 2 3 6" xfId="34398"/>
    <cellStyle name="Normal 8 3 2 3 7" xfId="34399"/>
    <cellStyle name="Normal 8 3 2 4" xfId="34400"/>
    <cellStyle name="Normal 8 3 2 4 2" xfId="34401"/>
    <cellStyle name="Normal 8 3 2 4 2 2" xfId="34402"/>
    <cellStyle name="Normal 8 3 2 4 2 3" xfId="34403"/>
    <cellStyle name="Normal 8 3 2 4 3" xfId="34404"/>
    <cellStyle name="Normal 8 3 2 4 3 2" xfId="34405"/>
    <cellStyle name="Normal 8 3 2 4 3 3" xfId="34406"/>
    <cellStyle name="Normal 8 3 2 4 4" xfId="34407"/>
    <cellStyle name="Normal 8 3 2 4 5" xfId="34408"/>
    <cellStyle name="Normal 8 3 2 5" xfId="34409"/>
    <cellStyle name="Normal 8 3 2 5 2" xfId="34410"/>
    <cellStyle name="Normal 8 3 2 5 2 2" xfId="34411"/>
    <cellStyle name="Normal 8 3 2 5 2 3" xfId="34412"/>
    <cellStyle name="Normal 8 3 2 5 3" xfId="34413"/>
    <cellStyle name="Normal 8 3 2 5 3 2" xfId="34414"/>
    <cellStyle name="Normal 8 3 2 5 3 3" xfId="34415"/>
    <cellStyle name="Normal 8 3 2 5 4" xfId="34416"/>
    <cellStyle name="Normal 8 3 2 5 5" xfId="34417"/>
    <cellStyle name="Normal 8 3 2 6" xfId="34418"/>
    <cellStyle name="Normal 8 3 2 6 2" xfId="34419"/>
    <cellStyle name="Normal 8 3 2 6 3" xfId="34420"/>
    <cellStyle name="Normal 8 3 2 7" xfId="34421"/>
    <cellStyle name="Normal 8 3 2 7 2" xfId="34422"/>
    <cellStyle name="Normal 8 3 2 7 3" xfId="34423"/>
    <cellStyle name="Normal 8 3 2 8" xfId="34424"/>
    <cellStyle name="Normal 8 3 2 9" xfId="34425"/>
    <cellStyle name="Normal 8 3 3" xfId="34426"/>
    <cellStyle name="Normal 8 3 3 2" xfId="34427"/>
    <cellStyle name="Normal 8 3 3 2 2" xfId="34428"/>
    <cellStyle name="Normal 8 3 3 2 2 2" xfId="34429"/>
    <cellStyle name="Normal 8 3 3 2 2 2 2" xfId="34430"/>
    <cellStyle name="Normal 8 3 3 2 2 2 3" xfId="34431"/>
    <cellStyle name="Normal 8 3 3 2 2 3" xfId="34432"/>
    <cellStyle name="Normal 8 3 3 2 2 3 2" xfId="34433"/>
    <cellStyle name="Normal 8 3 3 2 2 3 3" xfId="34434"/>
    <cellStyle name="Normal 8 3 3 2 2 4" xfId="34435"/>
    <cellStyle name="Normal 8 3 3 2 2 5" xfId="34436"/>
    <cellStyle name="Normal 8 3 3 2 3" xfId="34437"/>
    <cellStyle name="Normal 8 3 3 2 3 2" xfId="34438"/>
    <cellStyle name="Normal 8 3 3 2 3 2 2" xfId="34439"/>
    <cellStyle name="Normal 8 3 3 2 3 2 3" xfId="34440"/>
    <cellStyle name="Normal 8 3 3 2 3 3" xfId="34441"/>
    <cellStyle name="Normal 8 3 3 2 3 3 2" xfId="34442"/>
    <cellStyle name="Normal 8 3 3 2 3 3 3" xfId="34443"/>
    <cellStyle name="Normal 8 3 3 2 3 4" xfId="34444"/>
    <cellStyle name="Normal 8 3 3 2 3 5" xfId="34445"/>
    <cellStyle name="Normal 8 3 3 2 4" xfId="34446"/>
    <cellStyle name="Normal 8 3 3 2 4 2" xfId="34447"/>
    <cellStyle name="Normal 8 3 3 2 4 3" xfId="34448"/>
    <cellStyle name="Normal 8 3 3 2 5" xfId="34449"/>
    <cellStyle name="Normal 8 3 3 2 5 2" xfId="34450"/>
    <cellStyle name="Normal 8 3 3 2 5 3" xfId="34451"/>
    <cellStyle name="Normal 8 3 3 2 6" xfId="34452"/>
    <cellStyle name="Normal 8 3 3 2 7" xfId="34453"/>
    <cellStyle name="Normal 8 3 3 3" xfId="34454"/>
    <cellStyle name="Normal 8 3 3 3 2" xfId="34455"/>
    <cellStyle name="Normal 8 3 3 3 2 2" xfId="34456"/>
    <cellStyle name="Normal 8 3 3 3 2 2 2" xfId="34457"/>
    <cellStyle name="Normal 8 3 3 3 2 2 3" xfId="34458"/>
    <cellStyle name="Normal 8 3 3 3 2 3" xfId="34459"/>
    <cellStyle name="Normal 8 3 3 3 2 3 2" xfId="34460"/>
    <cellStyle name="Normal 8 3 3 3 2 3 3" xfId="34461"/>
    <cellStyle name="Normal 8 3 3 3 2 4" xfId="34462"/>
    <cellStyle name="Normal 8 3 3 3 2 5" xfId="34463"/>
    <cellStyle name="Normal 8 3 3 3 3" xfId="34464"/>
    <cellStyle name="Normal 8 3 3 3 3 2" xfId="34465"/>
    <cellStyle name="Normal 8 3 3 3 3 2 2" xfId="34466"/>
    <cellStyle name="Normal 8 3 3 3 3 2 3" xfId="34467"/>
    <cellStyle name="Normal 8 3 3 3 3 3" xfId="34468"/>
    <cellStyle name="Normal 8 3 3 3 3 3 2" xfId="34469"/>
    <cellStyle name="Normal 8 3 3 3 3 3 3" xfId="34470"/>
    <cellStyle name="Normal 8 3 3 3 3 4" xfId="34471"/>
    <cellStyle name="Normal 8 3 3 3 3 5" xfId="34472"/>
    <cellStyle name="Normal 8 3 3 3 4" xfId="34473"/>
    <cellStyle name="Normal 8 3 3 3 4 2" xfId="34474"/>
    <cellStyle name="Normal 8 3 3 3 4 3" xfId="34475"/>
    <cellStyle name="Normal 8 3 3 3 5" xfId="34476"/>
    <cellStyle name="Normal 8 3 3 3 5 2" xfId="34477"/>
    <cellStyle name="Normal 8 3 3 3 5 3" xfId="34478"/>
    <cellStyle name="Normal 8 3 3 3 6" xfId="34479"/>
    <cellStyle name="Normal 8 3 3 3 7" xfId="34480"/>
    <cellStyle name="Normal 8 3 3 4" xfId="34481"/>
    <cellStyle name="Normal 8 3 3 4 2" xfId="34482"/>
    <cellStyle name="Normal 8 3 3 4 2 2" xfId="34483"/>
    <cellStyle name="Normal 8 3 3 4 2 3" xfId="34484"/>
    <cellStyle name="Normal 8 3 3 4 3" xfId="34485"/>
    <cellStyle name="Normal 8 3 3 4 3 2" xfId="34486"/>
    <cellStyle name="Normal 8 3 3 4 3 3" xfId="34487"/>
    <cellStyle name="Normal 8 3 3 4 4" xfId="34488"/>
    <cellStyle name="Normal 8 3 3 4 5" xfId="34489"/>
    <cellStyle name="Normal 8 3 3 5" xfId="34490"/>
    <cellStyle name="Normal 8 3 3 5 2" xfId="34491"/>
    <cellStyle name="Normal 8 3 3 5 2 2" xfId="34492"/>
    <cellStyle name="Normal 8 3 3 5 2 3" xfId="34493"/>
    <cellStyle name="Normal 8 3 3 5 3" xfId="34494"/>
    <cellStyle name="Normal 8 3 3 5 3 2" xfId="34495"/>
    <cellStyle name="Normal 8 3 3 5 3 3" xfId="34496"/>
    <cellStyle name="Normal 8 3 3 5 4" xfId="34497"/>
    <cellStyle name="Normal 8 3 3 5 5" xfId="34498"/>
    <cellStyle name="Normal 8 3 3 6" xfId="34499"/>
    <cellStyle name="Normal 8 3 3 6 2" xfId="34500"/>
    <cellStyle name="Normal 8 3 3 6 3" xfId="34501"/>
    <cellStyle name="Normal 8 3 3 7" xfId="34502"/>
    <cellStyle name="Normal 8 3 3 7 2" xfId="34503"/>
    <cellStyle name="Normal 8 3 3 7 3" xfId="34504"/>
    <cellStyle name="Normal 8 3 3 8" xfId="34505"/>
    <cellStyle name="Normal 8 3 3 9" xfId="34506"/>
    <cellStyle name="Normal 8 3 4" xfId="34507"/>
    <cellStyle name="Normal 8 3 4 2" xfId="34508"/>
    <cellStyle name="Normal 8 3 4 2 2" xfId="34509"/>
    <cellStyle name="Normal 8 3 4 2 2 2" xfId="34510"/>
    <cellStyle name="Normal 8 3 4 2 2 3" xfId="34511"/>
    <cellStyle name="Normal 8 3 4 2 3" xfId="34512"/>
    <cellStyle name="Normal 8 3 4 2 3 2" xfId="34513"/>
    <cellStyle name="Normal 8 3 4 2 3 3" xfId="34514"/>
    <cellStyle name="Normal 8 3 4 2 4" xfId="34515"/>
    <cellStyle name="Normal 8 3 4 2 5" xfId="34516"/>
    <cellStyle name="Normal 8 3 4 3" xfId="34517"/>
    <cellStyle name="Normal 8 3 4 3 2" xfId="34518"/>
    <cellStyle name="Normal 8 3 4 3 2 2" xfId="34519"/>
    <cellStyle name="Normal 8 3 4 3 2 3" xfId="34520"/>
    <cellStyle name="Normal 8 3 4 3 3" xfId="34521"/>
    <cellStyle name="Normal 8 3 4 3 3 2" xfId="34522"/>
    <cellStyle name="Normal 8 3 4 3 3 3" xfId="34523"/>
    <cellStyle name="Normal 8 3 4 3 4" xfId="34524"/>
    <cellStyle name="Normal 8 3 4 3 5" xfId="34525"/>
    <cellStyle name="Normal 8 3 4 4" xfId="34526"/>
    <cellStyle name="Normal 8 3 4 4 2" xfId="34527"/>
    <cellStyle name="Normal 8 3 4 4 3" xfId="34528"/>
    <cellStyle name="Normal 8 3 4 5" xfId="34529"/>
    <cellStyle name="Normal 8 3 4 5 2" xfId="34530"/>
    <cellStyle name="Normal 8 3 4 5 3" xfId="34531"/>
    <cellStyle name="Normal 8 3 4 6" xfId="34532"/>
    <cellStyle name="Normal 8 3 4 7" xfId="34533"/>
    <cellStyle name="Normal 8 3 5" xfId="34534"/>
    <cellStyle name="Normal 8 3 5 2" xfId="34535"/>
    <cellStyle name="Normal 8 3 5 2 2" xfId="34536"/>
    <cellStyle name="Normal 8 3 5 2 2 2" xfId="34537"/>
    <cellStyle name="Normal 8 3 5 2 2 3" xfId="34538"/>
    <cellStyle name="Normal 8 3 5 2 3" xfId="34539"/>
    <cellStyle name="Normal 8 3 5 2 3 2" xfId="34540"/>
    <cellStyle name="Normal 8 3 5 2 3 3" xfId="34541"/>
    <cellStyle name="Normal 8 3 5 2 4" xfId="34542"/>
    <cellStyle name="Normal 8 3 5 2 5" xfId="34543"/>
    <cellStyle name="Normal 8 3 5 3" xfId="34544"/>
    <cellStyle name="Normal 8 3 5 3 2" xfId="34545"/>
    <cellStyle name="Normal 8 3 5 3 2 2" xfId="34546"/>
    <cellStyle name="Normal 8 3 5 3 2 3" xfId="34547"/>
    <cellStyle name="Normal 8 3 5 3 3" xfId="34548"/>
    <cellStyle name="Normal 8 3 5 3 3 2" xfId="34549"/>
    <cellStyle name="Normal 8 3 5 3 3 3" xfId="34550"/>
    <cellStyle name="Normal 8 3 5 3 4" xfId="34551"/>
    <cellStyle name="Normal 8 3 5 3 5" xfId="34552"/>
    <cellStyle name="Normal 8 3 5 4" xfId="34553"/>
    <cellStyle name="Normal 8 3 5 4 2" xfId="34554"/>
    <cellStyle name="Normal 8 3 5 4 3" xfId="34555"/>
    <cellStyle name="Normal 8 3 5 5" xfId="34556"/>
    <cellStyle name="Normal 8 3 5 5 2" xfId="34557"/>
    <cellStyle name="Normal 8 3 5 5 3" xfId="34558"/>
    <cellStyle name="Normal 8 3 5 6" xfId="34559"/>
    <cellStyle name="Normal 8 3 5 7" xfId="34560"/>
    <cellStyle name="Normal 8 3 6" xfId="34561"/>
    <cellStyle name="Normal 8 3 6 2" xfId="34562"/>
    <cellStyle name="Normal 8 3 6 2 2" xfId="34563"/>
    <cellStyle name="Normal 8 3 6 2 3" xfId="34564"/>
    <cellStyle name="Normal 8 3 6 3" xfId="34565"/>
    <cellStyle name="Normal 8 3 6 3 2" xfId="34566"/>
    <cellStyle name="Normal 8 3 6 3 3" xfId="34567"/>
    <cellStyle name="Normal 8 3 6 4" xfId="34568"/>
    <cellStyle name="Normal 8 3 6 5" xfId="34569"/>
    <cellStyle name="Normal 8 3 7" xfId="34570"/>
    <cellStyle name="Normal 8 3 7 2" xfId="34571"/>
    <cellStyle name="Normal 8 3 7 2 2" xfId="34572"/>
    <cellStyle name="Normal 8 3 7 2 3" xfId="34573"/>
    <cellStyle name="Normal 8 3 7 3" xfId="34574"/>
    <cellStyle name="Normal 8 3 7 3 2" xfId="34575"/>
    <cellStyle name="Normal 8 3 7 3 3" xfId="34576"/>
    <cellStyle name="Normal 8 3 7 4" xfId="34577"/>
    <cellStyle name="Normal 8 3 7 5" xfId="34578"/>
    <cellStyle name="Normal 8 3 8" xfId="34579"/>
    <cellStyle name="Normal 8 3 8 2" xfId="34580"/>
    <cellStyle name="Normal 8 3 8 3" xfId="34581"/>
    <cellStyle name="Normal 8 3 9" xfId="34582"/>
    <cellStyle name="Normal 8 3 9 2" xfId="34583"/>
    <cellStyle name="Normal 8 3 9 3" xfId="34584"/>
    <cellStyle name="Normal 8 30" xfId="34585"/>
    <cellStyle name="Normal 8 31" xfId="34586"/>
    <cellStyle name="Normal 8 32" xfId="34587"/>
    <cellStyle name="Normal 8 33" xfId="34588"/>
    <cellStyle name="Normal 8 34" xfId="34589"/>
    <cellStyle name="Normal 8 35" xfId="34590"/>
    <cellStyle name="Normal 8 36" xfId="34591"/>
    <cellStyle name="Normal 8 37" xfId="34592"/>
    <cellStyle name="Normal 8 38" xfId="34593"/>
    <cellStyle name="Normal 8 39" xfId="34594"/>
    <cellStyle name="Normal 8 4" xfId="34595"/>
    <cellStyle name="Normal 8 40" xfId="34596"/>
    <cellStyle name="Normal 8 41" xfId="34597"/>
    <cellStyle name="Normal 8 42" xfId="34598"/>
    <cellStyle name="Normal 8 43" xfId="34599"/>
    <cellStyle name="Normal 8 44" xfId="34600"/>
    <cellStyle name="Normal 8 45" xfId="34601"/>
    <cellStyle name="Normal 8 46" xfId="34602"/>
    <cellStyle name="Normal 8 47" xfId="34603"/>
    <cellStyle name="Normal 8 48" xfId="34604"/>
    <cellStyle name="Normal 8 49" xfId="34605"/>
    <cellStyle name="Normal 8 5" xfId="34606"/>
    <cellStyle name="Normal 8 5 10" xfId="34607"/>
    <cellStyle name="Normal 8 5 2" xfId="34608"/>
    <cellStyle name="Normal 8 5 2 10" xfId="34609"/>
    <cellStyle name="Normal 8 5 2 2" xfId="34610"/>
    <cellStyle name="Normal 8 5 2 2 2" xfId="34611"/>
    <cellStyle name="Normal 8 5 2 2 2 2" xfId="34612"/>
    <cellStyle name="Normal 8 5 2 2 2 2 2" xfId="34613"/>
    <cellStyle name="Normal 8 5 2 2 2 2 2 2" xfId="34614"/>
    <cellStyle name="Normal 8 5 2 2 2 2 2 3" xfId="34615"/>
    <cellStyle name="Normal 8 5 2 2 2 2 3" xfId="34616"/>
    <cellStyle name="Normal 8 5 2 2 2 2 3 2" xfId="34617"/>
    <cellStyle name="Normal 8 5 2 2 2 2 3 3" xfId="34618"/>
    <cellStyle name="Normal 8 5 2 2 2 2 4" xfId="34619"/>
    <cellStyle name="Normal 8 5 2 2 2 2 5" xfId="34620"/>
    <cellStyle name="Normal 8 5 2 2 2 3" xfId="34621"/>
    <cellStyle name="Normal 8 5 2 2 2 3 2" xfId="34622"/>
    <cellStyle name="Normal 8 5 2 2 2 3 2 2" xfId="34623"/>
    <cellStyle name="Normal 8 5 2 2 2 3 2 3" xfId="34624"/>
    <cellStyle name="Normal 8 5 2 2 2 3 3" xfId="34625"/>
    <cellStyle name="Normal 8 5 2 2 2 3 3 2" xfId="34626"/>
    <cellStyle name="Normal 8 5 2 2 2 3 3 3" xfId="34627"/>
    <cellStyle name="Normal 8 5 2 2 2 3 4" xfId="34628"/>
    <cellStyle name="Normal 8 5 2 2 2 3 5" xfId="34629"/>
    <cellStyle name="Normal 8 5 2 2 2 4" xfId="34630"/>
    <cellStyle name="Normal 8 5 2 2 2 4 2" xfId="34631"/>
    <cellStyle name="Normal 8 5 2 2 2 4 3" xfId="34632"/>
    <cellStyle name="Normal 8 5 2 2 2 5" xfId="34633"/>
    <cellStyle name="Normal 8 5 2 2 2 5 2" xfId="34634"/>
    <cellStyle name="Normal 8 5 2 2 2 5 3" xfId="34635"/>
    <cellStyle name="Normal 8 5 2 2 2 6" xfId="34636"/>
    <cellStyle name="Normal 8 5 2 2 2 7" xfId="34637"/>
    <cellStyle name="Normal 8 5 2 2 3" xfId="34638"/>
    <cellStyle name="Normal 8 5 2 2 3 2" xfId="34639"/>
    <cellStyle name="Normal 8 5 2 2 3 2 2" xfId="34640"/>
    <cellStyle name="Normal 8 5 2 2 3 2 2 2" xfId="34641"/>
    <cellStyle name="Normal 8 5 2 2 3 2 2 3" xfId="34642"/>
    <cellStyle name="Normal 8 5 2 2 3 2 3" xfId="34643"/>
    <cellStyle name="Normal 8 5 2 2 3 2 3 2" xfId="34644"/>
    <cellStyle name="Normal 8 5 2 2 3 2 3 3" xfId="34645"/>
    <cellStyle name="Normal 8 5 2 2 3 2 4" xfId="34646"/>
    <cellStyle name="Normal 8 5 2 2 3 2 5" xfId="34647"/>
    <cellStyle name="Normal 8 5 2 2 3 3" xfId="34648"/>
    <cellStyle name="Normal 8 5 2 2 3 3 2" xfId="34649"/>
    <cellStyle name="Normal 8 5 2 2 3 3 2 2" xfId="34650"/>
    <cellStyle name="Normal 8 5 2 2 3 3 2 3" xfId="34651"/>
    <cellStyle name="Normal 8 5 2 2 3 3 3" xfId="34652"/>
    <cellStyle name="Normal 8 5 2 2 3 3 3 2" xfId="34653"/>
    <cellStyle name="Normal 8 5 2 2 3 3 3 3" xfId="34654"/>
    <cellStyle name="Normal 8 5 2 2 3 3 4" xfId="34655"/>
    <cellStyle name="Normal 8 5 2 2 3 3 5" xfId="34656"/>
    <cellStyle name="Normal 8 5 2 2 3 4" xfId="34657"/>
    <cellStyle name="Normal 8 5 2 2 3 4 2" xfId="34658"/>
    <cellStyle name="Normal 8 5 2 2 3 4 3" xfId="34659"/>
    <cellStyle name="Normal 8 5 2 2 3 5" xfId="34660"/>
    <cellStyle name="Normal 8 5 2 2 3 5 2" xfId="34661"/>
    <cellStyle name="Normal 8 5 2 2 3 5 3" xfId="34662"/>
    <cellStyle name="Normal 8 5 2 2 3 6" xfId="34663"/>
    <cellStyle name="Normal 8 5 2 2 3 7" xfId="34664"/>
    <cellStyle name="Normal 8 5 2 2 4" xfId="34665"/>
    <cellStyle name="Normal 8 5 2 2 4 2" xfId="34666"/>
    <cellStyle name="Normal 8 5 2 2 4 2 2" xfId="34667"/>
    <cellStyle name="Normal 8 5 2 2 4 2 3" xfId="34668"/>
    <cellStyle name="Normal 8 5 2 2 4 3" xfId="34669"/>
    <cellStyle name="Normal 8 5 2 2 4 3 2" xfId="34670"/>
    <cellStyle name="Normal 8 5 2 2 4 3 3" xfId="34671"/>
    <cellStyle name="Normal 8 5 2 2 4 4" xfId="34672"/>
    <cellStyle name="Normal 8 5 2 2 4 5" xfId="34673"/>
    <cellStyle name="Normal 8 5 2 2 5" xfId="34674"/>
    <cellStyle name="Normal 8 5 2 2 5 2" xfId="34675"/>
    <cellStyle name="Normal 8 5 2 2 5 2 2" xfId="34676"/>
    <cellStyle name="Normal 8 5 2 2 5 2 3" xfId="34677"/>
    <cellStyle name="Normal 8 5 2 2 5 3" xfId="34678"/>
    <cellStyle name="Normal 8 5 2 2 5 3 2" xfId="34679"/>
    <cellStyle name="Normal 8 5 2 2 5 3 3" xfId="34680"/>
    <cellStyle name="Normal 8 5 2 2 5 4" xfId="34681"/>
    <cellStyle name="Normal 8 5 2 2 5 5" xfId="34682"/>
    <cellStyle name="Normal 8 5 2 2 6" xfId="34683"/>
    <cellStyle name="Normal 8 5 2 2 6 2" xfId="34684"/>
    <cellStyle name="Normal 8 5 2 2 6 3" xfId="34685"/>
    <cellStyle name="Normal 8 5 2 2 7" xfId="34686"/>
    <cellStyle name="Normal 8 5 2 2 7 2" xfId="34687"/>
    <cellStyle name="Normal 8 5 2 2 7 3" xfId="34688"/>
    <cellStyle name="Normal 8 5 2 2 8" xfId="34689"/>
    <cellStyle name="Normal 8 5 2 2 9" xfId="34690"/>
    <cellStyle name="Normal 8 5 2 3" xfId="34691"/>
    <cellStyle name="Normal 8 5 2 3 2" xfId="34692"/>
    <cellStyle name="Normal 8 5 2 3 2 2" xfId="34693"/>
    <cellStyle name="Normal 8 5 2 3 2 2 2" xfId="34694"/>
    <cellStyle name="Normal 8 5 2 3 2 2 3" xfId="34695"/>
    <cellStyle name="Normal 8 5 2 3 2 3" xfId="34696"/>
    <cellStyle name="Normal 8 5 2 3 2 3 2" xfId="34697"/>
    <cellStyle name="Normal 8 5 2 3 2 3 3" xfId="34698"/>
    <cellStyle name="Normal 8 5 2 3 2 4" xfId="34699"/>
    <cellStyle name="Normal 8 5 2 3 2 5" xfId="34700"/>
    <cellStyle name="Normal 8 5 2 3 3" xfId="34701"/>
    <cellStyle name="Normal 8 5 2 3 3 2" xfId="34702"/>
    <cellStyle name="Normal 8 5 2 3 3 2 2" xfId="34703"/>
    <cellStyle name="Normal 8 5 2 3 3 2 3" xfId="34704"/>
    <cellStyle name="Normal 8 5 2 3 3 3" xfId="34705"/>
    <cellStyle name="Normal 8 5 2 3 3 3 2" xfId="34706"/>
    <cellStyle name="Normal 8 5 2 3 3 3 3" xfId="34707"/>
    <cellStyle name="Normal 8 5 2 3 3 4" xfId="34708"/>
    <cellStyle name="Normal 8 5 2 3 3 5" xfId="34709"/>
    <cellStyle name="Normal 8 5 2 3 4" xfId="34710"/>
    <cellStyle name="Normal 8 5 2 3 4 2" xfId="34711"/>
    <cellStyle name="Normal 8 5 2 3 4 3" xfId="34712"/>
    <cellStyle name="Normal 8 5 2 3 5" xfId="34713"/>
    <cellStyle name="Normal 8 5 2 3 5 2" xfId="34714"/>
    <cellStyle name="Normal 8 5 2 3 5 3" xfId="34715"/>
    <cellStyle name="Normal 8 5 2 3 6" xfId="34716"/>
    <cellStyle name="Normal 8 5 2 3 7" xfId="34717"/>
    <cellStyle name="Normal 8 5 2 4" xfId="34718"/>
    <cellStyle name="Normal 8 5 2 4 2" xfId="34719"/>
    <cellStyle name="Normal 8 5 2 4 2 2" xfId="34720"/>
    <cellStyle name="Normal 8 5 2 4 2 2 2" xfId="34721"/>
    <cellStyle name="Normal 8 5 2 4 2 2 3" xfId="34722"/>
    <cellStyle name="Normal 8 5 2 4 2 3" xfId="34723"/>
    <cellStyle name="Normal 8 5 2 4 2 3 2" xfId="34724"/>
    <cellStyle name="Normal 8 5 2 4 2 3 3" xfId="34725"/>
    <cellStyle name="Normal 8 5 2 4 2 4" xfId="34726"/>
    <cellStyle name="Normal 8 5 2 4 2 5" xfId="34727"/>
    <cellStyle name="Normal 8 5 2 4 3" xfId="34728"/>
    <cellStyle name="Normal 8 5 2 4 3 2" xfId="34729"/>
    <cellStyle name="Normal 8 5 2 4 3 2 2" xfId="34730"/>
    <cellStyle name="Normal 8 5 2 4 3 2 3" xfId="34731"/>
    <cellStyle name="Normal 8 5 2 4 3 3" xfId="34732"/>
    <cellStyle name="Normal 8 5 2 4 3 3 2" xfId="34733"/>
    <cellStyle name="Normal 8 5 2 4 3 3 3" xfId="34734"/>
    <cellStyle name="Normal 8 5 2 4 3 4" xfId="34735"/>
    <cellStyle name="Normal 8 5 2 4 3 5" xfId="34736"/>
    <cellStyle name="Normal 8 5 2 4 4" xfId="34737"/>
    <cellStyle name="Normal 8 5 2 4 4 2" xfId="34738"/>
    <cellStyle name="Normal 8 5 2 4 4 3" xfId="34739"/>
    <cellStyle name="Normal 8 5 2 4 5" xfId="34740"/>
    <cellStyle name="Normal 8 5 2 4 5 2" xfId="34741"/>
    <cellStyle name="Normal 8 5 2 4 5 3" xfId="34742"/>
    <cellStyle name="Normal 8 5 2 4 6" xfId="34743"/>
    <cellStyle name="Normal 8 5 2 4 7" xfId="34744"/>
    <cellStyle name="Normal 8 5 2 5" xfId="34745"/>
    <cellStyle name="Normal 8 5 2 5 2" xfId="34746"/>
    <cellStyle name="Normal 8 5 2 5 2 2" xfId="34747"/>
    <cellStyle name="Normal 8 5 2 5 2 3" xfId="34748"/>
    <cellStyle name="Normal 8 5 2 5 3" xfId="34749"/>
    <cellStyle name="Normal 8 5 2 5 3 2" xfId="34750"/>
    <cellStyle name="Normal 8 5 2 5 3 3" xfId="34751"/>
    <cellStyle name="Normal 8 5 2 5 4" xfId="34752"/>
    <cellStyle name="Normal 8 5 2 5 5" xfId="34753"/>
    <cellStyle name="Normal 8 5 2 6" xfId="34754"/>
    <cellStyle name="Normal 8 5 2 6 2" xfId="34755"/>
    <cellStyle name="Normal 8 5 2 6 2 2" xfId="34756"/>
    <cellStyle name="Normal 8 5 2 6 2 3" xfId="34757"/>
    <cellStyle name="Normal 8 5 2 6 3" xfId="34758"/>
    <cellStyle name="Normal 8 5 2 6 3 2" xfId="34759"/>
    <cellStyle name="Normal 8 5 2 6 3 3" xfId="34760"/>
    <cellStyle name="Normal 8 5 2 6 4" xfId="34761"/>
    <cellStyle name="Normal 8 5 2 6 5" xfId="34762"/>
    <cellStyle name="Normal 8 5 2 7" xfId="34763"/>
    <cellStyle name="Normal 8 5 2 7 2" xfId="34764"/>
    <cellStyle name="Normal 8 5 2 7 3" xfId="34765"/>
    <cellStyle name="Normal 8 5 2 8" xfId="34766"/>
    <cellStyle name="Normal 8 5 2 8 2" xfId="34767"/>
    <cellStyle name="Normal 8 5 2 8 3" xfId="34768"/>
    <cellStyle name="Normal 8 5 2 9" xfId="34769"/>
    <cellStyle name="Normal 8 5 3" xfId="34770"/>
    <cellStyle name="Normal 8 5 3 2" xfId="34771"/>
    <cellStyle name="Normal 8 5 3 2 2" xfId="34772"/>
    <cellStyle name="Normal 8 5 3 2 2 2" xfId="34773"/>
    <cellStyle name="Normal 8 5 3 2 2 3" xfId="34774"/>
    <cellStyle name="Normal 8 5 3 2 3" xfId="34775"/>
    <cellStyle name="Normal 8 5 3 2 3 2" xfId="34776"/>
    <cellStyle name="Normal 8 5 3 2 3 3" xfId="34777"/>
    <cellStyle name="Normal 8 5 3 2 4" xfId="34778"/>
    <cellStyle name="Normal 8 5 3 2 5" xfId="34779"/>
    <cellStyle name="Normal 8 5 3 3" xfId="34780"/>
    <cellStyle name="Normal 8 5 3 3 2" xfId="34781"/>
    <cellStyle name="Normal 8 5 3 3 2 2" xfId="34782"/>
    <cellStyle name="Normal 8 5 3 3 2 3" xfId="34783"/>
    <cellStyle name="Normal 8 5 3 3 3" xfId="34784"/>
    <cellStyle name="Normal 8 5 3 3 3 2" xfId="34785"/>
    <cellStyle name="Normal 8 5 3 3 3 3" xfId="34786"/>
    <cellStyle name="Normal 8 5 3 3 4" xfId="34787"/>
    <cellStyle name="Normal 8 5 3 3 5" xfId="34788"/>
    <cellStyle name="Normal 8 5 3 4" xfId="34789"/>
    <cellStyle name="Normal 8 5 3 4 2" xfId="34790"/>
    <cellStyle name="Normal 8 5 3 4 3" xfId="34791"/>
    <cellStyle name="Normal 8 5 3 5" xfId="34792"/>
    <cellStyle name="Normal 8 5 3 5 2" xfId="34793"/>
    <cellStyle name="Normal 8 5 3 5 3" xfId="34794"/>
    <cellStyle name="Normal 8 5 3 6" xfId="34795"/>
    <cellStyle name="Normal 8 5 3 7" xfId="34796"/>
    <cellStyle name="Normal 8 5 4" xfId="34797"/>
    <cellStyle name="Normal 8 5 4 2" xfId="34798"/>
    <cellStyle name="Normal 8 5 4 2 2" xfId="34799"/>
    <cellStyle name="Normal 8 5 4 2 2 2" xfId="34800"/>
    <cellStyle name="Normal 8 5 4 2 2 3" xfId="34801"/>
    <cellStyle name="Normal 8 5 4 2 3" xfId="34802"/>
    <cellStyle name="Normal 8 5 4 2 3 2" xfId="34803"/>
    <cellStyle name="Normal 8 5 4 2 3 3" xfId="34804"/>
    <cellStyle name="Normal 8 5 4 2 4" xfId="34805"/>
    <cellStyle name="Normal 8 5 4 2 5" xfId="34806"/>
    <cellStyle name="Normal 8 5 4 3" xfId="34807"/>
    <cellStyle name="Normal 8 5 4 3 2" xfId="34808"/>
    <cellStyle name="Normal 8 5 4 3 2 2" xfId="34809"/>
    <cellStyle name="Normal 8 5 4 3 2 3" xfId="34810"/>
    <cellStyle name="Normal 8 5 4 3 3" xfId="34811"/>
    <cellStyle name="Normal 8 5 4 3 3 2" xfId="34812"/>
    <cellStyle name="Normal 8 5 4 3 3 3" xfId="34813"/>
    <cellStyle name="Normal 8 5 4 3 4" xfId="34814"/>
    <cellStyle name="Normal 8 5 4 3 5" xfId="34815"/>
    <cellStyle name="Normal 8 5 4 4" xfId="34816"/>
    <cellStyle name="Normal 8 5 4 4 2" xfId="34817"/>
    <cellStyle name="Normal 8 5 4 4 3" xfId="34818"/>
    <cellStyle name="Normal 8 5 4 5" xfId="34819"/>
    <cellStyle name="Normal 8 5 4 5 2" xfId="34820"/>
    <cellStyle name="Normal 8 5 4 5 3" xfId="34821"/>
    <cellStyle name="Normal 8 5 4 6" xfId="34822"/>
    <cellStyle name="Normal 8 5 4 7" xfId="34823"/>
    <cellStyle name="Normal 8 5 5" xfId="34824"/>
    <cellStyle name="Normal 8 5 5 2" xfId="34825"/>
    <cellStyle name="Normal 8 5 5 2 2" xfId="34826"/>
    <cellStyle name="Normal 8 5 5 2 3" xfId="34827"/>
    <cellStyle name="Normal 8 5 5 3" xfId="34828"/>
    <cellStyle name="Normal 8 5 5 3 2" xfId="34829"/>
    <cellStyle name="Normal 8 5 5 3 3" xfId="34830"/>
    <cellStyle name="Normal 8 5 5 4" xfId="34831"/>
    <cellStyle name="Normal 8 5 5 5" xfId="34832"/>
    <cellStyle name="Normal 8 5 6" xfId="34833"/>
    <cellStyle name="Normal 8 5 6 2" xfId="34834"/>
    <cellStyle name="Normal 8 5 6 2 2" xfId="34835"/>
    <cellStyle name="Normal 8 5 6 2 3" xfId="34836"/>
    <cellStyle name="Normal 8 5 6 3" xfId="34837"/>
    <cellStyle name="Normal 8 5 6 3 2" xfId="34838"/>
    <cellStyle name="Normal 8 5 6 3 3" xfId="34839"/>
    <cellStyle name="Normal 8 5 6 4" xfId="34840"/>
    <cellStyle name="Normal 8 5 6 5" xfId="34841"/>
    <cellStyle name="Normal 8 5 7" xfId="34842"/>
    <cellStyle name="Normal 8 5 7 2" xfId="34843"/>
    <cellStyle name="Normal 8 5 7 3" xfId="34844"/>
    <cellStyle name="Normal 8 5 8" xfId="34845"/>
    <cellStyle name="Normal 8 5 8 2" xfId="34846"/>
    <cellStyle name="Normal 8 5 8 3" xfId="34847"/>
    <cellStyle name="Normal 8 5 9" xfId="34848"/>
    <cellStyle name="Normal 8 50" xfId="34849"/>
    <cellStyle name="Normal 8 51" xfId="34850"/>
    <cellStyle name="Normal 8 52" xfId="34851"/>
    <cellStyle name="Normal 8 53" xfId="34852"/>
    <cellStyle name="Normal 8 54" xfId="34853"/>
    <cellStyle name="Normal 8 55" xfId="34854"/>
    <cellStyle name="Normal 8 56" xfId="34855"/>
    <cellStyle name="Normal 8 57" xfId="34856"/>
    <cellStyle name="Normal 8 58" xfId="34857"/>
    <cellStyle name="Normal 8 59" xfId="34858"/>
    <cellStyle name="Normal 8 6" xfId="34859"/>
    <cellStyle name="Normal 8 6 2" xfId="34860"/>
    <cellStyle name="Normal 8 6 2 2" xfId="34861"/>
    <cellStyle name="Normal 8 6 2 2 2" xfId="34862"/>
    <cellStyle name="Normal 8 6 2 2 2 2" xfId="34863"/>
    <cellStyle name="Normal 8 6 2 2 2 3" xfId="34864"/>
    <cellStyle name="Normal 8 6 2 2 3" xfId="34865"/>
    <cellStyle name="Normal 8 6 2 2 3 2" xfId="34866"/>
    <cellStyle name="Normal 8 6 2 2 3 3" xfId="34867"/>
    <cellStyle name="Normal 8 6 2 2 4" xfId="34868"/>
    <cellStyle name="Normal 8 6 2 2 5" xfId="34869"/>
    <cellStyle name="Normal 8 6 2 3" xfId="34870"/>
    <cellStyle name="Normal 8 6 2 3 2" xfId="34871"/>
    <cellStyle name="Normal 8 6 2 3 2 2" xfId="34872"/>
    <cellStyle name="Normal 8 6 2 3 2 3" xfId="34873"/>
    <cellStyle name="Normal 8 6 2 3 3" xfId="34874"/>
    <cellStyle name="Normal 8 6 2 3 3 2" xfId="34875"/>
    <cellStyle name="Normal 8 6 2 3 3 3" xfId="34876"/>
    <cellStyle name="Normal 8 6 2 3 4" xfId="34877"/>
    <cellStyle name="Normal 8 6 2 3 5" xfId="34878"/>
    <cellStyle name="Normal 8 6 2 4" xfId="34879"/>
    <cellStyle name="Normal 8 6 2 4 2" xfId="34880"/>
    <cellStyle name="Normal 8 6 2 4 3" xfId="34881"/>
    <cellStyle name="Normal 8 6 2 5" xfId="34882"/>
    <cellStyle name="Normal 8 6 2 5 2" xfId="34883"/>
    <cellStyle name="Normal 8 6 2 5 3" xfId="34884"/>
    <cellStyle name="Normal 8 6 2 6" xfId="34885"/>
    <cellStyle name="Normal 8 6 2 7" xfId="34886"/>
    <cellStyle name="Normal 8 6 3" xfId="34887"/>
    <cellStyle name="Normal 8 6 3 2" xfId="34888"/>
    <cellStyle name="Normal 8 6 3 2 2" xfId="34889"/>
    <cellStyle name="Normal 8 6 3 2 2 2" xfId="34890"/>
    <cellStyle name="Normal 8 6 3 2 2 3" xfId="34891"/>
    <cellStyle name="Normal 8 6 3 2 3" xfId="34892"/>
    <cellStyle name="Normal 8 6 3 2 3 2" xfId="34893"/>
    <cellStyle name="Normal 8 6 3 2 3 3" xfId="34894"/>
    <cellStyle name="Normal 8 6 3 2 4" xfId="34895"/>
    <cellStyle name="Normal 8 6 3 2 5" xfId="34896"/>
    <cellStyle name="Normal 8 6 3 3" xfId="34897"/>
    <cellStyle name="Normal 8 6 3 3 2" xfId="34898"/>
    <cellStyle name="Normal 8 6 3 3 2 2" xfId="34899"/>
    <cellStyle name="Normal 8 6 3 3 2 3" xfId="34900"/>
    <cellStyle name="Normal 8 6 3 3 3" xfId="34901"/>
    <cellStyle name="Normal 8 6 3 3 3 2" xfId="34902"/>
    <cellStyle name="Normal 8 6 3 3 3 3" xfId="34903"/>
    <cellStyle name="Normal 8 6 3 3 4" xfId="34904"/>
    <cellStyle name="Normal 8 6 3 3 5" xfId="34905"/>
    <cellStyle name="Normal 8 6 3 4" xfId="34906"/>
    <cellStyle name="Normal 8 6 3 4 2" xfId="34907"/>
    <cellStyle name="Normal 8 6 3 4 3" xfId="34908"/>
    <cellStyle name="Normal 8 6 3 5" xfId="34909"/>
    <cellStyle name="Normal 8 6 3 5 2" xfId="34910"/>
    <cellStyle name="Normal 8 6 3 5 3" xfId="34911"/>
    <cellStyle name="Normal 8 6 3 6" xfId="34912"/>
    <cellStyle name="Normal 8 6 3 7" xfId="34913"/>
    <cellStyle name="Normal 8 6 4" xfId="34914"/>
    <cellStyle name="Normal 8 6 4 2" xfId="34915"/>
    <cellStyle name="Normal 8 6 4 2 2" xfId="34916"/>
    <cellStyle name="Normal 8 6 4 2 3" xfId="34917"/>
    <cellStyle name="Normal 8 6 4 3" xfId="34918"/>
    <cellStyle name="Normal 8 6 4 3 2" xfId="34919"/>
    <cellStyle name="Normal 8 6 4 3 3" xfId="34920"/>
    <cellStyle name="Normal 8 6 4 4" xfId="34921"/>
    <cellStyle name="Normal 8 6 4 5" xfId="34922"/>
    <cellStyle name="Normal 8 6 5" xfId="34923"/>
    <cellStyle name="Normal 8 6 5 2" xfId="34924"/>
    <cellStyle name="Normal 8 6 5 2 2" xfId="34925"/>
    <cellStyle name="Normal 8 6 5 2 3" xfId="34926"/>
    <cellStyle name="Normal 8 6 5 3" xfId="34927"/>
    <cellStyle name="Normal 8 6 5 3 2" xfId="34928"/>
    <cellStyle name="Normal 8 6 5 3 3" xfId="34929"/>
    <cellStyle name="Normal 8 6 5 4" xfId="34930"/>
    <cellStyle name="Normal 8 6 5 5" xfId="34931"/>
    <cellStyle name="Normal 8 6 6" xfId="34932"/>
    <cellStyle name="Normal 8 6 6 2" xfId="34933"/>
    <cellStyle name="Normal 8 6 6 3" xfId="34934"/>
    <cellStyle name="Normal 8 6 7" xfId="34935"/>
    <cellStyle name="Normal 8 6 7 2" xfId="34936"/>
    <cellStyle name="Normal 8 6 7 3" xfId="34937"/>
    <cellStyle name="Normal 8 6 8" xfId="34938"/>
    <cellStyle name="Normal 8 6 9" xfId="34939"/>
    <cellStyle name="Normal 8 60" xfId="34940"/>
    <cellStyle name="Normal 8 61" xfId="34941"/>
    <cellStyle name="Normal 8 62" xfId="34942"/>
    <cellStyle name="Normal 8 63" xfId="34943"/>
    <cellStyle name="Normal 8 64" xfId="34944"/>
    <cellStyle name="Normal 8 65" xfId="34945"/>
    <cellStyle name="Normal 8 66" xfId="34946"/>
    <cellStyle name="Normal 8 67" xfId="34947"/>
    <cellStyle name="Normal 8 68" xfId="34948"/>
    <cellStyle name="Normal 8 69" xfId="34949"/>
    <cellStyle name="Normal 8 7" xfId="34950"/>
    <cellStyle name="Normal 8 70" xfId="34951"/>
    <cellStyle name="Normal 8 71" xfId="34952"/>
    <cellStyle name="Normal 8 72" xfId="34953"/>
    <cellStyle name="Normal 8 73" xfId="34954"/>
    <cellStyle name="Normal 8 73 2" xfId="34955"/>
    <cellStyle name="Normal 8 73 2 2" xfId="34956"/>
    <cellStyle name="Normal 8 73 2 2 2" xfId="34957"/>
    <cellStyle name="Normal 8 73 2 2 2 2" xfId="34958"/>
    <cellStyle name="Normal 8 73 2 2 2 3" xfId="34959"/>
    <cellStyle name="Normal 8 73 2 2 3" xfId="34960"/>
    <cellStyle name="Normal 8 73 2 2 3 2" xfId="34961"/>
    <cellStyle name="Normal 8 73 2 2 3 3" xfId="34962"/>
    <cellStyle name="Normal 8 73 2 2 4" xfId="34963"/>
    <cellStyle name="Normal 8 73 2 2 5" xfId="34964"/>
    <cellStyle name="Normal 8 73 2 3" xfId="34965"/>
    <cellStyle name="Normal 8 73 2 3 2" xfId="34966"/>
    <cellStyle name="Normal 8 73 2 3 2 2" xfId="34967"/>
    <cellStyle name="Normal 8 73 2 3 2 3" xfId="34968"/>
    <cellStyle name="Normal 8 73 2 3 3" xfId="34969"/>
    <cellStyle name="Normal 8 73 2 3 3 2" xfId="34970"/>
    <cellStyle name="Normal 8 73 2 3 3 3" xfId="34971"/>
    <cellStyle name="Normal 8 73 2 3 4" xfId="34972"/>
    <cellStyle name="Normal 8 73 2 3 5" xfId="34973"/>
    <cellStyle name="Normal 8 73 2 4" xfId="34974"/>
    <cellStyle name="Normal 8 73 2 4 2" xfId="34975"/>
    <cellStyle name="Normal 8 73 2 4 3" xfId="34976"/>
    <cellStyle name="Normal 8 73 2 5" xfId="34977"/>
    <cellStyle name="Normal 8 73 2 5 2" xfId="34978"/>
    <cellStyle name="Normal 8 73 2 5 3" xfId="34979"/>
    <cellStyle name="Normal 8 73 2 6" xfId="34980"/>
    <cellStyle name="Normal 8 73 2 7" xfId="34981"/>
    <cellStyle name="Normal 8 73 3" xfId="34982"/>
    <cellStyle name="Normal 8 73 3 2" xfId="34983"/>
    <cellStyle name="Normal 8 73 3 2 2" xfId="34984"/>
    <cellStyle name="Normal 8 73 3 2 2 2" xfId="34985"/>
    <cellStyle name="Normal 8 73 3 2 2 3" xfId="34986"/>
    <cellStyle name="Normal 8 73 3 2 3" xfId="34987"/>
    <cellStyle name="Normal 8 73 3 2 3 2" xfId="34988"/>
    <cellStyle name="Normal 8 73 3 2 3 3" xfId="34989"/>
    <cellStyle name="Normal 8 73 3 2 4" xfId="34990"/>
    <cellStyle name="Normal 8 73 3 2 5" xfId="34991"/>
    <cellStyle name="Normal 8 73 3 3" xfId="34992"/>
    <cellStyle name="Normal 8 73 3 3 2" xfId="34993"/>
    <cellStyle name="Normal 8 73 3 3 2 2" xfId="34994"/>
    <cellStyle name="Normal 8 73 3 3 2 3" xfId="34995"/>
    <cellStyle name="Normal 8 73 3 3 3" xfId="34996"/>
    <cellStyle name="Normal 8 73 3 3 3 2" xfId="34997"/>
    <cellStyle name="Normal 8 73 3 3 3 3" xfId="34998"/>
    <cellStyle name="Normal 8 73 3 3 4" xfId="34999"/>
    <cellStyle name="Normal 8 73 3 3 5" xfId="35000"/>
    <cellStyle name="Normal 8 73 3 4" xfId="35001"/>
    <cellStyle name="Normal 8 73 3 4 2" xfId="35002"/>
    <cellStyle name="Normal 8 73 3 4 3" xfId="35003"/>
    <cellStyle name="Normal 8 73 3 5" xfId="35004"/>
    <cellStyle name="Normal 8 73 3 5 2" xfId="35005"/>
    <cellStyle name="Normal 8 73 3 5 3" xfId="35006"/>
    <cellStyle name="Normal 8 73 3 6" xfId="35007"/>
    <cellStyle name="Normal 8 73 3 7" xfId="35008"/>
    <cellStyle name="Normal 8 73 4" xfId="35009"/>
    <cellStyle name="Normal 8 73 4 2" xfId="35010"/>
    <cellStyle name="Normal 8 73 4 2 2" xfId="35011"/>
    <cellStyle name="Normal 8 73 4 2 3" xfId="35012"/>
    <cellStyle name="Normal 8 73 4 3" xfId="35013"/>
    <cellStyle name="Normal 8 73 4 3 2" xfId="35014"/>
    <cellStyle name="Normal 8 73 4 3 3" xfId="35015"/>
    <cellStyle name="Normal 8 73 4 4" xfId="35016"/>
    <cellStyle name="Normal 8 73 4 5" xfId="35017"/>
    <cellStyle name="Normal 8 73 5" xfId="35018"/>
    <cellStyle name="Normal 8 73 5 2" xfId="35019"/>
    <cellStyle name="Normal 8 73 5 2 2" xfId="35020"/>
    <cellStyle name="Normal 8 73 5 2 3" xfId="35021"/>
    <cellStyle name="Normal 8 73 5 3" xfId="35022"/>
    <cellStyle name="Normal 8 73 5 3 2" xfId="35023"/>
    <cellStyle name="Normal 8 73 5 3 3" xfId="35024"/>
    <cellStyle name="Normal 8 73 5 4" xfId="35025"/>
    <cellStyle name="Normal 8 73 5 5" xfId="35026"/>
    <cellStyle name="Normal 8 73 6" xfId="35027"/>
    <cellStyle name="Normal 8 73 6 2" xfId="35028"/>
    <cellStyle name="Normal 8 73 6 3" xfId="35029"/>
    <cellStyle name="Normal 8 73 7" xfId="35030"/>
    <cellStyle name="Normal 8 73 7 2" xfId="35031"/>
    <cellStyle name="Normal 8 73 7 3" xfId="35032"/>
    <cellStyle name="Normal 8 73 8" xfId="35033"/>
    <cellStyle name="Normal 8 73 9" xfId="35034"/>
    <cellStyle name="Normal 8 74" xfId="35035"/>
    <cellStyle name="Normal 8 74 2" xfId="35036"/>
    <cellStyle name="Normal 8 74 2 2" xfId="35037"/>
    <cellStyle name="Normal 8 74 2 2 2" xfId="35038"/>
    <cellStyle name="Normal 8 74 2 2 3" xfId="35039"/>
    <cellStyle name="Normal 8 74 2 3" xfId="35040"/>
    <cellStyle name="Normal 8 74 2 3 2" xfId="35041"/>
    <cellStyle name="Normal 8 74 2 3 3" xfId="35042"/>
    <cellStyle name="Normal 8 74 2 4" xfId="35043"/>
    <cellStyle name="Normal 8 74 2 5" xfId="35044"/>
    <cellStyle name="Normal 8 74 3" xfId="35045"/>
    <cellStyle name="Normal 8 74 3 2" xfId="35046"/>
    <cellStyle name="Normal 8 74 3 2 2" xfId="35047"/>
    <cellStyle name="Normal 8 74 3 2 3" xfId="35048"/>
    <cellStyle name="Normal 8 74 3 3" xfId="35049"/>
    <cellStyle name="Normal 8 74 3 3 2" xfId="35050"/>
    <cellStyle name="Normal 8 74 3 3 3" xfId="35051"/>
    <cellStyle name="Normal 8 74 3 4" xfId="35052"/>
    <cellStyle name="Normal 8 74 3 5" xfId="35053"/>
    <cellStyle name="Normal 8 74 4" xfId="35054"/>
    <cellStyle name="Normal 8 74 4 2" xfId="35055"/>
    <cellStyle name="Normal 8 74 4 3" xfId="35056"/>
    <cellStyle name="Normal 8 74 5" xfId="35057"/>
    <cellStyle name="Normal 8 74 5 2" xfId="35058"/>
    <cellStyle name="Normal 8 74 5 3" xfId="35059"/>
    <cellStyle name="Normal 8 74 6" xfId="35060"/>
    <cellStyle name="Normal 8 74 7" xfId="35061"/>
    <cellStyle name="Normal 8 75" xfId="35062"/>
    <cellStyle name="Normal 8 75 2" xfId="35063"/>
    <cellStyle name="Normal 8 75 2 2" xfId="35064"/>
    <cellStyle name="Normal 8 75 2 2 2" xfId="35065"/>
    <cellStyle name="Normal 8 75 2 2 3" xfId="35066"/>
    <cellStyle name="Normal 8 75 2 3" xfId="35067"/>
    <cellStyle name="Normal 8 75 2 3 2" xfId="35068"/>
    <cellStyle name="Normal 8 75 2 3 3" xfId="35069"/>
    <cellStyle name="Normal 8 75 2 4" xfId="35070"/>
    <cellStyle name="Normal 8 75 2 5" xfId="35071"/>
    <cellStyle name="Normal 8 75 3" xfId="35072"/>
    <cellStyle name="Normal 8 75 3 2" xfId="35073"/>
    <cellStyle name="Normal 8 75 3 2 2" xfId="35074"/>
    <cellStyle name="Normal 8 75 3 2 3" xfId="35075"/>
    <cellStyle name="Normal 8 75 3 3" xfId="35076"/>
    <cellStyle name="Normal 8 75 3 3 2" xfId="35077"/>
    <cellStyle name="Normal 8 75 3 3 3" xfId="35078"/>
    <cellStyle name="Normal 8 75 3 4" xfId="35079"/>
    <cellStyle name="Normal 8 75 3 5" xfId="35080"/>
    <cellStyle name="Normal 8 75 4" xfId="35081"/>
    <cellStyle name="Normal 8 75 4 2" xfId="35082"/>
    <cellStyle name="Normal 8 75 4 3" xfId="35083"/>
    <cellStyle name="Normal 8 75 5" xfId="35084"/>
    <cellStyle name="Normal 8 75 5 2" xfId="35085"/>
    <cellStyle name="Normal 8 75 5 3" xfId="35086"/>
    <cellStyle name="Normal 8 75 6" xfId="35087"/>
    <cellStyle name="Normal 8 75 7" xfId="35088"/>
    <cellStyle name="Normal 8 76" xfId="35089"/>
    <cellStyle name="Normal 8 76 2" xfId="35090"/>
    <cellStyle name="Normal 8 76 2 2" xfId="35091"/>
    <cellStyle name="Normal 8 76 2 3" xfId="35092"/>
    <cellStyle name="Normal 8 76 3" xfId="35093"/>
    <cellStyle name="Normal 8 76 3 2" xfId="35094"/>
    <cellStyle name="Normal 8 76 3 3" xfId="35095"/>
    <cellStyle name="Normal 8 76 4" xfId="35096"/>
    <cellStyle name="Normal 8 76 5" xfId="35097"/>
    <cellStyle name="Normal 8 77" xfId="35098"/>
    <cellStyle name="Normal 8 77 2" xfId="35099"/>
    <cellStyle name="Normal 8 77 2 2" xfId="35100"/>
    <cellStyle name="Normal 8 77 2 3" xfId="35101"/>
    <cellStyle name="Normal 8 77 3" xfId="35102"/>
    <cellStyle name="Normal 8 77 3 2" xfId="35103"/>
    <cellStyle name="Normal 8 77 3 3" xfId="35104"/>
    <cellStyle name="Normal 8 77 4" xfId="35105"/>
    <cellStyle name="Normal 8 77 5" xfId="35106"/>
    <cellStyle name="Normal 8 78" xfId="35107"/>
    <cellStyle name="Normal 8 78 2" xfId="35108"/>
    <cellStyle name="Normal 8 78 3" xfId="35109"/>
    <cellStyle name="Normal 8 79" xfId="35110"/>
    <cellStyle name="Normal 8 79 2" xfId="35111"/>
    <cellStyle name="Normal 8 79 3" xfId="35112"/>
    <cellStyle name="Normal 8 8" xfId="35113"/>
    <cellStyle name="Normal 8 80" xfId="35114"/>
    <cellStyle name="Normal 8 81" xfId="35115"/>
    <cellStyle name="Normal 8 82" xfId="42903"/>
    <cellStyle name="Normal 8 9" xfId="35116"/>
    <cellStyle name="Normal 8_maycto" xfId="35117"/>
    <cellStyle name="Normal 80" xfId="35118"/>
    <cellStyle name="Normal 80 2" xfId="35119"/>
    <cellStyle name="Normal 80 2 2" xfId="35120"/>
    <cellStyle name="Normal 80 2 2 2" xfId="35121"/>
    <cellStyle name="Normal 80 2 2 2 2" xfId="35122"/>
    <cellStyle name="Normal 80 2 2 2 3" xfId="35123"/>
    <cellStyle name="Normal 80 2 2 3" xfId="35124"/>
    <cellStyle name="Normal 80 2 2 3 2" xfId="35125"/>
    <cellStyle name="Normal 80 2 2 3 3" xfId="35126"/>
    <cellStyle name="Normal 80 2 2 4" xfId="35127"/>
    <cellStyle name="Normal 80 2 2 5" xfId="35128"/>
    <cellStyle name="Normal 80 2 3" xfId="35129"/>
    <cellStyle name="Normal 80 2 3 2" xfId="35130"/>
    <cellStyle name="Normal 80 2 3 2 2" xfId="35131"/>
    <cellStyle name="Normal 80 2 3 2 3" xfId="35132"/>
    <cellStyle name="Normal 80 2 3 3" xfId="35133"/>
    <cellStyle name="Normal 80 2 3 3 2" xfId="35134"/>
    <cellStyle name="Normal 80 2 3 3 3" xfId="35135"/>
    <cellStyle name="Normal 80 2 3 4" xfId="35136"/>
    <cellStyle name="Normal 80 2 3 5" xfId="35137"/>
    <cellStyle name="Normal 80 2 4" xfId="35138"/>
    <cellStyle name="Normal 80 2 4 2" xfId="35139"/>
    <cellStyle name="Normal 80 2 4 3" xfId="35140"/>
    <cellStyle name="Normal 80 2 5" xfId="35141"/>
    <cellStyle name="Normal 80 2 5 2" xfId="35142"/>
    <cellStyle name="Normal 80 2 5 3" xfId="35143"/>
    <cellStyle name="Normal 80 2 6" xfId="35144"/>
    <cellStyle name="Normal 80 2 7" xfId="35145"/>
    <cellStyle name="Normal 80 3" xfId="35146"/>
    <cellStyle name="Normal 80 3 2" xfId="35147"/>
    <cellStyle name="Normal 80 3 2 2" xfId="35148"/>
    <cellStyle name="Normal 80 3 2 2 2" xfId="35149"/>
    <cellStyle name="Normal 80 3 2 2 3" xfId="35150"/>
    <cellStyle name="Normal 80 3 2 3" xfId="35151"/>
    <cellStyle name="Normal 80 3 2 3 2" xfId="35152"/>
    <cellStyle name="Normal 80 3 2 3 3" xfId="35153"/>
    <cellStyle name="Normal 80 3 2 4" xfId="35154"/>
    <cellStyle name="Normal 80 3 2 5" xfId="35155"/>
    <cellStyle name="Normal 80 3 3" xfId="35156"/>
    <cellStyle name="Normal 80 3 3 2" xfId="35157"/>
    <cellStyle name="Normal 80 3 3 2 2" xfId="35158"/>
    <cellStyle name="Normal 80 3 3 2 3" xfId="35159"/>
    <cellStyle name="Normal 80 3 3 3" xfId="35160"/>
    <cellStyle name="Normal 80 3 3 3 2" xfId="35161"/>
    <cellStyle name="Normal 80 3 3 3 3" xfId="35162"/>
    <cellStyle name="Normal 80 3 3 4" xfId="35163"/>
    <cellStyle name="Normal 80 3 3 5" xfId="35164"/>
    <cellStyle name="Normal 80 3 4" xfId="35165"/>
    <cellStyle name="Normal 80 3 4 2" xfId="35166"/>
    <cellStyle name="Normal 80 3 4 3" xfId="35167"/>
    <cellStyle name="Normal 80 3 5" xfId="35168"/>
    <cellStyle name="Normal 80 3 5 2" xfId="35169"/>
    <cellStyle name="Normal 80 3 5 3" xfId="35170"/>
    <cellStyle name="Normal 80 3 6" xfId="35171"/>
    <cellStyle name="Normal 80 3 7" xfId="35172"/>
    <cellStyle name="Normal 80 4" xfId="35173"/>
    <cellStyle name="Normal 80 4 2" xfId="35174"/>
    <cellStyle name="Normal 80 4 2 2" xfId="35175"/>
    <cellStyle name="Normal 80 4 2 3" xfId="35176"/>
    <cellStyle name="Normal 80 4 3" xfId="35177"/>
    <cellStyle name="Normal 80 4 3 2" xfId="35178"/>
    <cellStyle name="Normal 80 4 3 3" xfId="35179"/>
    <cellStyle name="Normal 80 4 4" xfId="35180"/>
    <cellStyle name="Normal 80 4 5" xfId="35181"/>
    <cellStyle name="Normal 80 5" xfId="35182"/>
    <cellStyle name="Normal 80 5 2" xfId="35183"/>
    <cellStyle name="Normal 80 5 2 2" xfId="35184"/>
    <cellStyle name="Normal 80 5 2 3" xfId="35185"/>
    <cellStyle name="Normal 80 5 3" xfId="35186"/>
    <cellStyle name="Normal 80 5 3 2" xfId="35187"/>
    <cellStyle name="Normal 80 5 3 3" xfId="35188"/>
    <cellStyle name="Normal 80 5 4" xfId="35189"/>
    <cellStyle name="Normal 80 5 5" xfId="35190"/>
    <cellStyle name="Normal 80 6" xfId="35191"/>
    <cellStyle name="Normal 80 6 2" xfId="35192"/>
    <cellStyle name="Normal 80 6 3" xfId="35193"/>
    <cellStyle name="Normal 80 7" xfId="35194"/>
    <cellStyle name="Normal 80 7 2" xfId="35195"/>
    <cellStyle name="Normal 80 7 3" xfId="35196"/>
    <cellStyle name="Normal 80 8" xfId="35197"/>
    <cellStyle name="Normal 80 9" xfId="35198"/>
    <cellStyle name="Normal 81" xfId="35199"/>
    <cellStyle name="Normal 81 10" xfId="35200"/>
    <cellStyle name="Normal 81 2" xfId="35201"/>
    <cellStyle name="Normal 81 2 2" xfId="35202"/>
    <cellStyle name="Normal 81 2 2 2" xfId="35203"/>
    <cellStyle name="Normal 81 2 2 2 2" xfId="35204"/>
    <cellStyle name="Normal 81 2 2 2 2 2" xfId="35205"/>
    <cellStyle name="Normal 81 2 2 2 2 3" xfId="35206"/>
    <cellStyle name="Normal 81 2 2 2 3" xfId="35207"/>
    <cellStyle name="Normal 81 2 2 2 3 2" xfId="35208"/>
    <cellStyle name="Normal 81 2 2 2 3 3" xfId="35209"/>
    <cellStyle name="Normal 81 2 2 2 4" xfId="35210"/>
    <cellStyle name="Normal 81 2 2 2 5" xfId="35211"/>
    <cellStyle name="Normal 81 2 2 3" xfId="35212"/>
    <cellStyle name="Normal 81 2 2 3 2" xfId="35213"/>
    <cellStyle name="Normal 81 2 2 3 2 2" xfId="35214"/>
    <cellStyle name="Normal 81 2 2 3 2 3" xfId="35215"/>
    <cellStyle name="Normal 81 2 2 3 3" xfId="35216"/>
    <cellStyle name="Normal 81 2 2 3 3 2" xfId="35217"/>
    <cellStyle name="Normal 81 2 2 3 3 3" xfId="35218"/>
    <cellStyle name="Normal 81 2 2 3 4" xfId="35219"/>
    <cellStyle name="Normal 81 2 2 3 5" xfId="35220"/>
    <cellStyle name="Normal 81 2 2 4" xfId="35221"/>
    <cellStyle name="Normal 81 2 2 4 2" xfId="35222"/>
    <cellStyle name="Normal 81 2 2 4 3" xfId="35223"/>
    <cellStyle name="Normal 81 2 2 5" xfId="35224"/>
    <cellStyle name="Normal 81 2 2 5 2" xfId="35225"/>
    <cellStyle name="Normal 81 2 2 5 3" xfId="35226"/>
    <cellStyle name="Normal 81 2 2 6" xfId="35227"/>
    <cellStyle name="Normal 81 2 2 7" xfId="35228"/>
    <cellStyle name="Normal 81 2 3" xfId="35229"/>
    <cellStyle name="Normal 81 2 3 2" xfId="35230"/>
    <cellStyle name="Normal 81 2 3 2 2" xfId="35231"/>
    <cellStyle name="Normal 81 2 3 2 2 2" xfId="35232"/>
    <cellStyle name="Normal 81 2 3 2 2 3" xfId="35233"/>
    <cellStyle name="Normal 81 2 3 2 3" xfId="35234"/>
    <cellStyle name="Normal 81 2 3 2 3 2" xfId="35235"/>
    <cellStyle name="Normal 81 2 3 2 3 3" xfId="35236"/>
    <cellStyle name="Normal 81 2 3 2 4" xfId="35237"/>
    <cellStyle name="Normal 81 2 3 2 5" xfId="35238"/>
    <cellStyle name="Normal 81 2 3 3" xfId="35239"/>
    <cellStyle name="Normal 81 2 3 3 2" xfId="35240"/>
    <cellStyle name="Normal 81 2 3 3 2 2" xfId="35241"/>
    <cellStyle name="Normal 81 2 3 3 2 3" xfId="35242"/>
    <cellStyle name="Normal 81 2 3 3 3" xfId="35243"/>
    <cellStyle name="Normal 81 2 3 3 3 2" xfId="35244"/>
    <cellStyle name="Normal 81 2 3 3 3 3" xfId="35245"/>
    <cellStyle name="Normal 81 2 3 3 4" xfId="35246"/>
    <cellStyle name="Normal 81 2 3 3 5" xfId="35247"/>
    <cellStyle name="Normal 81 2 3 4" xfId="35248"/>
    <cellStyle name="Normal 81 2 3 4 2" xfId="35249"/>
    <cellStyle name="Normal 81 2 3 4 3" xfId="35250"/>
    <cellStyle name="Normal 81 2 3 5" xfId="35251"/>
    <cellStyle name="Normal 81 2 3 5 2" xfId="35252"/>
    <cellStyle name="Normal 81 2 3 5 3" xfId="35253"/>
    <cellStyle name="Normal 81 2 3 6" xfId="35254"/>
    <cellStyle name="Normal 81 2 3 7" xfId="35255"/>
    <cellStyle name="Normal 81 2 4" xfId="35256"/>
    <cellStyle name="Normal 81 2 4 2" xfId="35257"/>
    <cellStyle name="Normal 81 2 4 2 2" xfId="35258"/>
    <cellStyle name="Normal 81 2 4 2 3" xfId="35259"/>
    <cellStyle name="Normal 81 2 4 3" xfId="35260"/>
    <cellStyle name="Normal 81 2 4 3 2" xfId="35261"/>
    <cellStyle name="Normal 81 2 4 3 3" xfId="35262"/>
    <cellStyle name="Normal 81 2 4 4" xfId="35263"/>
    <cellStyle name="Normal 81 2 4 5" xfId="35264"/>
    <cellStyle name="Normal 81 2 5" xfId="35265"/>
    <cellStyle name="Normal 81 2 5 2" xfId="35266"/>
    <cellStyle name="Normal 81 2 5 2 2" xfId="35267"/>
    <cellStyle name="Normal 81 2 5 2 3" xfId="35268"/>
    <cellStyle name="Normal 81 2 5 3" xfId="35269"/>
    <cellStyle name="Normal 81 2 5 3 2" xfId="35270"/>
    <cellStyle name="Normal 81 2 5 3 3" xfId="35271"/>
    <cellStyle name="Normal 81 2 5 4" xfId="35272"/>
    <cellStyle name="Normal 81 2 5 5" xfId="35273"/>
    <cellStyle name="Normal 81 2 6" xfId="35274"/>
    <cellStyle name="Normal 81 2 6 2" xfId="35275"/>
    <cellStyle name="Normal 81 2 6 3" xfId="35276"/>
    <cellStyle name="Normal 81 2 7" xfId="35277"/>
    <cellStyle name="Normal 81 2 7 2" xfId="35278"/>
    <cellStyle name="Normal 81 2 7 3" xfId="35279"/>
    <cellStyle name="Normal 81 2 8" xfId="35280"/>
    <cellStyle name="Normal 81 2 9" xfId="35281"/>
    <cellStyle name="Normal 81 3" xfId="35282"/>
    <cellStyle name="Normal 81 3 2" xfId="35283"/>
    <cellStyle name="Normal 81 3 2 2" xfId="35284"/>
    <cellStyle name="Normal 81 3 2 2 2" xfId="35285"/>
    <cellStyle name="Normal 81 3 2 2 3" xfId="35286"/>
    <cellStyle name="Normal 81 3 2 3" xfId="35287"/>
    <cellStyle name="Normal 81 3 2 3 2" xfId="35288"/>
    <cellStyle name="Normal 81 3 2 3 3" xfId="35289"/>
    <cellStyle name="Normal 81 3 2 4" xfId="35290"/>
    <cellStyle name="Normal 81 3 2 5" xfId="35291"/>
    <cellStyle name="Normal 81 3 3" xfId="35292"/>
    <cellStyle name="Normal 81 3 3 2" xfId="35293"/>
    <cellStyle name="Normal 81 3 3 2 2" xfId="35294"/>
    <cellStyle name="Normal 81 3 3 2 3" xfId="35295"/>
    <cellStyle name="Normal 81 3 3 3" xfId="35296"/>
    <cellStyle name="Normal 81 3 3 3 2" xfId="35297"/>
    <cellStyle name="Normal 81 3 3 3 3" xfId="35298"/>
    <cellStyle name="Normal 81 3 3 4" xfId="35299"/>
    <cellStyle name="Normal 81 3 3 5" xfId="35300"/>
    <cellStyle name="Normal 81 3 4" xfId="35301"/>
    <cellStyle name="Normal 81 3 4 2" xfId="35302"/>
    <cellStyle name="Normal 81 3 4 3" xfId="35303"/>
    <cellStyle name="Normal 81 3 5" xfId="35304"/>
    <cellStyle name="Normal 81 3 5 2" xfId="35305"/>
    <cellStyle name="Normal 81 3 5 3" xfId="35306"/>
    <cellStyle name="Normal 81 3 6" xfId="35307"/>
    <cellStyle name="Normal 81 3 7" xfId="35308"/>
    <cellStyle name="Normal 81 4" xfId="35309"/>
    <cellStyle name="Normal 81 4 2" xfId="35310"/>
    <cellStyle name="Normal 81 4 2 2" xfId="35311"/>
    <cellStyle name="Normal 81 4 2 2 2" xfId="35312"/>
    <cellStyle name="Normal 81 4 2 2 3" xfId="35313"/>
    <cellStyle name="Normal 81 4 2 3" xfId="35314"/>
    <cellStyle name="Normal 81 4 2 3 2" xfId="35315"/>
    <cellStyle name="Normal 81 4 2 3 3" xfId="35316"/>
    <cellStyle name="Normal 81 4 2 4" xfId="35317"/>
    <cellStyle name="Normal 81 4 2 5" xfId="35318"/>
    <cellStyle name="Normal 81 4 3" xfId="35319"/>
    <cellStyle name="Normal 81 4 3 2" xfId="35320"/>
    <cellStyle name="Normal 81 4 3 2 2" xfId="35321"/>
    <cellStyle name="Normal 81 4 3 2 3" xfId="35322"/>
    <cellStyle name="Normal 81 4 3 3" xfId="35323"/>
    <cellStyle name="Normal 81 4 3 3 2" xfId="35324"/>
    <cellStyle name="Normal 81 4 3 3 3" xfId="35325"/>
    <cellStyle name="Normal 81 4 3 4" xfId="35326"/>
    <cellStyle name="Normal 81 4 3 5" xfId="35327"/>
    <cellStyle name="Normal 81 4 4" xfId="35328"/>
    <cellStyle name="Normal 81 4 4 2" xfId="35329"/>
    <cellStyle name="Normal 81 4 4 3" xfId="35330"/>
    <cellStyle name="Normal 81 4 5" xfId="35331"/>
    <cellStyle name="Normal 81 4 5 2" xfId="35332"/>
    <cellStyle name="Normal 81 4 5 3" xfId="35333"/>
    <cellStyle name="Normal 81 4 6" xfId="35334"/>
    <cellStyle name="Normal 81 4 7" xfId="35335"/>
    <cellStyle name="Normal 81 5" xfId="35336"/>
    <cellStyle name="Normal 81 5 2" xfId="35337"/>
    <cellStyle name="Normal 81 5 2 2" xfId="35338"/>
    <cellStyle name="Normal 81 5 2 3" xfId="35339"/>
    <cellStyle name="Normal 81 5 3" xfId="35340"/>
    <cellStyle name="Normal 81 5 3 2" xfId="35341"/>
    <cellStyle name="Normal 81 5 3 3" xfId="35342"/>
    <cellStyle name="Normal 81 5 4" xfId="35343"/>
    <cellStyle name="Normal 81 5 5" xfId="35344"/>
    <cellStyle name="Normal 81 6" xfId="35345"/>
    <cellStyle name="Normal 81 6 2" xfId="35346"/>
    <cellStyle name="Normal 81 6 2 2" xfId="35347"/>
    <cellStyle name="Normal 81 6 2 3" xfId="35348"/>
    <cellStyle name="Normal 81 6 3" xfId="35349"/>
    <cellStyle name="Normal 81 6 3 2" xfId="35350"/>
    <cellStyle name="Normal 81 6 3 3" xfId="35351"/>
    <cellStyle name="Normal 81 6 4" xfId="35352"/>
    <cellStyle name="Normal 81 6 5" xfId="35353"/>
    <cellStyle name="Normal 81 7" xfId="35354"/>
    <cellStyle name="Normal 81 7 2" xfId="35355"/>
    <cellStyle name="Normal 81 7 3" xfId="35356"/>
    <cellStyle name="Normal 81 8" xfId="35357"/>
    <cellStyle name="Normal 81 8 2" xfId="35358"/>
    <cellStyle name="Normal 81 8 3" xfId="35359"/>
    <cellStyle name="Normal 81 9" xfId="35360"/>
    <cellStyle name="Normal 82" xfId="35361"/>
    <cellStyle name="Normal 82 10" xfId="35362"/>
    <cellStyle name="Normal 82 2" xfId="35363"/>
    <cellStyle name="Normal 82 2 2" xfId="35364"/>
    <cellStyle name="Normal 82 2 2 2" xfId="35365"/>
    <cellStyle name="Normal 82 2 2 2 2" xfId="35366"/>
    <cellStyle name="Normal 82 2 2 2 2 2" xfId="35367"/>
    <cellStyle name="Normal 82 2 2 2 2 3" xfId="35368"/>
    <cellStyle name="Normal 82 2 2 2 3" xfId="35369"/>
    <cellStyle name="Normal 82 2 2 2 3 2" xfId="35370"/>
    <cellStyle name="Normal 82 2 2 2 3 3" xfId="35371"/>
    <cellStyle name="Normal 82 2 2 2 4" xfId="35372"/>
    <cellStyle name="Normal 82 2 2 2 5" xfId="35373"/>
    <cellStyle name="Normal 82 2 2 3" xfId="35374"/>
    <cellStyle name="Normal 82 2 2 3 2" xfId="35375"/>
    <cellStyle name="Normal 82 2 2 3 2 2" xfId="35376"/>
    <cellStyle name="Normal 82 2 2 3 2 3" xfId="35377"/>
    <cellStyle name="Normal 82 2 2 3 3" xfId="35378"/>
    <cellStyle name="Normal 82 2 2 3 3 2" xfId="35379"/>
    <cellStyle name="Normal 82 2 2 3 3 3" xfId="35380"/>
    <cellStyle name="Normal 82 2 2 3 4" xfId="35381"/>
    <cellStyle name="Normal 82 2 2 3 5" xfId="35382"/>
    <cellStyle name="Normal 82 2 2 4" xfId="35383"/>
    <cellStyle name="Normal 82 2 2 4 2" xfId="35384"/>
    <cellStyle name="Normal 82 2 2 4 3" xfId="35385"/>
    <cellStyle name="Normal 82 2 2 5" xfId="35386"/>
    <cellStyle name="Normal 82 2 2 5 2" xfId="35387"/>
    <cellStyle name="Normal 82 2 2 5 3" xfId="35388"/>
    <cellStyle name="Normal 82 2 2 6" xfId="35389"/>
    <cellStyle name="Normal 82 2 2 7" xfId="35390"/>
    <cellStyle name="Normal 82 2 3" xfId="35391"/>
    <cellStyle name="Normal 82 2 3 2" xfId="35392"/>
    <cellStyle name="Normal 82 2 3 2 2" xfId="35393"/>
    <cellStyle name="Normal 82 2 3 2 2 2" xfId="35394"/>
    <cellStyle name="Normal 82 2 3 2 2 3" xfId="35395"/>
    <cellStyle name="Normal 82 2 3 2 3" xfId="35396"/>
    <cellStyle name="Normal 82 2 3 2 3 2" xfId="35397"/>
    <cellStyle name="Normal 82 2 3 2 3 3" xfId="35398"/>
    <cellStyle name="Normal 82 2 3 2 4" xfId="35399"/>
    <cellStyle name="Normal 82 2 3 2 5" xfId="35400"/>
    <cellStyle name="Normal 82 2 3 3" xfId="35401"/>
    <cellStyle name="Normal 82 2 3 3 2" xfId="35402"/>
    <cellStyle name="Normal 82 2 3 3 2 2" xfId="35403"/>
    <cellStyle name="Normal 82 2 3 3 2 3" xfId="35404"/>
    <cellStyle name="Normal 82 2 3 3 3" xfId="35405"/>
    <cellStyle name="Normal 82 2 3 3 3 2" xfId="35406"/>
    <cellStyle name="Normal 82 2 3 3 3 3" xfId="35407"/>
    <cellStyle name="Normal 82 2 3 3 4" xfId="35408"/>
    <cellStyle name="Normal 82 2 3 3 5" xfId="35409"/>
    <cellStyle name="Normal 82 2 3 4" xfId="35410"/>
    <cellStyle name="Normal 82 2 3 4 2" xfId="35411"/>
    <cellStyle name="Normal 82 2 3 4 3" xfId="35412"/>
    <cellStyle name="Normal 82 2 3 5" xfId="35413"/>
    <cellStyle name="Normal 82 2 3 5 2" xfId="35414"/>
    <cellStyle name="Normal 82 2 3 5 3" xfId="35415"/>
    <cellStyle name="Normal 82 2 3 6" xfId="35416"/>
    <cellStyle name="Normal 82 2 3 7" xfId="35417"/>
    <cellStyle name="Normal 82 2 4" xfId="35418"/>
    <cellStyle name="Normal 82 2 4 2" xfId="35419"/>
    <cellStyle name="Normal 82 2 4 2 2" xfId="35420"/>
    <cellStyle name="Normal 82 2 4 2 3" xfId="35421"/>
    <cellStyle name="Normal 82 2 4 3" xfId="35422"/>
    <cellStyle name="Normal 82 2 4 3 2" xfId="35423"/>
    <cellStyle name="Normal 82 2 4 3 3" xfId="35424"/>
    <cellStyle name="Normal 82 2 4 4" xfId="35425"/>
    <cellStyle name="Normal 82 2 4 5" xfId="35426"/>
    <cellStyle name="Normal 82 2 5" xfId="35427"/>
    <cellStyle name="Normal 82 2 5 2" xfId="35428"/>
    <cellStyle name="Normal 82 2 5 2 2" xfId="35429"/>
    <cellStyle name="Normal 82 2 5 2 3" xfId="35430"/>
    <cellStyle name="Normal 82 2 5 3" xfId="35431"/>
    <cellStyle name="Normal 82 2 5 3 2" xfId="35432"/>
    <cellStyle name="Normal 82 2 5 3 3" xfId="35433"/>
    <cellStyle name="Normal 82 2 5 4" xfId="35434"/>
    <cellStyle name="Normal 82 2 5 5" xfId="35435"/>
    <cellStyle name="Normal 82 2 6" xfId="35436"/>
    <cellStyle name="Normal 82 2 6 2" xfId="35437"/>
    <cellStyle name="Normal 82 2 6 3" xfId="35438"/>
    <cellStyle name="Normal 82 2 7" xfId="35439"/>
    <cellStyle name="Normal 82 2 7 2" xfId="35440"/>
    <cellStyle name="Normal 82 2 7 3" xfId="35441"/>
    <cellStyle name="Normal 82 2 8" xfId="35442"/>
    <cellStyle name="Normal 82 2 9" xfId="35443"/>
    <cellStyle name="Normal 82 3" xfId="35444"/>
    <cellStyle name="Normal 82 3 2" xfId="35445"/>
    <cellStyle name="Normal 82 3 2 2" xfId="35446"/>
    <cellStyle name="Normal 82 3 2 2 2" xfId="35447"/>
    <cellStyle name="Normal 82 3 2 2 3" xfId="35448"/>
    <cellStyle name="Normal 82 3 2 3" xfId="35449"/>
    <cellStyle name="Normal 82 3 2 3 2" xfId="35450"/>
    <cellStyle name="Normal 82 3 2 3 3" xfId="35451"/>
    <cellStyle name="Normal 82 3 2 4" xfId="35452"/>
    <cellStyle name="Normal 82 3 2 5" xfId="35453"/>
    <cellStyle name="Normal 82 3 3" xfId="35454"/>
    <cellStyle name="Normal 82 3 3 2" xfId="35455"/>
    <cellStyle name="Normal 82 3 3 2 2" xfId="35456"/>
    <cellStyle name="Normal 82 3 3 2 3" xfId="35457"/>
    <cellStyle name="Normal 82 3 3 3" xfId="35458"/>
    <cellStyle name="Normal 82 3 3 3 2" xfId="35459"/>
    <cellStyle name="Normal 82 3 3 3 3" xfId="35460"/>
    <cellStyle name="Normal 82 3 3 4" xfId="35461"/>
    <cellStyle name="Normal 82 3 3 5" xfId="35462"/>
    <cellStyle name="Normal 82 3 4" xfId="35463"/>
    <cellStyle name="Normal 82 3 4 2" xfId="35464"/>
    <cellStyle name="Normal 82 3 4 3" xfId="35465"/>
    <cellStyle name="Normal 82 3 5" xfId="35466"/>
    <cellStyle name="Normal 82 3 5 2" xfId="35467"/>
    <cellStyle name="Normal 82 3 5 3" xfId="35468"/>
    <cellStyle name="Normal 82 3 6" xfId="35469"/>
    <cellStyle name="Normal 82 3 7" xfId="35470"/>
    <cellStyle name="Normal 82 4" xfId="35471"/>
    <cellStyle name="Normal 82 4 2" xfId="35472"/>
    <cellStyle name="Normal 82 4 2 2" xfId="35473"/>
    <cellStyle name="Normal 82 4 2 2 2" xfId="35474"/>
    <cellStyle name="Normal 82 4 2 2 3" xfId="35475"/>
    <cellStyle name="Normal 82 4 2 3" xfId="35476"/>
    <cellStyle name="Normal 82 4 2 3 2" xfId="35477"/>
    <cellStyle name="Normal 82 4 2 3 3" xfId="35478"/>
    <cellStyle name="Normal 82 4 2 4" xfId="35479"/>
    <cellStyle name="Normal 82 4 2 5" xfId="35480"/>
    <cellStyle name="Normal 82 4 3" xfId="35481"/>
    <cellStyle name="Normal 82 4 3 2" xfId="35482"/>
    <cellStyle name="Normal 82 4 3 2 2" xfId="35483"/>
    <cellStyle name="Normal 82 4 3 2 3" xfId="35484"/>
    <cellStyle name="Normal 82 4 3 3" xfId="35485"/>
    <cellStyle name="Normal 82 4 3 3 2" xfId="35486"/>
    <cellStyle name="Normal 82 4 3 3 3" xfId="35487"/>
    <cellStyle name="Normal 82 4 3 4" xfId="35488"/>
    <cellStyle name="Normal 82 4 3 5" xfId="35489"/>
    <cellStyle name="Normal 82 4 4" xfId="35490"/>
    <cellStyle name="Normal 82 4 4 2" xfId="35491"/>
    <cellStyle name="Normal 82 4 4 3" xfId="35492"/>
    <cellStyle name="Normal 82 4 5" xfId="35493"/>
    <cellStyle name="Normal 82 4 5 2" xfId="35494"/>
    <cellStyle name="Normal 82 4 5 3" xfId="35495"/>
    <cellStyle name="Normal 82 4 6" xfId="35496"/>
    <cellStyle name="Normal 82 4 7" xfId="35497"/>
    <cellStyle name="Normal 82 5" xfId="35498"/>
    <cellStyle name="Normal 82 5 2" xfId="35499"/>
    <cellStyle name="Normal 82 5 2 2" xfId="35500"/>
    <cellStyle name="Normal 82 5 2 3" xfId="35501"/>
    <cellStyle name="Normal 82 5 3" xfId="35502"/>
    <cellStyle name="Normal 82 5 3 2" xfId="35503"/>
    <cellStyle name="Normal 82 5 3 3" xfId="35504"/>
    <cellStyle name="Normal 82 5 4" xfId="35505"/>
    <cellStyle name="Normal 82 5 5" xfId="35506"/>
    <cellStyle name="Normal 82 6" xfId="35507"/>
    <cellStyle name="Normal 82 6 2" xfId="35508"/>
    <cellStyle name="Normal 82 6 2 2" xfId="35509"/>
    <cellStyle name="Normal 82 6 2 3" xfId="35510"/>
    <cellStyle name="Normal 82 6 3" xfId="35511"/>
    <cellStyle name="Normal 82 6 3 2" xfId="35512"/>
    <cellStyle name="Normal 82 6 3 3" xfId="35513"/>
    <cellStyle name="Normal 82 6 4" xfId="35514"/>
    <cellStyle name="Normal 82 6 5" xfId="35515"/>
    <cellStyle name="Normal 82 7" xfId="35516"/>
    <cellStyle name="Normal 82 7 2" xfId="35517"/>
    <cellStyle name="Normal 82 7 3" xfId="35518"/>
    <cellStyle name="Normal 82 8" xfId="35519"/>
    <cellStyle name="Normal 82 8 2" xfId="35520"/>
    <cellStyle name="Normal 82 8 3" xfId="35521"/>
    <cellStyle name="Normal 82 9" xfId="35522"/>
    <cellStyle name="Normal 83" xfId="35523"/>
    <cellStyle name="Normal 83 10" xfId="35524"/>
    <cellStyle name="Normal 83 2" xfId="35525"/>
    <cellStyle name="Normal 83 2 2" xfId="35526"/>
    <cellStyle name="Normal 83 2 2 2" xfId="35527"/>
    <cellStyle name="Normal 83 2 2 2 2" xfId="35528"/>
    <cellStyle name="Normal 83 2 2 2 2 2" xfId="35529"/>
    <cellStyle name="Normal 83 2 2 2 2 3" xfId="35530"/>
    <cellStyle name="Normal 83 2 2 2 3" xfId="35531"/>
    <cellStyle name="Normal 83 2 2 2 3 2" xfId="35532"/>
    <cellStyle name="Normal 83 2 2 2 3 3" xfId="35533"/>
    <cellStyle name="Normal 83 2 2 2 4" xfId="35534"/>
    <cellStyle name="Normal 83 2 2 2 5" xfId="35535"/>
    <cellStyle name="Normal 83 2 2 3" xfId="35536"/>
    <cellStyle name="Normal 83 2 2 3 2" xfId="35537"/>
    <cellStyle name="Normal 83 2 2 3 2 2" xfId="35538"/>
    <cellStyle name="Normal 83 2 2 3 2 3" xfId="35539"/>
    <cellStyle name="Normal 83 2 2 3 3" xfId="35540"/>
    <cellStyle name="Normal 83 2 2 3 3 2" xfId="35541"/>
    <cellStyle name="Normal 83 2 2 3 3 3" xfId="35542"/>
    <cellStyle name="Normal 83 2 2 3 4" xfId="35543"/>
    <cellStyle name="Normal 83 2 2 3 5" xfId="35544"/>
    <cellStyle name="Normal 83 2 2 4" xfId="35545"/>
    <cellStyle name="Normal 83 2 2 4 2" xfId="35546"/>
    <cellStyle name="Normal 83 2 2 4 3" xfId="35547"/>
    <cellStyle name="Normal 83 2 2 5" xfId="35548"/>
    <cellStyle name="Normal 83 2 2 5 2" xfId="35549"/>
    <cellStyle name="Normal 83 2 2 5 3" xfId="35550"/>
    <cellStyle name="Normal 83 2 2 6" xfId="35551"/>
    <cellStyle name="Normal 83 2 2 7" xfId="35552"/>
    <cellStyle name="Normal 83 2 3" xfId="35553"/>
    <cellStyle name="Normal 83 2 3 2" xfId="35554"/>
    <cellStyle name="Normal 83 2 3 2 2" xfId="35555"/>
    <cellStyle name="Normal 83 2 3 2 2 2" xfId="35556"/>
    <cellStyle name="Normal 83 2 3 2 2 3" xfId="35557"/>
    <cellStyle name="Normal 83 2 3 2 3" xfId="35558"/>
    <cellStyle name="Normal 83 2 3 2 3 2" xfId="35559"/>
    <cellStyle name="Normal 83 2 3 2 3 3" xfId="35560"/>
    <cellStyle name="Normal 83 2 3 2 4" xfId="35561"/>
    <cellStyle name="Normal 83 2 3 2 5" xfId="35562"/>
    <cellStyle name="Normal 83 2 3 3" xfId="35563"/>
    <cellStyle name="Normal 83 2 3 3 2" xfId="35564"/>
    <cellStyle name="Normal 83 2 3 3 2 2" xfId="35565"/>
    <cellStyle name="Normal 83 2 3 3 2 3" xfId="35566"/>
    <cellStyle name="Normal 83 2 3 3 3" xfId="35567"/>
    <cellStyle name="Normal 83 2 3 3 3 2" xfId="35568"/>
    <cellStyle name="Normal 83 2 3 3 3 3" xfId="35569"/>
    <cellStyle name="Normal 83 2 3 3 4" xfId="35570"/>
    <cellStyle name="Normal 83 2 3 3 5" xfId="35571"/>
    <cellStyle name="Normal 83 2 3 4" xfId="35572"/>
    <cellStyle name="Normal 83 2 3 4 2" xfId="35573"/>
    <cellStyle name="Normal 83 2 3 4 3" xfId="35574"/>
    <cellStyle name="Normal 83 2 3 5" xfId="35575"/>
    <cellStyle name="Normal 83 2 3 5 2" xfId="35576"/>
    <cellStyle name="Normal 83 2 3 5 3" xfId="35577"/>
    <cellStyle name="Normal 83 2 3 6" xfId="35578"/>
    <cellStyle name="Normal 83 2 3 7" xfId="35579"/>
    <cellStyle name="Normal 83 2 4" xfId="35580"/>
    <cellStyle name="Normal 83 2 4 2" xfId="35581"/>
    <cellStyle name="Normal 83 2 4 2 2" xfId="35582"/>
    <cellStyle name="Normal 83 2 4 2 3" xfId="35583"/>
    <cellStyle name="Normal 83 2 4 3" xfId="35584"/>
    <cellStyle name="Normal 83 2 4 3 2" xfId="35585"/>
    <cellStyle name="Normal 83 2 4 3 3" xfId="35586"/>
    <cellStyle name="Normal 83 2 4 4" xfId="35587"/>
    <cellStyle name="Normal 83 2 4 5" xfId="35588"/>
    <cellStyle name="Normal 83 2 5" xfId="35589"/>
    <cellStyle name="Normal 83 2 5 2" xfId="35590"/>
    <cellStyle name="Normal 83 2 5 2 2" xfId="35591"/>
    <cellStyle name="Normal 83 2 5 2 3" xfId="35592"/>
    <cellStyle name="Normal 83 2 5 3" xfId="35593"/>
    <cellStyle name="Normal 83 2 5 3 2" xfId="35594"/>
    <cellStyle name="Normal 83 2 5 3 3" xfId="35595"/>
    <cellStyle name="Normal 83 2 5 4" xfId="35596"/>
    <cellStyle name="Normal 83 2 5 5" xfId="35597"/>
    <cellStyle name="Normal 83 2 6" xfId="35598"/>
    <cellStyle name="Normal 83 2 6 2" xfId="35599"/>
    <cellStyle name="Normal 83 2 6 3" xfId="35600"/>
    <cellStyle name="Normal 83 2 7" xfId="35601"/>
    <cellStyle name="Normal 83 2 7 2" xfId="35602"/>
    <cellStyle name="Normal 83 2 7 3" xfId="35603"/>
    <cellStyle name="Normal 83 2 8" xfId="35604"/>
    <cellStyle name="Normal 83 2 9" xfId="35605"/>
    <cellStyle name="Normal 83 3" xfId="35606"/>
    <cellStyle name="Normal 83 3 2" xfId="35607"/>
    <cellStyle name="Normal 83 3 2 2" xfId="35608"/>
    <cellStyle name="Normal 83 3 2 2 2" xfId="35609"/>
    <cellStyle name="Normal 83 3 2 2 3" xfId="35610"/>
    <cellStyle name="Normal 83 3 2 3" xfId="35611"/>
    <cellStyle name="Normal 83 3 2 3 2" xfId="35612"/>
    <cellStyle name="Normal 83 3 2 3 3" xfId="35613"/>
    <cellStyle name="Normal 83 3 2 4" xfId="35614"/>
    <cellStyle name="Normal 83 3 2 5" xfId="35615"/>
    <cellStyle name="Normal 83 3 3" xfId="35616"/>
    <cellStyle name="Normal 83 3 3 2" xfId="35617"/>
    <cellStyle name="Normal 83 3 3 2 2" xfId="35618"/>
    <cellStyle name="Normal 83 3 3 2 3" xfId="35619"/>
    <cellStyle name="Normal 83 3 3 3" xfId="35620"/>
    <cellStyle name="Normal 83 3 3 3 2" xfId="35621"/>
    <cellStyle name="Normal 83 3 3 3 3" xfId="35622"/>
    <cellStyle name="Normal 83 3 3 4" xfId="35623"/>
    <cellStyle name="Normal 83 3 3 5" xfId="35624"/>
    <cellStyle name="Normal 83 3 4" xfId="35625"/>
    <cellStyle name="Normal 83 3 4 2" xfId="35626"/>
    <cellStyle name="Normal 83 3 4 3" xfId="35627"/>
    <cellStyle name="Normal 83 3 5" xfId="35628"/>
    <cellStyle name="Normal 83 3 5 2" xfId="35629"/>
    <cellStyle name="Normal 83 3 5 3" xfId="35630"/>
    <cellStyle name="Normal 83 3 6" xfId="35631"/>
    <cellStyle name="Normal 83 3 7" xfId="35632"/>
    <cellStyle name="Normal 83 4" xfId="35633"/>
    <cellStyle name="Normal 83 4 2" xfId="35634"/>
    <cellStyle name="Normal 83 4 2 2" xfId="35635"/>
    <cellStyle name="Normal 83 4 2 2 2" xfId="35636"/>
    <cellStyle name="Normal 83 4 2 2 3" xfId="35637"/>
    <cellStyle name="Normal 83 4 2 3" xfId="35638"/>
    <cellStyle name="Normal 83 4 2 3 2" xfId="35639"/>
    <cellStyle name="Normal 83 4 2 3 3" xfId="35640"/>
    <cellStyle name="Normal 83 4 2 4" xfId="35641"/>
    <cellStyle name="Normal 83 4 2 5" xfId="35642"/>
    <cellStyle name="Normal 83 4 3" xfId="35643"/>
    <cellStyle name="Normal 83 4 3 2" xfId="35644"/>
    <cellStyle name="Normal 83 4 3 2 2" xfId="35645"/>
    <cellStyle name="Normal 83 4 3 2 3" xfId="35646"/>
    <cellStyle name="Normal 83 4 3 3" xfId="35647"/>
    <cellStyle name="Normal 83 4 3 3 2" xfId="35648"/>
    <cellStyle name="Normal 83 4 3 3 3" xfId="35649"/>
    <cellStyle name="Normal 83 4 3 4" xfId="35650"/>
    <cellStyle name="Normal 83 4 3 5" xfId="35651"/>
    <cellStyle name="Normal 83 4 4" xfId="35652"/>
    <cellStyle name="Normal 83 4 4 2" xfId="35653"/>
    <cellStyle name="Normal 83 4 4 3" xfId="35654"/>
    <cellStyle name="Normal 83 4 5" xfId="35655"/>
    <cellStyle name="Normal 83 4 5 2" xfId="35656"/>
    <cellStyle name="Normal 83 4 5 3" xfId="35657"/>
    <cellStyle name="Normal 83 4 6" xfId="35658"/>
    <cellStyle name="Normal 83 4 7" xfId="35659"/>
    <cellStyle name="Normal 83 5" xfId="35660"/>
    <cellStyle name="Normal 83 5 2" xfId="35661"/>
    <cellStyle name="Normal 83 5 2 2" xfId="35662"/>
    <cellStyle name="Normal 83 5 2 3" xfId="35663"/>
    <cellStyle name="Normal 83 5 3" xfId="35664"/>
    <cellStyle name="Normal 83 5 3 2" xfId="35665"/>
    <cellStyle name="Normal 83 5 3 3" xfId="35666"/>
    <cellStyle name="Normal 83 5 4" xfId="35667"/>
    <cellStyle name="Normal 83 5 5" xfId="35668"/>
    <cellStyle name="Normal 83 6" xfId="35669"/>
    <cellStyle name="Normal 83 6 2" xfId="35670"/>
    <cellStyle name="Normal 83 6 2 2" xfId="35671"/>
    <cellStyle name="Normal 83 6 2 3" xfId="35672"/>
    <cellStyle name="Normal 83 6 3" xfId="35673"/>
    <cellStyle name="Normal 83 6 3 2" xfId="35674"/>
    <cellStyle name="Normal 83 6 3 3" xfId="35675"/>
    <cellStyle name="Normal 83 6 4" xfId="35676"/>
    <cellStyle name="Normal 83 6 5" xfId="35677"/>
    <cellStyle name="Normal 83 7" xfId="35678"/>
    <cellStyle name="Normal 83 7 2" xfId="35679"/>
    <cellStyle name="Normal 83 7 3" xfId="35680"/>
    <cellStyle name="Normal 83 8" xfId="35681"/>
    <cellStyle name="Normal 83 8 2" xfId="35682"/>
    <cellStyle name="Normal 83 8 3" xfId="35683"/>
    <cellStyle name="Normal 83 9" xfId="35684"/>
    <cellStyle name="Normal 84" xfId="35685"/>
    <cellStyle name="Normal 84 10" xfId="35686"/>
    <cellStyle name="Normal 84 2" xfId="35687"/>
    <cellStyle name="Normal 84 2 2" xfId="35688"/>
    <cellStyle name="Normal 84 2 2 2" xfId="35689"/>
    <cellStyle name="Normal 84 2 2 2 2" xfId="35690"/>
    <cellStyle name="Normal 84 2 2 2 2 2" xfId="35691"/>
    <cellStyle name="Normal 84 2 2 2 2 3" xfId="35692"/>
    <cellStyle name="Normal 84 2 2 2 3" xfId="35693"/>
    <cellStyle name="Normal 84 2 2 2 3 2" xfId="35694"/>
    <cellStyle name="Normal 84 2 2 2 3 3" xfId="35695"/>
    <cellStyle name="Normal 84 2 2 2 4" xfId="35696"/>
    <cellStyle name="Normal 84 2 2 2 5" xfId="35697"/>
    <cellStyle name="Normal 84 2 2 3" xfId="35698"/>
    <cellStyle name="Normal 84 2 2 3 2" xfId="35699"/>
    <cellStyle name="Normal 84 2 2 3 2 2" xfId="35700"/>
    <cellStyle name="Normal 84 2 2 3 2 3" xfId="35701"/>
    <cellStyle name="Normal 84 2 2 3 3" xfId="35702"/>
    <cellStyle name="Normal 84 2 2 3 3 2" xfId="35703"/>
    <cellStyle name="Normal 84 2 2 3 3 3" xfId="35704"/>
    <cellStyle name="Normal 84 2 2 3 4" xfId="35705"/>
    <cellStyle name="Normal 84 2 2 3 5" xfId="35706"/>
    <cellStyle name="Normal 84 2 2 4" xfId="35707"/>
    <cellStyle name="Normal 84 2 2 4 2" xfId="35708"/>
    <cellStyle name="Normal 84 2 2 4 3" xfId="35709"/>
    <cellStyle name="Normal 84 2 2 5" xfId="35710"/>
    <cellStyle name="Normal 84 2 2 5 2" xfId="35711"/>
    <cellStyle name="Normal 84 2 2 5 3" xfId="35712"/>
    <cellStyle name="Normal 84 2 2 6" xfId="35713"/>
    <cellStyle name="Normal 84 2 2 7" xfId="35714"/>
    <cellStyle name="Normal 84 2 3" xfId="35715"/>
    <cellStyle name="Normal 84 2 3 2" xfId="35716"/>
    <cellStyle name="Normal 84 2 3 2 2" xfId="35717"/>
    <cellStyle name="Normal 84 2 3 2 2 2" xfId="35718"/>
    <cellStyle name="Normal 84 2 3 2 2 3" xfId="35719"/>
    <cellStyle name="Normal 84 2 3 2 3" xfId="35720"/>
    <cellStyle name="Normal 84 2 3 2 3 2" xfId="35721"/>
    <cellStyle name="Normal 84 2 3 2 3 3" xfId="35722"/>
    <cellStyle name="Normal 84 2 3 2 4" xfId="35723"/>
    <cellStyle name="Normal 84 2 3 2 5" xfId="35724"/>
    <cellStyle name="Normal 84 2 3 3" xfId="35725"/>
    <cellStyle name="Normal 84 2 3 3 2" xfId="35726"/>
    <cellStyle name="Normal 84 2 3 3 2 2" xfId="35727"/>
    <cellStyle name="Normal 84 2 3 3 2 3" xfId="35728"/>
    <cellStyle name="Normal 84 2 3 3 3" xfId="35729"/>
    <cellStyle name="Normal 84 2 3 3 3 2" xfId="35730"/>
    <cellStyle name="Normal 84 2 3 3 3 3" xfId="35731"/>
    <cellStyle name="Normal 84 2 3 3 4" xfId="35732"/>
    <cellStyle name="Normal 84 2 3 3 5" xfId="35733"/>
    <cellStyle name="Normal 84 2 3 4" xfId="35734"/>
    <cellStyle name="Normal 84 2 3 4 2" xfId="35735"/>
    <cellStyle name="Normal 84 2 3 4 3" xfId="35736"/>
    <cellStyle name="Normal 84 2 3 5" xfId="35737"/>
    <cellStyle name="Normal 84 2 3 5 2" xfId="35738"/>
    <cellStyle name="Normal 84 2 3 5 3" xfId="35739"/>
    <cellStyle name="Normal 84 2 3 6" xfId="35740"/>
    <cellStyle name="Normal 84 2 3 7" xfId="35741"/>
    <cellStyle name="Normal 84 2 4" xfId="35742"/>
    <cellStyle name="Normal 84 2 4 2" xfId="35743"/>
    <cellStyle name="Normal 84 2 4 2 2" xfId="35744"/>
    <cellStyle name="Normal 84 2 4 2 3" xfId="35745"/>
    <cellStyle name="Normal 84 2 4 3" xfId="35746"/>
    <cellStyle name="Normal 84 2 4 3 2" xfId="35747"/>
    <cellStyle name="Normal 84 2 4 3 3" xfId="35748"/>
    <cellStyle name="Normal 84 2 4 4" xfId="35749"/>
    <cellStyle name="Normal 84 2 4 5" xfId="35750"/>
    <cellStyle name="Normal 84 2 5" xfId="35751"/>
    <cellStyle name="Normal 84 2 5 2" xfId="35752"/>
    <cellStyle name="Normal 84 2 5 2 2" xfId="35753"/>
    <cellStyle name="Normal 84 2 5 2 3" xfId="35754"/>
    <cellStyle name="Normal 84 2 5 3" xfId="35755"/>
    <cellStyle name="Normal 84 2 5 3 2" xfId="35756"/>
    <cellStyle name="Normal 84 2 5 3 3" xfId="35757"/>
    <cellStyle name="Normal 84 2 5 4" xfId="35758"/>
    <cellStyle name="Normal 84 2 5 5" xfId="35759"/>
    <cellStyle name="Normal 84 2 6" xfId="35760"/>
    <cellStyle name="Normal 84 2 6 2" xfId="35761"/>
    <cellStyle name="Normal 84 2 6 3" xfId="35762"/>
    <cellStyle name="Normal 84 2 7" xfId="35763"/>
    <cellStyle name="Normal 84 2 7 2" xfId="35764"/>
    <cellStyle name="Normal 84 2 7 3" xfId="35765"/>
    <cellStyle name="Normal 84 2 8" xfId="35766"/>
    <cellStyle name="Normal 84 2 9" xfId="35767"/>
    <cellStyle name="Normal 84 3" xfId="35768"/>
    <cellStyle name="Normal 84 3 2" xfId="35769"/>
    <cellStyle name="Normal 84 3 2 2" xfId="35770"/>
    <cellStyle name="Normal 84 3 2 2 2" xfId="35771"/>
    <cellStyle name="Normal 84 3 2 2 3" xfId="35772"/>
    <cellStyle name="Normal 84 3 2 3" xfId="35773"/>
    <cellStyle name="Normal 84 3 2 3 2" xfId="35774"/>
    <cellStyle name="Normal 84 3 2 3 3" xfId="35775"/>
    <cellStyle name="Normal 84 3 2 4" xfId="35776"/>
    <cellStyle name="Normal 84 3 2 5" xfId="35777"/>
    <cellStyle name="Normal 84 3 3" xfId="35778"/>
    <cellStyle name="Normal 84 3 3 2" xfId="35779"/>
    <cellStyle name="Normal 84 3 3 2 2" xfId="35780"/>
    <cellStyle name="Normal 84 3 3 2 3" xfId="35781"/>
    <cellStyle name="Normal 84 3 3 3" xfId="35782"/>
    <cellStyle name="Normal 84 3 3 3 2" xfId="35783"/>
    <cellStyle name="Normal 84 3 3 3 3" xfId="35784"/>
    <cellStyle name="Normal 84 3 3 4" xfId="35785"/>
    <cellStyle name="Normal 84 3 3 5" xfId="35786"/>
    <cellStyle name="Normal 84 3 4" xfId="35787"/>
    <cellStyle name="Normal 84 3 4 2" xfId="35788"/>
    <cellStyle name="Normal 84 3 4 3" xfId="35789"/>
    <cellStyle name="Normal 84 3 5" xfId="35790"/>
    <cellStyle name="Normal 84 3 5 2" xfId="35791"/>
    <cellStyle name="Normal 84 3 5 3" xfId="35792"/>
    <cellStyle name="Normal 84 3 6" xfId="35793"/>
    <cellStyle name="Normal 84 3 7" xfId="35794"/>
    <cellStyle name="Normal 84 4" xfId="35795"/>
    <cellStyle name="Normal 84 4 2" xfId="35796"/>
    <cellStyle name="Normal 84 4 2 2" xfId="35797"/>
    <cellStyle name="Normal 84 4 2 2 2" xfId="35798"/>
    <cellStyle name="Normal 84 4 2 2 3" xfId="35799"/>
    <cellStyle name="Normal 84 4 2 3" xfId="35800"/>
    <cellStyle name="Normal 84 4 2 3 2" xfId="35801"/>
    <cellStyle name="Normal 84 4 2 3 3" xfId="35802"/>
    <cellStyle name="Normal 84 4 2 4" xfId="35803"/>
    <cellStyle name="Normal 84 4 2 5" xfId="35804"/>
    <cellStyle name="Normal 84 4 3" xfId="35805"/>
    <cellStyle name="Normal 84 4 3 2" xfId="35806"/>
    <cellStyle name="Normal 84 4 3 2 2" xfId="35807"/>
    <cellStyle name="Normal 84 4 3 2 3" xfId="35808"/>
    <cellStyle name="Normal 84 4 3 3" xfId="35809"/>
    <cellStyle name="Normal 84 4 3 3 2" xfId="35810"/>
    <cellStyle name="Normal 84 4 3 3 3" xfId="35811"/>
    <cellStyle name="Normal 84 4 3 4" xfId="35812"/>
    <cellStyle name="Normal 84 4 3 5" xfId="35813"/>
    <cellStyle name="Normal 84 4 4" xfId="35814"/>
    <cellStyle name="Normal 84 4 4 2" xfId="35815"/>
    <cellStyle name="Normal 84 4 4 3" xfId="35816"/>
    <cellStyle name="Normal 84 4 5" xfId="35817"/>
    <cellStyle name="Normal 84 4 5 2" xfId="35818"/>
    <cellStyle name="Normal 84 4 5 3" xfId="35819"/>
    <cellStyle name="Normal 84 4 6" xfId="35820"/>
    <cellStyle name="Normal 84 4 7" xfId="35821"/>
    <cellStyle name="Normal 84 5" xfId="35822"/>
    <cellStyle name="Normal 84 5 2" xfId="35823"/>
    <cellStyle name="Normal 84 5 2 2" xfId="35824"/>
    <cellStyle name="Normal 84 5 2 3" xfId="35825"/>
    <cellStyle name="Normal 84 5 3" xfId="35826"/>
    <cellStyle name="Normal 84 5 3 2" xfId="35827"/>
    <cellStyle name="Normal 84 5 3 3" xfId="35828"/>
    <cellStyle name="Normal 84 5 4" xfId="35829"/>
    <cellStyle name="Normal 84 5 5" xfId="35830"/>
    <cellStyle name="Normal 84 6" xfId="35831"/>
    <cellStyle name="Normal 84 6 2" xfId="35832"/>
    <cellStyle name="Normal 84 6 2 2" xfId="35833"/>
    <cellStyle name="Normal 84 6 2 3" xfId="35834"/>
    <cellStyle name="Normal 84 6 3" xfId="35835"/>
    <cellStyle name="Normal 84 6 3 2" xfId="35836"/>
    <cellStyle name="Normal 84 6 3 3" xfId="35837"/>
    <cellStyle name="Normal 84 6 4" xfId="35838"/>
    <cellStyle name="Normal 84 6 5" xfId="35839"/>
    <cellStyle name="Normal 84 7" xfId="35840"/>
    <cellStyle name="Normal 84 7 2" xfId="35841"/>
    <cellStyle name="Normal 84 7 3" xfId="35842"/>
    <cellStyle name="Normal 84 8" xfId="35843"/>
    <cellStyle name="Normal 84 8 2" xfId="35844"/>
    <cellStyle name="Normal 84 8 3" xfId="35845"/>
    <cellStyle name="Normal 84 9" xfId="35846"/>
    <cellStyle name="Normal 85" xfId="35847"/>
    <cellStyle name="Normal 86" xfId="35848"/>
    <cellStyle name="Normal 87" xfId="35849"/>
    <cellStyle name="Normal 87 2" xfId="35850"/>
    <cellStyle name="Normal 87 3" xfId="35851"/>
    <cellStyle name="Normal 88" xfId="35852"/>
    <cellStyle name="Normal 88 2" xfId="35853"/>
    <cellStyle name="Normal 88 3" xfId="35854"/>
    <cellStyle name="Normal 89" xfId="35855"/>
    <cellStyle name="Normal 89 2" xfId="35856"/>
    <cellStyle name="Normal 89 3" xfId="35857"/>
    <cellStyle name="Normal 9" xfId="35858"/>
    <cellStyle name="Normal 9 10" xfId="35859"/>
    <cellStyle name="Normal 9 11" xfId="35860"/>
    <cellStyle name="Normal 9 12" xfId="35861"/>
    <cellStyle name="Normal 9 13" xfId="35862"/>
    <cellStyle name="Normal 9 14" xfId="35863"/>
    <cellStyle name="Normal 9 15" xfId="35864"/>
    <cellStyle name="Normal 9 16" xfId="35865"/>
    <cellStyle name="Normal 9 17" xfId="35866"/>
    <cellStyle name="Normal 9 18" xfId="35867"/>
    <cellStyle name="Normal 9 19" xfId="35868"/>
    <cellStyle name="Normal 9 2" xfId="35869"/>
    <cellStyle name="Normal 9 2 2" xfId="35870"/>
    <cellStyle name="Normal 9 2 2 2" xfId="35871"/>
    <cellStyle name="Normal 9 2 2 2 2" xfId="35872"/>
    <cellStyle name="Normal 9 2 2 2 2 2" xfId="35873"/>
    <cellStyle name="Normal 9 2 2 2 2 2 2" xfId="35874"/>
    <cellStyle name="Normal 9 2 2 2 2 2 2 2" xfId="35875"/>
    <cellStyle name="Normal 9 2 2 2 2 2 2 3" xfId="35876"/>
    <cellStyle name="Normal 9 2 2 2 2 2 3" xfId="35877"/>
    <cellStyle name="Normal 9 2 2 2 2 2 3 2" xfId="35878"/>
    <cellStyle name="Normal 9 2 2 2 2 2 3 3" xfId="35879"/>
    <cellStyle name="Normal 9 2 2 2 2 2 4" xfId="35880"/>
    <cellStyle name="Normal 9 2 2 2 2 2 5" xfId="35881"/>
    <cellStyle name="Normal 9 2 2 2 2 3" xfId="35882"/>
    <cellStyle name="Normal 9 2 2 2 2 3 2" xfId="35883"/>
    <cellStyle name="Normal 9 2 2 2 2 3 2 2" xfId="35884"/>
    <cellStyle name="Normal 9 2 2 2 2 3 2 3" xfId="35885"/>
    <cellStyle name="Normal 9 2 2 2 2 3 3" xfId="35886"/>
    <cellStyle name="Normal 9 2 2 2 2 3 3 2" xfId="35887"/>
    <cellStyle name="Normal 9 2 2 2 2 3 3 3" xfId="35888"/>
    <cellStyle name="Normal 9 2 2 2 2 3 4" xfId="35889"/>
    <cellStyle name="Normal 9 2 2 2 2 3 5" xfId="35890"/>
    <cellStyle name="Normal 9 2 2 2 2 4" xfId="35891"/>
    <cellStyle name="Normal 9 2 2 2 2 4 2" xfId="35892"/>
    <cellStyle name="Normal 9 2 2 2 2 4 3" xfId="35893"/>
    <cellStyle name="Normal 9 2 2 2 2 5" xfId="35894"/>
    <cellStyle name="Normal 9 2 2 2 2 5 2" xfId="35895"/>
    <cellStyle name="Normal 9 2 2 2 2 5 3" xfId="35896"/>
    <cellStyle name="Normal 9 2 2 2 2 6" xfId="35897"/>
    <cellStyle name="Normal 9 2 2 2 2 7" xfId="35898"/>
    <cellStyle name="Normal 9 2 2 2 3" xfId="35899"/>
    <cellStyle name="Normal 9 2 2 2 3 2" xfId="35900"/>
    <cellStyle name="Normal 9 2 2 2 3 2 2" xfId="35901"/>
    <cellStyle name="Normal 9 2 2 2 3 2 2 2" xfId="35902"/>
    <cellStyle name="Normal 9 2 2 2 3 2 2 3" xfId="35903"/>
    <cellStyle name="Normal 9 2 2 2 3 2 3" xfId="35904"/>
    <cellStyle name="Normal 9 2 2 2 3 2 3 2" xfId="35905"/>
    <cellStyle name="Normal 9 2 2 2 3 2 3 3" xfId="35906"/>
    <cellStyle name="Normal 9 2 2 2 3 2 4" xfId="35907"/>
    <cellStyle name="Normal 9 2 2 2 3 2 5" xfId="35908"/>
    <cellStyle name="Normal 9 2 2 2 3 3" xfId="35909"/>
    <cellStyle name="Normal 9 2 2 2 3 3 2" xfId="35910"/>
    <cellStyle name="Normal 9 2 2 2 3 3 2 2" xfId="35911"/>
    <cellStyle name="Normal 9 2 2 2 3 3 2 3" xfId="35912"/>
    <cellStyle name="Normal 9 2 2 2 3 3 3" xfId="35913"/>
    <cellStyle name="Normal 9 2 2 2 3 3 3 2" xfId="35914"/>
    <cellStyle name="Normal 9 2 2 2 3 3 3 3" xfId="35915"/>
    <cellStyle name="Normal 9 2 2 2 3 3 4" xfId="35916"/>
    <cellStyle name="Normal 9 2 2 2 3 3 5" xfId="35917"/>
    <cellStyle name="Normal 9 2 2 2 3 4" xfId="35918"/>
    <cellStyle name="Normal 9 2 2 2 3 4 2" xfId="35919"/>
    <cellStyle name="Normal 9 2 2 2 3 4 3" xfId="35920"/>
    <cellStyle name="Normal 9 2 2 2 3 5" xfId="35921"/>
    <cellStyle name="Normal 9 2 2 2 3 5 2" xfId="35922"/>
    <cellStyle name="Normal 9 2 2 2 3 5 3" xfId="35923"/>
    <cellStyle name="Normal 9 2 2 2 3 6" xfId="35924"/>
    <cellStyle name="Normal 9 2 2 2 3 7" xfId="35925"/>
    <cellStyle name="Normal 9 2 2 2 4" xfId="35926"/>
    <cellStyle name="Normal 9 2 2 2 4 2" xfId="35927"/>
    <cellStyle name="Normal 9 2 2 2 4 2 2" xfId="35928"/>
    <cellStyle name="Normal 9 2 2 2 4 2 3" xfId="35929"/>
    <cellStyle name="Normal 9 2 2 2 4 3" xfId="35930"/>
    <cellStyle name="Normal 9 2 2 2 4 3 2" xfId="35931"/>
    <cellStyle name="Normal 9 2 2 2 4 3 3" xfId="35932"/>
    <cellStyle name="Normal 9 2 2 2 4 4" xfId="35933"/>
    <cellStyle name="Normal 9 2 2 2 4 5" xfId="35934"/>
    <cellStyle name="Normal 9 2 2 2 5" xfId="35935"/>
    <cellStyle name="Normal 9 2 2 2 5 2" xfId="35936"/>
    <cellStyle name="Normal 9 2 2 2 5 2 2" xfId="35937"/>
    <cellStyle name="Normal 9 2 2 2 5 2 3" xfId="35938"/>
    <cellStyle name="Normal 9 2 2 2 5 3" xfId="35939"/>
    <cellStyle name="Normal 9 2 2 2 5 3 2" xfId="35940"/>
    <cellStyle name="Normal 9 2 2 2 5 3 3" xfId="35941"/>
    <cellStyle name="Normal 9 2 2 2 5 4" xfId="35942"/>
    <cellStyle name="Normal 9 2 2 2 5 5" xfId="35943"/>
    <cellStyle name="Normal 9 2 2 2 6" xfId="35944"/>
    <cellStyle name="Normal 9 2 2 2 6 2" xfId="35945"/>
    <cellStyle name="Normal 9 2 2 2 6 3" xfId="35946"/>
    <cellStyle name="Normal 9 2 2 2 7" xfId="35947"/>
    <cellStyle name="Normal 9 2 2 2 7 2" xfId="35948"/>
    <cellStyle name="Normal 9 2 2 2 7 3" xfId="35949"/>
    <cellStyle name="Normal 9 2 2 2 8" xfId="35950"/>
    <cellStyle name="Normal 9 2 2 2 9" xfId="35951"/>
    <cellStyle name="Normal 9 2 3" xfId="35952"/>
    <cellStyle name="Normal 9 2 3 2" xfId="35953"/>
    <cellStyle name="Normal 9 2 3 2 2" xfId="35954"/>
    <cellStyle name="Normal 9 2 3 2 2 2" xfId="35955"/>
    <cellStyle name="Normal 9 2 3 2 2 2 2" xfId="35956"/>
    <cellStyle name="Normal 9 2 3 2 2 2 3" xfId="35957"/>
    <cellStyle name="Normal 9 2 3 2 2 3" xfId="35958"/>
    <cellStyle name="Normal 9 2 3 2 2 3 2" xfId="35959"/>
    <cellStyle name="Normal 9 2 3 2 2 3 3" xfId="35960"/>
    <cellStyle name="Normal 9 2 3 2 2 4" xfId="35961"/>
    <cellStyle name="Normal 9 2 3 2 2 5" xfId="35962"/>
    <cellStyle name="Normal 9 2 3 2 3" xfId="35963"/>
    <cellStyle name="Normal 9 2 3 2 3 2" xfId="35964"/>
    <cellStyle name="Normal 9 2 3 2 3 2 2" xfId="35965"/>
    <cellStyle name="Normal 9 2 3 2 3 2 3" xfId="35966"/>
    <cellStyle name="Normal 9 2 3 2 3 3" xfId="35967"/>
    <cellStyle name="Normal 9 2 3 2 3 3 2" xfId="35968"/>
    <cellStyle name="Normal 9 2 3 2 3 3 3" xfId="35969"/>
    <cellStyle name="Normal 9 2 3 2 3 4" xfId="35970"/>
    <cellStyle name="Normal 9 2 3 2 3 5" xfId="35971"/>
    <cellStyle name="Normal 9 2 3 2 4" xfId="35972"/>
    <cellStyle name="Normal 9 2 3 2 4 2" xfId="35973"/>
    <cellStyle name="Normal 9 2 3 2 4 3" xfId="35974"/>
    <cellStyle name="Normal 9 2 3 2 5" xfId="35975"/>
    <cellStyle name="Normal 9 2 3 2 5 2" xfId="35976"/>
    <cellStyle name="Normal 9 2 3 2 5 3" xfId="35977"/>
    <cellStyle name="Normal 9 2 3 2 6" xfId="35978"/>
    <cellStyle name="Normal 9 2 3 2 7" xfId="35979"/>
    <cellStyle name="Normal 9 2 3 3" xfId="35980"/>
    <cellStyle name="Normal 9 2 3 3 2" xfId="35981"/>
    <cellStyle name="Normal 9 2 3 3 2 2" xfId="35982"/>
    <cellStyle name="Normal 9 2 3 3 2 2 2" xfId="35983"/>
    <cellStyle name="Normal 9 2 3 3 2 2 3" xfId="35984"/>
    <cellStyle name="Normal 9 2 3 3 2 3" xfId="35985"/>
    <cellStyle name="Normal 9 2 3 3 2 3 2" xfId="35986"/>
    <cellStyle name="Normal 9 2 3 3 2 3 3" xfId="35987"/>
    <cellStyle name="Normal 9 2 3 3 2 4" xfId="35988"/>
    <cellStyle name="Normal 9 2 3 3 2 5" xfId="35989"/>
    <cellStyle name="Normal 9 2 3 3 3" xfId="35990"/>
    <cellStyle name="Normal 9 2 3 3 3 2" xfId="35991"/>
    <cellStyle name="Normal 9 2 3 3 3 2 2" xfId="35992"/>
    <cellStyle name="Normal 9 2 3 3 3 2 3" xfId="35993"/>
    <cellStyle name="Normal 9 2 3 3 3 3" xfId="35994"/>
    <cellStyle name="Normal 9 2 3 3 3 3 2" xfId="35995"/>
    <cellStyle name="Normal 9 2 3 3 3 3 3" xfId="35996"/>
    <cellStyle name="Normal 9 2 3 3 3 4" xfId="35997"/>
    <cellStyle name="Normal 9 2 3 3 3 5" xfId="35998"/>
    <cellStyle name="Normal 9 2 3 3 4" xfId="35999"/>
    <cellStyle name="Normal 9 2 3 3 4 2" xfId="36000"/>
    <cellStyle name="Normal 9 2 3 3 4 3" xfId="36001"/>
    <cellStyle name="Normal 9 2 3 3 5" xfId="36002"/>
    <cellStyle name="Normal 9 2 3 3 5 2" xfId="36003"/>
    <cellStyle name="Normal 9 2 3 3 5 3" xfId="36004"/>
    <cellStyle name="Normal 9 2 3 3 6" xfId="36005"/>
    <cellStyle name="Normal 9 2 3 3 7" xfId="36006"/>
    <cellStyle name="Normal 9 2 3 4" xfId="36007"/>
    <cellStyle name="Normal 9 2 3 4 2" xfId="36008"/>
    <cellStyle name="Normal 9 2 3 4 2 2" xfId="36009"/>
    <cellStyle name="Normal 9 2 3 4 2 3" xfId="36010"/>
    <cellStyle name="Normal 9 2 3 4 3" xfId="36011"/>
    <cellStyle name="Normal 9 2 3 4 3 2" xfId="36012"/>
    <cellStyle name="Normal 9 2 3 4 3 3" xfId="36013"/>
    <cellStyle name="Normal 9 2 3 4 4" xfId="36014"/>
    <cellStyle name="Normal 9 2 3 4 5" xfId="36015"/>
    <cellStyle name="Normal 9 2 3 5" xfId="36016"/>
    <cellStyle name="Normal 9 2 3 5 2" xfId="36017"/>
    <cellStyle name="Normal 9 2 3 5 2 2" xfId="36018"/>
    <cellStyle name="Normal 9 2 3 5 2 3" xfId="36019"/>
    <cellStyle name="Normal 9 2 3 5 3" xfId="36020"/>
    <cellStyle name="Normal 9 2 3 5 3 2" xfId="36021"/>
    <cellStyle name="Normal 9 2 3 5 3 3" xfId="36022"/>
    <cellStyle name="Normal 9 2 3 5 4" xfId="36023"/>
    <cellStyle name="Normal 9 2 3 5 5" xfId="36024"/>
    <cellStyle name="Normal 9 2 3 6" xfId="36025"/>
    <cellStyle name="Normal 9 2 3 6 2" xfId="36026"/>
    <cellStyle name="Normal 9 2 3 6 3" xfId="36027"/>
    <cellStyle name="Normal 9 2 3 7" xfId="36028"/>
    <cellStyle name="Normal 9 2 3 7 2" xfId="36029"/>
    <cellStyle name="Normal 9 2 3 7 3" xfId="36030"/>
    <cellStyle name="Normal 9 2 3 8" xfId="36031"/>
    <cellStyle name="Normal 9 2 3 9" xfId="36032"/>
    <cellStyle name="Normal 9 20" xfId="36033"/>
    <cellStyle name="Normal 9 21" xfId="36034"/>
    <cellStyle name="Normal 9 22" xfId="36035"/>
    <cellStyle name="Normal 9 23" xfId="36036"/>
    <cellStyle name="Normal 9 24" xfId="36037"/>
    <cellStyle name="Normal 9 25" xfId="36038"/>
    <cellStyle name="Normal 9 26" xfId="36039"/>
    <cellStyle name="Normal 9 27" xfId="36040"/>
    <cellStyle name="Normal 9 28" xfId="36041"/>
    <cellStyle name="Normal 9 29" xfId="36042"/>
    <cellStyle name="Normal 9 3" xfId="36043"/>
    <cellStyle name="Normal 9 3 2" xfId="36044"/>
    <cellStyle name="Normal 9 3 2 2" xfId="36045"/>
    <cellStyle name="Normal 9 3 2 2 2" xfId="36046"/>
    <cellStyle name="Normal 9 3 2 2 2 2" xfId="36047"/>
    <cellStyle name="Normal 9 3 2 2 2 2 2" xfId="36048"/>
    <cellStyle name="Normal 9 3 2 2 2 2 3" xfId="36049"/>
    <cellStyle name="Normal 9 3 2 2 2 3" xfId="36050"/>
    <cellStyle name="Normal 9 3 2 2 2 3 2" xfId="36051"/>
    <cellStyle name="Normal 9 3 2 2 2 3 3" xfId="36052"/>
    <cellStyle name="Normal 9 3 2 2 2 4" xfId="36053"/>
    <cellStyle name="Normal 9 3 2 2 2 5" xfId="36054"/>
    <cellStyle name="Normal 9 3 2 2 3" xfId="36055"/>
    <cellStyle name="Normal 9 3 2 2 3 2" xfId="36056"/>
    <cellStyle name="Normal 9 3 2 2 3 2 2" xfId="36057"/>
    <cellStyle name="Normal 9 3 2 2 3 2 3" xfId="36058"/>
    <cellStyle name="Normal 9 3 2 2 3 3" xfId="36059"/>
    <cellStyle name="Normal 9 3 2 2 3 3 2" xfId="36060"/>
    <cellStyle name="Normal 9 3 2 2 3 3 3" xfId="36061"/>
    <cellStyle name="Normal 9 3 2 2 3 4" xfId="36062"/>
    <cellStyle name="Normal 9 3 2 2 3 5" xfId="36063"/>
    <cellStyle name="Normal 9 3 2 2 4" xfId="36064"/>
    <cellStyle name="Normal 9 3 2 2 4 2" xfId="36065"/>
    <cellStyle name="Normal 9 3 2 2 4 3" xfId="36066"/>
    <cellStyle name="Normal 9 3 2 2 5" xfId="36067"/>
    <cellStyle name="Normal 9 3 2 2 5 2" xfId="36068"/>
    <cellStyle name="Normal 9 3 2 2 5 3" xfId="36069"/>
    <cellStyle name="Normal 9 3 2 2 6" xfId="36070"/>
    <cellStyle name="Normal 9 3 2 2 7" xfId="36071"/>
    <cellStyle name="Normal 9 3 2 3" xfId="36072"/>
    <cellStyle name="Normal 9 3 2 3 2" xfId="36073"/>
    <cellStyle name="Normal 9 3 2 3 2 2" xfId="36074"/>
    <cellStyle name="Normal 9 3 2 3 2 2 2" xfId="36075"/>
    <cellStyle name="Normal 9 3 2 3 2 2 3" xfId="36076"/>
    <cellStyle name="Normal 9 3 2 3 2 3" xfId="36077"/>
    <cellStyle name="Normal 9 3 2 3 2 3 2" xfId="36078"/>
    <cellStyle name="Normal 9 3 2 3 2 3 3" xfId="36079"/>
    <cellStyle name="Normal 9 3 2 3 2 4" xfId="36080"/>
    <cellStyle name="Normal 9 3 2 3 2 5" xfId="36081"/>
    <cellStyle name="Normal 9 3 2 3 3" xfId="36082"/>
    <cellStyle name="Normal 9 3 2 3 3 2" xfId="36083"/>
    <cellStyle name="Normal 9 3 2 3 3 2 2" xfId="36084"/>
    <cellStyle name="Normal 9 3 2 3 3 2 3" xfId="36085"/>
    <cellStyle name="Normal 9 3 2 3 3 3" xfId="36086"/>
    <cellStyle name="Normal 9 3 2 3 3 3 2" xfId="36087"/>
    <cellStyle name="Normal 9 3 2 3 3 3 3" xfId="36088"/>
    <cellStyle name="Normal 9 3 2 3 3 4" xfId="36089"/>
    <cellStyle name="Normal 9 3 2 3 3 5" xfId="36090"/>
    <cellStyle name="Normal 9 3 2 3 4" xfId="36091"/>
    <cellStyle name="Normal 9 3 2 3 4 2" xfId="36092"/>
    <cellStyle name="Normal 9 3 2 3 4 3" xfId="36093"/>
    <cellStyle name="Normal 9 3 2 3 5" xfId="36094"/>
    <cellStyle name="Normal 9 3 2 3 5 2" xfId="36095"/>
    <cellStyle name="Normal 9 3 2 3 5 3" xfId="36096"/>
    <cellStyle name="Normal 9 3 2 3 6" xfId="36097"/>
    <cellStyle name="Normal 9 3 2 3 7" xfId="36098"/>
    <cellStyle name="Normal 9 3 2 4" xfId="36099"/>
    <cellStyle name="Normal 9 3 2 4 2" xfId="36100"/>
    <cellStyle name="Normal 9 3 2 4 2 2" xfId="36101"/>
    <cellStyle name="Normal 9 3 2 4 2 3" xfId="36102"/>
    <cellStyle name="Normal 9 3 2 4 3" xfId="36103"/>
    <cellStyle name="Normal 9 3 2 4 3 2" xfId="36104"/>
    <cellStyle name="Normal 9 3 2 4 3 3" xfId="36105"/>
    <cellStyle name="Normal 9 3 2 4 4" xfId="36106"/>
    <cellStyle name="Normal 9 3 2 4 5" xfId="36107"/>
    <cellStyle name="Normal 9 3 2 5" xfId="36108"/>
    <cellStyle name="Normal 9 3 2 5 2" xfId="36109"/>
    <cellStyle name="Normal 9 3 2 5 2 2" xfId="36110"/>
    <cellStyle name="Normal 9 3 2 5 2 3" xfId="36111"/>
    <cellStyle name="Normal 9 3 2 5 3" xfId="36112"/>
    <cellStyle name="Normal 9 3 2 5 3 2" xfId="36113"/>
    <cellStyle name="Normal 9 3 2 5 3 3" xfId="36114"/>
    <cellStyle name="Normal 9 3 2 5 4" xfId="36115"/>
    <cellStyle name="Normal 9 3 2 5 5" xfId="36116"/>
    <cellStyle name="Normal 9 3 2 6" xfId="36117"/>
    <cellStyle name="Normal 9 3 2 6 2" xfId="36118"/>
    <cellStyle name="Normal 9 3 2 6 3" xfId="36119"/>
    <cellStyle name="Normal 9 3 2 7" xfId="36120"/>
    <cellStyle name="Normal 9 3 2 7 2" xfId="36121"/>
    <cellStyle name="Normal 9 3 2 7 3" xfId="36122"/>
    <cellStyle name="Normal 9 3 2 8" xfId="36123"/>
    <cellStyle name="Normal 9 3 2 9" xfId="36124"/>
    <cellStyle name="Normal 9 30" xfId="36125"/>
    <cellStyle name="Normal 9 31" xfId="36126"/>
    <cellStyle name="Normal 9 32" xfId="36127"/>
    <cellStyle name="Normal 9 33" xfId="36128"/>
    <cellStyle name="Normal 9 34" xfId="36129"/>
    <cellStyle name="Normal 9 35" xfId="36130"/>
    <cellStyle name="Normal 9 36" xfId="36131"/>
    <cellStyle name="Normal 9 37" xfId="36132"/>
    <cellStyle name="Normal 9 38" xfId="36133"/>
    <cellStyle name="Normal 9 39" xfId="36134"/>
    <cellStyle name="Normal 9 4" xfId="36135"/>
    <cellStyle name="Normal 9 4 2" xfId="36136"/>
    <cellStyle name="Normal 9 4 2 2" xfId="36137"/>
    <cellStyle name="Normal 9 4 2 2 2" xfId="36138"/>
    <cellStyle name="Normal 9 4 2 2 2 2" xfId="36139"/>
    <cellStyle name="Normal 9 4 2 2 2 3" xfId="36140"/>
    <cellStyle name="Normal 9 4 2 2 3" xfId="36141"/>
    <cellStyle name="Normal 9 4 2 2 3 2" xfId="36142"/>
    <cellStyle name="Normal 9 4 2 2 3 3" xfId="36143"/>
    <cellStyle name="Normal 9 4 2 2 4" xfId="36144"/>
    <cellStyle name="Normal 9 4 2 2 5" xfId="36145"/>
    <cellStyle name="Normal 9 4 2 3" xfId="36146"/>
    <cellStyle name="Normal 9 4 2 3 2" xfId="36147"/>
    <cellStyle name="Normal 9 4 2 3 2 2" xfId="36148"/>
    <cellStyle name="Normal 9 4 2 3 2 3" xfId="36149"/>
    <cellStyle name="Normal 9 4 2 3 3" xfId="36150"/>
    <cellStyle name="Normal 9 4 2 3 3 2" xfId="36151"/>
    <cellStyle name="Normal 9 4 2 3 3 3" xfId="36152"/>
    <cellStyle name="Normal 9 4 2 3 4" xfId="36153"/>
    <cellStyle name="Normal 9 4 2 3 5" xfId="36154"/>
    <cellStyle name="Normal 9 4 2 4" xfId="36155"/>
    <cellStyle name="Normal 9 4 2 4 2" xfId="36156"/>
    <cellStyle name="Normal 9 4 2 4 3" xfId="36157"/>
    <cellStyle name="Normal 9 4 2 5" xfId="36158"/>
    <cellStyle name="Normal 9 4 2 5 2" xfId="36159"/>
    <cellStyle name="Normal 9 4 2 5 3" xfId="36160"/>
    <cellStyle name="Normal 9 4 2 6" xfId="36161"/>
    <cellStyle name="Normal 9 4 2 7" xfId="36162"/>
    <cellStyle name="Normal 9 4 3" xfId="36163"/>
    <cellStyle name="Normal 9 4 3 2" xfId="36164"/>
    <cellStyle name="Normal 9 4 3 2 2" xfId="36165"/>
    <cellStyle name="Normal 9 4 3 2 2 2" xfId="36166"/>
    <cellStyle name="Normal 9 4 3 2 2 3" xfId="36167"/>
    <cellStyle name="Normal 9 4 3 2 3" xfId="36168"/>
    <cellStyle name="Normal 9 4 3 2 3 2" xfId="36169"/>
    <cellStyle name="Normal 9 4 3 2 3 3" xfId="36170"/>
    <cellStyle name="Normal 9 4 3 2 4" xfId="36171"/>
    <cellStyle name="Normal 9 4 3 2 5" xfId="36172"/>
    <cellStyle name="Normal 9 4 3 3" xfId="36173"/>
    <cellStyle name="Normal 9 4 3 3 2" xfId="36174"/>
    <cellStyle name="Normal 9 4 3 3 2 2" xfId="36175"/>
    <cellStyle name="Normal 9 4 3 3 2 3" xfId="36176"/>
    <cellStyle name="Normal 9 4 3 3 3" xfId="36177"/>
    <cellStyle name="Normal 9 4 3 3 3 2" xfId="36178"/>
    <cellStyle name="Normal 9 4 3 3 3 3" xfId="36179"/>
    <cellStyle name="Normal 9 4 3 3 4" xfId="36180"/>
    <cellStyle name="Normal 9 4 3 3 5" xfId="36181"/>
    <cellStyle name="Normal 9 4 3 4" xfId="36182"/>
    <cellStyle name="Normal 9 4 3 4 2" xfId="36183"/>
    <cellStyle name="Normal 9 4 3 4 3" xfId="36184"/>
    <cellStyle name="Normal 9 4 3 5" xfId="36185"/>
    <cellStyle name="Normal 9 4 3 5 2" xfId="36186"/>
    <cellStyle name="Normal 9 4 3 5 3" xfId="36187"/>
    <cellStyle name="Normal 9 4 3 6" xfId="36188"/>
    <cellStyle name="Normal 9 4 3 7" xfId="36189"/>
    <cellStyle name="Normal 9 4 4" xfId="36190"/>
    <cellStyle name="Normal 9 4 4 2" xfId="36191"/>
    <cellStyle name="Normal 9 4 4 2 2" xfId="36192"/>
    <cellStyle name="Normal 9 4 4 2 3" xfId="36193"/>
    <cellStyle name="Normal 9 4 4 3" xfId="36194"/>
    <cellStyle name="Normal 9 4 4 3 2" xfId="36195"/>
    <cellStyle name="Normal 9 4 4 3 3" xfId="36196"/>
    <cellStyle name="Normal 9 4 4 4" xfId="36197"/>
    <cellStyle name="Normal 9 4 4 5" xfId="36198"/>
    <cellStyle name="Normal 9 4 5" xfId="36199"/>
    <cellStyle name="Normal 9 4 5 2" xfId="36200"/>
    <cellStyle name="Normal 9 4 5 2 2" xfId="36201"/>
    <cellStyle name="Normal 9 4 5 2 3" xfId="36202"/>
    <cellStyle name="Normal 9 4 5 3" xfId="36203"/>
    <cellStyle name="Normal 9 4 5 3 2" xfId="36204"/>
    <cellStyle name="Normal 9 4 5 3 3" xfId="36205"/>
    <cellStyle name="Normal 9 4 5 4" xfId="36206"/>
    <cellStyle name="Normal 9 4 5 5" xfId="36207"/>
    <cellStyle name="Normal 9 4 6" xfId="36208"/>
    <cellStyle name="Normal 9 4 6 2" xfId="36209"/>
    <cellStyle name="Normal 9 4 6 3" xfId="36210"/>
    <cellStyle name="Normal 9 4 7" xfId="36211"/>
    <cellStyle name="Normal 9 4 7 2" xfId="36212"/>
    <cellStyle name="Normal 9 4 7 3" xfId="36213"/>
    <cellStyle name="Normal 9 4 8" xfId="36214"/>
    <cellStyle name="Normal 9 4 9" xfId="36215"/>
    <cellStyle name="Normal 9 40" xfId="36216"/>
    <cellStyle name="Normal 9 41" xfId="36217"/>
    <cellStyle name="Normal 9 42" xfId="36218"/>
    <cellStyle name="Normal 9 43" xfId="36219"/>
    <cellStyle name="Normal 9 44" xfId="36220"/>
    <cellStyle name="Normal 9 45" xfId="36221"/>
    <cellStyle name="Normal 9 46" xfId="36222"/>
    <cellStyle name="Normal 9 47" xfId="36223"/>
    <cellStyle name="Normal 9 48" xfId="36224"/>
    <cellStyle name="Normal 9 49" xfId="36225"/>
    <cellStyle name="Normal 9 5" xfId="36226"/>
    <cellStyle name="Normal 9 5 2" xfId="36227"/>
    <cellStyle name="Normal 9 5 2 2" xfId="36228"/>
    <cellStyle name="Normal 9 5 2 2 2" xfId="36229"/>
    <cellStyle name="Normal 9 5 2 2 2 2" xfId="36230"/>
    <cellStyle name="Normal 9 5 2 2 2 3" xfId="36231"/>
    <cellStyle name="Normal 9 5 2 2 3" xfId="36232"/>
    <cellStyle name="Normal 9 5 2 2 3 2" xfId="36233"/>
    <cellStyle name="Normal 9 5 2 2 3 3" xfId="36234"/>
    <cellStyle name="Normal 9 5 2 2 4" xfId="36235"/>
    <cellStyle name="Normal 9 5 2 2 5" xfId="36236"/>
    <cellStyle name="Normal 9 5 2 3" xfId="36237"/>
    <cellStyle name="Normal 9 5 2 3 2" xfId="36238"/>
    <cellStyle name="Normal 9 5 2 3 2 2" xfId="36239"/>
    <cellStyle name="Normal 9 5 2 3 2 3" xfId="36240"/>
    <cellStyle name="Normal 9 5 2 3 3" xfId="36241"/>
    <cellStyle name="Normal 9 5 2 3 3 2" xfId="36242"/>
    <cellStyle name="Normal 9 5 2 3 3 3" xfId="36243"/>
    <cellStyle name="Normal 9 5 2 3 4" xfId="36244"/>
    <cellStyle name="Normal 9 5 2 3 5" xfId="36245"/>
    <cellStyle name="Normal 9 5 2 4" xfId="36246"/>
    <cellStyle name="Normal 9 5 2 4 2" xfId="36247"/>
    <cellStyle name="Normal 9 5 2 4 3" xfId="36248"/>
    <cellStyle name="Normal 9 5 2 5" xfId="36249"/>
    <cellStyle name="Normal 9 5 2 5 2" xfId="36250"/>
    <cellStyle name="Normal 9 5 2 5 3" xfId="36251"/>
    <cellStyle name="Normal 9 5 2 6" xfId="36252"/>
    <cellStyle name="Normal 9 5 2 7" xfId="36253"/>
    <cellStyle name="Normal 9 5 3" xfId="36254"/>
    <cellStyle name="Normal 9 5 3 2" xfId="36255"/>
    <cellStyle name="Normal 9 5 3 2 2" xfId="36256"/>
    <cellStyle name="Normal 9 5 3 2 2 2" xfId="36257"/>
    <cellStyle name="Normal 9 5 3 2 2 3" xfId="36258"/>
    <cellStyle name="Normal 9 5 3 2 3" xfId="36259"/>
    <cellStyle name="Normal 9 5 3 2 3 2" xfId="36260"/>
    <cellStyle name="Normal 9 5 3 2 3 3" xfId="36261"/>
    <cellStyle name="Normal 9 5 3 2 4" xfId="36262"/>
    <cellStyle name="Normal 9 5 3 2 5" xfId="36263"/>
    <cellStyle name="Normal 9 5 3 3" xfId="36264"/>
    <cellStyle name="Normal 9 5 3 3 2" xfId="36265"/>
    <cellStyle name="Normal 9 5 3 3 2 2" xfId="36266"/>
    <cellStyle name="Normal 9 5 3 3 2 3" xfId="36267"/>
    <cellStyle name="Normal 9 5 3 3 3" xfId="36268"/>
    <cellStyle name="Normal 9 5 3 3 3 2" xfId="36269"/>
    <cellStyle name="Normal 9 5 3 3 3 3" xfId="36270"/>
    <cellStyle name="Normal 9 5 3 3 4" xfId="36271"/>
    <cellStyle name="Normal 9 5 3 3 5" xfId="36272"/>
    <cellStyle name="Normal 9 5 3 4" xfId="36273"/>
    <cellStyle name="Normal 9 5 3 4 2" xfId="36274"/>
    <cellStyle name="Normal 9 5 3 4 3" xfId="36275"/>
    <cellStyle name="Normal 9 5 3 5" xfId="36276"/>
    <cellStyle name="Normal 9 5 3 5 2" xfId="36277"/>
    <cellStyle name="Normal 9 5 3 5 3" xfId="36278"/>
    <cellStyle name="Normal 9 5 3 6" xfId="36279"/>
    <cellStyle name="Normal 9 5 3 7" xfId="36280"/>
    <cellStyle name="Normal 9 5 4" xfId="36281"/>
    <cellStyle name="Normal 9 5 4 2" xfId="36282"/>
    <cellStyle name="Normal 9 5 4 2 2" xfId="36283"/>
    <cellStyle name="Normal 9 5 4 2 3" xfId="36284"/>
    <cellStyle name="Normal 9 5 4 3" xfId="36285"/>
    <cellStyle name="Normal 9 5 4 3 2" xfId="36286"/>
    <cellStyle name="Normal 9 5 4 3 3" xfId="36287"/>
    <cellStyle name="Normal 9 5 4 4" xfId="36288"/>
    <cellStyle name="Normal 9 5 4 5" xfId="36289"/>
    <cellStyle name="Normal 9 5 5" xfId="36290"/>
    <cellStyle name="Normal 9 5 5 2" xfId="36291"/>
    <cellStyle name="Normal 9 5 5 2 2" xfId="36292"/>
    <cellStyle name="Normal 9 5 5 2 3" xfId="36293"/>
    <cellStyle name="Normal 9 5 5 3" xfId="36294"/>
    <cellStyle name="Normal 9 5 5 3 2" xfId="36295"/>
    <cellStyle name="Normal 9 5 5 3 3" xfId="36296"/>
    <cellStyle name="Normal 9 5 5 4" xfId="36297"/>
    <cellStyle name="Normal 9 5 5 5" xfId="36298"/>
    <cellStyle name="Normal 9 5 6" xfId="36299"/>
    <cellStyle name="Normal 9 5 6 2" xfId="36300"/>
    <cellStyle name="Normal 9 5 6 3" xfId="36301"/>
    <cellStyle name="Normal 9 5 7" xfId="36302"/>
    <cellStyle name="Normal 9 5 7 2" xfId="36303"/>
    <cellStyle name="Normal 9 5 7 3" xfId="36304"/>
    <cellStyle name="Normal 9 5 8" xfId="36305"/>
    <cellStyle name="Normal 9 5 9" xfId="36306"/>
    <cellStyle name="Normal 9 50" xfId="36307"/>
    <cellStyle name="Normal 9 51" xfId="36308"/>
    <cellStyle name="Normal 9 52" xfId="36309"/>
    <cellStyle name="Normal 9 53" xfId="36310"/>
    <cellStyle name="Normal 9 54" xfId="36311"/>
    <cellStyle name="Normal 9 55" xfId="36312"/>
    <cellStyle name="Normal 9 56" xfId="36313"/>
    <cellStyle name="Normal 9 57" xfId="36314"/>
    <cellStyle name="Normal 9 58" xfId="36315"/>
    <cellStyle name="Normal 9 58 2" xfId="36316"/>
    <cellStyle name="Normal 9 58 2 2" xfId="36317"/>
    <cellStyle name="Normal 9 58 2 2 2" xfId="36318"/>
    <cellStyle name="Normal 9 58 2 2 2 2" xfId="36319"/>
    <cellStyle name="Normal 9 58 2 2 2 3" xfId="36320"/>
    <cellStyle name="Normal 9 58 2 2 3" xfId="36321"/>
    <cellStyle name="Normal 9 58 2 2 3 2" xfId="36322"/>
    <cellStyle name="Normal 9 58 2 2 3 3" xfId="36323"/>
    <cellStyle name="Normal 9 58 2 2 4" xfId="36324"/>
    <cellStyle name="Normal 9 58 2 2 5" xfId="36325"/>
    <cellStyle name="Normal 9 58 2 3" xfId="36326"/>
    <cellStyle name="Normal 9 58 2 3 2" xfId="36327"/>
    <cellStyle name="Normal 9 58 2 3 2 2" xfId="36328"/>
    <cellStyle name="Normal 9 58 2 3 2 3" xfId="36329"/>
    <cellStyle name="Normal 9 58 2 3 3" xfId="36330"/>
    <cellStyle name="Normal 9 58 2 3 3 2" xfId="36331"/>
    <cellStyle name="Normal 9 58 2 3 3 3" xfId="36332"/>
    <cellStyle name="Normal 9 58 2 3 4" xfId="36333"/>
    <cellStyle name="Normal 9 58 2 3 5" xfId="36334"/>
    <cellStyle name="Normal 9 58 2 4" xfId="36335"/>
    <cellStyle name="Normal 9 58 2 4 2" xfId="36336"/>
    <cellStyle name="Normal 9 58 2 4 3" xfId="36337"/>
    <cellStyle name="Normal 9 58 2 5" xfId="36338"/>
    <cellStyle name="Normal 9 58 2 5 2" xfId="36339"/>
    <cellStyle name="Normal 9 58 2 5 3" xfId="36340"/>
    <cellStyle name="Normal 9 58 2 6" xfId="36341"/>
    <cellStyle name="Normal 9 58 2 7" xfId="36342"/>
    <cellStyle name="Normal 9 58 3" xfId="36343"/>
    <cellStyle name="Normal 9 58 3 2" xfId="36344"/>
    <cellStyle name="Normal 9 58 3 2 2" xfId="36345"/>
    <cellStyle name="Normal 9 58 3 2 2 2" xfId="36346"/>
    <cellStyle name="Normal 9 58 3 2 2 3" xfId="36347"/>
    <cellStyle name="Normal 9 58 3 2 3" xfId="36348"/>
    <cellStyle name="Normal 9 58 3 2 3 2" xfId="36349"/>
    <cellStyle name="Normal 9 58 3 2 3 3" xfId="36350"/>
    <cellStyle name="Normal 9 58 3 2 4" xfId="36351"/>
    <cellStyle name="Normal 9 58 3 2 5" xfId="36352"/>
    <cellStyle name="Normal 9 58 3 3" xfId="36353"/>
    <cellStyle name="Normal 9 58 3 3 2" xfId="36354"/>
    <cellStyle name="Normal 9 58 3 3 2 2" xfId="36355"/>
    <cellStyle name="Normal 9 58 3 3 2 3" xfId="36356"/>
    <cellStyle name="Normal 9 58 3 3 3" xfId="36357"/>
    <cellStyle name="Normal 9 58 3 3 3 2" xfId="36358"/>
    <cellStyle name="Normal 9 58 3 3 3 3" xfId="36359"/>
    <cellStyle name="Normal 9 58 3 3 4" xfId="36360"/>
    <cellStyle name="Normal 9 58 3 3 5" xfId="36361"/>
    <cellStyle name="Normal 9 58 3 4" xfId="36362"/>
    <cellStyle name="Normal 9 58 3 4 2" xfId="36363"/>
    <cellStyle name="Normal 9 58 3 4 3" xfId="36364"/>
    <cellStyle name="Normal 9 58 3 5" xfId="36365"/>
    <cellStyle name="Normal 9 58 3 5 2" xfId="36366"/>
    <cellStyle name="Normal 9 58 3 5 3" xfId="36367"/>
    <cellStyle name="Normal 9 58 3 6" xfId="36368"/>
    <cellStyle name="Normal 9 58 3 7" xfId="36369"/>
    <cellStyle name="Normal 9 58 4" xfId="36370"/>
    <cellStyle name="Normal 9 58 4 2" xfId="36371"/>
    <cellStyle name="Normal 9 58 4 2 2" xfId="36372"/>
    <cellStyle name="Normal 9 58 4 2 3" xfId="36373"/>
    <cellStyle name="Normal 9 58 4 3" xfId="36374"/>
    <cellStyle name="Normal 9 58 4 3 2" xfId="36375"/>
    <cellStyle name="Normal 9 58 4 3 3" xfId="36376"/>
    <cellStyle name="Normal 9 58 4 4" xfId="36377"/>
    <cellStyle name="Normal 9 58 4 5" xfId="36378"/>
    <cellStyle name="Normal 9 58 5" xfId="36379"/>
    <cellStyle name="Normal 9 58 5 2" xfId="36380"/>
    <cellStyle name="Normal 9 58 5 2 2" xfId="36381"/>
    <cellStyle name="Normal 9 58 5 2 3" xfId="36382"/>
    <cellStyle name="Normal 9 58 5 3" xfId="36383"/>
    <cellStyle name="Normal 9 58 5 3 2" xfId="36384"/>
    <cellStyle name="Normal 9 58 5 3 3" xfId="36385"/>
    <cellStyle name="Normal 9 58 5 4" xfId="36386"/>
    <cellStyle name="Normal 9 58 5 5" xfId="36387"/>
    <cellStyle name="Normal 9 58 6" xfId="36388"/>
    <cellStyle name="Normal 9 58 6 2" xfId="36389"/>
    <cellStyle name="Normal 9 58 6 3" xfId="36390"/>
    <cellStyle name="Normal 9 58 7" xfId="36391"/>
    <cellStyle name="Normal 9 58 7 2" xfId="36392"/>
    <cellStyle name="Normal 9 58 7 3" xfId="36393"/>
    <cellStyle name="Normal 9 58 8" xfId="36394"/>
    <cellStyle name="Normal 9 58 9" xfId="36395"/>
    <cellStyle name="Normal 9 59" xfId="36396"/>
    <cellStyle name="Normal 9 59 2" xfId="36397"/>
    <cellStyle name="Normal 9 59 2 2" xfId="36398"/>
    <cellStyle name="Normal 9 59 2 2 2" xfId="36399"/>
    <cellStyle name="Normal 9 59 2 2 3" xfId="36400"/>
    <cellStyle name="Normal 9 59 2 3" xfId="36401"/>
    <cellStyle name="Normal 9 59 2 3 2" xfId="36402"/>
    <cellStyle name="Normal 9 59 2 3 3" xfId="36403"/>
    <cellStyle name="Normal 9 59 2 4" xfId="36404"/>
    <cellStyle name="Normal 9 59 2 5" xfId="36405"/>
    <cellStyle name="Normal 9 59 3" xfId="36406"/>
    <cellStyle name="Normal 9 59 3 2" xfId="36407"/>
    <cellStyle name="Normal 9 59 3 2 2" xfId="36408"/>
    <cellStyle name="Normal 9 59 3 2 3" xfId="36409"/>
    <cellStyle name="Normal 9 59 3 3" xfId="36410"/>
    <cellStyle name="Normal 9 59 3 3 2" xfId="36411"/>
    <cellStyle name="Normal 9 59 3 3 3" xfId="36412"/>
    <cellStyle name="Normal 9 59 3 4" xfId="36413"/>
    <cellStyle name="Normal 9 59 3 5" xfId="36414"/>
    <cellStyle name="Normal 9 59 4" xfId="36415"/>
    <cellStyle name="Normal 9 59 4 2" xfId="36416"/>
    <cellStyle name="Normal 9 59 4 3" xfId="36417"/>
    <cellStyle name="Normal 9 59 5" xfId="36418"/>
    <cellStyle name="Normal 9 59 5 2" xfId="36419"/>
    <cellStyle name="Normal 9 59 5 3" xfId="36420"/>
    <cellStyle name="Normal 9 59 6" xfId="36421"/>
    <cellStyle name="Normal 9 59 7" xfId="36422"/>
    <cellStyle name="Normal 9 6" xfId="36423"/>
    <cellStyle name="Normal 9 60" xfId="36424"/>
    <cellStyle name="Normal 9 60 2" xfId="36425"/>
    <cellStyle name="Normal 9 60 2 2" xfId="36426"/>
    <cellStyle name="Normal 9 60 2 2 2" xfId="36427"/>
    <cellStyle name="Normal 9 60 2 2 3" xfId="36428"/>
    <cellStyle name="Normal 9 60 2 3" xfId="36429"/>
    <cellStyle name="Normal 9 60 2 3 2" xfId="36430"/>
    <cellStyle name="Normal 9 60 2 3 3" xfId="36431"/>
    <cellStyle name="Normal 9 60 2 4" xfId="36432"/>
    <cellStyle name="Normal 9 60 2 5" xfId="36433"/>
    <cellStyle name="Normal 9 60 3" xfId="36434"/>
    <cellStyle name="Normal 9 60 3 2" xfId="36435"/>
    <cellStyle name="Normal 9 60 3 2 2" xfId="36436"/>
    <cellStyle name="Normal 9 60 3 2 3" xfId="36437"/>
    <cellStyle name="Normal 9 60 3 3" xfId="36438"/>
    <cellStyle name="Normal 9 60 3 3 2" xfId="36439"/>
    <cellStyle name="Normal 9 60 3 3 3" xfId="36440"/>
    <cellStyle name="Normal 9 60 3 4" xfId="36441"/>
    <cellStyle name="Normal 9 60 3 5" xfId="36442"/>
    <cellStyle name="Normal 9 60 4" xfId="36443"/>
    <cellStyle name="Normal 9 60 4 2" xfId="36444"/>
    <cellStyle name="Normal 9 60 4 3" xfId="36445"/>
    <cellStyle name="Normal 9 60 5" xfId="36446"/>
    <cellStyle name="Normal 9 60 5 2" xfId="36447"/>
    <cellStyle name="Normal 9 60 5 3" xfId="36448"/>
    <cellStyle name="Normal 9 60 6" xfId="36449"/>
    <cellStyle name="Normal 9 60 7" xfId="36450"/>
    <cellStyle name="Normal 9 61" xfId="36451"/>
    <cellStyle name="Normal 9 61 2" xfId="36452"/>
    <cellStyle name="Normal 9 61 2 2" xfId="36453"/>
    <cellStyle name="Normal 9 61 2 3" xfId="36454"/>
    <cellStyle name="Normal 9 61 3" xfId="36455"/>
    <cellStyle name="Normal 9 61 3 2" xfId="36456"/>
    <cellStyle name="Normal 9 61 3 3" xfId="36457"/>
    <cellStyle name="Normal 9 61 4" xfId="36458"/>
    <cellStyle name="Normal 9 61 5" xfId="36459"/>
    <cellStyle name="Normal 9 62" xfId="36460"/>
    <cellStyle name="Normal 9 62 2" xfId="36461"/>
    <cellStyle name="Normal 9 62 2 2" xfId="36462"/>
    <cellStyle name="Normal 9 62 2 3" xfId="36463"/>
    <cellStyle name="Normal 9 62 3" xfId="36464"/>
    <cellStyle name="Normal 9 62 3 2" xfId="36465"/>
    <cellStyle name="Normal 9 62 3 3" xfId="36466"/>
    <cellStyle name="Normal 9 62 4" xfId="36467"/>
    <cellStyle name="Normal 9 62 5" xfId="36468"/>
    <cellStyle name="Normal 9 63" xfId="36469"/>
    <cellStyle name="Normal 9 63 2" xfId="36470"/>
    <cellStyle name="Normal 9 63 3" xfId="36471"/>
    <cellStyle name="Normal 9 64" xfId="36472"/>
    <cellStyle name="Normal 9 64 2" xfId="36473"/>
    <cellStyle name="Normal 9 64 3" xfId="36474"/>
    <cellStyle name="Normal 9 65" xfId="36475"/>
    <cellStyle name="Normal 9 66" xfId="36476"/>
    <cellStyle name="Normal 9 7" xfId="36477"/>
    <cellStyle name="Normal 9 8" xfId="36478"/>
    <cellStyle name="Normal 9 9" xfId="36479"/>
    <cellStyle name="Normal 9_maycto" xfId="36480"/>
    <cellStyle name="Normal 90" xfId="36481"/>
    <cellStyle name="Normal 91" xfId="36482"/>
    <cellStyle name="Normal 91 2" xfId="36483"/>
    <cellStyle name="Normal 91 2 2" xfId="36484"/>
    <cellStyle name="Normal 91 2 2 2" xfId="36485"/>
    <cellStyle name="Normal 91 2 2 2 2" xfId="36486"/>
    <cellStyle name="Normal 91 2 2 2 3" xfId="36487"/>
    <cellStyle name="Normal 91 2 2 3" xfId="36488"/>
    <cellStyle name="Normal 91 2 2 3 2" xfId="36489"/>
    <cellStyle name="Normal 91 2 2 3 3" xfId="36490"/>
    <cellStyle name="Normal 91 2 2 4" xfId="36491"/>
    <cellStyle name="Normal 91 2 2 5" xfId="36492"/>
    <cellStyle name="Normal 91 2 3" xfId="36493"/>
    <cellStyle name="Normal 91 2 3 2" xfId="36494"/>
    <cellStyle name="Normal 91 2 3 2 2" xfId="36495"/>
    <cellStyle name="Normal 91 2 3 2 3" xfId="36496"/>
    <cellStyle name="Normal 91 2 3 3" xfId="36497"/>
    <cellStyle name="Normal 91 2 3 3 2" xfId="36498"/>
    <cellStyle name="Normal 91 2 3 3 3" xfId="36499"/>
    <cellStyle name="Normal 91 2 3 4" xfId="36500"/>
    <cellStyle name="Normal 91 2 3 5" xfId="36501"/>
    <cellStyle name="Normal 91 2 4" xfId="36502"/>
    <cellStyle name="Normal 91 2 4 2" xfId="36503"/>
    <cellStyle name="Normal 91 2 4 3" xfId="36504"/>
    <cellStyle name="Normal 91 2 5" xfId="36505"/>
    <cellStyle name="Normal 91 2 5 2" xfId="36506"/>
    <cellStyle name="Normal 91 2 5 3" xfId="36507"/>
    <cellStyle name="Normal 91 2 6" xfId="36508"/>
    <cellStyle name="Normal 91 2 7" xfId="36509"/>
    <cellStyle name="Normal 91 3" xfId="36510"/>
    <cellStyle name="Normal 91 3 2" xfId="36511"/>
    <cellStyle name="Normal 91 3 2 2" xfId="36512"/>
    <cellStyle name="Normal 91 3 2 2 2" xfId="36513"/>
    <cellStyle name="Normal 91 3 2 2 3" xfId="36514"/>
    <cellStyle name="Normal 91 3 2 3" xfId="36515"/>
    <cellStyle name="Normal 91 3 2 3 2" xfId="36516"/>
    <cellStyle name="Normal 91 3 2 3 3" xfId="36517"/>
    <cellStyle name="Normal 91 3 2 4" xfId="36518"/>
    <cellStyle name="Normal 91 3 2 5" xfId="36519"/>
    <cellStyle name="Normal 91 3 3" xfId="36520"/>
    <cellStyle name="Normal 91 3 3 2" xfId="36521"/>
    <cellStyle name="Normal 91 3 3 2 2" xfId="36522"/>
    <cellStyle name="Normal 91 3 3 2 3" xfId="36523"/>
    <cellStyle name="Normal 91 3 3 3" xfId="36524"/>
    <cellStyle name="Normal 91 3 3 3 2" xfId="36525"/>
    <cellStyle name="Normal 91 3 3 3 3" xfId="36526"/>
    <cellStyle name="Normal 91 3 3 4" xfId="36527"/>
    <cellStyle name="Normal 91 3 3 5" xfId="36528"/>
    <cellStyle name="Normal 91 3 4" xfId="36529"/>
    <cellStyle name="Normal 91 3 4 2" xfId="36530"/>
    <cellStyle name="Normal 91 3 4 3" xfId="36531"/>
    <cellStyle name="Normal 91 3 5" xfId="36532"/>
    <cellStyle name="Normal 91 3 5 2" xfId="36533"/>
    <cellStyle name="Normal 91 3 5 3" xfId="36534"/>
    <cellStyle name="Normal 91 3 6" xfId="36535"/>
    <cellStyle name="Normal 91 3 7" xfId="36536"/>
    <cellStyle name="Normal 91 4" xfId="36537"/>
    <cellStyle name="Normal 91 4 2" xfId="36538"/>
    <cellStyle name="Normal 91 4 2 2" xfId="36539"/>
    <cellStyle name="Normal 91 4 2 3" xfId="36540"/>
    <cellStyle name="Normal 91 4 3" xfId="36541"/>
    <cellStyle name="Normal 91 4 3 2" xfId="36542"/>
    <cellStyle name="Normal 91 4 3 3" xfId="36543"/>
    <cellStyle name="Normal 91 4 4" xfId="36544"/>
    <cellStyle name="Normal 91 4 5" xfId="36545"/>
    <cellStyle name="Normal 91 5" xfId="36546"/>
    <cellStyle name="Normal 91 5 2" xfId="36547"/>
    <cellStyle name="Normal 91 5 2 2" xfId="36548"/>
    <cellStyle name="Normal 91 5 2 3" xfId="36549"/>
    <cellStyle name="Normal 91 5 3" xfId="36550"/>
    <cellStyle name="Normal 91 5 3 2" xfId="36551"/>
    <cellStyle name="Normal 91 5 3 3" xfId="36552"/>
    <cellStyle name="Normal 91 5 4" xfId="36553"/>
    <cellStyle name="Normal 91 5 5" xfId="36554"/>
    <cellStyle name="Normal 91 6" xfId="36555"/>
    <cellStyle name="Normal 91 6 2" xfId="36556"/>
    <cellStyle name="Normal 91 6 3" xfId="36557"/>
    <cellStyle name="Normal 91 7" xfId="36558"/>
    <cellStyle name="Normal 91 7 2" xfId="36559"/>
    <cellStyle name="Normal 91 7 3" xfId="36560"/>
    <cellStyle name="Normal 91 8" xfId="36561"/>
    <cellStyle name="Normal 91 9" xfId="36562"/>
    <cellStyle name="Normal 92" xfId="36563"/>
    <cellStyle name="Normal 93" xfId="1"/>
    <cellStyle name="Normal 94" xfId="42794"/>
    <cellStyle name="Normal 95" xfId="42795"/>
    <cellStyle name="Normal 96" xfId="42796"/>
    <cellStyle name="Normal 97" xfId="42799"/>
    <cellStyle name="Normal 98" xfId="42802"/>
    <cellStyle name="Normal 99" xfId="42803"/>
    <cellStyle name="Normal_(Final)Book Tax reconciliation comparisons and variances for Tom" xfId="42792"/>
    <cellStyle name="NormalBlue" xfId="36564"/>
    <cellStyle name="NormalBold" xfId="36565"/>
    <cellStyle name="Normale_BAMBT" xfId="36566"/>
    <cellStyle name="normalfont" xfId="36567"/>
    <cellStyle name="NormalGB" xfId="36568"/>
    <cellStyle name="NormalNumber%" xfId="36569"/>
    <cellStyle name="Note 10" xfId="36570"/>
    <cellStyle name="Note 2" xfId="36571"/>
    <cellStyle name="Note 2 2" xfId="36572"/>
    <cellStyle name="Note 2 3" xfId="36573"/>
    <cellStyle name="Note 2 3 2" xfId="36574"/>
    <cellStyle name="Note 2 3 2 2" xfId="36575"/>
    <cellStyle name="Note 2 3 2 2 2" xfId="36576"/>
    <cellStyle name="Note 2 3 2 2 3" xfId="36577"/>
    <cellStyle name="Note 2 3 2 3" xfId="36578"/>
    <cellStyle name="Note 2 3 2 4" xfId="36579"/>
    <cellStyle name="Note 2 3 3" xfId="36580"/>
    <cellStyle name="Note 2 3 4" xfId="36581"/>
    <cellStyle name="Note 2 4" xfId="36582"/>
    <cellStyle name="Note 2 4 2" xfId="36583"/>
    <cellStyle name="Note 2 4 2 2" xfId="36584"/>
    <cellStyle name="Note 2 4 2 3" xfId="36585"/>
    <cellStyle name="Note 2 4 3" xfId="36586"/>
    <cellStyle name="Note 2 4 4" xfId="36587"/>
    <cellStyle name="Note 2 5" xfId="36588"/>
    <cellStyle name="Note 2 6" xfId="36589"/>
    <cellStyle name="Note 2 7" xfId="42874"/>
    <cellStyle name="Note 2 8" xfId="42966"/>
    <cellStyle name="Note 3" xfId="36590"/>
    <cellStyle name="Note 3 2" xfId="36591"/>
    <cellStyle name="Note 3 2 2" xfId="36592"/>
    <cellStyle name="Note 3 2 2 2" xfId="36593"/>
    <cellStyle name="Note 3 2 2 2 2" xfId="36594"/>
    <cellStyle name="Note 3 2 2 2 3" xfId="36595"/>
    <cellStyle name="Note 3 2 2 3" xfId="36596"/>
    <cellStyle name="Note 3 2 2 4" xfId="36597"/>
    <cellStyle name="Note 3 2 3" xfId="36598"/>
    <cellStyle name="Note 3 2 4" xfId="36599"/>
    <cellStyle name="Note 3 3" xfId="36600"/>
    <cellStyle name="Note 3 3 2" xfId="36601"/>
    <cellStyle name="Note 3 3 2 2" xfId="36602"/>
    <cellStyle name="Note 3 3 2 3" xfId="36603"/>
    <cellStyle name="Note 3 3 3" xfId="36604"/>
    <cellStyle name="Note 3 3 4" xfId="36605"/>
    <cellStyle name="Note 3 4" xfId="36606"/>
    <cellStyle name="Note 3 5" xfId="36607"/>
    <cellStyle name="Note 3 6" xfId="42901"/>
    <cellStyle name="Note 4" xfId="36608"/>
    <cellStyle name="Note 4 2" xfId="36609"/>
    <cellStyle name="Note 4 2 2" xfId="36610"/>
    <cellStyle name="Note 4 2 2 2" xfId="36611"/>
    <cellStyle name="Note 4 2 2 3" xfId="36612"/>
    <cellStyle name="Note 4 2 3" xfId="36613"/>
    <cellStyle name="Note 4 2 4" xfId="36614"/>
    <cellStyle name="Note 4 3" xfId="36615"/>
    <cellStyle name="Note 4 4" xfId="36616"/>
    <cellStyle name="Note 4 5" xfId="42904"/>
    <cellStyle name="Note 4 6" xfId="43100"/>
    <cellStyle name="Note 5" xfId="36617"/>
    <cellStyle name="Note 5 2" xfId="36618"/>
    <cellStyle name="Note 5 2 2" xfId="36619"/>
    <cellStyle name="Note 5 2 2 2" xfId="36620"/>
    <cellStyle name="Note 5 2 2 2 2" xfId="36621"/>
    <cellStyle name="Note 5 2 2 2 2 2" xfId="36622"/>
    <cellStyle name="Note 5 2 2 2 2 3" xfId="36623"/>
    <cellStyle name="Note 5 2 2 2 3" xfId="36624"/>
    <cellStyle name="Note 5 2 2 2 4" xfId="36625"/>
    <cellStyle name="Note 5 2 2 3" xfId="36626"/>
    <cellStyle name="Note 5 2 2 4" xfId="36627"/>
    <cellStyle name="Note 5 2 3" xfId="36628"/>
    <cellStyle name="Note 5 2 3 2" xfId="36629"/>
    <cellStyle name="Note 5 2 3 2 2" xfId="36630"/>
    <cellStyle name="Note 5 2 3 2 3" xfId="36631"/>
    <cellStyle name="Note 5 2 3 3" xfId="36632"/>
    <cellStyle name="Note 5 2 3 4" xfId="36633"/>
    <cellStyle name="Note 5 2 4" xfId="36634"/>
    <cellStyle name="Note 5 2 5" xfId="36635"/>
    <cellStyle name="Note 5 3" xfId="36636"/>
    <cellStyle name="Note 5 3 2" xfId="36637"/>
    <cellStyle name="Note 5 3 2 2" xfId="36638"/>
    <cellStyle name="Note 5 3 2 2 2" xfId="36639"/>
    <cellStyle name="Note 5 3 2 2 2 2" xfId="36640"/>
    <cellStyle name="Note 5 3 2 2 2 3" xfId="36641"/>
    <cellStyle name="Note 5 3 2 2 3" xfId="36642"/>
    <cellStyle name="Note 5 3 2 2 4" xfId="36643"/>
    <cellStyle name="Note 5 3 2 3" xfId="36644"/>
    <cellStyle name="Note 5 3 2 4" xfId="36645"/>
    <cellStyle name="Note 5 3 3" xfId="36646"/>
    <cellStyle name="Note 5 3 3 2" xfId="36647"/>
    <cellStyle name="Note 5 3 3 2 2" xfId="36648"/>
    <cellStyle name="Note 5 3 3 2 3" xfId="36649"/>
    <cellStyle name="Note 5 3 3 3" xfId="36650"/>
    <cellStyle name="Note 5 3 3 4" xfId="36651"/>
    <cellStyle name="Note 5 3 4" xfId="36652"/>
    <cellStyle name="Note 5 3 5" xfId="36653"/>
    <cellStyle name="Note 5 4" xfId="36654"/>
    <cellStyle name="Note 5 4 2" xfId="36655"/>
    <cellStyle name="Note 5 4 2 2" xfId="36656"/>
    <cellStyle name="Note 5 4 2 2 2" xfId="36657"/>
    <cellStyle name="Note 5 4 2 2 3" xfId="36658"/>
    <cellStyle name="Note 5 4 2 3" xfId="36659"/>
    <cellStyle name="Note 5 4 2 4" xfId="36660"/>
    <cellStyle name="Note 5 4 3" xfId="36661"/>
    <cellStyle name="Note 5 4 4" xfId="36662"/>
    <cellStyle name="Note 5 5" xfId="36663"/>
    <cellStyle name="Note 5 5 2" xfId="36664"/>
    <cellStyle name="Note 5 5 2 2" xfId="36665"/>
    <cellStyle name="Note 5 5 2 3" xfId="36666"/>
    <cellStyle name="Note 5 5 3" xfId="36667"/>
    <cellStyle name="Note 5 5 4" xfId="36668"/>
    <cellStyle name="Note 5 6" xfId="36669"/>
    <cellStyle name="Note 5 7" xfId="36670"/>
    <cellStyle name="Note 5 8" xfId="42922"/>
    <cellStyle name="Note 6" xfId="36671"/>
    <cellStyle name="Note 6 2" xfId="36672"/>
    <cellStyle name="Note 6 2 2" xfId="36673"/>
    <cellStyle name="Note 6 2 2 2" xfId="36674"/>
    <cellStyle name="Note 6 2 2 2 2" xfId="36675"/>
    <cellStyle name="Note 6 2 2 2 2 2" xfId="36676"/>
    <cellStyle name="Note 6 2 2 2 2 3" xfId="36677"/>
    <cellStyle name="Note 6 2 2 2 3" xfId="36678"/>
    <cellStyle name="Note 6 2 2 2 4" xfId="36679"/>
    <cellStyle name="Note 6 2 2 3" xfId="36680"/>
    <cellStyle name="Note 6 2 2 4" xfId="36681"/>
    <cellStyle name="Note 6 2 3" xfId="36682"/>
    <cellStyle name="Note 6 2 3 2" xfId="36683"/>
    <cellStyle name="Note 6 2 3 2 2" xfId="36684"/>
    <cellStyle name="Note 6 2 3 2 3" xfId="36685"/>
    <cellStyle name="Note 6 2 3 3" xfId="36686"/>
    <cellStyle name="Note 6 2 3 4" xfId="36687"/>
    <cellStyle name="Note 6 2 4" xfId="36688"/>
    <cellStyle name="Note 6 2 5" xfId="36689"/>
    <cellStyle name="Note 6 3" xfId="36690"/>
    <cellStyle name="Note 6 3 2" xfId="36691"/>
    <cellStyle name="Note 6 3 2 2" xfId="36692"/>
    <cellStyle name="Note 6 3 2 2 2" xfId="36693"/>
    <cellStyle name="Note 6 3 2 2 3" xfId="36694"/>
    <cellStyle name="Note 6 3 2 3" xfId="36695"/>
    <cellStyle name="Note 6 3 2 4" xfId="36696"/>
    <cellStyle name="Note 6 3 3" xfId="36697"/>
    <cellStyle name="Note 6 3 4" xfId="36698"/>
    <cellStyle name="Note 6 4" xfId="36699"/>
    <cellStyle name="Note 6 4 2" xfId="36700"/>
    <cellStyle name="Note 6 4 2 2" xfId="36701"/>
    <cellStyle name="Note 6 4 2 3" xfId="36702"/>
    <cellStyle name="Note 6 4 3" xfId="36703"/>
    <cellStyle name="Note 6 4 4" xfId="36704"/>
    <cellStyle name="Note 6 5" xfId="36705"/>
    <cellStyle name="Note 6 6" xfId="36706"/>
    <cellStyle name="Note 6 7" xfId="42938"/>
    <cellStyle name="Note 7" xfId="36707"/>
    <cellStyle name="Note 7 2" xfId="36708"/>
    <cellStyle name="Note 7 2 2" xfId="36709"/>
    <cellStyle name="Note 7 2 2 2" xfId="36710"/>
    <cellStyle name="Note 7 2 2 2 2" xfId="36711"/>
    <cellStyle name="Note 7 2 2 2 2 2" xfId="36712"/>
    <cellStyle name="Note 7 2 2 2 2 3" xfId="36713"/>
    <cellStyle name="Note 7 2 2 2 3" xfId="36714"/>
    <cellStyle name="Note 7 2 2 2 4" xfId="36715"/>
    <cellStyle name="Note 7 2 2 3" xfId="36716"/>
    <cellStyle name="Note 7 2 2 4" xfId="36717"/>
    <cellStyle name="Note 7 2 3" xfId="36718"/>
    <cellStyle name="Note 7 2 3 2" xfId="36719"/>
    <cellStyle name="Note 7 2 3 2 2" xfId="36720"/>
    <cellStyle name="Note 7 2 3 2 3" xfId="36721"/>
    <cellStyle name="Note 7 2 3 3" xfId="36722"/>
    <cellStyle name="Note 7 2 3 4" xfId="36723"/>
    <cellStyle name="Note 7 2 4" xfId="36724"/>
    <cellStyle name="Note 7 2 5" xfId="36725"/>
    <cellStyle name="Note 7 3" xfId="36726"/>
    <cellStyle name="Note 7 3 2" xfId="36727"/>
    <cellStyle name="Note 7 3 2 2" xfId="36728"/>
    <cellStyle name="Note 7 3 2 2 2" xfId="36729"/>
    <cellStyle name="Note 7 3 2 2 3" xfId="36730"/>
    <cellStyle name="Note 7 3 2 3" xfId="36731"/>
    <cellStyle name="Note 7 3 2 4" xfId="36732"/>
    <cellStyle name="Note 7 3 3" xfId="36733"/>
    <cellStyle name="Note 7 3 4" xfId="36734"/>
    <cellStyle name="Note 7 4" xfId="36735"/>
    <cellStyle name="Note 7 4 2" xfId="36736"/>
    <cellStyle name="Note 7 4 2 2" xfId="36737"/>
    <cellStyle name="Note 7 4 2 3" xfId="36738"/>
    <cellStyle name="Note 7 4 3" xfId="36739"/>
    <cellStyle name="Note 7 4 4" xfId="36740"/>
    <cellStyle name="Note 7 5" xfId="36741"/>
    <cellStyle name="Note 7 6" xfId="36742"/>
    <cellStyle name="Note 8" xfId="36743"/>
    <cellStyle name="Note 8 2" xfId="36744"/>
    <cellStyle name="Note 8 2 2" xfId="36745"/>
    <cellStyle name="Note 8 2 2 2" xfId="36746"/>
    <cellStyle name="Note 8 2 2 2 2" xfId="36747"/>
    <cellStyle name="Note 8 2 2 2 3" xfId="36748"/>
    <cellStyle name="Note 8 2 2 3" xfId="36749"/>
    <cellStyle name="Note 8 2 2 3 2" xfId="36750"/>
    <cellStyle name="Note 8 2 2 3 3" xfId="36751"/>
    <cellStyle name="Note 8 2 2 4" xfId="36752"/>
    <cellStyle name="Note 8 2 2 5" xfId="36753"/>
    <cellStyle name="Note 8 2 3" xfId="36754"/>
    <cellStyle name="Note 8 2 3 2" xfId="36755"/>
    <cellStyle name="Note 8 2 3 2 2" xfId="36756"/>
    <cellStyle name="Note 8 2 3 2 3" xfId="36757"/>
    <cellStyle name="Note 8 2 3 3" xfId="36758"/>
    <cellStyle name="Note 8 2 3 3 2" xfId="36759"/>
    <cellStyle name="Note 8 2 3 3 3" xfId="36760"/>
    <cellStyle name="Note 8 2 3 4" xfId="36761"/>
    <cellStyle name="Note 8 2 3 5" xfId="36762"/>
    <cellStyle name="Note 8 2 4" xfId="36763"/>
    <cellStyle name="Note 8 2 4 2" xfId="36764"/>
    <cellStyle name="Note 8 2 4 3" xfId="36765"/>
    <cellStyle name="Note 8 2 5" xfId="36766"/>
    <cellStyle name="Note 8 2 5 2" xfId="36767"/>
    <cellStyle name="Note 8 2 5 3" xfId="36768"/>
    <cellStyle name="Note 8 2 6" xfId="36769"/>
    <cellStyle name="Note 8 2 7" xfId="36770"/>
    <cellStyle name="Note 8 3" xfId="36771"/>
    <cellStyle name="Note 8 3 2" xfId="36772"/>
    <cellStyle name="Note 8 3 2 2" xfId="36773"/>
    <cellStyle name="Note 8 3 2 2 2" xfId="36774"/>
    <cellStyle name="Note 8 3 2 2 3" xfId="36775"/>
    <cellStyle name="Note 8 3 2 3" xfId="36776"/>
    <cellStyle name="Note 8 3 2 3 2" xfId="36777"/>
    <cellStyle name="Note 8 3 2 3 3" xfId="36778"/>
    <cellStyle name="Note 8 3 2 4" xfId="36779"/>
    <cellStyle name="Note 8 3 2 5" xfId="36780"/>
    <cellStyle name="Note 8 3 3" xfId="36781"/>
    <cellStyle name="Note 8 3 3 2" xfId="36782"/>
    <cellStyle name="Note 8 3 3 2 2" xfId="36783"/>
    <cellStyle name="Note 8 3 3 2 3" xfId="36784"/>
    <cellStyle name="Note 8 3 3 3" xfId="36785"/>
    <cellStyle name="Note 8 3 3 3 2" xfId="36786"/>
    <cellStyle name="Note 8 3 3 3 3" xfId="36787"/>
    <cellStyle name="Note 8 3 3 4" xfId="36788"/>
    <cellStyle name="Note 8 3 3 5" xfId="36789"/>
    <cellStyle name="Note 8 3 4" xfId="36790"/>
    <cellStyle name="Note 8 3 4 2" xfId="36791"/>
    <cellStyle name="Note 8 3 4 3" xfId="36792"/>
    <cellStyle name="Note 8 3 5" xfId="36793"/>
    <cellStyle name="Note 8 3 5 2" xfId="36794"/>
    <cellStyle name="Note 8 3 5 3" xfId="36795"/>
    <cellStyle name="Note 8 3 6" xfId="36796"/>
    <cellStyle name="Note 8 3 7" xfId="36797"/>
    <cellStyle name="Note 8 4" xfId="36798"/>
    <cellStyle name="Note 8 4 2" xfId="36799"/>
    <cellStyle name="Note 8 4 2 2" xfId="36800"/>
    <cellStyle name="Note 8 4 2 3" xfId="36801"/>
    <cellStyle name="Note 8 4 3" xfId="36802"/>
    <cellStyle name="Note 8 4 3 2" xfId="36803"/>
    <cellStyle name="Note 8 4 3 3" xfId="36804"/>
    <cellStyle name="Note 8 4 4" xfId="36805"/>
    <cellStyle name="Note 8 4 5" xfId="36806"/>
    <cellStyle name="Note 8 5" xfId="36807"/>
    <cellStyle name="Note 8 5 2" xfId="36808"/>
    <cellStyle name="Note 8 5 2 2" xfId="36809"/>
    <cellStyle name="Note 8 5 2 3" xfId="36810"/>
    <cellStyle name="Note 8 5 3" xfId="36811"/>
    <cellStyle name="Note 8 5 3 2" xfId="36812"/>
    <cellStyle name="Note 8 5 3 3" xfId="36813"/>
    <cellStyle name="Note 8 5 4" xfId="36814"/>
    <cellStyle name="Note 8 5 5" xfId="36815"/>
    <cellStyle name="Note 8 6" xfId="36816"/>
    <cellStyle name="Note 8 6 2" xfId="36817"/>
    <cellStyle name="Note 8 6 3" xfId="36818"/>
    <cellStyle name="Note 8 7" xfId="36819"/>
    <cellStyle name="Note 8 7 2" xfId="36820"/>
    <cellStyle name="Note 8 7 3" xfId="36821"/>
    <cellStyle name="Note 8 8" xfId="36822"/>
    <cellStyle name="Note 8 9" xfId="36823"/>
    <cellStyle name="Note 9" xfId="36824"/>
    <cellStyle name="Num0Un" xfId="36825"/>
    <cellStyle name="Num1" xfId="36826"/>
    <cellStyle name="num1Style" xfId="36827"/>
    <cellStyle name="num1Styleb" xfId="36828"/>
    <cellStyle name="Num2" xfId="36829"/>
    <cellStyle name="Num2Un" xfId="36830"/>
    <cellStyle name="num4Style" xfId="36831"/>
    <cellStyle name="num4Styleb" xfId="36832"/>
    <cellStyle name="Number" xfId="36833"/>
    <cellStyle name="Numbers" xfId="36834"/>
    <cellStyle name="Numbers - Bold" xfId="36835"/>
    <cellStyle name="Numbers_6079BX" xfId="36836"/>
    <cellStyle name="numPStyle" xfId="36837"/>
    <cellStyle name="numPStyleb" xfId="36838"/>
    <cellStyle name="numXStyle" xfId="36839"/>
    <cellStyle name="numXStyleb" xfId="36840"/>
    <cellStyle name="NZD 0" xfId="36841"/>
    <cellStyle name="NZD 0 2" xfId="36842"/>
    <cellStyle name="NZD 0 3" xfId="36843"/>
    <cellStyle name="NZD 2" xfId="36844"/>
    <cellStyle name="NZD 2 2" xfId="36845"/>
    <cellStyle name="NZD 2 3" xfId="36846"/>
    <cellStyle name="Output" xfId="42818" builtinId="21" customBuiltin="1"/>
    <cellStyle name="Output 2" xfId="36847"/>
    <cellStyle name="Output 2 2" xfId="36848"/>
    <cellStyle name="Output 2 3" xfId="36849"/>
    <cellStyle name="Output 2 3 2" xfId="36850"/>
    <cellStyle name="Output 2 3 2 2" xfId="36851"/>
    <cellStyle name="Output 2 3 2 2 2" xfId="36852"/>
    <cellStyle name="Output 2 3 2 2 2 2" xfId="36853"/>
    <cellStyle name="Output 2 3 2 2 2 3" xfId="36854"/>
    <cellStyle name="Output 2 3 2 2 3" xfId="36855"/>
    <cellStyle name="Output 2 3 2 2 4" xfId="36856"/>
    <cellStyle name="Output 2 3 2 3" xfId="36857"/>
    <cellStyle name="Output 2 3 2 4" xfId="36858"/>
    <cellStyle name="Output 2 3 3" xfId="36859"/>
    <cellStyle name="Output 2 3 3 2" xfId="36860"/>
    <cellStyle name="Output 2 3 3 2 2" xfId="36861"/>
    <cellStyle name="Output 2 3 3 2 3" xfId="36862"/>
    <cellStyle name="Output 2 3 3 3" xfId="36863"/>
    <cellStyle name="Output 2 3 3 4" xfId="36864"/>
    <cellStyle name="Output 2 3 4" xfId="36865"/>
    <cellStyle name="Output 2 3 5" xfId="36866"/>
    <cellStyle name="Output 2 4" xfId="36867"/>
    <cellStyle name="Output 2 4 2" xfId="36868"/>
    <cellStyle name="Output 2 4 2 2" xfId="36869"/>
    <cellStyle name="Output 2 4 2 2 2" xfId="36870"/>
    <cellStyle name="Output 2 4 2 2 3" xfId="36871"/>
    <cellStyle name="Output 2 4 2 3" xfId="36872"/>
    <cellStyle name="Output 2 4 2 4" xfId="36873"/>
    <cellStyle name="Output 2 4 3" xfId="36874"/>
    <cellStyle name="Output 2 4 4" xfId="36875"/>
    <cellStyle name="Output 2 5" xfId="36876"/>
    <cellStyle name="Output 2 5 2" xfId="36877"/>
    <cellStyle name="Output 2 5 2 2" xfId="36878"/>
    <cellStyle name="Output 2 5 2 3" xfId="36879"/>
    <cellStyle name="Output 2 5 3" xfId="36880"/>
    <cellStyle name="Output 2 5 4" xfId="36881"/>
    <cellStyle name="Output 2 6" xfId="36882"/>
    <cellStyle name="Output 2 7" xfId="36883"/>
    <cellStyle name="Output 2 8" xfId="42875"/>
    <cellStyle name="Output 2 9" xfId="42864"/>
    <cellStyle name="Output 3" xfId="36884"/>
    <cellStyle name="Output 3 2" xfId="36885"/>
    <cellStyle name="Output 3 2 2" xfId="36886"/>
    <cellStyle name="Output 3 2 2 2" xfId="36887"/>
    <cellStyle name="Output 3 2 2 3" xfId="36888"/>
    <cellStyle name="Output 3 2 3" xfId="36889"/>
    <cellStyle name="Output 3 2 4" xfId="36890"/>
    <cellStyle name="Output 3 3" xfId="36891"/>
    <cellStyle name="Output 3 4" xfId="36892"/>
    <cellStyle name="Output 3 5" xfId="43101"/>
    <cellStyle name="Output 4" xfId="36893"/>
    <cellStyle name="Output 5" xfId="36894"/>
    <cellStyle name="Output 5 2" xfId="36895"/>
    <cellStyle name="Output 5 2 2" xfId="36896"/>
    <cellStyle name="Output 5 2 2 2" xfId="36897"/>
    <cellStyle name="Output 5 2 2 3" xfId="36898"/>
    <cellStyle name="Output 5 2 3" xfId="36899"/>
    <cellStyle name="Output 5 2 4" xfId="36900"/>
    <cellStyle name="Output 6" xfId="36901"/>
    <cellStyle name="Output 7" xfId="36902"/>
    <cellStyle name="Output Amounts" xfId="20"/>
    <cellStyle name="Output Amounts 10" xfId="36903"/>
    <cellStyle name="Output Amounts 11" xfId="36904"/>
    <cellStyle name="Output Amounts 12" xfId="36905"/>
    <cellStyle name="Output Amounts 2" xfId="36906"/>
    <cellStyle name="Output Amounts 2 10" xfId="42876"/>
    <cellStyle name="Output Amounts 2 2" xfId="36907"/>
    <cellStyle name="Output Amounts 2 3" xfId="36908"/>
    <cellStyle name="Output Amounts 2 4" xfId="36909"/>
    <cellStyle name="Output Amounts 2 5" xfId="36910"/>
    <cellStyle name="Output Amounts 2 6" xfId="36911"/>
    <cellStyle name="Output Amounts 2 7" xfId="36912"/>
    <cellStyle name="Output Amounts 2 8" xfId="36913"/>
    <cellStyle name="Output Amounts 2 9" xfId="36914"/>
    <cellStyle name="Output Amounts 3" xfId="36915"/>
    <cellStyle name="Output Amounts 4" xfId="36916"/>
    <cellStyle name="Output Amounts 5" xfId="36917"/>
    <cellStyle name="Output Amounts 6" xfId="36918"/>
    <cellStyle name="Output Amounts 7" xfId="36919"/>
    <cellStyle name="Output Amounts 8" xfId="36920"/>
    <cellStyle name="Output Amounts 9" xfId="36921"/>
    <cellStyle name="Output Column Headings" xfId="22"/>
    <cellStyle name="Output Column Headings 10" xfId="36922"/>
    <cellStyle name="Output Column Headings 11" xfId="36923"/>
    <cellStyle name="Output Column Headings 12" xfId="36924"/>
    <cellStyle name="Output Column Headings 2" xfId="36925"/>
    <cellStyle name="Output Column Headings 2 10" xfId="42877"/>
    <cellStyle name="Output Column Headings 2 2" xfId="36926"/>
    <cellStyle name="Output Column Headings 2 3" xfId="36927"/>
    <cellStyle name="Output Column Headings 2 4" xfId="36928"/>
    <cellStyle name="Output Column Headings 2 5" xfId="36929"/>
    <cellStyle name="Output Column Headings 2 6" xfId="36930"/>
    <cellStyle name="Output Column Headings 2 7" xfId="36931"/>
    <cellStyle name="Output Column Headings 2 8" xfId="36932"/>
    <cellStyle name="Output Column Headings 2 9" xfId="36933"/>
    <cellStyle name="Output Column Headings 3" xfId="36934"/>
    <cellStyle name="Output Column Headings 4" xfId="36935"/>
    <cellStyle name="Output Column Headings 5" xfId="36936"/>
    <cellStyle name="Output Column Headings 6" xfId="36937"/>
    <cellStyle name="Output Column Headings 7" xfId="36938"/>
    <cellStyle name="Output Column Headings 8" xfId="36939"/>
    <cellStyle name="Output Column Headings 9" xfId="36940"/>
    <cellStyle name="Output Column Headings_maycto" xfId="36941"/>
    <cellStyle name="Output Line Items" xfId="17"/>
    <cellStyle name="Output Line Items 10" xfId="36942"/>
    <cellStyle name="Output Line Items 10 2" xfId="36943"/>
    <cellStyle name="Output Line Items 10 2 2" xfId="36944"/>
    <cellStyle name="Output Line Items 10 2 2 2" xfId="36945"/>
    <cellStyle name="Output Line Items 10 2 3" xfId="36946"/>
    <cellStyle name="Output Line Items 10 3" xfId="36947"/>
    <cellStyle name="Output Line Items 10 3 2" xfId="36948"/>
    <cellStyle name="Output Line Items 10 4" xfId="36949"/>
    <cellStyle name="Output Line Items 11" xfId="36950"/>
    <cellStyle name="Output Line Items 11 2" xfId="36951"/>
    <cellStyle name="Output Line Items 11 2 2" xfId="36952"/>
    <cellStyle name="Output Line Items 11 3" xfId="36953"/>
    <cellStyle name="Output Line Items 12" xfId="36954"/>
    <cellStyle name="Output Line Items 12 2" xfId="36955"/>
    <cellStyle name="Output Line Items 13" xfId="36956"/>
    <cellStyle name="Output Line Items 14" xfId="36957"/>
    <cellStyle name="Output Line Items 15" xfId="36958"/>
    <cellStyle name="Output Line Items 2" xfId="36959"/>
    <cellStyle name="Output Line Items 2 10" xfId="36960"/>
    <cellStyle name="Output Line Items 2 10 2" xfId="36961"/>
    <cellStyle name="Output Line Items 2 10 2 2" xfId="36962"/>
    <cellStyle name="Output Line Items 2 10 3" xfId="36963"/>
    <cellStyle name="Output Line Items 2 11" xfId="36964"/>
    <cellStyle name="Output Line Items 2 11 2" xfId="36965"/>
    <cellStyle name="Output Line Items 2 12" xfId="36966"/>
    <cellStyle name="Output Line Items 2 13" xfId="42878"/>
    <cellStyle name="Output Line Items 2 2" xfId="36967"/>
    <cellStyle name="Output Line Items 2 2 2" xfId="36968"/>
    <cellStyle name="Output Line Items 2 2 2 2" xfId="36969"/>
    <cellStyle name="Output Line Items 2 2 2 2 2" xfId="36970"/>
    <cellStyle name="Output Line Items 2 2 2 3" xfId="36971"/>
    <cellStyle name="Output Line Items 2 2 3" xfId="36972"/>
    <cellStyle name="Output Line Items 2 2 3 2" xfId="36973"/>
    <cellStyle name="Output Line Items 2 2 4" xfId="36974"/>
    <cellStyle name="Output Line Items 2 3" xfId="36975"/>
    <cellStyle name="Output Line Items 2 3 2" xfId="36976"/>
    <cellStyle name="Output Line Items 2 3 2 2" xfId="36977"/>
    <cellStyle name="Output Line Items 2 3 2 2 2" xfId="36978"/>
    <cellStyle name="Output Line Items 2 3 2 3" xfId="36979"/>
    <cellStyle name="Output Line Items 2 3 3" xfId="36980"/>
    <cellStyle name="Output Line Items 2 3 3 2" xfId="36981"/>
    <cellStyle name="Output Line Items 2 3 4" xfId="36982"/>
    <cellStyle name="Output Line Items 2 4" xfId="36983"/>
    <cellStyle name="Output Line Items 2 4 2" xfId="36984"/>
    <cellStyle name="Output Line Items 2 4 2 2" xfId="36985"/>
    <cellStyle name="Output Line Items 2 4 2 2 2" xfId="36986"/>
    <cellStyle name="Output Line Items 2 4 2 3" xfId="36987"/>
    <cellStyle name="Output Line Items 2 4 3" xfId="36988"/>
    <cellStyle name="Output Line Items 2 4 3 2" xfId="36989"/>
    <cellStyle name="Output Line Items 2 4 4" xfId="36990"/>
    <cellStyle name="Output Line Items 2 5" xfId="36991"/>
    <cellStyle name="Output Line Items 2 5 2" xfId="36992"/>
    <cellStyle name="Output Line Items 2 5 2 2" xfId="36993"/>
    <cellStyle name="Output Line Items 2 5 2 2 2" xfId="36994"/>
    <cellStyle name="Output Line Items 2 5 2 3" xfId="36995"/>
    <cellStyle name="Output Line Items 2 5 3" xfId="36996"/>
    <cellStyle name="Output Line Items 2 5 3 2" xfId="36997"/>
    <cellStyle name="Output Line Items 2 5 4" xfId="36998"/>
    <cellStyle name="Output Line Items 2 6" xfId="36999"/>
    <cellStyle name="Output Line Items 2 6 2" xfId="37000"/>
    <cellStyle name="Output Line Items 2 6 2 2" xfId="37001"/>
    <cellStyle name="Output Line Items 2 6 2 2 2" xfId="37002"/>
    <cellStyle name="Output Line Items 2 6 2 3" xfId="37003"/>
    <cellStyle name="Output Line Items 2 6 3" xfId="37004"/>
    <cellStyle name="Output Line Items 2 6 3 2" xfId="37005"/>
    <cellStyle name="Output Line Items 2 6 4" xfId="37006"/>
    <cellStyle name="Output Line Items 2 7" xfId="37007"/>
    <cellStyle name="Output Line Items 2 7 2" xfId="37008"/>
    <cellStyle name="Output Line Items 2 7 2 2" xfId="37009"/>
    <cellStyle name="Output Line Items 2 7 2 2 2" xfId="37010"/>
    <cellStyle name="Output Line Items 2 7 2 3" xfId="37011"/>
    <cellStyle name="Output Line Items 2 7 3" xfId="37012"/>
    <cellStyle name="Output Line Items 2 7 3 2" xfId="37013"/>
    <cellStyle name="Output Line Items 2 7 4" xfId="37014"/>
    <cellStyle name="Output Line Items 2 8" xfId="37015"/>
    <cellStyle name="Output Line Items 2 8 2" xfId="37016"/>
    <cellStyle name="Output Line Items 2 8 2 2" xfId="37017"/>
    <cellStyle name="Output Line Items 2 8 2 2 2" xfId="37018"/>
    <cellStyle name="Output Line Items 2 8 2 3" xfId="37019"/>
    <cellStyle name="Output Line Items 2 8 3" xfId="37020"/>
    <cellStyle name="Output Line Items 2 8 3 2" xfId="37021"/>
    <cellStyle name="Output Line Items 2 8 4" xfId="37022"/>
    <cellStyle name="Output Line Items 2 9" xfId="37023"/>
    <cellStyle name="Output Line Items 2 9 2" xfId="37024"/>
    <cellStyle name="Output Line Items 2 9 2 2" xfId="37025"/>
    <cellStyle name="Output Line Items 2 9 2 2 2" xfId="37026"/>
    <cellStyle name="Output Line Items 2 9 2 3" xfId="37027"/>
    <cellStyle name="Output Line Items 2 9 3" xfId="37028"/>
    <cellStyle name="Output Line Items 2 9 3 2" xfId="37029"/>
    <cellStyle name="Output Line Items 2 9 4" xfId="37030"/>
    <cellStyle name="Output Line Items 3" xfId="37031"/>
    <cellStyle name="Output Line Items 3 2" xfId="37032"/>
    <cellStyle name="Output Line Items 3 2 2" xfId="37033"/>
    <cellStyle name="Output Line Items 3 2 2 2" xfId="37034"/>
    <cellStyle name="Output Line Items 3 2 3" xfId="37035"/>
    <cellStyle name="Output Line Items 3 3" xfId="37036"/>
    <cellStyle name="Output Line Items 3 3 2" xfId="37037"/>
    <cellStyle name="Output Line Items 3 4" xfId="37038"/>
    <cellStyle name="Output Line Items 4" xfId="37039"/>
    <cellStyle name="Output Line Items 4 2" xfId="37040"/>
    <cellStyle name="Output Line Items 4 2 2" xfId="37041"/>
    <cellStyle name="Output Line Items 4 2 2 2" xfId="37042"/>
    <cellStyle name="Output Line Items 4 2 3" xfId="37043"/>
    <cellStyle name="Output Line Items 4 3" xfId="37044"/>
    <cellStyle name="Output Line Items 4 3 2" xfId="37045"/>
    <cellStyle name="Output Line Items 4 4" xfId="37046"/>
    <cellStyle name="Output Line Items 5" xfId="37047"/>
    <cellStyle name="Output Line Items 5 2" xfId="37048"/>
    <cellStyle name="Output Line Items 5 2 2" xfId="37049"/>
    <cellStyle name="Output Line Items 5 2 2 2" xfId="37050"/>
    <cellStyle name="Output Line Items 5 2 3" xfId="37051"/>
    <cellStyle name="Output Line Items 5 3" xfId="37052"/>
    <cellStyle name="Output Line Items 5 3 2" xfId="37053"/>
    <cellStyle name="Output Line Items 5 4" xfId="37054"/>
    <cellStyle name="Output Line Items 6" xfId="37055"/>
    <cellStyle name="Output Line Items 6 2" xfId="37056"/>
    <cellStyle name="Output Line Items 6 2 2" xfId="37057"/>
    <cellStyle name="Output Line Items 6 2 2 2" xfId="37058"/>
    <cellStyle name="Output Line Items 6 2 3" xfId="37059"/>
    <cellStyle name="Output Line Items 6 3" xfId="37060"/>
    <cellStyle name="Output Line Items 6 3 2" xfId="37061"/>
    <cellStyle name="Output Line Items 6 4" xfId="37062"/>
    <cellStyle name="Output Line Items 7" xfId="37063"/>
    <cellStyle name="Output Line Items 7 2" xfId="37064"/>
    <cellStyle name="Output Line Items 7 2 2" xfId="37065"/>
    <cellStyle name="Output Line Items 7 2 2 2" xfId="37066"/>
    <cellStyle name="Output Line Items 7 2 3" xfId="37067"/>
    <cellStyle name="Output Line Items 7 3" xfId="37068"/>
    <cellStyle name="Output Line Items 7 3 2" xfId="37069"/>
    <cellStyle name="Output Line Items 7 4" xfId="37070"/>
    <cellStyle name="Output Line Items 8" xfId="37071"/>
    <cellStyle name="Output Line Items 8 2" xfId="37072"/>
    <cellStyle name="Output Line Items 8 2 2" xfId="37073"/>
    <cellStyle name="Output Line Items 8 2 2 2" xfId="37074"/>
    <cellStyle name="Output Line Items 8 2 3" xfId="37075"/>
    <cellStyle name="Output Line Items 8 3" xfId="37076"/>
    <cellStyle name="Output Line Items 8 3 2" xfId="37077"/>
    <cellStyle name="Output Line Items 8 4" xfId="37078"/>
    <cellStyle name="Output Line Items 9" xfId="37079"/>
    <cellStyle name="Output Line Items 9 2" xfId="37080"/>
    <cellStyle name="Output Line Items 9 2 2" xfId="37081"/>
    <cellStyle name="Output Line Items 9 2 2 2" xfId="37082"/>
    <cellStyle name="Output Line Items 9 2 3" xfId="37083"/>
    <cellStyle name="Output Line Items 9 3" xfId="37084"/>
    <cellStyle name="Output Line Items 9 3 2" xfId="37085"/>
    <cellStyle name="Output Line Items 9 4" xfId="37086"/>
    <cellStyle name="Output Line Items_2015 Activity" xfId="42902"/>
    <cellStyle name="Output Report Heading" xfId="14"/>
    <cellStyle name="Output Report Heading 10" xfId="37087"/>
    <cellStyle name="Output Report Heading 11" xfId="37088"/>
    <cellStyle name="Output Report Heading 12" xfId="37089"/>
    <cellStyle name="Output Report Heading 2" xfId="37090"/>
    <cellStyle name="Output Report Heading 2 10" xfId="42879"/>
    <cellStyle name="Output Report Heading 2 2" xfId="37091"/>
    <cellStyle name="Output Report Heading 2 3" xfId="37092"/>
    <cellStyle name="Output Report Heading 2 4" xfId="37093"/>
    <cellStyle name="Output Report Heading 2 5" xfId="37094"/>
    <cellStyle name="Output Report Heading 2 6" xfId="37095"/>
    <cellStyle name="Output Report Heading 2 7" xfId="37096"/>
    <cellStyle name="Output Report Heading 2 8" xfId="37097"/>
    <cellStyle name="Output Report Heading 2 9" xfId="37098"/>
    <cellStyle name="Output Report Heading 3" xfId="37099"/>
    <cellStyle name="Output Report Heading 4" xfId="37100"/>
    <cellStyle name="Output Report Heading 5" xfId="37101"/>
    <cellStyle name="Output Report Heading 6" xfId="37102"/>
    <cellStyle name="Output Report Heading 7" xfId="37103"/>
    <cellStyle name="Output Report Heading 8" xfId="37104"/>
    <cellStyle name="Output Report Heading 9" xfId="37105"/>
    <cellStyle name="Output Report Heading_2011 - Wholesale Wireless - 9001" xfId="37106"/>
    <cellStyle name="Output Report Title" xfId="21"/>
    <cellStyle name="Output Report Title 10" xfId="37107"/>
    <cellStyle name="Output Report Title 11" xfId="37108"/>
    <cellStyle name="Output Report Title 12" xfId="37109"/>
    <cellStyle name="Output Report Title 2" xfId="37110"/>
    <cellStyle name="Output Report Title 2 10" xfId="42880"/>
    <cellStyle name="Output Report Title 2 2" xfId="37111"/>
    <cellStyle name="Output Report Title 2 3" xfId="37112"/>
    <cellStyle name="Output Report Title 2 4" xfId="37113"/>
    <cellStyle name="Output Report Title 2 5" xfId="37114"/>
    <cellStyle name="Output Report Title 2 6" xfId="37115"/>
    <cellStyle name="Output Report Title 2 7" xfId="37116"/>
    <cellStyle name="Output Report Title 2 8" xfId="37117"/>
    <cellStyle name="Output Report Title 2 9" xfId="37118"/>
    <cellStyle name="Output Report Title 3" xfId="37119"/>
    <cellStyle name="Output Report Title 4" xfId="37120"/>
    <cellStyle name="Output Report Title 5" xfId="37121"/>
    <cellStyle name="Output Report Title 6" xfId="37122"/>
    <cellStyle name="Output Report Title 7" xfId="37123"/>
    <cellStyle name="Output Report Title 8" xfId="37124"/>
    <cellStyle name="Output Report Title 9" xfId="37125"/>
    <cellStyle name="Output Report Title_2011 - Wholesale Wireless - 9001" xfId="37126"/>
    <cellStyle name="Page Heading" xfId="37127"/>
    <cellStyle name="Page Heading Large" xfId="37128"/>
    <cellStyle name="Page Heading Small" xfId="37129"/>
    <cellStyle name="Page Number" xfId="37130"/>
    <cellStyle name="Palatino" xfId="37131"/>
    <cellStyle name="Parens (1)" xfId="37132"/>
    <cellStyle name="pc1" xfId="37133"/>
    <cellStyle name="pcent" xfId="37134"/>
    <cellStyle name="pe" xfId="37135"/>
    <cellStyle name="PEG" xfId="37136"/>
    <cellStyle name="Perc1" xfId="37137"/>
    <cellStyle name="Percent" xfId="42791" builtinId="5"/>
    <cellStyle name="Percent %" xfId="37138"/>
    <cellStyle name="Percent [0]" xfId="4"/>
    <cellStyle name="Percent [00]" xfId="37139"/>
    <cellStyle name="Percent [1]" xfId="37140"/>
    <cellStyle name="Percent [2]" xfId="37141"/>
    <cellStyle name="Percent [2] 2" xfId="37142"/>
    <cellStyle name="Percent [2] 2 2" xfId="37143"/>
    <cellStyle name="Percent [2] 3" xfId="37144"/>
    <cellStyle name="Percent [2] 3 2" xfId="37145"/>
    <cellStyle name="Percent [2] 4" xfId="37146"/>
    <cellStyle name="Percent [2] 4 2" xfId="37147"/>
    <cellStyle name="Percent [2] 4 2 2" xfId="37148"/>
    <cellStyle name="Percent [2] 4 3" xfId="37149"/>
    <cellStyle name="Percent [2] 4 3 2" xfId="37150"/>
    <cellStyle name="Percent [2] 4 4" xfId="37151"/>
    <cellStyle name="Percent [2] 5" xfId="37152"/>
    <cellStyle name="Percent [2] 5 2" xfId="37153"/>
    <cellStyle name="Percent [2] 5 2 2" xfId="37154"/>
    <cellStyle name="Percent [2] 5 3" xfId="37155"/>
    <cellStyle name="Percent [2] 6" xfId="37156"/>
    <cellStyle name="Percent [2] 6 2" xfId="37157"/>
    <cellStyle name="Percent [2] 6 2 2" xfId="37158"/>
    <cellStyle name="Percent [2] 6 3" xfId="37159"/>
    <cellStyle name="Percent [2] 7" xfId="37160"/>
    <cellStyle name="Percent [2] 7 2" xfId="37161"/>
    <cellStyle name="Percent [2] 8" xfId="37162"/>
    <cellStyle name="Percent 10" xfId="37163"/>
    <cellStyle name="Percent 10 2" xfId="37164"/>
    <cellStyle name="Percent 10 2 2" xfId="37165"/>
    <cellStyle name="Percent 10 2 3" xfId="37166"/>
    <cellStyle name="Percent 10 3" xfId="37167"/>
    <cellStyle name="Percent 11" xfId="37168"/>
    <cellStyle name="Percent 11 2" xfId="37169"/>
    <cellStyle name="Percent 11 2 2" xfId="37170"/>
    <cellStyle name="Percent 11 2 2 2" xfId="37171"/>
    <cellStyle name="Percent 11 2 2 2 2" xfId="37172"/>
    <cellStyle name="Percent 11 2 2 2 2 2" xfId="37173"/>
    <cellStyle name="Percent 11 2 2 2 2 2 2" xfId="37174"/>
    <cellStyle name="Percent 11 2 2 2 2 2 2 2" xfId="37175"/>
    <cellStyle name="Percent 11 2 2 2 2 2 2 3" xfId="37176"/>
    <cellStyle name="Percent 11 2 2 2 2 2 3" xfId="37177"/>
    <cellStyle name="Percent 11 2 2 2 2 2 3 2" xfId="37178"/>
    <cellStyle name="Percent 11 2 2 2 2 2 3 3" xfId="37179"/>
    <cellStyle name="Percent 11 2 2 2 2 2 4" xfId="37180"/>
    <cellStyle name="Percent 11 2 2 2 2 2 5" xfId="37181"/>
    <cellStyle name="Percent 11 2 2 2 2 3" xfId="37182"/>
    <cellStyle name="Percent 11 2 2 2 2 3 2" xfId="37183"/>
    <cellStyle name="Percent 11 2 2 2 2 3 2 2" xfId="37184"/>
    <cellStyle name="Percent 11 2 2 2 2 3 2 3" xfId="37185"/>
    <cellStyle name="Percent 11 2 2 2 2 3 3" xfId="37186"/>
    <cellStyle name="Percent 11 2 2 2 2 3 3 2" xfId="37187"/>
    <cellStyle name="Percent 11 2 2 2 2 3 3 3" xfId="37188"/>
    <cellStyle name="Percent 11 2 2 2 2 3 4" xfId="37189"/>
    <cellStyle name="Percent 11 2 2 2 2 3 5" xfId="37190"/>
    <cellStyle name="Percent 11 2 2 2 2 4" xfId="37191"/>
    <cellStyle name="Percent 11 2 2 2 2 4 2" xfId="37192"/>
    <cellStyle name="Percent 11 2 2 2 2 4 3" xfId="37193"/>
    <cellStyle name="Percent 11 2 2 2 2 5" xfId="37194"/>
    <cellStyle name="Percent 11 2 2 2 2 5 2" xfId="37195"/>
    <cellStyle name="Percent 11 2 2 2 2 5 3" xfId="37196"/>
    <cellStyle name="Percent 11 2 2 2 2 6" xfId="37197"/>
    <cellStyle name="Percent 11 2 2 2 2 7" xfId="37198"/>
    <cellStyle name="Percent 11 2 2 2 3" xfId="37199"/>
    <cellStyle name="Percent 11 2 2 2 3 2" xfId="37200"/>
    <cellStyle name="Percent 11 2 2 2 3 2 2" xfId="37201"/>
    <cellStyle name="Percent 11 2 2 2 3 2 2 2" xfId="37202"/>
    <cellStyle name="Percent 11 2 2 2 3 2 2 3" xfId="37203"/>
    <cellStyle name="Percent 11 2 2 2 3 2 3" xfId="37204"/>
    <cellStyle name="Percent 11 2 2 2 3 2 3 2" xfId="37205"/>
    <cellStyle name="Percent 11 2 2 2 3 2 3 3" xfId="37206"/>
    <cellStyle name="Percent 11 2 2 2 3 2 4" xfId="37207"/>
    <cellStyle name="Percent 11 2 2 2 3 2 5" xfId="37208"/>
    <cellStyle name="Percent 11 2 2 2 3 3" xfId="37209"/>
    <cellStyle name="Percent 11 2 2 2 3 3 2" xfId="37210"/>
    <cellStyle name="Percent 11 2 2 2 3 3 2 2" xfId="37211"/>
    <cellStyle name="Percent 11 2 2 2 3 3 2 3" xfId="37212"/>
    <cellStyle name="Percent 11 2 2 2 3 3 3" xfId="37213"/>
    <cellStyle name="Percent 11 2 2 2 3 3 3 2" xfId="37214"/>
    <cellStyle name="Percent 11 2 2 2 3 3 3 3" xfId="37215"/>
    <cellStyle name="Percent 11 2 2 2 3 3 4" xfId="37216"/>
    <cellStyle name="Percent 11 2 2 2 3 3 5" xfId="37217"/>
    <cellStyle name="Percent 11 2 2 2 3 4" xfId="37218"/>
    <cellStyle name="Percent 11 2 2 2 3 4 2" xfId="37219"/>
    <cellStyle name="Percent 11 2 2 2 3 4 3" xfId="37220"/>
    <cellStyle name="Percent 11 2 2 2 3 5" xfId="37221"/>
    <cellStyle name="Percent 11 2 2 2 3 5 2" xfId="37222"/>
    <cellStyle name="Percent 11 2 2 2 3 5 3" xfId="37223"/>
    <cellStyle name="Percent 11 2 2 2 3 6" xfId="37224"/>
    <cellStyle name="Percent 11 2 2 2 3 7" xfId="37225"/>
    <cellStyle name="Percent 11 2 2 2 4" xfId="37226"/>
    <cellStyle name="Percent 11 2 2 2 4 2" xfId="37227"/>
    <cellStyle name="Percent 11 2 2 2 4 2 2" xfId="37228"/>
    <cellStyle name="Percent 11 2 2 2 4 2 3" xfId="37229"/>
    <cellStyle name="Percent 11 2 2 2 4 3" xfId="37230"/>
    <cellStyle name="Percent 11 2 2 2 4 3 2" xfId="37231"/>
    <cellStyle name="Percent 11 2 2 2 4 3 3" xfId="37232"/>
    <cellStyle name="Percent 11 2 2 2 4 4" xfId="37233"/>
    <cellStyle name="Percent 11 2 2 2 4 5" xfId="37234"/>
    <cellStyle name="Percent 11 2 2 2 5" xfId="37235"/>
    <cellStyle name="Percent 11 2 2 2 5 2" xfId="37236"/>
    <cellStyle name="Percent 11 2 2 2 5 2 2" xfId="37237"/>
    <cellStyle name="Percent 11 2 2 2 5 2 3" xfId="37238"/>
    <cellStyle name="Percent 11 2 2 2 5 3" xfId="37239"/>
    <cellStyle name="Percent 11 2 2 2 5 3 2" xfId="37240"/>
    <cellStyle name="Percent 11 2 2 2 5 3 3" xfId="37241"/>
    <cellStyle name="Percent 11 2 2 2 5 4" xfId="37242"/>
    <cellStyle name="Percent 11 2 2 2 5 5" xfId="37243"/>
    <cellStyle name="Percent 11 2 2 2 6" xfId="37244"/>
    <cellStyle name="Percent 11 2 2 2 6 2" xfId="37245"/>
    <cellStyle name="Percent 11 2 2 2 6 3" xfId="37246"/>
    <cellStyle name="Percent 11 2 2 2 7" xfId="37247"/>
    <cellStyle name="Percent 11 2 2 2 7 2" xfId="37248"/>
    <cellStyle name="Percent 11 2 2 2 7 3" xfId="37249"/>
    <cellStyle name="Percent 11 2 2 2 8" xfId="37250"/>
    <cellStyle name="Percent 11 2 2 2 9" xfId="37251"/>
    <cellStyle name="Percent 11 2 3" xfId="37252"/>
    <cellStyle name="Percent 11 2 3 2" xfId="37253"/>
    <cellStyle name="Percent 11 2 3 2 2" xfId="37254"/>
    <cellStyle name="Percent 11 2 3 2 2 2" xfId="37255"/>
    <cellStyle name="Percent 11 2 3 2 2 2 2" xfId="37256"/>
    <cellStyle name="Percent 11 2 3 2 2 2 3" xfId="37257"/>
    <cellStyle name="Percent 11 2 3 2 2 3" xfId="37258"/>
    <cellStyle name="Percent 11 2 3 2 2 3 2" xfId="37259"/>
    <cellStyle name="Percent 11 2 3 2 2 3 3" xfId="37260"/>
    <cellStyle name="Percent 11 2 3 2 2 4" xfId="37261"/>
    <cellStyle name="Percent 11 2 3 2 2 5" xfId="37262"/>
    <cellStyle name="Percent 11 2 3 2 3" xfId="37263"/>
    <cellStyle name="Percent 11 2 3 2 3 2" xfId="37264"/>
    <cellStyle name="Percent 11 2 3 2 3 2 2" xfId="37265"/>
    <cellStyle name="Percent 11 2 3 2 3 2 3" xfId="37266"/>
    <cellStyle name="Percent 11 2 3 2 3 3" xfId="37267"/>
    <cellStyle name="Percent 11 2 3 2 3 3 2" xfId="37268"/>
    <cellStyle name="Percent 11 2 3 2 3 3 3" xfId="37269"/>
    <cellStyle name="Percent 11 2 3 2 3 4" xfId="37270"/>
    <cellStyle name="Percent 11 2 3 2 3 5" xfId="37271"/>
    <cellStyle name="Percent 11 2 3 2 4" xfId="37272"/>
    <cellStyle name="Percent 11 2 3 2 4 2" xfId="37273"/>
    <cellStyle name="Percent 11 2 3 2 4 3" xfId="37274"/>
    <cellStyle name="Percent 11 2 3 2 5" xfId="37275"/>
    <cellStyle name="Percent 11 2 3 2 5 2" xfId="37276"/>
    <cellStyle name="Percent 11 2 3 2 5 3" xfId="37277"/>
    <cellStyle name="Percent 11 2 3 2 6" xfId="37278"/>
    <cellStyle name="Percent 11 2 3 2 7" xfId="37279"/>
    <cellStyle name="Percent 11 2 3 3" xfId="37280"/>
    <cellStyle name="Percent 11 2 3 3 2" xfId="37281"/>
    <cellStyle name="Percent 11 2 3 3 2 2" xfId="37282"/>
    <cellStyle name="Percent 11 2 3 3 2 2 2" xfId="37283"/>
    <cellStyle name="Percent 11 2 3 3 2 2 3" xfId="37284"/>
    <cellStyle name="Percent 11 2 3 3 2 3" xfId="37285"/>
    <cellStyle name="Percent 11 2 3 3 2 3 2" xfId="37286"/>
    <cellStyle name="Percent 11 2 3 3 2 3 3" xfId="37287"/>
    <cellStyle name="Percent 11 2 3 3 2 4" xfId="37288"/>
    <cellStyle name="Percent 11 2 3 3 2 5" xfId="37289"/>
    <cellStyle name="Percent 11 2 3 3 3" xfId="37290"/>
    <cellStyle name="Percent 11 2 3 3 3 2" xfId="37291"/>
    <cellStyle name="Percent 11 2 3 3 3 2 2" xfId="37292"/>
    <cellStyle name="Percent 11 2 3 3 3 2 3" xfId="37293"/>
    <cellStyle name="Percent 11 2 3 3 3 3" xfId="37294"/>
    <cellStyle name="Percent 11 2 3 3 3 3 2" xfId="37295"/>
    <cellStyle name="Percent 11 2 3 3 3 3 3" xfId="37296"/>
    <cellStyle name="Percent 11 2 3 3 3 4" xfId="37297"/>
    <cellStyle name="Percent 11 2 3 3 3 5" xfId="37298"/>
    <cellStyle name="Percent 11 2 3 3 4" xfId="37299"/>
    <cellStyle name="Percent 11 2 3 3 4 2" xfId="37300"/>
    <cellStyle name="Percent 11 2 3 3 4 3" xfId="37301"/>
    <cellStyle name="Percent 11 2 3 3 5" xfId="37302"/>
    <cellStyle name="Percent 11 2 3 3 5 2" xfId="37303"/>
    <cellStyle name="Percent 11 2 3 3 5 3" xfId="37304"/>
    <cellStyle name="Percent 11 2 3 3 6" xfId="37305"/>
    <cellStyle name="Percent 11 2 3 3 7" xfId="37306"/>
    <cellStyle name="Percent 11 2 3 4" xfId="37307"/>
    <cellStyle name="Percent 11 2 3 4 2" xfId="37308"/>
    <cellStyle name="Percent 11 2 3 4 2 2" xfId="37309"/>
    <cellStyle name="Percent 11 2 3 4 2 3" xfId="37310"/>
    <cellStyle name="Percent 11 2 3 4 3" xfId="37311"/>
    <cellStyle name="Percent 11 2 3 4 3 2" xfId="37312"/>
    <cellStyle name="Percent 11 2 3 4 3 3" xfId="37313"/>
    <cellStyle name="Percent 11 2 3 4 4" xfId="37314"/>
    <cellStyle name="Percent 11 2 3 4 5" xfId="37315"/>
    <cellStyle name="Percent 11 2 3 5" xfId="37316"/>
    <cellStyle name="Percent 11 2 3 5 2" xfId="37317"/>
    <cellStyle name="Percent 11 2 3 5 2 2" xfId="37318"/>
    <cellStyle name="Percent 11 2 3 5 2 3" xfId="37319"/>
    <cellStyle name="Percent 11 2 3 5 3" xfId="37320"/>
    <cellStyle name="Percent 11 2 3 5 3 2" xfId="37321"/>
    <cellStyle name="Percent 11 2 3 5 3 3" xfId="37322"/>
    <cellStyle name="Percent 11 2 3 5 4" xfId="37323"/>
    <cellStyle name="Percent 11 2 3 5 5" xfId="37324"/>
    <cellStyle name="Percent 11 2 3 6" xfId="37325"/>
    <cellStyle name="Percent 11 2 3 6 2" xfId="37326"/>
    <cellStyle name="Percent 11 2 3 6 3" xfId="37327"/>
    <cellStyle name="Percent 11 2 3 7" xfId="37328"/>
    <cellStyle name="Percent 11 2 3 7 2" xfId="37329"/>
    <cellStyle name="Percent 11 2 3 7 3" xfId="37330"/>
    <cellStyle name="Percent 11 2 3 8" xfId="37331"/>
    <cellStyle name="Percent 11 2 3 9" xfId="37332"/>
    <cellStyle name="Percent 11 3" xfId="37333"/>
    <cellStyle name="Percent 11 3 2" xfId="37334"/>
    <cellStyle name="Percent 11 3 2 2" xfId="37335"/>
    <cellStyle name="Percent 11 3 2 2 2" xfId="37336"/>
    <cellStyle name="Percent 11 3 2 2 2 2" xfId="37337"/>
    <cellStyle name="Percent 11 3 2 2 2 2 2" xfId="37338"/>
    <cellStyle name="Percent 11 3 2 2 2 2 3" xfId="37339"/>
    <cellStyle name="Percent 11 3 2 2 2 3" xfId="37340"/>
    <cellStyle name="Percent 11 3 2 2 2 3 2" xfId="37341"/>
    <cellStyle name="Percent 11 3 2 2 2 3 3" xfId="37342"/>
    <cellStyle name="Percent 11 3 2 2 2 4" xfId="37343"/>
    <cellStyle name="Percent 11 3 2 2 2 5" xfId="37344"/>
    <cellStyle name="Percent 11 3 2 2 3" xfId="37345"/>
    <cellStyle name="Percent 11 3 2 2 3 2" xfId="37346"/>
    <cellStyle name="Percent 11 3 2 2 3 2 2" xfId="37347"/>
    <cellStyle name="Percent 11 3 2 2 3 2 3" xfId="37348"/>
    <cellStyle name="Percent 11 3 2 2 3 3" xfId="37349"/>
    <cellStyle name="Percent 11 3 2 2 3 3 2" xfId="37350"/>
    <cellStyle name="Percent 11 3 2 2 3 3 3" xfId="37351"/>
    <cellStyle name="Percent 11 3 2 2 3 4" xfId="37352"/>
    <cellStyle name="Percent 11 3 2 2 3 5" xfId="37353"/>
    <cellStyle name="Percent 11 3 2 2 4" xfId="37354"/>
    <cellStyle name="Percent 11 3 2 2 4 2" xfId="37355"/>
    <cellStyle name="Percent 11 3 2 2 4 3" xfId="37356"/>
    <cellStyle name="Percent 11 3 2 2 5" xfId="37357"/>
    <cellStyle name="Percent 11 3 2 2 5 2" xfId="37358"/>
    <cellStyle name="Percent 11 3 2 2 5 3" xfId="37359"/>
    <cellStyle name="Percent 11 3 2 2 6" xfId="37360"/>
    <cellStyle name="Percent 11 3 2 2 7" xfId="37361"/>
    <cellStyle name="Percent 11 3 2 3" xfId="37362"/>
    <cellStyle name="Percent 11 3 2 3 2" xfId="37363"/>
    <cellStyle name="Percent 11 3 2 3 2 2" xfId="37364"/>
    <cellStyle name="Percent 11 3 2 3 2 2 2" xfId="37365"/>
    <cellStyle name="Percent 11 3 2 3 2 2 3" xfId="37366"/>
    <cellStyle name="Percent 11 3 2 3 2 3" xfId="37367"/>
    <cellStyle name="Percent 11 3 2 3 2 3 2" xfId="37368"/>
    <cellStyle name="Percent 11 3 2 3 2 3 3" xfId="37369"/>
    <cellStyle name="Percent 11 3 2 3 2 4" xfId="37370"/>
    <cellStyle name="Percent 11 3 2 3 2 5" xfId="37371"/>
    <cellStyle name="Percent 11 3 2 3 3" xfId="37372"/>
    <cellStyle name="Percent 11 3 2 3 3 2" xfId="37373"/>
    <cellStyle name="Percent 11 3 2 3 3 2 2" xfId="37374"/>
    <cellStyle name="Percent 11 3 2 3 3 2 3" xfId="37375"/>
    <cellStyle name="Percent 11 3 2 3 3 3" xfId="37376"/>
    <cellStyle name="Percent 11 3 2 3 3 3 2" xfId="37377"/>
    <cellStyle name="Percent 11 3 2 3 3 3 3" xfId="37378"/>
    <cellStyle name="Percent 11 3 2 3 3 4" xfId="37379"/>
    <cellStyle name="Percent 11 3 2 3 3 5" xfId="37380"/>
    <cellStyle name="Percent 11 3 2 3 4" xfId="37381"/>
    <cellStyle name="Percent 11 3 2 3 4 2" xfId="37382"/>
    <cellStyle name="Percent 11 3 2 3 4 3" xfId="37383"/>
    <cellStyle name="Percent 11 3 2 3 5" xfId="37384"/>
    <cellStyle name="Percent 11 3 2 3 5 2" xfId="37385"/>
    <cellStyle name="Percent 11 3 2 3 5 3" xfId="37386"/>
    <cellStyle name="Percent 11 3 2 3 6" xfId="37387"/>
    <cellStyle name="Percent 11 3 2 3 7" xfId="37388"/>
    <cellStyle name="Percent 11 3 2 4" xfId="37389"/>
    <cellStyle name="Percent 11 3 2 4 2" xfId="37390"/>
    <cellStyle name="Percent 11 3 2 4 2 2" xfId="37391"/>
    <cellStyle name="Percent 11 3 2 4 2 3" xfId="37392"/>
    <cellStyle name="Percent 11 3 2 4 3" xfId="37393"/>
    <cellStyle name="Percent 11 3 2 4 3 2" xfId="37394"/>
    <cellStyle name="Percent 11 3 2 4 3 3" xfId="37395"/>
    <cellStyle name="Percent 11 3 2 4 4" xfId="37396"/>
    <cellStyle name="Percent 11 3 2 4 5" xfId="37397"/>
    <cellStyle name="Percent 11 3 2 5" xfId="37398"/>
    <cellStyle name="Percent 11 3 2 5 2" xfId="37399"/>
    <cellStyle name="Percent 11 3 2 5 2 2" xfId="37400"/>
    <cellStyle name="Percent 11 3 2 5 2 3" xfId="37401"/>
    <cellStyle name="Percent 11 3 2 5 3" xfId="37402"/>
    <cellStyle name="Percent 11 3 2 5 3 2" xfId="37403"/>
    <cellStyle name="Percent 11 3 2 5 3 3" xfId="37404"/>
    <cellStyle name="Percent 11 3 2 5 4" xfId="37405"/>
    <cellStyle name="Percent 11 3 2 5 5" xfId="37406"/>
    <cellStyle name="Percent 11 3 2 6" xfId="37407"/>
    <cellStyle name="Percent 11 3 2 6 2" xfId="37408"/>
    <cellStyle name="Percent 11 3 2 6 3" xfId="37409"/>
    <cellStyle name="Percent 11 3 2 7" xfId="37410"/>
    <cellStyle name="Percent 11 3 2 7 2" xfId="37411"/>
    <cellStyle name="Percent 11 3 2 7 3" xfId="37412"/>
    <cellStyle name="Percent 11 3 2 8" xfId="37413"/>
    <cellStyle name="Percent 11 3 2 9" xfId="37414"/>
    <cellStyle name="Percent 11 4" xfId="37415"/>
    <cellStyle name="Percent 11 4 2" xfId="37416"/>
    <cellStyle name="Percent 11 4 2 2" xfId="37417"/>
    <cellStyle name="Percent 11 4 2 2 2" xfId="37418"/>
    <cellStyle name="Percent 11 4 2 2 2 2" xfId="37419"/>
    <cellStyle name="Percent 11 4 2 2 2 3" xfId="37420"/>
    <cellStyle name="Percent 11 4 2 2 3" xfId="37421"/>
    <cellStyle name="Percent 11 4 2 2 3 2" xfId="37422"/>
    <cellStyle name="Percent 11 4 2 2 3 3" xfId="37423"/>
    <cellStyle name="Percent 11 4 2 2 4" xfId="37424"/>
    <cellStyle name="Percent 11 4 2 2 5" xfId="37425"/>
    <cellStyle name="Percent 11 4 2 3" xfId="37426"/>
    <cellStyle name="Percent 11 4 2 3 2" xfId="37427"/>
    <cellStyle name="Percent 11 4 2 3 2 2" xfId="37428"/>
    <cellStyle name="Percent 11 4 2 3 2 3" xfId="37429"/>
    <cellStyle name="Percent 11 4 2 3 3" xfId="37430"/>
    <cellStyle name="Percent 11 4 2 3 3 2" xfId="37431"/>
    <cellStyle name="Percent 11 4 2 3 3 3" xfId="37432"/>
    <cellStyle name="Percent 11 4 2 3 4" xfId="37433"/>
    <cellStyle name="Percent 11 4 2 3 5" xfId="37434"/>
    <cellStyle name="Percent 11 4 2 4" xfId="37435"/>
    <cellStyle name="Percent 11 4 2 4 2" xfId="37436"/>
    <cellStyle name="Percent 11 4 2 4 3" xfId="37437"/>
    <cellStyle name="Percent 11 4 2 5" xfId="37438"/>
    <cellStyle name="Percent 11 4 2 5 2" xfId="37439"/>
    <cellStyle name="Percent 11 4 2 5 3" xfId="37440"/>
    <cellStyle name="Percent 11 4 2 6" xfId="37441"/>
    <cellStyle name="Percent 11 4 2 7" xfId="37442"/>
    <cellStyle name="Percent 11 4 3" xfId="37443"/>
    <cellStyle name="Percent 11 4 3 2" xfId="37444"/>
    <cellStyle name="Percent 11 4 3 2 2" xfId="37445"/>
    <cellStyle name="Percent 11 4 3 2 2 2" xfId="37446"/>
    <cellStyle name="Percent 11 4 3 2 2 3" xfId="37447"/>
    <cellStyle name="Percent 11 4 3 2 3" xfId="37448"/>
    <cellStyle name="Percent 11 4 3 2 3 2" xfId="37449"/>
    <cellStyle name="Percent 11 4 3 2 3 3" xfId="37450"/>
    <cellStyle name="Percent 11 4 3 2 4" xfId="37451"/>
    <cellStyle name="Percent 11 4 3 2 5" xfId="37452"/>
    <cellStyle name="Percent 11 4 3 3" xfId="37453"/>
    <cellStyle name="Percent 11 4 3 3 2" xfId="37454"/>
    <cellStyle name="Percent 11 4 3 3 2 2" xfId="37455"/>
    <cellStyle name="Percent 11 4 3 3 2 3" xfId="37456"/>
    <cellStyle name="Percent 11 4 3 3 3" xfId="37457"/>
    <cellStyle name="Percent 11 4 3 3 3 2" xfId="37458"/>
    <cellStyle name="Percent 11 4 3 3 3 3" xfId="37459"/>
    <cellStyle name="Percent 11 4 3 3 4" xfId="37460"/>
    <cellStyle name="Percent 11 4 3 3 5" xfId="37461"/>
    <cellStyle name="Percent 11 4 3 4" xfId="37462"/>
    <cellStyle name="Percent 11 4 3 4 2" xfId="37463"/>
    <cellStyle name="Percent 11 4 3 4 3" xfId="37464"/>
    <cellStyle name="Percent 11 4 3 5" xfId="37465"/>
    <cellStyle name="Percent 11 4 3 5 2" xfId="37466"/>
    <cellStyle name="Percent 11 4 3 5 3" xfId="37467"/>
    <cellStyle name="Percent 11 4 3 6" xfId="37468"/>
    <cellStyle name="Percent 11 4 3 7" xfId="37469"/>
    <cellStyle name="Percent 11 4 4" xfId="37470"/>
    <cellStyle name="Percent 11 4 4 2" xfId="37471"/>
    <cellStyle name="Percent 11 4 4 2 2" xfId="37472"/>
    <cellStyle name="Percent 11 4 4 2 3" xfId="37473"/>
    <cellStyle name="Percent 11 4 4 3" xfId="37474"/>
    <cellStyle name="Percent 11 4 4 3 2" xfId="37475"/>
    <cellStyle name="Percent 11 4 4 3 3" xfId="37476"/>
    <cellStyle name="Percent 11 4 4 4" xfId="37477"/>
    <cellStyle name="Percent 11 4 4 5" xfId="37478"/>
    <cellStyle name="Percent 11 4 5" xfId="37479"/>
    <cellStyle name="Percent 11 4 5 2" xfId="37480"/>
    <cellStyle name="Percent 11 4 5 2 2" xfId="37481"/>
    <cellStyle name="Percent 11 4 5 2 3" xfId="37482"/>
    <cellStyle name="Percent 11 4 5 3" xfId="37483"/>
    <cellStyle name="Percent 11 4 5 3 2" xfId="37484"/>
    <cellStyle name="Percent 11 4 5 3 3" xfId="37485"/>
    <cellStyle name="Percent 11 4 5 4" xfId="37486"/>
    <cellStyle name="Percent 11 4 5 5" xfId="37487"/>
    <cellStyle name="Percent 11 4 6" xfId="37488"/>
    <cellStyle name="Percent 11 4 6 2" xfId="37489"/>
    <cellStyle name="Percent 11 4 6 3" xfId="37490"/>
    <cellStyle name="Percent 11 4 7" xfId="37491"/>
    <cellStyle name="Percent 11 4 7 2" xfId="37492"/>
    <cellStyle name="Percent 11 4 7 3" xfId="37493"/>
    <cellStyle name="Percent 11 4 8" xfId="37494"/>
    <cellStyle name="Percent 11 4 9" xfId="37495"/>
    <cellStyle name="Percent 12" xfId="37496"/>
    <cellStyle name="Percent 12 2" xfId="37497"/>
    <cellStyle name="Percent 12 2 2" xfId="37498"/>
    <cellStyle name="Percent 12 2 2 2" xfId="37499"/>
    <cellStyle name="Percent 12 2 2 2 2" xfId="37500"/>
    <cellStyle name="Percent 12 2 2 2 2 2" xfId="37501"/>
    <cellStyle name="Percent 12 2 2 2 2 2 2" xfId="37502"/>
    <cellStyle name="Percent 12 2 2 2 2 2 2 2" xfId="37503"/>
    <cellStyle name="Percent 12 2 2 2 2 2 2 3" xfId="37504"/>
    <cellStyle name="Percent 12 2 2 2 2 2 3" xfId="37505"/>
    <cellStyle name="Percent 12 2 2 2 2 2 3 2" xfId="37506"/>
    <cellStyle name="Percent 12 2 2 2 2 2 3 3" xfId="37507"/>
    <cellStyle name="Percent 12 2 2 2 2 2 4" xfId="37508"/>
    <cellStyle name="Percent 12 2 2 2 2 2 5" xfId="37509"/>
    <cellStyle name="Percent 12 2 2 2 2 3" xfId="37510"/>
    <cellStyle name="Percent 12 2 2 2 2 3 2" xfId="37511"/>
    <cellStyle name="Percent 12 2 2 2 2 3 2 2" xfId="37512"/>
    <cellStyle name="Percent 12 2 2 2 2 3 2 3" xfId="37513"/>
    <cellStyle name="Percent 12 2 2 2 2 3 3" xfId="37514"/>
    <cellStyle name="Percent 12 2 2 2 2 3 3 2" xfId="37515"/>
    <cellStyle name="Percent 12 2 2 2 2 3 3 3" xfId="37516"/>
    <cellStyle name="Percent 12 2 2 2 2 3 4" xfId="37517"/>
    <cellStyle name="Percent 12 2 2 2 2 3 5" xfId="37518"/>
    <cellStyle name="Percent 12 2 2 2 2 4" xfId="37519"/>
    <cellStyle name="Percent 12 2 2 2 2 4 2" xfId="37520"/>
    <cellStyle name="Percent 12 2 2 2 2 4 3" xfId="37521"/>
    <cellStyle name="Percent 12 2 2 2 2 5" xfId="37522"/>
    <cellStyle name="Percent 12 2 2 2 2 5 2" xfId="37523"/>
    <cellStyle name="Percent 12 2 2 2 2 5 3" xfId="37524"/>
    <cellStyle name="Percent 12 2 2 2 2 6" xfId="37525"/>
    <cellStyle name="Percent 12 2 2 2 2 7" xfId="37526"/>
    <cellStyle name="Percent 12 2 2 2 3" xfId="37527"/>
    <cellStyle name="Percent 12 2 2 2 3 2" xfId="37528"/>
    <cellStyle name="Percent 12 2 2 2 3 2 2" xfId="37529"/>
    <cellStyle name="Percent 12 2 2 2 3 2 2 2" xfId="37530"/>
    <cellStyle name="Percent 12 2 2 2 3 2 2 3" xfId="37531"/>
    <cellStyle name="Percent 12 2 2 2 3 2 3" xfId="37532"/>
    <cellStyle name="Percent 12 2 2 2 3 2 3 2" xfId="37533"/>
    <cellStyle name="Percent 12 2 2 2 3 2 3 3" xfId="37534"/>
    <cellStyle name="Percent 12 2 2 2 3 2 4" xfId="37535"/>
    <cellStyle name="Percent 12 2 2 2 3 2 5" xfId="37536"/>
    <cellStyle name="Percent 12 2 2 2 3 3" xfId="37537"/>
    <cellStyle name="Percent 12 2 2 2 3 3 2" xfId="37538"/>
    <cellStyle name="Percent 12 2 2 2 3 3 2 2" xfId="37539"/>
    <cellStyle name="Percent 12 2 2 2 3 3 2 3" xfId="37540"/>
    <cellStyle name="Percent 12 2 2 2 3 3 3" xfId="37541"/>
    <cellStyle name="Percent 12 2 2 2 3 3 3 2" xfId="37542"/>
    <cellStyle name="Percent 12 2 2 2 3 3 3 3" xfId="37543"/>
    <cellStyle name="Percent 12 2 2 2 3 3 4" xfId="37544"/>
    <cellStyle name="Percent 12 2 2 2 3 3 5" xfId="37545"/>
    <cellStyle name="Percent 12 2 2 2 3 4" xfId="37546"/>
    <cellStyle name="Percent 12 2 2 2 3 4 2" xfId="37547"/>
    <cellStyle name="Percent 12 2 2 2 3 4 3" xfId="37548"/>
    <cellStyle name="Percent 12 2 2 2 3 5" xfId="37549"/>
    <cellStyle name="Percent 12 2 2 2 3 5 2" xfId="37550"/>
    <cellStyle name="Percent 12 2 2 2 3 5 3" xfId="37551"/>
    <cellStyle name="Percent 12 2 2 2 3 6" xfId="37552"/>
    <cellStyle name="Percent 12 2 2 2 3 7" xfId="37553"/>
    <cellStyle name="Percent 12 2 2 2 4" xfId="37554"/>
    <cellStyle name="Percent 12 2 2 2 4 2" xfId="37555"/>
    <cellStyle name="Percent 12 2 2 2 4 2 2" xfId="37556"/>
    <cellStyle name="Percent 12 2 2 2 4 2 3" xfId="37557"/>
    <cellStyle name="Percent 12 2 2 2 4 3" xfId="37558"/>
    <cellStyle name="Percent 12 2 2 2 4 3 2" xfId="37559"/>
    <cellStyle name="Percent 12 2 2 2 4 3 3" xfId="37560"/>
    <cellStyle name="Percent 12 2 2 2 4 4" xfId="37561"/>
    <cellStyle name="Percent 12 2 2 2 4 5" xfId="37562"/>
    <cellStyle name="Percent 12 2 2 2 5" xfId="37563"/>
    <cellStyle name="Percent 12 2 2 2 5 2" xfId="37564"/>
    <cellStyle name="Percent 12 2 2 2 5 2 2" xfId="37565"/>
    <cellStyle name="Percent 12 2 2 2 5 2 3" xfId="37566"/>
    <cellStyle name="Percent 12 2 2 2 5 3" xfId="37567"/>
    <cellStyle name="Percent 12 2 2 2 5 3 2" xfId="37568"/>
    <cellStyle name="Percent 12 2 2 2 5 3 3" xfId="37569"/>
    <cellStyle name="Percent 12 2 2 2 5 4" xfId="37570"/>
    <cellStyle name="Percent 12 2 2 2 5 5" xfId="37571"/>
    <cellStyle name="Percent 12 2 2 2 6" xfId="37572"/>
    <cellStyle name="Percent 12 2 2 2 6 2" xfId="37573"/>
    <cellStyle name="Percent 12 2 2 2 6 3" xfId="37574"/>
    <cellStyle name="Percent 12 2 2 2 7" xfId="37575"/>
    <cellStyle name="Percent 12 2 2 2 7 2" xfId="37576"/>
    <cellStyle name="Percent 12 2 2 2 7 3" xfId="37577"/>
    <cellStyle name="Percent 12 2 2 2 8" xfId="37578"/>
    <cellStyle name="Percent 12 2 2 2 9" xfId="37579"/>
    <cellStyle name="Percent 12 2 3" xfId="37580"/>
    <cellStyle name="Percent 12 2 3 2" xfId="37581"/>
    <cellStyle name="Percent 12 2 3 2 2" xfId="37582"/>
    <cellStyle name="Percent 12 2 3 2 2 2" xfId="37583"/>
    <cellStyle name="Percent 12 2 3 2 2 2 2" xfId="37584"/>
    <cellStyle name="Percent 12 2 3 2 2 2 3" xfId="37585"/>
    <cellStyle name="Percent 12 2 3 2 2 3" xfId="37586"/>
    <cellStyle name="Percent 12 2 3 2 2 3 2" xfId="37587"/>
    <cellStyle name="Percent 12 2 3 2 2 3 3" xfId="37588"/>
    <cellStyle name="Percent 12 2 3 2 2 4" xfId="37589"/>
    <cellStyle name="Percent 12 2 3 2 2 5" xfId="37590"/>
    <cellStyle name="Percent 12 2 3 2 3" xfId="37591"/>
    <cellStyle name="Percent 12 2 3 2 3 2" xfId="37592"/>
    <cellStyle name="Percent 12 2 3 2 3 2 2" xfId="37593"/>
    <cellStyle name="Percent 12 2 3 2 3 2 3" xfId="37594"/>
    <cellStyle name="Percent 12 2 3 2 3 3" xfId="37595"/>
    <cellStyle name="Percent 12 2 3 2 3 3 2" xfId="37596"/>
    <cellStyle name="Percent 12 2 3 2 3 3 3" xfId="37597"/>
    <cellStyle name="Percent 12 2 3 2 3 4" xfId="37598"/>
    <cellStyle name="Percent 12 2 3 2 3 5" xfId="37599"/>
    <cellStyle name="Percent 12 2 3 2 4" xfId="37600"/>
    <cellStyle name="Percent 12 2 3 2 4 2" xfId="37601"/>
    <cellStyle name="Percent 12 2 3 2 4 3" xfId="37602"/>
    <cellStyle name="Percent 12 2 3 2 5" xfId="37603"/>
    <cellStyle name="Percent 12 2 3 2 5 2" xfId="37604"/>
    <cellStyle name="Percent 12 2 3 2 5 3" xfId="37605"/>
    <cellStyle name="Percent 12 2 3 2 6" xfId="37606"/>
    <cellStyle name="Percent 12 2 3 2 7" xfId="37607"/>
    <cellStyle name="Percent 12 2 3 3" xfId="37608"/>
    <cellStyle name="Percent 12 2 3 3 2" xfId="37609"/>
    <cellStyle name="Percent 12 2 3 3 2 2" xfId="37610"/>
    <cellStyle name="Percent 12 2 3 3 2 2 2" xfId="37611"/>
    <cellStyle name="Percent 12 2 3 3 2 2 3" xfId="37612"/>
    <cellStyle name="Percent 12 2 3 3 2 3" xfId="37613"/>
    <cellStyle name="Percent 12 2 3 3 2 3 2" xfId="37614"/>
    <cellStyle name="Percent 12 2 3 3 2 3 3" xfId="37615"/>
    <cellStyle name="Percent 12 2 3 3 2 4" xfId="37616"/>
    <cellStyle name="Percent 12 2 3 3 2 5" xfId="37617"/>
    <cellStyle name="Percent 12 2 3 3 3" xfId="37618"/>
    <cellStyle name="Percent 12 2 3 3 3 2" xfId="37619"/>
    <cellStyle name="Percent 12 2 3 3 3 2 2" xfId="37620"/>
    <cellStyle name="Percent 12 2 3 3 3 2 3" xfId="37621"/>
    <cellStyle name="Percent 12 2 3 3 3 3" xfId="37622"/>
    <cellStyle name="Percent 12 2 3 3 3 3 2" xfId="37623"/>
    <cellStyle name="Percent 12 2 3 3 3 3 3" xfId="37624"/>
    <cellStyle name="Percent 12 2 3 3 3 4" xfId="37625"/>
    <cellStyle name="Percent 12 2 3 3 3 5" xfId="37626"/>
    <cellStyle name="Percent 12 2 3 3 4" xfId="37627"/>
    <cellStyle name="Percent 12 2 3 3 4 2" xfId="37628"/>
    <cellStyle name="Percent 12 2 3 3 4 3" xfId="37629"/>
    <cellStyle name="Percent 12 2 3 3 5" xfId="37630"/>
    <cellStyle name="Percent 12 2 3 3 5 2" xfId="37631"/>
    <cellStyle name="Percent 12 2 3 3 5 3" xfId="37632"/>
    <cellStyle name="Percent 12 2 3 3 6" xfId="37633"/>
    <cellStyle name="Percent 12 2 3 3 7" xfId="37634"/>
    <cellStyle name="Percent 12 2 3 4" xfId="37635"/>
    <cellStyle name="Percent 12 2 3 4 2" xfId="37636"/>
    <cellStyle name="Percent 12 2 3 4 2 2" xfId="37637"/>
    <cellStyle name="Percent 12 2 3 4 2 3" xfId="37638"/>
    <cellStyle name="Percent 12 2 3 4 3" xfId="37639"/>
    <cellStyle name="Percent 12 2 3 4 3 2" xfId="37640"/>
    <cellStyle name="Percent 12 2 3 4 3 3" xfId="37641"/>
    <cellStyle name="Percent 12 2 3 4 4" xfId="37642"/>
    <cellStyle name="Percent 12 2 3 4 5" xfId="37643"/>
    <cellStyle name="Percent 12 2 3 5" xfId="37644"/>
    <cellStyle name="Percent 12 2 3 5 2" xfId="37645"/>
    <cellStyle name="Percent 12 2 3 5 2 2" xfId="37646"/>
    <cellStyle name="Percent 12 2 3 5 2 3" xfId="37647"/>
    <cellStyle name="Percent 12 2 3 5 3" xfId="37648"/>
    <cellStyle name="Percent 12 2 3 5 3 2" xfId="37649"/>
    <cellStyle name="Percent 12 2 3 5 3 3" xfId="37650"/>
    <cellStyle name="Percent 12 2 3 5 4" xfId="37651"/>
    <cellStyle name="Percent 12 2 3 5 5" xfId="37652"/>
    <cellStyle name="Percent 12 2 3 6" xfId="37653"/>
    <cellStyle name="Percent 12 2 3 6 2" xfId="37654"/>
    <cellStyle name="Percent 12 2 3 6 3" xfId="37655"/>
    <cellStyle name="Percent 12 2 3 7" xfId="37656"/>
    <cellStyle name="Percent 12 2 3 7 2" xfId="37657"/>
    <cellStyle name="Percent 12 2 3 7 3" xfId="37658"/>
    <cellStyle name="Percent 12 2 3 8" xfId="37659"/>
    <cellStyle name="Percent 12 2 3 9" xfId="37660"/>
    <cellStyle name="Percent 12 3" xfId="37661"/>
    <cellStyle name="Percent 12 3 2" xfId="37662"/>
    <cellStyle name="Percent 12 3 2 2" xfId="37663"/>
    <cellStyle name="Percent 12 3 2 2 2" xfId="37664"/>
    <cellStyle name="Percent 12 3 2 2 2 2" xfId="37665"/>
    <cellStyle name="Percent 12 3 2 2 2 2 2" xfId="37666"/>
    <cellStyle name="Percent 12 3 2 2 2 2 3" xfId="37667"/>
    <cellStyle name="Percent 12 3 2 2 2 3" xfId="37668"/>
    <cellStyle name="Percent 12 3 2 2 2 3 2" xfId="37669"/>
    <cellStyle name="Percent 12 3 2 2 2 3 3" xfId="37670"/>
    <cellStyle name="Percent 12 3 2 2 2 4" xfId="37671"/>
    <cellStyle name="Percent 12 3 2 2 2 5" xfId="37672"/>
    <cellStyle name="Percent 12 3 2 2 3" xfId="37673"/>
    <cellStyle name="Percent 12 3 2 2 3 2" xfId="37674"/>
    <cellStyle name="Percent 12 3 2 2 3 2 2" xfId="37675"/>
    <cellStyle name="Percent 12 3 2 2 3 2 3" xfId="37676"/>
    <cellStyle name="Percent 12 3 2 2 3 3" xfId="37677"/>
    <cellStyle name="Percent 12 3 2 2 3 3 2" xfId="37678"/>
    <cellStyle name="Percent 12 3 2 2 3 3 3" xfId="37679"/>
    <cellStyle name="Percent 12 3 2 2 3 4" xfId="37680"/>
    <cellStyle name="Percent 12 3 2 2 3 5" xfId="37681"/>
    <cellStyle name="Percent 12 3 2 2 4" xfId="37682"/>
    <cellStyle name="Percent 12 3 2 2 4 2" xfId="37683"/>
    <cellStyle name="Percent 12 3 2 2 4 3" xfId="37684"/>
    <cellStyle name="Percent 12 3 2 2 5" xfId="37685"/>
    <cellStyle name="Percent 12 3 2 2 5 2" xfId="37686"/>
    <cellStyle name="Percent 12 3 2 2 5 3" xfId="37687"/>
    <cellStyle name="Percent 12 3 2 2 6" xfId="37688"/>
    <cellStyle name="Percent 12 3 2 2 7" xfId="37689"/>
    <cellStyle name="Percent 12 3 2 3" xfId="37690"/>
    <cellStyle name="Percent 12 3 2 3 2" xfId="37691"/>
    <cellStyle name="Percent 12 3 2 3 2 2" xfId="37692"/>
    <cellStyle name="Percent 12 3 2 3 2 2 2" xfId="37693"/>
    <cellStyle name="Percent 12 3 2 3 2 2 3" xfId="37694"/>
    <cellStyle name="Percent 12 3 2 3 2 3" xfId="37695"/>
    <cellStyle name="Percent 12 3 2 3 2 3 2" xfId="37696"/>
    <cellStyle name="Percent 12 3 2 3 2 3 3" xfId="37697"/>
    <cellStyle name="Percent 12 3 2 3 2 4" xfId="37698"/>
    <cellStyle name="Percent 12 3 2 3 2 5" xfId="37699"/>
    <cellStyle name="Percent 12 3 2 3 3" xfId="37700"/>
    <cellStyle name="Percent 12 3 2 3 3 2" xfId="37701"/>
    <cellStyle name="Percent 12 3 2 3 3 2 2" xfId="37702"/>
    <cellStyle name="Percent 12 3 2 3 3 2 3" xfId="37703"/>
    <cellStyle name="Percent 12 3 2 3 3 3" xfId="37704"/>
    <cellStyle name="Percent 12 3 2 3 3 3 2" xfId="37705"/>
    <cellStyle name="Percent 12 3 2 3 3 3 3" xfId="37706"/>
    <cellStyle name="Percent 12 3 2 3 3 4" xfId="37707"/>
    <cellStyle name="Percent 12 3 2 3 3 5" xfId="37708"/>
    <cellStyle name="Percent 12 3 2 3 4" xfId="37709"/>
    <cellStyle name="Percent 12 3 2 3 4 2" xfId="37710"/>
    <cellStyle name="Percent 12 3 2 3 4 3" xfId="37711"/>
    <cellStyle name="Percent 12 3 2 3 5" xfId="37712"/>
    <cellStyle name="Percent 12 3 2 3 5 2" xfId="37713"/>
    <cellStyle name="Percent 12 3 2 3 5 3" xfId="37714"/>
    <cellStyle name="Percent 12 3 2 3 6" xfId="37715"/>
    <cellStyle name="Percent 12 3 2 3 7" xfId="37716"/>
    <cellStyle name="Percent 12 3 2 4" xfId="37717"/>
    <cellStyle name="Percent 12 3 2 4 2" xfId="37718"/>
    <cellStyle name="Percent 12 3 2 4 2 2" xfId="37719"/>
    <cellStyle name="Percent 12 3 2 4 2 3" xfId="37720"/>
    <cellStyle name="Percent 12 3 2 4 3" xfId="37721"/>
    <cellStyle name="Percent 12 3 2 4 3 2" xfId="37722"/>
    <cellStyle name="Percent 12 3 2 4 3 3" xfId="37723"/>
    <cellStyle name="Percent 12 3 2 4 4" xfId="37724"/>
    <cellStyle name="Percent 12 3 2 4 5" xfId="37725"/>
    <cellStyle name="Percent 12 3 2 5" xfId="37726"/>
    <cellStyle name="Percent 12 3 2 5 2" xfId="37727"/>
    <cellStyle name="Percent 12 3 2 5 2 2" xfId="37728"/>
    <cellStyle name="Percent 12 3 2 5 2 3" xfId="37729"/>
    <cellStyle name="Percent 12 3 2 5 3" xfId="37730"/>
    <cellStyle name="Percent 12 3 2 5 3 2" xfId="37731"/>
    <cellStyle name="Percent 12 3 2 5 3 3" xfId="37732"/>
    <cellStyle name="Percent 12 3 2 5 4" xfId="37733"/>
    <cellStyle name="Percent 12 3 2 5 5" xfId="37734"/>
    <cellStyle name="Percent 12 3 2 6" xfId="37735"/>
    <cellStyle name="Percent 12 3 2 6 2" xfId="37736"/>
    <cellStyle name="Percent 12 3 2 6 3" xfId="37737"/>
    <cellStyle name="Percent 12 3 2 7" xfId="37738"/>
    <cellStyle name="Percent 12 3 2 7 2" xfId="37739"/>
    <cellStyle name="Percent 12 3 2 7 3" xfId="37740"/>
    <cellStyle name="Percent 12 3 2 8" xfId="37741"/>
    <cellStyle name="Percent 12 3 2 9" xfId="37742"/>
    <cellStyle name="Percent 12 4" xfId="37743"/>
    <cellStyle name="Percent 12 4 2" xfId="37744"/>
    <cellStyle name="Percent 12 4 2 2" xfId="37745"/>
    <cellStyle name="Percent 12 4 2 2 2" xfId="37746"/>
    <cellStyle name="Percent 12 4 2 2 2 2" xfId="37747"/>
    <cellStyle name="Percent 12 4 2 2 2 3" xfId="37748"/>
    <cellStyle name="Percent 12 4 2 2 3" xfId="37749"/>
    <cellStyle name="Percent 12 4 2 2 3 2" xfId="37750"/>
    <cellStyle name="Percent 12 4 2 2 3 3" xfId="37751"/>
    <cellStyle name="Percent 12 4 2 2 4" xfId="37752"/>
    <cellStyle name="Percent 12 4 2 2 5" xfId="37753"/>
    <cellStyle name="Percent 12 4 2 3" xfId="37754"/>
    <cellStyle name="Percent 12 4 2 3 2" xfId="37755"/>
    <cellStyle name="Percent 12 4 2 3 2 2" xfId="37756"/>
    <cellStyle name="Percent 12 4 2 3 2 3" xfId="37757"/>
    <cellStyle name="Percent 12 4 2 3 3" xfId="37758"/>
    <cellStyle name="Percent 12 4 2 3 3 2" xfId="37759"/>
    <cellStyle name="Percent 12 4 2 3 3 3" xfId="37760"/>
    <cellStyle name="Percent 12 4 2 3 4" xfId="37761"/>
    <cellStyle name="Percent 12 4 2 3 5" xfId="37762"/>
    <cellStyle name="Percent 12 4 2 4" xfId="37763"/>
    <cellStyle name="Percent 12 4 2 4 2" xfId="37764"/>
    <cellStyle name="Percent 12 4 2 4 3" xfId="37765"/>
    <cellStyle name="Percent 12 4 2 5" xfId="37766"/>
    <cellStyle name="Percent 12 4 2 5 2" xfId="37767"/>
    <cellStyle name="Percent 12 4 2 5 3" xfId="37768"/>
    <cellStyle name="Percent 12 4 2 6" xfId="37769"/>
    <cellStyle name="Percent 12 4 2 7" xfId="37770"/>
    <cellStyle name="Percent 12 4 3" xfId="37771"/>
    <cellStyle name="Percent 12 4 3 2" xfId="37772"/>
    <cellStyle name="Percent 12 4 3 2 2" xfId="37773"/>
    <cellStyle name="Percent 12 4 3 2 2 2" xfId="37774"/>
    <cellStyle name="Percent 12 4 3 2 2 3" xfId="37775"/>
    <cellStyle name="Percent 12 4 3 2 3" xfId="37776"/>
    <cellStyle name="Percent 12 4 3 2 3 2" xfId="37777"/>
    <cellStyle name="Percent 12 4 3 2 3 3" xfId="37778"/>
    <cellStyle name="Percent 12 4 3 2 4" xfId="37779"/>
    <cellStyle name="Percent 12 4 3 2 5" xfId="37780"/>
    <cellStyle name="Percent 12 4 3 3" xfId="37781"/>
    <cellStyle name="Percent 12 4 3 3 2" xfId="37782"/>
    <cellStyle name="Percent 12 4 3 3 2 2" xfId="37783"/>
    <cellStyle name="Percent 12 4 3 3 2 3" xfId="37784"/>
    <cellStyle name="Percent 12 4 3 3 3" xfId="37785"/>
    <cellStyle name="Percent 12 4 3 3 3 2" xfId="37786"/>
    <cellStyle name="Percent 12 4 3 3 3 3" xfId="37787"/>
    <cellStyle name="Percent 12 4 3 3 4" xfId="37788"/>
    <cellStyle name="Percent 12 4 3 3 5" xfId="37789"/>
    <cellStyle name="Percent 12 4 3 4" xfId="37790"/>
    <cellStyle name="Percent 12 4 3 4 2" xfId="37791"/>
    <cellStyle name="Percent 12 4 3 4 3" xfId="37792"/>
    <cellStyle name="Percent 12 4 3 5" xfId="37793"/>
    <cellStyle name="Percent 12 4 3 5 2" xfId="37794"/>
    <cellStyle name="Percent 12 4 3 5 3" xfId="37795"/>
    <cellStyle name="Percent 12 4 3 6" xfId="37796"/>
    <cellStyle name="Percent 12 4 3 7" xfId="37797"/>
    <cellStyle name="Percent 12 4 4" xfId="37798"/>
    <cellStyle name="Percent 12 4 4 2" xfId="37799"/>
    <cellStyle name="Percent 12 4 4 2 2" xfId="37800"/>
    <cellStyle name="Percent 12 4 4 2 3" xfId="37801"/>
    <cellStyle name="Percent 12 4 4 3" xfId="37802"/>
    <cellStyle name="Percent 12 4 4 3 2" xfId="37803"/>
    <cellStyle name="Percent 12 4 4 3 3" xfId="37804"/>
    <cellStyle name="Percent 12 4 4 4" xfId="37805"/>
    <cellStyle name="Percent 12 4 4 5" xfId="37806"/>
    <cellStyle name="Percent 12 4 5" xfId="37807"/>
    <cellStyle name="Percent 12 4 5 2" xfId="37808"/>
    <cellStyle name="Percent 12 4 5 2 2" xfId="37809"/>
    <cellStyle name="Percent 12 4 5 2 3" xfId="37810"/>
    <cellStyle name="Percent 12 4 5 3" xfId="37811"/>
    <cellStyle name="Percent 12 4 5 3 2" xfId="37812"/>
    <cellStyle name="Percent 12 4 5 3 3" xfId="37813"/>
    <cellStyle name="Percent 12 4 5 4" xfId="37814"/>
    <cellStyle name="Percent 12 4 5 5" xfId="37815"/>
    <cellStyle name="Percent 12 4 6" xfId="37816"/>
    <cellStyle name="Percent 12 4 6 2" xfId="37817"/>
    <cellStyle name="Percent 12 4 6 3" xfId="37818"/>
    <cellStyle name="Percent 12 4 7" xfId="37819"/>
    <cellStyle name="Percent 12 4 7 2" xfId="37820"/>
    <cellStyle name="Percent 12 4 7 3" xfId="37821"/>
    <cellStyle name="Percent 12 4 8" xfId="37822"/>
    <cellStyle name="Percent 12 4 9" xfId="37823"/>
    <cellStyle name="Percent 13" xfId="37824"/>
    <cellStyle name="Percent 13 2" xfId="37825"/>
    <cellStyle name="Percent 13 2 2" xfId="37826"/>
    <cellStyle name="Percent 13 2 3" xfId="43109"/>
    <cellStyle name="Percent 13 3" xfId="37827"/>
    <cellStyle name="Percent 13 3 2" xfId="37828"/>
    <cellStyle name="Percent 13 4" xfId="37829"/>
    <cellStyle name="Percent 13 5" xfId="43108"/>
    <cellStyle name="Percent 14" xfId="37830"/>
    <cellStyle name="Percent 14 2" xfId="37831"/>
    <cellStyle name="Percent 14 2 2" xfId="37832"/>
    <cellStyle name="Percent 14 2 2 2" xfId="37833"/>
    <cellStyle name="Percent 14 2 2 2 2" xfId="37834"/>
    <cellStyle name="Percent 14 2 2 2 2 2" xfId="37835"/>
    <cellStyle name="Percent 14 2 2 2 2 2 2" xfId="37836"/>
    <cellStyle name="Percent 14 2 2 2 2 2 2 2" xfId="37837"/>
    <cellStyle name="Percent 14 2 2 2 2 2 2 3" xfId="37838"/>
    <cellStyle name="Percent 14 2 2 2 2 2 3" xfId="37839"/>
    <cellStyle name="Percent 14 2 2 2 2 2 3 2" xfId="37840"/>
    <cellStyle name="Percent 14 2 2 2 2 2 3 3" xfId="37841"/>
    <cellStyle name="Percent 14 2 2 2 2 2 4" xfId="37842"/>
    <cellStyle name="Percent 14 2 2 2 2 2 5" xfId="37843"/>
    <cellStyle name="Percent 14 2 2 2 2 3" xfId="37844"/>
    <cellStyle name="Percent 14 2 2 2 2 3 2" xfId="37845"/>
    <cellStyle name="Percent 14 2 2 2 2 3 2 2" xfId="37846"/>
    <cellStyle name="Percent 14 2 2 2 2 3 2 3" xfId="37847"/>
    <cellStyle name="Percent 14 2 2 2 2 3 3" xfId="37848"/>
    <cellStyle name="Percent 14 2 2 2 2 3 3 2" xfId="37849"/>
    <cellStyle name="Percent 14 2 2 2 2 3 3 3" xfId="37850"/>
    <cellStyle name="Percent 14 2 2 2 2 3 4" xfId="37851"/>
    <cellStyle name="Percent 14 2 2 2 2 3 5" xfId="37852"/>
    <cellStyle name="Percent 14 2 2 2 2 4" xfId="37853"/>
    <cellStyle name="Percent 14 2 2 2 2 4 2" xfId="37854"/>
    <cellStyle name="Percent 14 2 2 2 2 4 3" xfId="37855"/>
    <cellStyle name="Percent 14 2 2 2 2 5" xfId="37856"/>
    <cellStyle name="Percent 14 2 2 2 2 5 2" xfId="37857"/>
    <cellStyle name="Percent 14 2 2 2 2 5 3" xfId="37858"/>
    <cellStyle name="Percent 14 2 2 2 2 6" xfId="37859"/>
    <cellStyle name="Percent 14 2 2 2 2 7" xfId="37860"/>
    <cellStyle name="Percent 14 2 2 2 3" xfId="37861"/>
    <cellStyle name="Percent 14 2 2 2 3 2" xfId="37862"/>
    <cellStyle name="Percent 14 2 2 2 3 2 2" xfId="37863"/>
    <cellStyle name="Percent 14 2 2 2 3 2 2 2" xfId="37864"/>
    <cellStyle name="Percent 14 2 2 2 3 2 2 3" xfId="37865"/>
    <cellStyle name="Percent 14 2 2 2 3 2 3" xfId="37866"/>
    <cellStyle name="Percent 14 2 2 2 3 2 3 2" xfId="37867"/>
    <cellStyle name="Percent 14 2 2 2 3 2 3 3" xfId="37868"/>
    <cellStyle name="Percent 14 2 2 2 3 2 4" xfId="37869"/>
    <cellStyle name="Percent 14 2 2 2 3 2 5" xfId="37870"/>
    <cellStyle name="Percent 14 2 2 2 3 3" xfId="37871"/>
    <cellStyle name="Percent 14 2 2 2 3 3 2" xfId="37872"/>
    <cellStyle name="Percent 14 2 2 2 3 3 2 2" xfId="37873"/>
    <cellStyle name="Percent 14 2 2 2 3 3 2 3" xfId="37874"/>
    <cellStyle name="Percent 14 2 2 2 3 3 3" xfId="37875"/>
    <cellStyle name="Percent 14 2 2 2 3 3 3 2" xfId="37876"/>
    <cellStyle name="Percent 14 2 2 2 3 3 3 3" xfId="37877"/>
    <cellStyle name="Percent 14 2 2 2 3 3 4" xfId="37878"/>
    <cellStyle name="Percent 14 2 2 2 3 3 5" xfId="37879"/>
    <cellStyle name="Percent 14 2 2 2 3 4" xfId="37880"/>
    <cellStyle name="Percent 14 2 2 2 3 4 2" xfId="37881"/>
    <cellStyle name="Percent 14 2 2 2 3 4 3" xfId="37882"/>
    <cellStyle name="Percent 14 2 2 2 3 5" xfId="37883"/>
    <cellStyle name="Percent 14 2 2 2 3 5 2" xfId="37884"/>
    <cellStyle name="Percent 14 2 2 2 3 5 3" xfId="37885"/>
    <cellStyle name="Percent 14 2 2 2 3 6" xfId="37886"/>
    <cellStyle name="Percent 14 2 2 2 3 7" xfId="37887"/>
    <cellStyle name="Percent 14 2 2 2 4" xfId="37888"/>
    <cellStyle name="Percent 14 2 2 2 4 2" xfId="37889"/>
    <cellStyle name="Percent 14 2 2 2 4 2 2" xfId="37890"/>
    <cellStyle name="Percent 14 2 2 2 4 2 3" xfId="37891"/>
    <cellStyle name="Percent 14 2 2 2 4 3" xfId="37892"/>
    <cellStyle name="Percent 14 2 2 2 4 3 2" xfId="37893"/>
    <cellStyle name="Percent 14 2 2 2 4 3 3" xfId="37894"/>
    <cellStyle name="Percent 14 2 2 2 4 4" xfId="37895"/>
    <cellStyle name="Percent 14 2 2 2 4 5" xfId="37896"/>
    <cellStyle name="Percent 14 2 2 2 5" xfId="37897"/>
    <cellStyle name="Percent 14 2 2 2 5 2" xfId="37898"/>
    <cellStyle name="Percent 14 2 2 2 5 2 2" xfId="37899"/>
    <cellStyle name="Percent 14 2 2 2 5 2 3" xfId="37900"/>
    <cellStyle name="Percent 14 2 2 2 5 3" xfId="37901"/>
    <cellStyle name="Percent 14 2 2 2 5 3 2" xfId="37902"/>
    <cellStyle name="Percent 14 2 2 2 5 3 3" xfId="37903"/>
    <cellStyle name="Percent 14 2 2 2 5 4" xfId="37904"/>
    <cellStyle name="Percent 14 2 2 2 5 5" xfId="37905"/>
    <cellStyle name="Percent 14 2 2 2 6" xfId="37906"/>
    <cellStyle name="Percent 14 2 2 2 6 2" xfId="37907"/>
    <cellStyle name="Percent 14 2 2 2 6 3" xfId="37908"/>
    <cellStyle name="Percent 14 2 2 2 7" xfId="37909"/>
    <cellStyle name="Percent 14 2 2 2 7 2" xfId="37910"/>
    <cellStyle name="Percent 14 2 2 2 7 3" xfId="37911"/>
    <cellStyle name="Percent 14 2 2 2 8" xfId="37912"/>
    <cellStyle name="Percent 14 2 2 2 9" xfId="37913"/>
    <cellStyle name="Percent 14 2 3" xfId="37914"/>
    <cellStyle name="Percent 14 2 3 2" xfId="37915"/>
    <cellStyle name="Percent 14 2 3 2 2" xfId="37916"/>
    <cellStyle name="Percent 14 2 3 2 2 2" xfId="37917"/>
    <cellStyle name="Percent 14 2 3 2 2 2 2" xfId="37918"/>
    <cellStyle name="Percent 14 2 3 2 2 2 3" xfId="37919"/>
    <cellStyle name="Percent 14 2 3 2 2 3" xfId="37920"/>
    <cellStyle name="Percent 14 2 3 2 2 3 2" xfId="37921"/>
    <cellStyle name="Percent 14 2 3 2 2 3 3" xfId="37922"/>
    <cellStyle name="Percent 14 2 3 2 2 4" xfId="37923"/>
    <cellStyle name="Percent 14 2 3 2 2 5" xfId="37924"/>
    <cellStyle name="Percent 14 2 3 2 3" xfId="37925"/>
    <cellStyle name="Percent 14 2 3 2 3 2" xfId="37926"/>
    <cellStyle name="Percent 14 2 3 2 3 2 2" xfId="37927"/>
    <cellStyle name="Percent 14 2 3 2 3 2 3" xfId="37928"/>
    <cellStyle name="Percent 14 2 3 2 3 3" xfId="37929"/>
    <cellStyle name="Percent 14 2 3 2 3 3 2" xfId="37930"/>
    <cellStyle name="Percent 14 2 3 2 3 3 3" xfId="37931"/>
    <cellStyle name="Percent 14 2 3 2 3 4" xfId="37932"/>
    <cellStyle name="Percent 14 2 3 2 3 5" xfId="37933"/>
    <cellStyle name="Percent 14 2 3 2 4" xfId="37934"/>
    <cellStyle name="Percent 14 2 3 2 4 2" xfId="37935"/>
    <cellStyle name="Percent 14 2 3 2 4 3" xfId="37936"/>
    <cellStyle name="Percent 14 2 3 2 5" xfId="37937"/>
    <cellStyle name="Percent 14 2 3 2 5 2" xfId="37938"/>
    <cellStyle name="Percent 14 2 3 2 5 3" xfId="37939"/>
    <cellStyle name="Percent 14 2 3 2 6" xfId="37940"/>
    <cellStyle name="Percent 14 2 3 2 7" xfId="37941"/>
    <cellStyle name="Percent 14 2 3 3" xfId="37942"/>
    <cellStyle name="Percent 14 2 3 3 2" xfId="37943"/>
    <cellStyle name="Percent 14 2 3 3 2 2" xfId="37944"/>
    <cellStyle name="Percent 14 2 3 3 2 2 2" xfId="37945"/>
    <cellStyle name="Percent 14 2 3 3 2 2 3" xfId="37946"/>
    <cellStyle name="Percent 14 2 3 3 2 3" xfId="37947"/>
    <cellStyle name="Percent 14 2 3 3 2 3 2" xfId="37948"/>
    <cellStyle name="Percent 14 2 3 3 2 3 3" xfId="37949"/>
    <cellStyle name="Percent 14 2 3 3 2 4" xfId="37950"/>
    <cellStyle name="Percent 14 2 3 3 2 5" xfId="37951"/>
    <cellStyle name="Percent 14 2 3 3 3" xfId="37952"/>
    <cellStyle name="Percent 14 2 3 3 3 2" xfId="37953"/>
    <cellStyle name="Percent 14 2 3 3 3 2 2" xfId="37954"/>
    <cellStyle name="Percent 14 2 3 3 3 2 3" xfId="37955"/>
    <cellStyle name="Percent 14 2 3 3 3 3" xfId="37956"/>
    <cellStyle name="Percent 14 2 3 3 3 3 2" xfId="37957"/>
    <cellStyle name="Percent 14 2 3 3 3 3 3" xfId="37958"/>
    <cellStyle name="Percent 14 2 3 3 3 4" xfId="37959"/>
    <cellStyle name="Percent 14 2 3 3 3 5" xfId="37960"/>
    <cellStyle name="Percent 14 2 3 3 4" xfId="37961"/>
    <cellStyle name="Percent 14 2 3 3 4 2" xfId="37962"/>
    <cellStyle name="Percent 14 2 3 3 4 3" xfId="37963"/>
    <cellStyle name="Percent 14 2 3 3 5" xfId="37964"/>
    <cellStyle name="Percent 14 2 3 3 5 2" xfId="37965"/>
    <cellStyle name="Percent 14 2 3 3 5 3" xfId="37966"/>
    <cellStyle name="Percent 14 2 3 3 6" xfId="37967"/>
    <cellStyle name="Percent 14 2 3 3 7" xfId="37968"/>
    <cellStyle name="Percent 14 2 3 4" xfId="37969"/>
    <cellStyle name="Percent 14 2 3 4 2" xfId="37970"/>
    <cellStyle name="Percent 14 2 3 4 2 2" xfId="37971"/>
    <cellStyle name="Percent 14 2 3 4 2 3" xfId="37972"/>
    <cellStyle name="Percent 14 2 3 4 3" xfId="37973"/>
    <cellStyle name="Percent 14 2 3 4 3 2" xfId="37974"/>
    <cellStyle name="Percent 14 2 3 4 3 3" xfId="37975"/>
    <cellStyle name="Percent 14 2 3 4 4" xfId="37976"/>
    <cellStyle name="Percent 14 2 3 4 5" xfId="37977"/>
    <cellStyle name="Percent 14 2 3 5" xfId="37978"/>
    <cellStyle name="Percent 14 2 3 5 2" xfId="37979"/>
    <cellStyle name="Percent 14 2 3 5 2 2" xfId="37980"/>
    <cellStyle name="Percent 14 2 3 5 2 3" xfId="37981"/>
    <cellStyle name="Percent 14 2 3 5 3" xfId="37982"/>
    <cellStyle name="Percent 14 2 3 5 3 2" xfId="37983"/>
    <cellStyle name="Percent 14 2 3 5 3 3" xfId="37984"/>
    <cellStyle name="Percent 14 2 3 5 4" xfId="37985"/>
    <cellStyle name="Percent 14 2 3 5 5" xfId="37986"/>
    <cellStyle name="Percent 14 2 3 6" xfId="37987"/>
    <cellStyle name="Percent 14 2 3 6 2" xfId="37988"/>
    <cellStyle name="Percent 14 2 3 6 3" xfId="37989"/>
    <cellStyle name="Percent 14 2 3 7" xfId="37990"/>
    <cellStyle name="Percent 14 2 3 7 2" xfId="37991"/>
    <cellStyle name="Percent 14 2 3 7 3" xfId="37992"/>
    <cellStyle name="Percent 14 2 3 8" xfId="37993"/>
    <cellStyle name="Percent 14 2 3 9" xfId="37994"/>
    <cellStyle name="Percent 14 3" xfId="37995"/>
    <cellStyle name="Percent 14 3 2" xfId="37996"/>
    <cellStyle name="Percent 14 3 2 2" xfId="37997"/>
    <cellStyle name="Percent 14 3 2 2 2" xfId="37998"/>
    <cellStyle name="Percent 14 3 2 2 2 2" xfId="37999"/>
    <cellStyle name="Percent 14 3 2 2 2 2 2" xfId="38000"/>
    <cellStyle name="Percent 14 3 2 2 2 2 2 2" xfId="38001"/>
    <cellStyle name="Percent 14 3 2 2 2 2 2 3" xfId="38002"/>
    <cellStyle name="Percent 14 3 2 2 2 2 3" xfId="38003"/>
    <cellStyle name="Percent 14 3 2 2 2 2 3 2" xfId="38004"/>
    <cellStyle name="Percent 14 3 2 2 2 2 3 3" xfId="38005"/>
    <cellStyle name="Percent 14 3 2 2 2 2 4" xfId="38006"/>
    <cellStyle name="Percent 14 3 2 2 2 2 5" xfId="38007"/>
    <cellStyle name="Percent 14 3 2 2 2 3" xfId="38008"/>
    <cellStyle name="Percent 14 3 2 2 2 3 2" xfId="38009"/>
    <cellStyle name="Percent 14 3 2 2 2 3 2 2" xfId="38010"/>
    <cellStyle name="Percent 14 3 2 2 2 3 2 3" xfId="38011"/>
    <cellStyle name="Percent 14 3 2 2 2 3 3" xfId="38012"/>
    <cellStyle name="Percent 14 3 2 2 2 3 3 2" xfId="38013"/>
    <cellStyle name="Percent 14 3 2 2 2 3 3 3" xfId="38014"/>
    <cellStyle name="Percent 14 3 2 2 2 3 4" xfId="38015"/>
    <cellStyle name="Percent 14 3 2 2 2 3 5" xfId="38016"/>
    <cellStyle name="Percent 14 3 2 2 2 4" xfId="38017"/>
    <cellStyle name="Percent 14 3 2 2 2 4 2" xfId="38018"/>
    <cellStyle name="Percent 14 3 2 2 2 4 3" xfId="38019"/>
    <cellStyle name="Percent 14 3 2 2 2 5" xfId="38020"/>
    <cellStyle name="Percent 14 3 2 2 2 5 2" xfId="38021"/>
    <cellStyle name="Percent 14 3 2 2 2 5 3" xfId="38022"/>
    <cellStyle name="Percent 14 3 2 2 2 6" xfId="38023"/>
    <cellStyle name="Percent 14 3 2 2 2 7" xfId="38024"/>
    <cellStyle name="Percent 14 3 2 2 3" xfId="38025"/>
    <cellStyle name="Percent 14 3 2 2 3 2" xfId="38026"/>
    <cellStyle name="Percent 14 3 2 2 3 2 2" xfId="38027"/>
    <cellStyle name="Percent 14 3 2 2 3 2 2 2" xfId="38028"/>
    <cellStyle name="Percent 14 3 2 2 3 2 2 3" xfId="38029"/>
    <cellStyle name="Percent 14 3 2 2 3 2 3" xfId="38030"/>
    <cellStyle name="Percent 14 3 2 2 3 2 3 2" xfId="38031"/>
    <cellStyle name="Percent 14 3 2 2 3 2 3 3" xfId="38032"/>
    <cellStyle name="Percent 14 3 2 2 3 2 4" xfId="38033"/>
    <cellStyle name="Percent 14 3 2 2 3 2 5" xfId="38034"/>
    <cellStyle name="Percent 14 3 2 2 3 3" xfId="38035"/>
    <cellStyle name="Percent 14 3 2 2 3 3 2" xfId="38036"/>
    <cellStyle name="Percent 14 3 2 2 3 3 2 2" xfId="38037"/>
    <cellStyle name="Percent 14 3 2 2 3 3 2 3" xfId="38038"/>
    <cellStyle name="Percent 14 3 2 2 3 3 3" xfId="38039"/>
    <cellStyle name="Percent 14 3 2 2 3 3 3 2" xfId="38040"/>
    <cellStyle name="Percent 14 3 2 2 3 3 3 3" xfId="38041"/>
    <cellStyle name="Percent 14 3 2 2 3 3 4" xfId="38042"/>
    <cellStyle name="Percent 14 3 2 2 3 3 5" xfId="38043"/>
    <cellStyle name="Percent 14 3 2 2 3 4" xfId="38044"/>
    <cellStyle name="Percent 14 3 2 2 3 4 2" xfId="38045"/>
    <cellStyle name="Percent 14 3 2 2 3 4 3" xfId="38046"/>
    <cellStyle name="Percent 14 3 2 2 3 5" xfId="38047"/>
    <cellStyle name="Percent 14 3 2 2 3 5 2" xfId="38048"/>
    <cellStyle name="Percent 14 3 2 2 3 5 3" xfId="38049"/>
    <cellStyle name="Percent 14 3 2 2 3 6" xfId="38050"/>
    <cellStyle name="Percent 14 3 2 2 3 7" xfId="38051"/>
    <cellStyle name="Percent 14 3 2 2 4" xfId="38052"/>
    <cellStyle name="Percent 14 3 2 2 4 2" xfId="38053"/>
    <cellStyle name="Percent 14 3 2 2 4 2 2" xfId="38054"/>
    <cellStyle name="Percent 14 3 2 2 4 2 3" xfId="38055"/>
    <cellStyle name="Percent 14 3 2 2 4 3" xfId="38056"/>
    <cellStyle name="Percent 14 3 2 2 4 3 2" xfId="38057"/>
    <cellStyle name="Percent 14 3 2 2 4 3 3" xfId="38058"/>
    <cellStyle name="Percent 14 3 2 2 4 4" xfId="38059"/>
    <cellStyle name="Percent 14 3 2 2 4 5" xfId="38060"/>
    <cellStyle name="Percent 14 3 2 2 5" xfId="38061"/>
    <cellStyle name="Percent 14 3 2 2 5 2" xfId="38062"/>
    <cellStyle name="Percent 14 3 2 2 5 2 2" xfId="38063"/>
    <cellStyle name="Percent 14 3 2 2 5 2 3" xfId="38064"/>
    <cellStyle name="Percent 14 3 2 2 5 3" xfId="38065"/>
    <cellStyle name="Percent 14 3 2 2 5 3 2" xfId="38066"/>
    <cellStyle name="Percent 14 3 2 2 5 3 3" xfId="38067"/>
    <cellStyle name="Percent 14 3 2 2 5 4" xfId="38068"/>
    <cellStyle name="Percent 14 3 2 2 5 5" xfId="38069"/>
    <cellStyle name="Percent 14 3 2 2 6" xfId="38070"/>
    <cellStyle name="Percent 14 3 2 2 6 2" xfId="38071"/>
    <cellStyle name="Percent 14 3 2 2 6 3" xfId="38072"/>
    <cellStyle name="Percent 14 3 2 2 7" xfId="38073"/>
    <cellStyle name="Percent 14 3 2 2 7 2" xfId="38074"/>
    <cellStyle name="Percent 14 3 2 2 7 3" xfId="38075"/>
    <cellStyle name="Percent 14 3 2 2 8" xfId="38076"/>
    <cellStyle name="Percent 14 3 2 2 9" xfId="38077"/>
    <cellStyle name="Percent 14 3 3" xfId="38078"/>
    <cellStyle name="Percent 14 3 3 2" xfId="38079"/>
    <cellStyle name="Percent 14 3 3 2 2" xfId="38080"/>
    <cellStyle name="Percent 14 3 3 2 2 2" xfId="38081"/>
    <cellStyle name="Percent 14 3 3 2 2 2 2" xfId="38082"/>
    <cellStyle name="Percent 14 3 3 2 2 2 3" xfId="38083"/>
    <cellStyle name="Percent 14 3 3 2 2 3" xfId="38084"/>
    <cellStyle name="Percent 14 3 3 2 2 3 2" xfId="38085"/>
    <cellStyle name="Percent 14 3 3 2 2 3 3" xfId="38086"/>
    <cellStyle name="Percent 14 3 3 2 2 4" xfId="38087"/>
    <cellStyle name="Percent 14 3 3 2 2 5" xfId="38088"/>
    <cellStyle name="Percent 14 3 3 2 3" xfId="38089"/>
    <cellStyle name="Percent 14 3 3 2 3 2" xfId="38090"/>
    <cellStyle name="Percent 14 3 3 2 3 2 2" xfId="38091"/>
    <cellStyle name="Percent 14 3 3 2 3 2 3" xfId="38092"/>
    <cellStyle name="Percent 14 3 3 2 3 3" xfId="38093"/>
    <cellStyle name="Percent 14 3 3 2 3 3 2" xfId="38094"/>
    <cellStyle name="Percent 14 3 3 2 3 3 3" xfId="38095"/>
    <cellStyle name="Percent 14 3 3 2 3 4" xfId="38096"/>
    <cellStyle name="Percent 14 3 3 2 3 5" xfId="38097"/>
    <cellStyle name="Percent 14 3 3 2 4" xfId="38098"/>
    <cellStyle name="Percent 14 3 3 2 4 2" xfId="38099"/>
    <cellStyle name="Percent 14 3 3 2 4 3" xfId="38100"/>
    <cellStyle name="Percent 14 3 3 2 5" xfId="38101"/>
    <cellStyle name="Percent 14 3 3 2 5 2" xfId="38102"/>
    <cellStyle name="Percent 14 3 3 2 5 3" xfId="38103"/>
    <cellStyle name="Percent 14 3 3 2 6" xfId="38104"/>
    <cellStyle name="Percent 14 3 3 2 7" xfId="38105"/>
    <cellStyle name="Percent 14 3 3 3" xfId="38106"/>
    <cellStyle name="Percent 14 3 3 3 2" xfId="38107"/>
    <cellStyle name="Percent 14 3 3 3 2 2" xfId="38108"/>
    <cellStyle name="Percent 14 3 3 3 2 2 2" xfId="38109"/>
    <cellStyle name="Percent 14 3 3 3 2 2 3" xfId="38110"/>
    <cellStyle name="Percent 14 3 3 3 2 3" xfId="38111"/>
    <cellStyle name="Percent 14 3 3 3 2 3 2" xfId="38112"/>
    <cellStyle name="Percent 14 3 3 3 2 3 3" xfId="38113"/>
    <cellStyle name="Percent 14 3 3 3 2 4" xfId="38114"/>
    <cellStyle name="Percent 14 3 3 3 2 5" xfId="38115"/>
    <cellStyle name="Percent 14 3 3 3 3" xfId="38116"/>
    <cellStyle name="Percent 14 3 3 3 3 2" xfId="38117"/>
    <cellStyle name="Percent 14 3 3 3 3 2 2" xfId="38118"/>
    <cellStyle name="Percent 14 3 3 3 3 2 3" xfId="38119"/>
    <cellStyle name="Percent 14 3 3 3 3 3" xfId="38120"/>
    <cellStyle name="Percent 14 3 3 3 3 3 2" xfId="38121"/>
    <cellStyle name="Percent 14 3 3 3 3 3 3" xfId="38122"/>
    <cellStyle name="Percent 14 3 3 3 3 4" xfId="38123"/>
    <cellStyle name="Percent 14 3 3 3 3 5" xfId="38124"/>
    <cellStyle name="Percent 14 3 3 3 4" xfId="38125"/>
    <cellStyle name="Percent 14 3 3 3 4 2" xfId="38126"/>
    <cellStyle name="Percent 14 3 3 3 4 3" xfId="38127"/>
    <cellStyle name="Percent 14 3 3 3 5" xfId="38128"/>
    <cellStyle name="Percent 14 3 3 3 5 2" xfId="38129"/>
    <cellStyle name="Percent 14 3 3 3 5 3" xfId="38130"/>
    <cellStyle name="Percent 14 3 3 3 6" xfId="38131"/>
    <cellStyle name="Percent 14 3 3 3 7" xfId="38132"/>
    <cellStyle name="Percent 14 3 3 4" xfId="38133"/>
    <cellStyle name="Percent 14 3 3 4 2" xfId="38134"/>
    <cellStyle name="Percent 14 3 3 4 2 2" xfId="38135"/>
    <cellStyle name="Percent 14 3 3 4 2 3" xfId="38136"/>
    <cellStyle name="Percent 14 3 3 4 3" xfId="38137"/>
    <cellStyle name="Percent 14 3 3 4 3 2" xfId="38138"/>
    <cellStyle name="Percent 14 3 3 4 3 3" xfId="38139"/>
    <cellStyle name="Percent 14 3 3 4 4" xfId="38140"/>
    <cellStyle name="Percent 14 3 3 4 5" xfId="38141"/>
    <cellStyle name="Percent 14 3 3 5" xfId="38142"/>
    <cellStyle name="Percent 14 3 3 5 2" xfId="38143"/>
    <cellStyle name="Percent 14 3 3 5 2 2" xfId="38144"/>
    <cellStyle name="Percent 14 3 3 5 2 3" xfId="38145"/>
    <cellStyle name="Percent 14 3 3 5 3" xfId="38146"/>
    <cellStyle name="Percent 14 3 3 5 3 2" xfId="38147"/>
    <cellStyle name="Percent 14 3 3 5 3 3" xfId="38148"/>
    <cellStyle name="Percent 14 3 3 5 4" xfId="38149"/>
    <cellStyle name="Percent 14 3 3 5 5" xfId="38150"/>
    <cellStyle name="Percent 14 3 3 6" xfId="38151"/>
    <cellStyle name="Percent 14 3 3 6 2" xfId="38152"/>
    <cellStyle name="Percent 14 3 3 6 3" xfId="38153"/>
    <cellStyle name="Percent 14 3 3 7" xfId="38154"/>
    <cellStyle name="Percent 14 3 3 7 2" xfId="38155"/>
    <cellStyle name="Percent 14 3 3 7 3" xfId="38156"/>
    <cellStyle name="Percent 14 3 3 8" xfId="38157"/>
    <cellStyle name="Percent 14 3 3 9" xfId="38158"/>
    <cellStyle name="Percent 14 4" xfId="38159"/>
    <cellStyle name="Percent 14 4 2" xfId="38160"/>
    <cellStyle name="Percent 14 4 2 10" xfId="38161"/>
    <cellStyle name="Percent 14 4 2 2" xfId="38162"/>
    <cellStyle name="Percent 14 4 2 2 2" xfId="38163"/>
    <cellStyle name="Percent 14 4 2 2 2 2" xfId="38164"/>
    <cellStyle name="Percent 14 4 2 2 2 2 2" xfId="38165"/>
    <cellStyle name="Percent 14 4 2 2 2 2 2 2" xfId="38166"/>
    <cellStyle name="Percent 14 4 2 2 2 2 2 3" xfId="38167"/>
    <cellStyle name="Percent 14 4 2 2 2 2 3" xfId="38168"/>
    <cellStyle name="Percent 14 4 2 2 2 2 3 2" xfId="38169"/>
    <cellStyle name="Percent 14 4 2 2 2 2 3 3" xfId="38170"/>
    <cellStyle name="Percent 14 4 2 2 2 2 4" xfId="38171"/>
    <cellStyle name="Percent 14 4 2 2 2 2 5" xfId="38172"/>
    <cellStyle name="Percent 14 4 2 2 2 3" xfId="38173"/>
    <cellStyle name="Percent 14 4 2 2 2 3 2" xfId="38174"/>
    <cellStyle name="Percent 14 4 2 2 2 3 2 2" xfId="38175"/>
    <cellStyle name="Percent 14 4 2 2 2 3 2 3" xfId="38176"/>
    <cellStyle name="Percent 14 4 2 2 2 3 3" xfId="38177"/>
    <cellStyle name="Percent 14 4 2 2 2 3 3 2" xfId="38178"/>
    <cellStyle name="Percent 14 4 2 2 2 3 3 3" xfId="38179"/>
    <cellStyle name="Percent 14 4 2 2 2 3 4" xfId="38180"/>
    <cellStyle name="Percent 14 4 2 2 2 3 5" xfId="38181"/>
    <cellStyle name="Percent 14 4 2 2 2 4" xfId="38182"/>
    <cellStyle name="Percent 14 4 2 2 2 4 2" xfId="38183"/>
    <cellStyle name="Percent 14 4 2 2 2 4 3" xfId="38184"/>
    <cellStyle name="Percent 14 4 2 2 2 5" xfId="38185"/>
    <cellStyle name="Percent 14 4 2 2 2 5 2" xfId="38186"/>
    <cellStyle name="Percent 14 4 2 2 2 5 3" xfId="38187"/>
    <cellStyle name="Percent 14 4 2 2 2 6" xfId="38188"/>
    <cellStyle name="Percent 14 4 2 2 2 7" xfId="38189"/>
    <cellStyle name="Percent 14 4 2 2 3" xfId="38190"/>
    <cellStyle name="Percent 14 4 2 2 3 2" xfId="38191"/>
    <cellStyle name="Percent 14 4 2 2 3 2 2" xfId="38192"/>
    <cellStyle name="Percent 14 4 2 2 3 2 2 2" xfId="38193"/>
    <cellStyle name="Percent 14 4 2 2 3 2 2 3" xfId="38194"/>
    <cellStyle name="Percent 14 4 2 2 3 2 3" xfId="38195"/>
    <cellStyle name="Percent 14 4 2 2 3 2 3 2" xfId="38196"/>
    <cellStyle name="Percent 14 4 2 2 3 2 3 3" xfId="38197"/>
    <cellStyle name="Percent 14 4 2 2 3 2 4" xfId="38198"/>
    <cellStyle name="Percent 14 4 2 2 3 2 5" xfId="38199"/>
    <cellStyle name="Percent 14 4 2 2 3 3" xfId="38200"/>
    <cellStyle name="Percent 14 4 2 2 3 3 2" xfId="38201"/>
    <cellStyle name="Percent 14 4 2 2 3 3 2 2" xfId="38202"/>
    <cellStyle name="Percent 14 4 2 2 3 3 2 3" xfId="38203"/>
    <cellStyle name="Percent 14 4 2 2 3 3 3" xfId="38204"/>
    <cellStyle name="Percent 14 4 2 2 3 3 3 2" xfId="38205"/>
    <cellStyle name="Percent 14 4 2 2 3 3 3 3" xfId="38206"/>
    <cellStyle name="Percent 14 4 2 2 3 3 4" xfId="38207"/>
    <cellStyle name="Percent 14 4 2 2 3 3 5" xfId="38208"/>
    <cellStyle name="Percent 14 4 2 2 3 4" xfId="38209"/>
    <cellStyle name="Percent 14 4 2 2 3 4 2" xfId="38210"/>
    <cellStyle name="Percent 14 4 2 2 3 4 3" xfId="38211"/>
    <cellStyle name="Percent 14 4 2 2 3 5" xfId="38212"/>
    <cellStyle name="Percent 14 4 2 2 3 5 2" xfId="38213"/>
    <cellStyle name="Percent 14 4 2 2 3 5 3" xfId="38214"/>
    <cellStyle name="Percent 14 4 2 2 3 6" xfId="38215"/>
    <cellStyle name="Percent 14 4 2 2 3 7" xfId="38216"/>
    <cellStyle name="Percent 14 4 2 2 4" xfId="38217"/>
    <cellStyle name="Percent 14 4 2 2 4 2" xfId="38218"/>
    <cellStyle name="Percent 14 4 2 2 4 2 2" xfId="38219"/>
    <cellStyle name="Percent 14 4 2 2 4 2 3" xfId="38220"/>
    <cellStyle name="Percent 14 4 2 2 4 3" xfId="38221"/>
    <cellStyle name="Percent 14 4 2 2 4 3 2" xfId="38222"/>
    <cellStyle name="Percent 14 4 2 2 4 3 3" xfId="38223"/>
    <cellStyle name="Percent 14 4 2 2 4 4" xfId="38224"/>
    <cellStyle name="Percent 14 4 2 2 4 5" xfId="38225"/>
    <cellStyle name="Percent 14 4 2 2 5" xfId="38226"/>
    <cellStyle name="Percent 14 4 2 2 5 2" xfId="38227"/>
    <cellStyle name="Percent 14 4 2 2 5 2 2" xfId="38228"/>
    <cellStyle name="Percent 14 4 2 2 5 2 3" xfId="38229"/>
    <cellStyle name="Percent 14 4 2 2 5 3" xfId="38230"/>
    <cellStyle name="Percent 14 4 2 2 5 3 2" xfId="38231"/>
    <cellStyle name="Percent 14 4 2 2 5 3 3" xfId="38232"/>
    <cellStyle name="Percent 14 4 2 2 5 4" xfId="38233"/>
    <cellStyle name="Percent 14 4 2 2 5 5" xfId="38234"/>
    <cellStyle name="Percent 14 4 2 2 6" xfId="38235"/>
    <cellStyle name="Percent 14 4 2 2 6 2" xfId="38236"/>
    <cellStyle name="Percent 14 4 2 2 6 3" xfId="38237"/>
    <cellStyle name="Percent 14 4 2 2 7" xfId="38238"/>
    <cellStyle name="Percent 14 4 2 2 7 2" xfId="38239"/>
    <cellStyle name="Percent 14 4 2 2 7 3" xfId="38240"/>
    <cellStyle name="Percent 14 4 2 2 8" xfId="38241"/>
    <cellStyle name="Percent 14 4 2 2 9" xfId="38242"/>
    <cellStyle name="Percent 14 4 2 3" xfId="38243"/>
    <cellStyle name="Percent 14 4 2 3 2" xfId="38244"/>
    <cellStyle name="Percent 14 4 2 3 2 2" xfId="38245"/>
    <cellStyle name="Percent 14 4 2 3 2 2 2" xfId="38246"/>
    <cellStyle name="Percent 14 4 2 3 2 2 3" xfId="38247"/>
    <cellStyle name="Percent 14 4 2 3 2 3" xfId="38248"/>
    <cellStyle name="Percent 14 4 2 3 2 3 2" xfId="38249"/>
    <cellStyle name="Percent 14 4 2 3 2 3 3" xfId="38250"/>
    <cellStyle name="Percent 14 4 2 3 2 4" xfId="38251"/>
    <cellStyle name="Percent 14 4 2 3 2 5" xfId="38252"/>
    <cellStyle name="Percent 14 4 2 3 3" xfId="38253"/>
    <cellStyle name="Percent 14 4 2 3 3 2" xfId="38254"/>
    <cellStyle name="Percent 14 4 2 3 3 2 2" xfId="38255"/>
    <cellStyle name="Percent 14 4 2 3 3 2 3" xfId="38256"/>
    <cellStyle name="Percent 14 4 2 3 3 3" xfId="38257"/>
    <cellStyle name="Percent 14 4 2 3 3 3 2" xfId="38258"/>
    <cellStyle name="Percent 14 4 2 3 3 3 3" xfId="38259"/>
    <cellStyle name="Percent 14 4 2 3 3 4" xfId="38260"/>
    <cellStyle name="Percent 14 4 2 3 3 5" xfId="38261"/>
    <cellStyle name="Percent 14 4 2 3 4" xfId="38262"/>
    <cellStyle name="Percent 14 4 2 3 4 2" xfId="38263"/>
    <cellStyle name="Percent 14 4 2 3 4 3" xfId="38264"/>
    <cellStyle name="Percent 14 4 2 3 5" xfId="38265"/>
    <cellStyle name="Percent 14 4 2 3 5 2" xfId="38266"/>
    <cellStyle name="Percent 14 4 2 3 5 3" xfId="38267"/>
    <cellStyle name="Percent 14 4 2 3 6" xfId="38268"/>
    <cellStyle name="Percent 14 4 2 3 7" xfId="38269"/>
    <cellStyle name="Percent 14 4 2 4" xfId="38270"/>
    <cellStyle name="Percent 14 4 2 4 2" xfId="38271"/>
    <cellStyle name="Percent 14 4 2 4 2 2" xfId="38272"/>
    <cellStyle name="Percent 14 4 2 4 2 2 2" xfId="38273"/>
    <cellStyle name="Percent 14 4 2 4 2 2 3" xfId="38274"/>
    <cellStyle name="Percent 14 4 2 4 2 3" xfId="38275"/>
    <cellStyle name="Percent 14 4 2 4 2 3 2" xfId="38276"/>
    <cellStyle name="Percent 14 4 2 4 2 3 3" xfId="38277"/>
    <cellStyle name="Percent 14 4 2 4 2 4" xfId="38278"/>
    <cellStyle name="Percent 14 4 2 4 2 5" xfId="38279"/>
    <cellStyle name="Percent 14 4 2 4 3" xfId="38280"/>
    <cellStyle name="Percent 14 4 2 4 3 2" xfId="38281"/>
    <cellStyle name="Percent 14 4 2 4 3 2 2" xfId="38282"/>
    <cellStyle name="Percent 14 4 2 4 3 2 3" xfId="38283"/>
    <cellStyle name="Percent 14 4 2 4 3 3" xfId="38284"/>
    <cellStyle name="Percent 14 4 2 4 3 3 2" xfId="38285"/>
    <cellStyle name="Percent 14 4 2 4 3 3 3" xfId="38286"/>
    <cellStyle name="Percent 14 4 2 4 3 4" xfId="38287"/>
    <cellStyle name="Percent 14 4 2 4 3 5" xfId="38288"/>
    <cellStyle name="Percent 14 4 2 4 4" xfId="38289"/>
    <cellStyle name="Percent 14 4 2 4 4 2" xfId="38290"/>
    <cellStyle name="Percent 14 4 2 4 4 3" xfId="38291"/>
    <cellStyle name="Percent 14 4 2 4 5" xfId="38292"/>
    <cellStyle name="Percent 14 4 2 4 5 2" xfId="38293"/>
    <cellStyle name="Percent 14 4 2 4 5 3" xfId="38294"/>
    <cellStyle name="Percent 14 4 2 4 6" xfId="38295"/>
    <cellStyle name="Percent 14 4 2 4 7" xfId="38296"/>
    <cellStyle name="Percent 14 4 2 5" xfId="38297"/>
    <cellStyle name="Percent 14 4 2 5 2" xfId="38298"/>
    <cellStyle name="Percent 14 4 2 5 2 2" xfId="38299"/>
    <cellStyle name="Percent 14 4 2 5 2 3" xfId="38300"/>
    <cellStyle name="Percent 14 4 2 5 3" xfId="38301"/>
    <cellStyle name="Percent 14 4 2 5 3 2" xfId="38302"/>
    <cellStyle name="Percent 14 4 2 5 3 3" xfId="38303"/>
    <cellStyle name="Percent 14 4 2 5 4" xfId="38304"/>
    <cellStyle name="Percent 14 4 2 5 5" xfId="38305"/>
    <cellStyle name="Percent 14 4 2 6" xfId="38306"/>
    <cellStyle name="Percent 14 4 2 6 2" xfId="38307"/>
    <cellStyle name="Percent 14 4 2 6 2 2" xfId="38308"/>
    <cellStyle name="Percent 14 4 2 6 2 3" xfId="38309"/>
    <cellStyle name="Percent 14 4 2 6 3" xfId="38310"/>
    <cellStyle name="Percent 14 4 2 6 3 2" xfId="38311"/>
    <cellStyle name="Percent 14 4 2 6 3 3" xfId="38312"/>
    <cellStyle name="Percent 14 4 2 6 4" xfId="38313"/>
    <cellStyle name="Percent 14 4 2 6 5" xfId="38314"/>
    <cellStyle name="Percent 14 4 2 7" xfId="38315"/>
    <cellStyle name="Percent 14 4 2 7 2" xfId="38316"/>
    <cellStyle name="Percent 14 4 2 7 3" xfId="38317"/>
    <cellStyle name="Percent 14 4 2 8" xfId="38318"/>
    <cellStyle name="Percent 14 4 2 8 2" xfId="38319"/>
    <cellStyle name="Percent 14 4 2 8 3" xfId="38320"/>
    <cellStyle name="Percent 14 4 2 9" xfId="38321"/>
    <cellStyle name="Percent 14 4 3" xfId="38322"/>
    <cellStyle name="Percent 14 4 3 2" xfId="38323"/>
    <cellStyle name="Percent 14 4 3 2 2" xfId="38324"/>
    <cellStyle name="Percent 14 4 3 2 2 2" xfId="38325"/>
    <cellStyle name="Percent 14 4 3 2 2 2 2" xfId="38326"/>
    <cellStyle name="Percent 14 4 3 2 2 2 3" xfId="38327"/>
    <cellStyle name="Percent 14 4 3 2 2 3" xfId="38328"/>
    <cellStyle name="Percent 14 4 3 2 2 3 2" xfId="38329"/>
    <cellStyle name="Percent 14 4 3 2 2 3 3" xfId="38330"/>
    <cellStyle name="Percent 14 4 3 2 2 4" xfId="38331"/>
    <cellStyle name="Percent 14 4 3 2 2 5" xfId="38332"/>
    <cellStyle name="Percent 14 4 3 2 3" xfId="38333"/>
    <cellStyle name="Percent 14 4 3 2 3 2" xfId="38334"/>
    <cellStyle name="Percent 14 4 3 2 3 2 2" xfId="38335"/>
    <cellStyle name="Percent 14 4 3 2 3 2 3" xfId="38336"/>
    <cellStyle name="Percent 14 4 3 2 3 3" xfId="38337"/>
    <cellStyle name="Percent 14 4 3 2 3 3 2" xfId="38338"/>
    <cellStyle name="Percent 14 4 3 2 3 3 3" xfId="38339"/>
    <cellStyle name="Percent 14 4 3 2 3 4" xfId="38340"/>
    <cellStyle name="Percent 14 4 3 2 3 5" xfId="38341"/>
    <cellStyle name="Percent 14 4 3 2 4" xfId="38342"/>
    <cellStyle name="Percent 14 4 3 2 4 2" xfId="38343"/>
    <cellStyle name="Percent 14 4 3 2 4 3" xfId="38344"/>
    <cellStyle name="Percent 14 4 3 2 5" xfId="38345"/>
    <cellStyle name="Percent 14 4 3 2 5 2" xfId="38346"/>
    <cellStyle name="Percent 14 4 3 2 5 3" xfId="38347"/>
    <cellStyle name="Percent 14 4 3 2 6" xfId="38348"/>
    <cellStyle name="Percent 14 4 3 2 7" xfId="38349"/>
    <cellStyle name="Percent 14 4 3 3" xfId="38350"/>
    <cellStyle name="Percent 14 4 3 3 2" xfId="38351"/>
    <cellStyle name="Percent 14 4 3 3 2 2" xfId="38352"/>
    <cellStyle name="Percent 14 4 3 3 2 2 2" xfId="38353"/>
    <cellStyle name="Percent 14 4 3 3 2 2 3" xfId="38354"/>
    <cellStyle name="Percent 14 4 3 3 2 3" xfId="38355"/>
    <cellStyle name="Percent 14 4 3 3 2 3 2" xfId="38356"/>
    <cellStyle name="Percent 14 4 3 3 2 3 3" xfId="38357"/>
    <cellStyle name="Percent 14 4 3 3 2 4" xfId="38358"/>
    <cellStyle name="Percent 14 4 3 3 2 5" xfId="38359"/>
    <cellStyle name="Percent 14 4 3 3 3" xfId="38360"/>
    <cellStyle name="Percent 14 4 3 3 3 2" xfId="38361"/>
    <cellStyle name="Percent 14 4 3 3 3 2 2" xfId="38362"/>
    <cellStyle name="Percent 14 4 3 3 3 2 3" xfId="38363"/>
    <cellStyle name="Percent 14 4 3 3 3 3" xfId="38364"/>
    <cellStyle name="Percent 14 4 3 3 3 3 2" xfId="38365"/>
    <cellStyle name="Percent 14 4 3 3 3 3 3" xfId="38366"/>
    <cellStyle name="Percent 14 4 3 3 3 4" xfId="38367"/>
    <cellStyle name="Percent 14 4 3 3 3 5" xfId="38368"/>
    <cellStyle name="Percent 14 4 3 3 4" xfId="38369"/>
    <cellStyle name="Percent 14 4 3 3 4 2" xfId="38370"/>
    <cellStyle name="Percent 14 4 3 3 4 3" xfId="38371"/>
    <cellStyle name="Percent 14 4 3 3 5" xfId="38372"/>
    <cellStyle name="Percent 14 4 3 3 5 2" xfId="38373"/>
    <cellStyle name="Percent 14 4 3 3 5 3" xfId="38374"/>
    <cellStyle name="Percent 14 4 3 3 6" xfId="38375"/>
    <cellStyle name="Percent 14 4 3 3 7" xfId="38376"/>
    <cellStyle name="Percent 14 4 3 4" xfId="38377"/>
    <cellStyle name="Percent 14 4 3 4 2" xfId="38378"/>
    <cellStyle name="Percent 14 4 3 4 2 2" xfId="38379"/>
    <cellStyle name="Percent 14 4 3 4 2 3" xfId="38380"/>
    <cellStyle name="Percent 14 4 3 4 3" xfId="38381"/>
    <cellStyle name="Percent 14 4 3 4 3 2" xfId="38382"/>
    <cellStyle name="Percent 14 4 3 4 3 3" xfId="38383"/>
    <cellStyle name="Percent 14 4 3 4 4" xfId="38384"/>
    <cellStyle name="Percent 14 4 3 4 5" xfId="38385"/>
    <cellStyle name="Percent 14 4 3 5" xfId="38386"/>
    <cellStyle name="Percent 14 4 3 5 2" xfId="38387"/>
    <cellStyle name="Percent 14 4 3 5 2 2" xfId="38388"/>
    <cellStyle name="Percent 14 4 3 5 2 3" xfId="38389"/>
    <cellStyle name="Percent 14 4 3 5 3" xfId="38390"/>
    <cellStyle name="Percent 14 4 3 5 3 2" xfId="38391"/>
    <cellStyle name="Percent 14 4 3 5 3 3" xfId="38392"/>
    <cellStyle name="Percent 14 4 3 5 4" xfId="38393"/>
    <cellStyle name="Percent 14 4 3 5 5" xfId="38394"/>
    <cellStyle name="Percent 14 4 3 6" xfId="38395"/>
    <cellStyle name="Percent 14 4 3 6 2" xfId="38396"/>
    <cellStyle name="Percent 14 4 3 6 3" xfId="38397"/>
    <cellStyle name="Percent 14 4 3 7" xfId="38398"/>
    <cellStyle name="Percent 14 4 3 7 2" xfId="38399"/>
    <cellStyle name="Percent 14 4 3 7 3" xfId="38400"/>
    <cellStyle name="Percent 14 4 3 8" xfId="38401"/>
    <cellStyle name="Percent 14 4 3 9" xfId="38402"/>
    <cellStyle name="Percent 14 5" xfId="38403"/>
    <cellStyle name="Percent 14 5 10" xfId="38404"/>
    <cellStyle name="Percent 14 5 10 2" xfId="38405"/>
    <cellStyle name="Percent 14 5 10 3" xfId="38406"/>
    <cellStyle name="Percent 14 5 11" xfId="38407"/>
    <cellStyle name="Percent 14 5 12" xfId="38408"/>
    <cellStyle name="Percent 14 5 2" xfId="38409"/>
    <cellStyle name="Percent 14 5 2 10" xfId="38410"/>
    <cellStyle name="Percent 14 5 2 11" xfId="38411"/>
    <cellStyle name="Percent 14 5 2 2" xfId="38412"/>
    <cellStyle name="Percent 14 5 2 2 10" xfId="38413"/>
    <cellStyle name="Percent 14 5 2 2 2" xfId="38414"/>
    <cellStyle name="Percent 14 5 2 2 2 2" xfId="38415"/>
    <cellStyle name="Percent 14 5 2 2 2 2 2" xfId="38416"/>
    <cellStyle name="Percent 14 5 2 2 2 2 2 2" xfId="38417"/>
    <cellStyle name="Percent 14 5 2 2 2 2 2 2 2" xfId="38418"/>
    <cellStyle name="Percent 14 5 2 2 2 2 2 2 3" xfId="38419"/>
    <cellStyle name="Percent 14 5 2 2 2 2 2 3" xfId="38420"/>
    <cellStyle name="Percent 14 5 2 2 2 2 2 3 2" xfId="38421"/>
    <cellStyle name="Percent 14 5 2 2 2 2 2 3 3" xfId="38422"/>
    <cellStyle name="Percent 14 5 2 2 2 2 2 4" xfId="38423"/>
    <cellStyle name="Percent 14 5 2 2 2 2 2 5" xfId="38424"/>
    <cellStyle name="Percent 14 5 2 2 2 2 3" xfId="38425"/>
    <cellStyle name="Percent 14 5 2 2 2 2 3 2" xfId="38426"/>
    <cellStyle name="Percent 14 5 2 2 2 2 3 2 2" xfId="38427"/>
    <cellStyle name="Percent 14 5 2 2 2 2 3 2 3" xfId="38428"/>
    <cellStyle name="Percent 14 5 2 2 2 2 3 3" xfId="38429"/>
    <cellStyle name="Percent 14 5 2 2 2 2 3 3 2" xfId="38430"/>
    <cellStyle name="Percent 14 5 2 2 2 2 3 3 3" xfId="38431"/>
    <cellStyle name="Percent 14 5 2 2 2 2 3 4" xfId="38432"/>
    <cellStyle name="Percent 14 5 2 2 2 2 3 5" xfId="38433"/>
    <cellStyle name="Percent 14 5 2 2 2 2 4" xfId="38434"/>
    <cellStyle name="Percent 14 5 2 2 2 2 4 2" xfId="38435"/>
    <cellStyle name="Percent 14 5 2 2 2 2 4 3" xfId="38436"/>
    <cellStyle name="Percent 14 5 2 2 2 2 5" xfId="38437"/>
    <cellStyle name="Percent 14 5 2 2 2 2 5 2" xfId="38438"/>
    <cellStyle name="Percent 14 5 2 2 2 2 5 3" xfId="38439"/>
    <cellStyle name="Percent 14 5 2 2 2 2 6" xfId="38440"/>
    <cellStyle name="Percent 14 5 2 2 2 2 7" xfId="38441"/>
    <cellStyle name="Percent 14 5 2 2 2 3" xfId="38442"/>
    <cellStyle name="Percent 14 5 2 2 2 3 2" xfId="38443"/>
    <cellStyle name="Percent 14 5 2 2 2 3 2 2" xfId="38444"/>
    <cellStyle name="Percent 14 5 2 2 2 3 2 2 2" xfId="38445"/>
    <cellStyle name="Percent 14 5 2 2 2 3 2 2 3" xfId="38446"/>
    <cellStyle name="Percent 14 5 2 2 2 3 2 3" xfId="38447"/>
    <cellStyle name="Percent 14 5 2 2 2 3 2 3 2" xfId="38448"/>
    <cellStyle name="Percent 14 5 2 2 2 3 2 3 3" xfId="38449"/>
    <cellStyle name="Percent 14 5 2 2 2 3 2 4" xfId="38450"/>
    <cellStyle name="Percent 14 5 2 2 2 3 2 5" xfId="38451"/>
    <cellStyle name="Percent 14 5 2 2 2 3 3" xfId="38452"/>
    <cellStyle name="Percent 14 5 2 2 2 3 3 2" xfId="38453"/>
    <cellStyle name="Percent 14 5 2 2 2 3 3 2 2" xfId="38454"/>
    <cellStyle name="Percent 14 5 2 2 2 3 3 2 3" xfId="38455"/>
    <cellStyle name="Percent 14 5 2 2 2 3 3 3" xfId="38456"/>
    <cellStyle name="Percent 14 5 2 2 2 3 3 3 2" xfId="38457"/>
    <cellStyle name="Percent 14 5 2 2 2 3 3 3 3" xfId="38458"/>
    <cellStyle name="Percent 14 5 2 2 2 3 3 4" xfId="38459"/>
    <cellStyle name="Percent 14 5 2 2 2 3 3 5" xfId="38460"/>
    <cellStyle name="Percent 14 5 2 2 2 3 4" xfId="38461"/>
    <cellStyle name="Percent 14 5 2 2 2 3 4 2" xfId="38462"/>
    <cellStyle name="Percent 14 5 2 2 2 3 4 3" xfId="38463"/>
    <cellStyle name="Percent 14 5 2 2 2 3 5" xfId="38464"/>
    <cellStyle name="Percent 14 5 2 2 2 3 5 2" xfId="38465"/>
    <cellStyle name="Percent 14 5 2 2 2 3 5 3" xfId="38466"/>
    <cellStyle name="Percent 14 5 2 2 2 3 6" xfId="38467"/>
    <cellStyle name="Percent 14 5 2 2 2 3 7" xfId="38468"/>
    <cellStyle name="Percent 14 5 2 2 2 4" xfId="38469"/>
    <cellStyle name="Percent 14 5 2 2 2 4 2" xfId="38470"/>
    <cellStyle name="Percent 14 5 2 2 2 4 2 2" xfId="38471"/>
    <cellStyle name="Percent 14 5 2 2 2 4 2 3" xfId="38472"/>
    <cellStyle name="Percent 14 5 2 2 2 4 3" xfId="38473"/>
    <cellStyle name="Percent 14 5 2 2 2 4 3 2" xfId="38474"/>
    <cellStyle name="Percent 14 5 2 2 2 4 3 3" xfId="38475"/>
    <cellStyle name="Percent 14 5 2 2 2 4 4" xfId="38476"/>
    <cellStyle name="Percent 14 5 2 2 2 4 5" xfId="38477"/>
    <cellStyle name="Percent 14 5 2 2 2 5" xfId="38478"/>
    <cellStyle name="Percent 14 5 2 2 2 5 2" xfId="38479"/>
    <cellStyle name="Percent 14 5 2 2 2 5 2 2" xfId="38480"/>
    <cellStyle name="Percent 14 5 2 2 2 5 2 3" xfId="38481"/>
    <cellStyle name="Percent 14 5 2 2 2 5 3" xfId="38482"/>
    <cellStyle name="Percent 14 5 2 2 2 5 3 2" xfId="38483"/>
    <cellStyle name="Percent 14 5 2 2 2 5 3 3" xfId="38484"/>
    <cellStyle name="Percent 14 5 2 2 2 5 4" xfId="38485"/>
    <cellStyle name="Percent 14 5 2 2 2 5 5" xfId="38486"/>
    <cellStyle name="Percent 14 5 2 2 2 6" xfId="38487"/>
    <cellStyle name="Percent 14 5 2 2 2 6 2" xfId="38488"/>
    <cellStyle name="Percent 14 5 2 2 2 6 3" xfId="38489"/>
    <cellStyle name="Percent 14 5 2 2 2 7" xfId="38490"/>
    <cellStyle name="Percent 14 5 2 2 2 7 2" xfId="38491"/>
    <cellStyle name="Percent 14 5 2 2 2 7 3" xfId="38492"/>
    <cellStyle name="Percent 14 5 2 2 2 8" xfId="38493"/>
    <cellStyle name="Percent 14 5 2 2 2 9" xfId="38494"/>
    <cellStyle name="Percent 14 5 2 2 3" xfId="38495"/>
    <cellStyle name="Percent 14 5 2 2 3 2" xfId="38496"/>
    <cellStyle name="Percent 14 5 2 2 3 2 2" xfId="38497"/>
    <cellStyle name="Percent 14 5 2 2 3 2 2 2" xfId="38498"/>
    <cellStyle name="Percent 14 5 2 2 3 2 2 3" xfId="38499"/>
    <cellStyle name="Percent 14 5 2 2 3 2 3" xfId="38500"/>
    <cellStyle name="Percent 14 5 2 2 3 2 3 2" xfId="38501"/>
    <cellStyle name="Percent 14 5 2 2 3 2 3 3" xfId="38502"/>
    <cellStyle name="Percent 14 5 2 2 3 2 4" xfId="38503"/>
    <cellStyle name="Percent 14 5 2 2 3 2 5" xfId="38504"/>
    <cellStyle name="Percent 14 5 2 2 3 3" xfId="38505"/>
    <cellStyle name="Percent 14 5 2 2 3 3 2" xfId="38506"/>
    <cellStyle name="Percent 14 5 2 2 3 3 2 2" xfId="38507"/>
    <cellStyle name="Percent 14 5 2 2 3 3 2 3" xfId="38508"/>
    <cellStyle name="Percent 14 5 2 2 3 3 3" xfId="38509"/>
    <cellStyle name="Percent 14 5 2 2 3 3 3 2" xfId="38510"/>
    <cellStyle name="Percent 14 5 2 2 3 3 3 3" xfId="38511"/>
    <cellStyle name="Percent 14 5 2 2 3 3 4" xfId="38512"/>
    <cellStyle name="Percent 14 5 2 2 3 3 5" xfId="38513"/>
    <cellStyle name="Percent 14 5 2 2 3 4" xfId="38514"/>
    <cellStyle name="Percent 14 5 2 2 3 4 2" xfId="38515"/>
    <cellStyle name="Percent 14 5 2 2 3 4 3" xfId="38516"/>
    <cellStyle name="Percent 14 5 2 2 3 5" xfId="38517"/>
    <cellStyle name="Percent 14 5 2 2 3 5 2" xfId="38518"/>
    <cellStyle name="Percent 14 5 2 2 3 5 3" xfId="38519"/>
    <cellStyle name="Percent 14 5 2 2 3 6" xfId="38520"/>
    <cellStyle name="Percent 14 5 2 2 3 7" xfId="38521"/>
    <cellStyle name="Percent 14 5 2 2 4" xfId="38522"/>
    <cellStyle name="Percent 14 5 2 2 4 2" xfId="38523"/>
    <cellStyle name="Percent 14 5 2 2 4 2 2" xfId="38524"/>
    <cellStyle name="Percent 14 5 2 2 4 2 2 2" xfId="38525"/>
    <cellStyle name="Percent 14 5 2 2 4 2 2 3" xfId="38526"/>
    <cellStyle name="Percent 14 5 2 2 4 2 3" xfId="38527"/>
    <cellStyle name="Percent 14 5 2 2 4 2 3 2" xfId="38528"/>
    <cellStyle name="Percent 14 5 2 2 4 2 3 3" xfId="38529"/>
    <cellStyle name="Percent 14 5 2 2 4 2 4" xfId="38530"/>
    <cellStyle name="Percent 14 5 2 2 4 2 5" xfId="38531"/>
    <cellStyle name="Percent 14 5 2 2 4 3" xfId="38532"/>
    <cellStyle name="Percent 14 5 2 2 4 3 2" xfId="38533"/>
    <cellStyle name="Percent 14 5 2 2 4 3 2 2" xfId="38534"/>
    <cellStyle name="Percent 14 5 2 2 4 3 2 3" xfId="38535"/>
    <cellStyle name="Percent 14 5 2 2 4 3 3" xfId="38536"/>
    <cellStyle name="Percent 14 5 2 2 4 3 3 2" xfId="38537"/>
    <cellStyle name="Percent 14 5 2 2 4 3 3 3" xfId="38538"/>
    <cellStyle name="Percent 14 5 2 2 4 3 4" xfId="38539"/>
    <cellStyle name="Percent 14 5 2 2 4 3 5" xfId="38540"/>
    <cellStyle name="Percent 14 5 2 2 4 4" xfId="38541"/>
    <cellStyle name="Percent 14 5 2 2 4 4 2" xfId="38542"/>
    <cellStyle name="Percent 14 5 2 2 4 4 3" xfId="38543"/>
    <cellStyle name="Percent 14 5 2 2 4 5" xfId="38544"/>
    <cellStyle name="Percent 14 5 2 2 4 5 2" xfId="38545"/>
    <cellStyle name="Percent 14 5 2 2 4 5 3" xfId="38546"/>
    <cellStyle name="Percent 14 5 2 2 4 6" xfId="38547"/>
    <cellStyle name="Percent 14 5 2 2 4 7" xfId="38548"/>
    <cellStyle name="Percent 14 5 2 2 5" xfId="38549"/>
    <cellStyle name="Percent 14 5 2 2 5 2" xfId="38550"/>
    <cellStyle name="Percent 14 5 2 2 5 2 2" xfId="38551"/>
    <cellStyle name="Percent 14 5 2 2 5 2 3" xfId="38552"/>
    <cellStyle name="Percent 14 5 2 2 5 3" xfId="38553"/>
    <cellStyle name="Percent 14 5 2 2 5 3 2" xfId="38554"/>
    <cellStyle name="Percent 14 5 2 2 5 3 3" xfId="38555"/>
    <cellStyle name="Percent 14 5 2 2 5 4" xfId="38556"/>
    <cellStyle name="Percent 14 5 2 2 5 5" xfId="38557"/>
    <cellStyle name="Percent 14 5 2 2 6" xfId="38558"/>
    <cellStyle name="Percent 14 5 2 2 6 2" xfId="38559"/>
    <cellStyle name="Percent 14 5 2 2 6 2 2" xfId="38560"/>
    <cellStyle name="Percent 14 5 2 2 6 2 3" xfId="38561"/>
    <cellStyle name="Percent 14 5 2 2 6 3" xfId="38562"/>
    <cellStyle name="Percent 14 5 2 2 6 3 2" xfId="38563"/>
    <cellStyle name="Percent 14 5 2 2 6 3 3" xfId="38564"/>
    <cellStyle name="Percent 14 5 2 2 6 4" xfId="38565"/>
    <cellStyle name="Percent 14 5 2 2 6 5" xfId="38566"/>
    <cellStyle name="Percent 14 5 2 2 7" xfId="38567"/>
    <cellStyle name="Percent 14 5 2 2 7 2" xfId="38568"/>
    <cellStyle name="Percent 14 5 2 2 7 3" xfId="38569"/>
    <cellStyle name="Percent 14 5 2 2 8" xfId="38570"/>
    <cellStyle name="Percent 14 5 2 2 8 2" xfId="38571"/>
    <cellStyle name="Percent 14 5 2 2 8 3" xfId="38572"/>
    <cellStyle name="Percent 14 5 2 2 9" xfId="38573"/>
    <cellStyle name="Percent 14 5 2 3" xfId="38574"/>
    <cellStyle name="Percent 14 5 2 3 2" xfId="38575"/>
    <cellStyle name="Percent 14 5 2 3 2 2" xfId="38576"/>
    <cellStyle name="Percent 14 5 2 3 2 2 2" xfId="38577"/>
    <cellStyle name="Percent 14 5 2 3 2 2 2 2" xfId="38578"/>
    <cellStyle name="Percent 14 5 2 3 2 2 2 3" xfId="38579"/>
    <cellStyle name="Percent 14 5 2 3 2 2 3" xfId="38580"/>
    <cellStyle name="Percent 14 5 2 3 2 2 3 2" xfId="38581"/>
    <cellStyle name="Percent 14 5 2 3 2 2 3 3" xfId="38582"/>
    <cellStyle name="Percent 14 5 2 3 2 2 4" xfId="38583"/>
    <cellStyle name="Percent 14 5 2 3 2 2 5" xfId="38584"/>
    <cellStyle name="Percent 14 5 2 3 2 3" xfId="38585"/>
    <cellStyle name="Percent 14 5 2 3 2 3 2" xfId="38586"/>
    <cellStyle name="Percent 14 5 2 3 2 3 2 2" xfId="38587"/>
    <cellStyle name="Percent 14 5 2 3 2 3 2 3" xfId="38588"/>
    <cellStyle name="Percent 14 5 2 3 2 3 3" xfId="38589"/>
    <cellStyle name="Percent 14 5 2 3 2 3 3 2" xfId="38590"/>
    <cellStyle name="Percent 14 5 2 3 2 3 3 3" xfId="38591"/>
    <cellStyle name="Percent 14 5 2 3 2 3 4" xfId="38592"/>
    <cellStyle name="Percent 14 5 2 3 2 3 5" xfId="38593"/>
    <cellStyle name="Percent 14 5 2 3 2 4" xfId="38594"/>
    <cellStyle name="Percent 14 5 2 3 2 4 2" xfId="38595"/>
    <cellStyle name="Percent 14 5 2 3 2 4 3" xfId="38596"/>
    <cellStyle name="Percent 14 5 2 3 2 5" xfId="38597"/>
    <cellStyle name="Percent 14 5 2 3 2 5 2" xfId="38598"/>
    <cellStyle name="Percent 14 5 2 3 2 5 3" xfId="38599"/>
    <cellStyle name="Percent 14 5 2 3 2 6" xfId="38600"/>
    <cellStyle name="Percent 14 5 2 3 2 7" xfId="38601"/>
    <cellStyle name="Percent 14 5 2 3 3" xfId="38602"/>
    <cellStyle name="Percent 14 5 2 3 3 2" xfId="38603"/>
    <cellStyle name="Percent 14 5 2 3 3 2 2" xfId="38604"/>
    <cellStyle name="Percent 14 5 2 3 3 2 2 2" xfId="38605"/>
    <cellStyle name="Percent 14 5 2 3 3 2 2 3" xfId="38606"/>
    <cellStyle name="Percent 14 5 2 3 3 2 3" xfId="38607"/>
    <cellStyle name="Percent 14 5 2 3 3 2 3 2" xfId="38608"/>
    <cellStyle name="Percent 14 5 2 3 3 2 3 3" xfId="38609"/>
    <cellStyle name="Percent 14 5 2 3 3 2 4" xfId="38610"/>
    <cellStyle name="Percent 14 5 2 3 3 2 5" xfId="38611"/>
    <cellStyle name="Percent 14 5 2 3 3 3" xfId="38612"/>
    <cellStyle name="Percent 14 5 2 3 3 3 2" xfId="38613"/>
    <cellStyle name="Percent 14 5 2 3 3 3 2 2" xfId="38614"/>
    <cellStyle name="Percent 14 5 2 3 3 3 2 3" xfId="38615"/>
    <cellStyle name="Percent 14 5 2 3 3 3 3" xfId="38616"/>
    <cellStyle name="Percent 14 5 2 3 3 3 3 2" xfId="38617"/>
    <cellStyle name="Percent 14 5 2 3 3 3 3 3" xfId="38618"/>
    <cellStyle name="Percent 14 5 2 3 3 3 4" xfId="38619"/>
    <cellStyle name="Percent 14 5 2 3 3 3 5" xfId="38620"/>
    <cellStyle name="Percent 14 5 2 3 3 4" xfId="38621"/>
    <cellStyle name="Percent 14 5 2 3 3 4 2" xfId="38622"/>
    <cellStyle name="Percent 14 5 2 3 3 4 3" xfId="38623"/>
    <cellStyle name="Percent 14 5 2 3 3 5" xfId="38624"/>
    <cellStyle name="Percent 14 5 2 3 3 5 2" xfId="38625"/>
    <cellStyle name="Percent 14 5 2 3 3 5 3" xfId="38626"/>
    <cellStyle name="Percent 14 5 2 3 3 6" xfId="38627"/>
    <cellStyle name="Percent 14 5 2 3 3 7" xfId="38628"/>
    <cellStyle name="Percent 14 5 2 3 4" xfId="38629"/>
    <cellStyle name="Percent 14 5 2 3 4 2" xfId="38630"/>
    <cellStyle name="Percent 14 5 2 3 4 2 2" xfId="38631"/>
    <cellStyle name="Percent 14 5 2 3 4 2 3" xfId="38632"/>
    <cellStyle name="Percent 14 5 2 3 4 3" xfId="38633"/>
    <cellStyle name="Percent 14 5 2 3 4 3 2" xfId="38634"/>
    <cellStyle name="Percent 14 5 2 3 4 3 3" xfId="38635"/>
    <cellStyle name="Percent 14 5 2 3 4 4" xfId="38636"/>
    <cellStyle name="Percent 14 5 2 3 4 5" xfId="38637"/>
    <cellStyle name="Percent 14 5 2 3 5" xfId="38638"/>
    <cellStyle name="Percent 14 5 2 3 5 2" xfId="38639"/>
    <cellStyle name="Percent 14 5 2 3 5 2 2" xfId="38640"/>
    <cellStyle name="Percent 14 5 2 3 5 2 3" xfId="38641"/>
    <cellStyle name="Percent 14 5 2 3 5 3" xfId="38642"/>
    <cellStyle name="Percent 14 5 2 3 5 3 2" xfId="38643"/>
    <cellStyle name="Percent 14 5 2 3 5 3 3" xfId="38644"/>
    <cellStyle name="Percent 14 5 2 3 5 4" xfId="38645"/>
    <cellStyle name="Percent 14 5 2 3 5 5" xfId="38646"/>
    <cellStyle name="Percent 14 5 2 3 6" xfId="38647"/>
    <cellStyle name="Percent 14 5 2 3 6 2" xfId="38648"/>
    <cellStyle name="Percent 14 5 2 3 6 3" xfId="38649"/>
    <cellStyle name="Percent 14 5 2 3 7" xfId="38650"/>
    <cellStyle name="Percent 14 5 2 3 7 2" xfId="38651"/>
    <cellStyle name="Percent 14 5 2 3 7 3" xfId="38652"/>
    <cellStyle name="Percent 14 5 2 3 8" xfId="38653"/>
    <cellStyle name="Percent 14 5 2 3 9" xfId="38654"/>
    <cellStyle name="Percent 14 5 2 4" xfId="38655"/>
    <cellStyle name="Percent 14 5 2 4 2" xfId="38656"/>
    <cellStyle name="Percent 14 5 2 4 2 2" xfId="38657"/>
    <cellStyle name="Percent 14 5 2 4 2 2 2" xfId="38658"/>
    <cellStyle name="Percent 14 5 2 4 2 2 3" xfId="38659"/>
    <cellStyle name="Percent 14 5 2 4 2 3" xfId="38660"/>
    <cellStyle name="Percent 14 5 2 4 2 3 2" xfId="38661"/>
    <cellStyle name="Percent 14 5 2 4 2 3 3" xfId="38662"/>
    <cellStyle name="Percent 14 5 2 4 2 4" xfId="38663"/>
    <cellStyle name="Percent 14 5 2 4 2 5" xfId="38664"/>
    <cellStyle name="Percent 14 5 2 4 3" xfId="38665"/>
    <cellStyle name="Percent 14 5 2 4 3 2" xfId="38666"/>
    <cellStyle name="Percent 14 5 2 4 3 2 2" xfId="38667"/>
    <cellStyle name="Percent 14 5 2 4 3 2 3" xfId="38668"/>
    <cellStyle name="Percent 14 5 2 4 3 3" xfId="38669"/>
    <cellStyle name="Percent 14 5 2 4 3 3 2" xfId="38670"/>
    <cellStyle name="Percent 14 5 2 4 3 3 3" xfId="38671"/>
    <cellStyle name="Percent 14 5 2 4 3 4" xfId="38672"/>
    <cellStyle name="Percent 14 5 2 4 3 5" xfId="38673"/>
    <cellStyle name="Percent 14 5 2 4 4" xfId="38674"/>
    <cellStyle name="Percent 14 5 2 4 4 2" xfId="38675"/>
    <cellStyle name="Percent 14 5 2 4 4 3" xfId="38676"/>
    <cellStyle name="Percent 14 5 2 4 5" xfId="38677"/>
    <cellStyle name="Percent 14 5 2 4 5 2" xfId="38678"/>
    <cellStyle name="Percent 14 5 2 4 5 3" xfId="38679"/>
    <cellStyle name="Percent 14 5 2 4 6" xfId="38680"/>
    <cellStyle name="Percent 14 5 2 4 7" xfId="38681"/>
    <cellStyle name="Percent 14 5 2 5" xfId="38682"/>
    <cellStyle name="Percent 14 5 2 5 2" xfId="38683"/>
    <cellStyle name="Percent 14 5 2 5 2 2" xfId="38684"/>
    <cellStyle name="Percent 14 5 2 5 2 2 2" xfId="38685"/>
    <cellStyle name="Percent 14 5 2 5 2 2 3" xfId="38686"/>
    <cellStyle name="Percent 14 5 2 5 2 3" xfId="38687"/>
    <cellStyle name="Percent 14 5 2 5 2 3 2" xfId="38688"/>
    <cellStyle name="Percent 14 5 2 5 2 3 3" xfId="38689"/>
    <cellStyle name="Percent 14 5 2 5 2 4" xfId="38690"/>
    <cellStyle name="Percent 14 5 2 5 2 5" xfId="38691"/>
    <cellStyle name="Percent 14 5 2 5 3" xfId="38692"/>
    <cellStyle name="Percent 14 5 2 5 3 2" xfId="38693"/>
    <cellStyle name="Percent 14 5 2 5 3 2 2" xfId="38694"/>
    <cellStyle name="Percent 14 5 2 5 3 2 3" xfId="38695"/>
    <cellStyle name="Percent 14 5 2 5 3 3" xfId="38696"/>
    <cellStyle name="Percent 14 5 2 5 3 3 2" xfId="38697"/>
    <cellStyle name="Percent 14 5 2 5 3 3 3" xfId="38698"/>
    <cellStyle name="Percent 14 5 2 5 3 4" xfId="38699"/>
    <cellStyle name="Percent 14 5 2 5 3 5" xfId="38700"/>
    <cellStyle name="Percent 14 5 2 5 4" xfId="38701"/>
    <cellStyle name="Percent 14 5 2 5 4 2" xfId="38702"/>
    <cellStyle name="Percent 14 5 2 5 4 3" xfId="38703"/>
    <cellStyle name="Percent 14 5 2 5 5" xfId="38704"/>
    <cellStyle name="Percent 14 5 2 5 5 2" xfId="38705"/>
    <cellStyle name="Percent 14 5 2 5 5 3" xfId="38706"/>
    <cellStyle name="Percent 14 5 2 5 6" xfId="38707"/>
    <cellStyle name="Percent 14 5 2 5 7" xfId="38708"/>
    <cellStyle name="Percent 14 5 2 6" xfId="38709"/>
    <cellStyle name="Percent 14 5 2 6 2" xfId="38710"/>
    <cellStyle name="Percent 14 5 2 6 2 2" xfId="38711"/>
    <cellStyle name="Percent 14 5 2 6 2 3" xfId="38712"/>
    <cellStyle name="Percent 14 5 2 6 3" xfId="38713"/>
    <cellStyle name="Percent 14 5 2 6 3 2" xfId="38714"/>
    <cellStyle name="Percent 14 5 2 6 3 3" xfId="38715"/>
    <cellStyle name="Percent 14 5 2 6 4" xfId="38716"/>
    <cellStyle name="Percent 14 5 2 6 5" xfId="38717"/>
    <cellStyle name="Percent 14 5 2 7" xfId="38718"/>
    <cellStyle name="Percent 14 5 2 7 2" xfId="38719"/>
    <cellStyle name="Percent 14 5 2 7 2 2" xfId="38720"/>
    <cellStyle name="Percent 14 5 2 7 2 3" xfId="38721"/>
    <cellStyle name="Percent 14 5 2 7 3" xfId="38722"/>
    <cellStyle name="Percent 14 5 2 7 3 2" xfId="38723"/>
    <cellStyle name="Percent 14 5 2 7 3 3" xfId="38724"/>
    <cellStyle name="Percent 14 5 2 7 4" xfId="38725"/>
    <cellStyle name="Percent 14 5 2 7 5" xfId="38726"/>
    <cellStyle name="Percent 14 5 2 8" xfId="38727"/>
    <cellStyle name="Percent 14 5 2 8 2" xfId="38728"/>
    <cellStyle name="Percent 14 5 2 8 3" xfId="38729"/>
    <cellStyle name="Percent 14 5 2 9" xfId="38730"/>
    <cellStyle name="Percent 14 5 2 9 2" xfId="38731"/>
    <cellStyle name="Percent 14 5 2 9 3" xfId="38732"/>
    <cellStyle name="Percent 14 5 3" xfId="38733"/>
    <cellStyle name="Percent 14 5 3 10" xfId="38734"/>
    <cellStyle name="Percent 14 5 3 2" xfId="38735"/>
    <cellStyle name="Percent 14 5 3 2 2" xfId="38736"/>
    <cellStyle name="Percent 14 5 3 2 2 2" xfId="38737"/>
    <cellStyle name="Percent 14 5 3 2 2 2 2" xfId="38738"/>
    <cellStyle name="Percent 14 5 3 2 2 2 2 2" xfId="38739"/>
    <cellStyle name="Percent 14 5 3 2 2 2 2 3" xfId="38740"/>
    <cellStyle name="Percent 14 5 3 2 2 2 3" xfId="38741"/>
    <cellStyle name="Percent 14 5 3 2 2 2 3 2" xfId="38742"/>
    <cellStyle name="Percent 14 5 3 2 2 2 3 3" xfId="38743"/>
    <cellStyle name="Percent 14 5 3 2 2 2 4" xfId="38744"/>
    <cellStyle name="Percent 14 5 3 2 2 2 5" xfId="38745"/>
    <cellStyle name="Percent 14 5 3 2 2 3" xfId="38746"/>
    <cellStyle name="Percent 14 5 3 2 2 3 2" xfId="38747"/>
    <cellStyle name="Percent 14 5 3 2 2 3 2 2" xfId="38748"/>
    <cellStyle name="Percent 14 5 3 2 2 3 2 3" xfId="38749"/>
    <cellStyle name="Percent 14 5 3 2 2 3 3" xfId="38750"/>
    <cellStyle name="Percent 14 5 3 2 2 3 3 2" xfId="38751"/>
    <cellStyle name="Percent 14 5 3 2 2 3 3 3" xfId="38752"/>
    <cellStyle name="Percent 14 5 3 2 2 3 4" xfId="38753"/>
    <cellStyle name="Percent 14 5 3 2 2 3 5" xfId="38754"/>
    <cellStyle name="Percent 14 5 3 2 2 4" xfId="38755"/>
    <cellStyle name="Percent 14 5 3 2 2 4 2" xfId="38756"/>
    <cellStyle name="Percent 14 5 3 2 2 4 3" xfId="38757"/>
    <cellStyle name="Percent 14 5 3 2 2 5" xfId="38758"/>
    <cellStyle name="Percent 14 5 3 2 2 5 2" xfId="38759"/>
    <cellStyle name="Percent 14 5 3 2 2 5 3" xfId="38760"/>
    <cellStyle name="Percent 14 5 3 2 2 6" xfId="38761"/>
    <cellStyle name="Percent 14 5 3 2 2 7" xfId="38762"/>
    <cellStyle name="Percent 14 5 3 2 3" xfId="38763"/>
    <cellStyle name="Percent 14 5 3 2 3 2" xfId="38764"/>
    <cellStyle name="Percent 14 5 3 2 3 2 2" xfId="38765"/>
    <cellStyle name="Percent 14 5 3 2 3 2 2 2" xfId="38766"/>
    <cellStyle name="Percent 14 5 3 2 3 2 2 3" xfId="38767"/>
    <cellStyle name="Percent 14 5 3 2 3 2 3" xfId="38768"/>
    <cellStyle name="Percent 14 5 3 2 3 2 3 2" xfId="38769"/>
    <cellStyle name="Percent 14 5 3 2 3 2 3 3" xfId="38770"/>
    <cellStyle name="Percent 14 5 3 2 3 2 4" xfId="38771"/>
    <cellStyle name="Percent 14 5 3 2 3 2 5" xfId="38772"/>
    <cellStyle name="Percent 14 5 3 2 3 3" xfId="38773"/>
    <cellStyle name="Percent 14 5 3 2 3 3 2" xfId="38774"/>
    <cellStyle name="Percent 14 5 3 2 3 3 2 2" xfId="38775"/>
    <cellStyle name="Percent 14 5 3 2 3 3 2 3" xfId="38776"/>
    <cellStyle name="Percent 14 5 3 2 3 3 3" xfId="38777"/>
    <cellStyle name="Percent 14 5 3 2 3 3 3 2" xfId="38778"/>
    <cellStyle name="Percent 14 5 3 2 3 3 3 3" xfId="38779"/>
    <cellStyle name="Percent 14 5 3 2 3 3 4" xfId="38780"/>
    <cellStyle name="Percent 14 5 3 2 3 3 5" xfId="38781"/>
    <cellStyle name="Percent 14 5 3 2 3 4" xfId="38782"/>
    <cellStyle name="Percent 14 5 3 2 3 4 2" xfId="38783"/>
    <cellStyle name="Percent 14 5 3 2 3 4 3" xfId="38784"/>
    <cellStyle name="Percent 14 5 3 2 3 5" xfId="38785"/>
    <cellStyle name="Percent 14 5 3 2 3 5 2" xfId="38786"/>
    <cellStyle name="Percent 14 5 3 2 3 5 3" xfId="38787"/>
    <cellStyle name="Percent 14 5 3 2 3 6" xfId="38788"/>
    <cellStyle name="Percent 14 5 3 2 3 7" xfId="38789"/>
    <cellStyle name="Percent 14 5 3 2 4" xfId="38790"/>
    <cellStyle name="Percent 14 5 3 2 4 2" xfId="38791"/>
    <cellStyle name="Percent 14 5 3 2 4 2 2" xfId="38792"/>
    <cellStyle name="Percent 14 5 3 2 4 2 3" xfId="38793"/>
    <cellStyle name="Percent 14 5 3 2 4 3" xfId="38794"/>
    <cellStyle name="Percent 14 5 3 2 4 3 2" xfId="38795"/>
    <cellStyle name="Percent 14 5 3 2 4 3 3" xfId="38796"/>
    <cellStyle name="Percent 14 5 3 2 4 4" xfId="38797"/>
    <cellStyle name="Percent 14 5 3 2 4 5" xfId="38798"/>
    <cellStyle name="Percent 14 5 3 2 5" xfId="38799"/>
    <cellStyle name="Percent 14 5 3 2 5 2" xfId="38800"/>
    <cellStyle name="Percent 14 5 3 2 5 2 2" xfId="38801"/>
    <cellStyle name="Percent 14 5 3 2 5 2 3" xfId="38802"/>
    <cellStyle name="Percent 14 5 3 2 5 3" xfId="38803"/>
    <cellStyle name="Percent 14 5 3 2 5 3 2" xfId="38804"/>
    <cellStyle name="Percent 14 5 3 2 5 3 3" xfId="38805"/>
    <cellStyle name="Percent 14 5 3 2 5 4" xfId="38806"/>
    <cellStyle name="Percent 14 5 3 2 5 5" xfId="38807"/>
    <cellStyle name="Percent 14 5 3 2 6" xfId="38808"/>
    <cellStyle name="Percent 14 5 3 2 6 2" xfId="38809"/>
    <cellStyle name="Percent 14 5 3 2 6 3" xfId="38810"/>
    <cellStyle name="Percent 14 5 3 2 7" xfId="38811"/>
    <cellStyle name="Percent 14 5 3 2 7 2" xfId="38812"/>
    <cellStyle name="Percent 14 5 3 2 7 3" xfId="38813"/>
    <cellStyle name="Percent 14 5 3 2 8" xfId="38814"/>
    <cellStyle name="Percent 14 5 3 2 9" xfId="38815"/>
    <cellStyle name="Percent 14 5 3 3" xfId="38816"/>
    <cellStyle name="Percent 14 5 3 3 2" xfId="38817"/>
    <cellStyle name="Percent 14 5 3 3 2 2" xfId="38818"/>
    <cellStyle name="Percent 14 5 3 3 2 2 2" xfId="38819"/>
    <cellStyle name="Percent 14 5 3 3 2 2 3" xfId="38820"/>
    <cellStyle name="Percent 14 5 3 3 2 3" xfId="38821"/>
    <cellStyle name="Percent 14 5 3 3 2 3 2" xfId="38822"/>
    <cellStyle name="Percent 14 5 3 3 2 3 3" xfId="38823"/>
    <cellStyle name="Percent 14 5 3 3 2 4" xfId="38824"/>
    <cellStyle name="Percent 14 5 3 3 2 5" xfId="38825"/>
    <cellStyle name="Percent 14 5 3 3 3" xfId="38826"/>
    <cellStyle name="Percent 14 5 3 3 3 2" xfId="38827"/>
    <cellStyle name="Percent 14 5 3 3 3 2 2" xfId="38828"/>
    <cellStyle name="Percent 14 5 3 3 3 2 3" xfId="38829"/>
    <cellStyle name="Percent 14 5 3 3 3 3" xfId="38830"/>
    <cellStyle name="Percent 14 5 3 3 3 3 2" xfId="38831"/>
    <cellStyle name="Percent 14 5 3 3 3 3 3" xfId="38832"/>
    <cellStyle name="Percent 14 5 3 3 3 4" xfId="38833"/>
    <cellStyle name="Percent 14 5 3 3 3 5" xfId="38834"/>
    <cellStyle name="Percent 14 5 3 3 4" xfId="38835"/>
    <cellStyle name="Percent 14 5 3 3 4 2" xfId="38836"/>
    <cellStyle name="Percent 14 5 3 3 4 3" xfId="38837"/>
    <cellStyle name="Percent 14 5 3 3 5" xfId="38838"/>
    <cellStyle name="Percent 14 5 3 3 5 2" xfId="38839"/>
    <cellStyle name="Percent 14 5 3 3 5 3" xfId="38840"/>
    <cellStyle name="Percent 14 5 3 3 6" xfId="38841"/>
    <cellStyle name="Percent 14 5 3 3 7" xfId="38842"/>
    <cellStyle name="Percent 14 5 3 4" xfId="38843"/>
    <cellStyle name="Percent 14 5 3 4 2" xfId="38844"/>
    <cellStyle name="Percent 14 5 3 4 2 2" xfId="38845"/>
    <cellStyle name="Percent 14 5 3 4 2 2 2" xfId="38846"/>
    <cellStyle name="Percent 14 5 3 4 2 2 3" xfId="38847"/>
    <cellStyle name="Percent 14 5 3 4 2 3" xfId="38848"/>
    <cellStyle name="Percent 14 5 3 4 2 3 2" xfId="38849"/>
    <cellStyle name="Percent 14 5 3 4 2 3 3" xfId="38850"/>
    <cellStyle name="Percent 14 5 3 4 2 4" xfId="38851"/>
    <cellStyle name="Percent 14 5 3 4 2 5" xfId="38852"/>
    <cellStyle name="Percent 14 5 3 4 3" xfId="38853"/>
    <cellStyle name="Percent 14 5 3 4 3 2" xfId="38854"/>
    <cellStyle name="Percent 14 5 3 4 3 2 2" xfId="38855"/>
    <cellStyle name="Percent 14 5 3 4 3 2 3" xfId="38856"/>
    <cellStyle name="Percent 14 5 3 4 3 3" xfId="38857"/>
    <cellStyle name="Percent 14 5 3 4 3 3 2" xfId="38858"/>
    <cellStyle name="Percent 14 5 3 4 3 3 3" xfId="38859"/>
    <cellStyle name="Percent 14 5 3 4 3 4" xfId="38860"/>
    <cellStyle name="Percent 14 5 3 4 3 5" xfId="38861"/>
    <cellStyle name="Percent 14 5 3 4 4" xfId="38862"/>
    <cellStyle name="Percent 14 5 3 4 4 2" xfId="38863"/>
    <cellStyle name="Percent 14 5 3 4 4 3" xfId="38864"/>
    <cellStyle name="Percent 14 5 3 4 5" xfId="38865"/>
    <cellStyle name="Percent 14 5 3 4 5 2" xfId="38866"/>
    <cellStyle name="Percent 14 5 3 4 5 3" xfId="38867"/>
    <cellStyle name="Percent 14 5 3 4 6" xfId="38868"/>
    <cellStyle name="Percent 14 5 3 4 7" xfId="38869"/>
    <cellStyle name="Percent 14 5 3 5" xfId="38870"/>
    <cellStyle name="Percent 14 5 3 5 2" xfId="38871"/>
    <cellStyle name="Percent 14 5 3 5 2 2" xfId="38872"/>
    <cellStyle name="Percent 14 5 3 5 2 3" xfId="38873"/>
    <cellStyle name="Percent 14 5 3 5 3" xfId="38874"/>
    <cellStyle name="Percent 14 5 3 5 3 2" xfId="38875"/>
    <cellStyle name="Percent 14 5 3 5 3 3" xfId="38876"/>
    <cellStyle name="Percent 14 5 3 5 4" xfId="38877"/>
    <cellStyle name="Percent 14 5 3 5 5" xfId="38878"/>
    <cellStyle name="Percent 14 5 3 6" xfId="38879"/>
    <cellStyle name="Percent 14 5 3 6 2" xfId="38880"/>
    <cellStyle name="Percent 14 5 3 6 2 2" xfId="38881"/>
    <cellStyle name="Percent 14 5 3 6 2 3" xfId="38882"/>
    <cellStyle name="Percent 14 5 3 6 3" xfId="38883"/>
    <cellStyle name="Percent 14 5 3 6 3 2" xfId="38884"/>
    <cellStyle name="Percent 14 5 3 6 3 3" xfId="38885"/>
    <cellStyle name="Percent 14 5 3 6 4" xfId="38886"/>
    <cellStyle name="Percent 14 5 3 6 5" xfId="38887"/>
    <cellStyle name="Percent 14 5 3 7" xfId="38888"/>
    <cellStyle name="Percent 14 5 3 7 2" xfId="38889"/>
    <cellStyle name="Percent 14 5 3 7 3" xfId="38890"/>
    <cellStyle name="Percent 14 5 3 8" xfId="38891"/>
    <cellStyle name="Percent 14 5 3 8 2" xfId="38892"/>
    <cellStyle name="Percent 14 5 3 8 3" xfId="38893"/>
    <cellStyle name="Percent 14 5 3 9" xfId="38894"/>
    <cellStyle name="Percent 14 5 4" xfId="38895"/>
    <cellStyle name="Percent 14 5 4 2" xfId="38896"/>
    <cellStyle name="Percent 14 5 4 2 2" xfId="38897"/>
    <cellStyle name="Percent 14 5 4 2 2 2" xfId="38898"/>
    <cellStyle name="Percent 14 5 4 2 2 2 2" xfId="38899"/>
    <cellStyle name="Percent 14 5 4 2 2 2 3" xfId="38900"/>
    <cellStyle name="Percent 14 5 4 2 2 3" xfId="38901"/>
    <cellStyle name="Percent 14 5 4 2 2 3 2" xfId="38902"/>
    <cellStyle name="Percent 14 5 4 2 2 3 3" xfId="38903"/>
    <cellStyle name="Percent 14 5 4 2 2 4" xfId="38904"/>
    <cellStyle name="Percent 14 5 4 2 2 5" xfId="38905"/>
    <cellStyle name="Percent 14 5 4 2 3" xfId="38906"/>
    <cellStyle name="Percent 14 5 4 2 3 2" xfId="38907"/>
    <cellStyle name="Percent 14 5 4 2 3 2 2" xfId="38908"/>
    <cellStyle name="Percent 14 5 4 2 3 2 3" xfId="38909"/>
    <cellStyle name="Percent 14 5 4 2 3 3" xfId="38910"/>
    <cellStyle name="Percent 14 5 4 2 3 3 2" xfId="38911"/>
    <cellStyle name="Percent 14 5 4 2 3 3 3" xfId="38912"/>
    <cellStyle name="Percent 14 5 4 2 3 4" xfId="38913"/>
    <cellStyle name="Percent 14 5 4 2 3 5" xfId="38914"/>
    <cellStyle name="Percent 14 5 4 2 4" xfId="38915"/>
    <cellStyle name="Percent 14 5 4 2 4 2" xfId="38916"/>
    <cellStyle name="Percent 14 5 4 2 4 3" xfId="38917"/>
    <cellStyle name="Percent 14 5 4 2 5" xfId="38918"/>
    <cellStyle name="Percent 14 5 4 2 5 2" xfId="38919"/>
    <cellStyle name="Percent 14 5 4 2 5 3" xfId="38920"/>
    <cellStyle name="Percent 14 5 4 2 6" xfId="38921"/>
    <cellStyle name="Percent 14 5 4 2 7" xfId="38922"/>
    <cellStyle name="Percent 14 5 4 3" xfId="38923"/>
    <cellStyle name="Percent 14 5 4 3 2" xfId="38924"/>
    <cellStyle name="Percent 14 5 4 3 2 2" xfId="38925"/>
    <cellStyle name="Percent 14 5 4 3 2 2 2" xfId="38926"/>
    <cellStyle name="Percent 14 5 4 3 2 2 3" xfId="38927"/>
    <cellStyle name="Percent 14 5 4 3 2 3" xfId="38928"/>
    <cellStyle name="Percent 14 5 4 3 2 3 2" xfId="38929"/>
    <cellStyle name="Percent 14 5 4 3 2 3 3" xfId="38930"/>
    <cellStyle name="Percent 14 5 4 3 2 4" xfId="38931"/>
    <cellStyle name="Percent 14 5 4 3 2 5" xfId="38932"/>
    <cellStyle name="Percent 14 5 4 3 3" xfId="38933"/>
    <cellStyle name="Percent 14 5 4 3 3 2" xfId="38934"/>
    <cellStyle name="Percent 14 5 4 3 3 2 2" xfId="38935"/>
    <cellStyle name="Percent 14 5 4 3 3 2 3" xfId="38936"/>
    <cellStyle name="Percent 14 5 4 3 3 3" xfId="38937"/>
    <cellStyle name="Percent 14 5 4 3 3 3 2" xfId="38938"/>
    <cellStyle name="Percent 14 5 4 3 3 3 3" xfId="38939"/>
    <cellStyle name="Percent 14 5 4 3 3 4" xfId="38940"/>
    <cellStyle name="Percent 14 5 4 3 3 5" xfId="38941"/>
    <cellStyle name="Percent 14 5 4 3 4" xfId="38942"/>
    <cellStyle name="Percent 14 5 4 3 4 2" xfId="38943"/>
    <cellStyle name="Percent 14 5 4 3 4 3" xfId="38944"/>
    <cellStyle name="Percent 14 5 4 3 5" xfId="38945"/>
    <cellStyle name="Percent 14 5 4 3 5 2" xfId="38946"/>
    <cellStyle name="Percent 14 5 4 3 5 3" xfId="38947"/>
    <cellStyle name="Percent 14 5 4 3 6" xfId="38948"/>
    <cellStyle name="Percent 14 5 4 3 7" xfId="38949"/>
    <cellStyle name="Percent 14 5 4 4" xfId="38950"/>
    <cellStyle name="Percent 14 5 4 4 2" xfId="38951"/>
    <cellStyle name="Percent 14 5 4 4 2 2" xfId="38952"/>
    <cellStyle name="Percent 14 5 4 4 2 3" xfId="38953"/>
    <cellStyle name="Percent 14 5 4 4 3" xfId="38954"/>
    <cellStyle name="Percent 14 5 4 4 3 2" xfId="38955"/>
    <cellStyle name="Percent 14 5 4 4 3 3" xfId="38956"/>
    <cellStyle name="Percent 14 5 4 4 4" xfId="38957"/>
    <cellStyle name="Percent 14 5 4 4 5" xfId="38958"/>
    <cellStyle name="Percent 14 5 4 5" xfId="38959"/>
    <cellStyle name="Percent 14 5 4 5 2" xfId="38960"/>
    <cellStyle name="Percent 14 5 4 5 2 2" xfId="38961"/>
    <cellStyle name="Percent 14 5 4 5 2 3" xfId="38962"/>
    <cellStyle name="Percent 14 5 4 5 3" xfId="38963"/>
    <cellStyle name="Percent 14 5 4 5 3 2" xfId="38964"/>
    <cellStyle name="Percent 14 5 4 5 3 3" xfId="38965"/>
    <cellStyle name="Percent 14 5 4 5 4" xfId="38966"/>
    <cellStyle name="Percent 14 5 4 5 5" xfId="38967"/>
    <cellStyle name="Percent 14 5 4 6" xfId="38968"/>
    <cellStyle name="Percent 14 5 4 6 2" xfId="38969"/>
    <cellStyle name="Percent 14 5 4 6 3" xfId="38970"/>
    <cellStyle name="Percent 14 5 4 7" xfId="38971"/>
    <cellStyle name="Percent 14 5 4 7 2" xfId="38972"/>
    <cellStyle name="Percent 14 5 4 7 3" xfId="38973"/>
    <cellStyle name="Percent 14 5 4 8" xfId="38974"/>
    <cellStyle name="Percent 14 5 4 9" xfId="38975"/>
    <cellStyle name="Percent 14 5 5" xfId="38976"/>
    <cellStyle name="Percent 14 5 5 2" xfId="38977"/>
    <cellStyle name="Percent 14 5 5 2 2" xfId="38978"/>
    <cellStyle name="Percent 14 5 5 2 2 2" xfId="38979"/>
    <cellStyle name="Percent 14 5 5 2 2 3" xfId="38980"/>
    <cellStyle name="Percent 14 5 5 2 3" xfId="38981"/>
    <cellStyle name="Percent 14 5 5 2 3 2" xfId="38982"/>
    <cellStyle name="Percent 14 5 5 2 3 3" xfId="38983"/>
    <cellStyle name="Percent 14 5 5 2 4" xfId="38984"/>
    <cellStyle name="Percent 14 5 5 2 5" xfId="38985"/>
    <cellStyle name="Percent 14 5 5 3" xfId="38986"/>
    <cellStyle name="Percent 14 5 5 3 2" xfId="38987"/>
    <cellStyle name="Percent 14 5 5 3 2 2" xfId="38988"/>
    <cellStyle name="Percent 14 5 5 3 2 3" xfId="38989"/>
    <cellStyle name="Percent 14 5 5 3 3" xfId="38990"/>
    <cellStyle name="Percent 14 5 5 3 3 2" xfId="38991"/>
    <cellStyle name="Percent 14 5 5 3 3 3" xfId="38992"/>
    <cellStyle name="Percent 14 5 5 3 4" xfId="38993"/>
    <cellStyle name="Percent 14 5 5 3 5" xfId="38994"/>
    <cellStyle name="Percent 14 5 5 4" xfId="38995"/>
    <cellStyle name="Percent 14 5 5 4 2" xfId="38996"/>
    <cellStyle name="Percent 14 5 5 4 3" xfId="38997"/>
    <cellStyle name="Percent 14 5 5 5" xfId="38998"/>
    <cellStyle name="Percent 14 5 5 5 2" xfId="38999"/>
    <cellStyle name="Percent 14 5 5 5 3" xfId="39000"/>
    <cellStyle name="Percent 14 5 5 6" xfId="39001"/>
    <cellStyle name="Percent 14 5 5 7" xfId="39002"/>
    <cellStyle name="Percent 14 5 6" xfId="39003"/>
    <cellStyle name="Percent 14 5 6 2" xfId="39004"/>
    <cellStyle name="Percent 14 5 6 2 2" xfId="39005"/>
    <cellStyle name="Percent 14 5 6 2 2 2" xfId="39006"/>
    <cellStyle name="Percent 14 5 6 2 2 3" xfId="39007"/>
    <cellStyle name="Percent 14 5 6 2 3" xfId="39008"/>
    <cellStyle name="Percent 14 5 6 2 3 2" xfId="39009"/>
    <cellStyle name="Percent 14 5 6 2 3 3" xfId="39010"/>
    <cellStyle name="Percent 14 5 6 2 4" xfId="39011"/>
    <cellStyle name="Percent 14 5 6 2 5" xfId="39012"/>
    <cellStyle name="Percent 14 5 6 3" xfId="39013"/>
    <cellStyle name="Percent 14 5 6 3 2" xfId="39014"/>
    <cellStyle name="Percent 14 5 6 3 2 2" xfId="39015"/>
    <cellStyle name="Percent 14 5 6 3 2 3" xfId="39016"/>
    <cellStyle name="Percent 14 5 6 3 3" xfId="39017"/>
    <cellStyle name="Percent 14 5 6 3 3 2" xfId="39018"/>
    <cellStyle name="Percent 14 5 6 3 3 3" xfId="39019"/>
    <cellStyle name="Percent 14 5 6 3 4" xfId="39020"/>
    <cellStyle name="Percent 14 5 6 3 5" xfId="39021"/>
    <cellStyle name="Percent 14 5 6 4" xfId="39022"/>
    <cellStyle name="Percent 14 5 6 4 2" xfId="39023"/>
    <cellStyle name="Percent 14 5 6 4 3" xfId="39024"/>
    <cellStyle name="Percent 14 5 6 5" xfId="39025"/>
    <cellStyle name="Percent 14 5 6 5 2" xfId="39026"/>
    <cellStyle name="Percent 14 5 6 5 3" xfId="39027"/>
    <cellStyle name="Percent 14 5 6 6" xfId="39028"/>
    <cellStyle name="Percent 14 5 6 7" xfId="39029"/>
    <cellStyle name="Percent 14 5 7" xfId="39030"/>
    <cellStyle name="Percent 14 5 7 2" xfId="39031"/>
    <cellStyle name="Percent 14 5 7 2 2" xfId="39032"/>
    <cellStyle name="Percent 14 5 7 2 3" xfId="39033"/>
    <cellStyle name="Percent 14 5 7 3" xfId="39034"/>
    <cellStyle name="Percent 14 5 7 3 2" xfId="39035"/>
    <cellStyle name="Percent 14 5 7 3 3" xfId="39036"/>
    <cellStyle name="Percent 14 5 7 4" xfId="39037"/>
    <cellStyle name="Percent 14 5 7 5" xfId="39038"/>
    <cellStyle name="Percent 14 5 8" xfId="39039"/>
    <cellStyle name="Percent 14 5 8 2" xfId="39040"/>
    <cellStyle name="Percent 14 5 8 2 2" xfId="39041"/>
    <cellStyle name="Percent 14 5 8 2 3" xfId="39042"/>
    <cellStyle name="Percent 14 5 8 3" xfId="39043"/>
    <cellStyle name="Percent 14 5 8 3 2" xfId="39044"/>
    <cellStyle name="Percent 14 5 8 3 3" xfId="39045"/>
    <cellStyle name="Percent 14 5 8 4" xfId="39046"/>
    <cellStyle name="Percent 14 5 8 5" xfId="39047"/>
    <cellStyle name="Percent 14 5 9" xfId="39048"/>
    <cellStyle name="Percent 14 5 9 2" xfId="39049"/>
    <cellStyle name="Percent 14 5 9 3" xfId="39050"/>
    <cellStyle name="Percent 14 6" xfId="39051"/>
    <cellStyle name="Percent 14 6 10" xfId="39052"/>
    <cellStyle name="Percent 14 6 2" xfId="39053"/>
    <cellStyle name="Percent 14 6 2 2" xfId="39054"/>
    <cellStyle name="Percent 14 6 2 2 2" xfId="39055"/>
    <cellStyle name="Percent 14 6 2 2 2 2" xfId="39056"/>
    <cellStyle name="Percent 14 6 2 2 2 2 2" xfId="39057"/>
    <cellStyle name="Percent 14 6 2 2 2 2 3" xfId="39058"/>
    <cellStyle name="Percent 14 6 2 2 2 3" xfId="39059"/>
    <cellStyle name="Percent 14 6 2 2 2 3 2" xfId="39060"/>
    <cellStyle name="Percent 14 6 2 2 2 3 3" xfId="39061"/>
    <cellStyle name="Percent 14 6 2 2 2 4" xfId="39062"/>
    <cellStyle name="Percent 14 6 2 2 2 5" xfId="39063"/>
    <cellStyle name="Percent 14 6 2 2 3" xfId="39064"/>
    <cellStyle name="Percent 14 6 2 2 3 2" xfId="39065"/>
    <cellStyle name="Percent 14 6 2 2 3 2 2" xfId="39066"/>
    <cellStyle name="Percent 14 6 2 2 3 2 3" xfId="39067"/>
    <cellStyle name="Percent 14 6 2 2 3 3" xfId="39068"/>
    <cellStyle name="Percent 14 6 2 2 3 3 2" xfId="39069"/>
    <cellStyle name="Percent 14 6 2 2 3 3 3" xfId="39070"/>
    <cellStyle name="Percent 14 6 2 2 3 4" xfId="39071"/>
    <cellStyle name="Percent 14 6 2 2 3 5" xfId="39072"/>
    <cellStyle name="Percent 14 6 2 2 4" xfId="39073"/>
    <cellStyle name="Percent 14 6 2 2 4 2" xfId="39074"/>
    <cellStyle name="Percent 14 6 2 2 4 3" xfId="39075"/>
    <cellStyle name="Percent 14 6 2 2 5" xfId="39076"/>
    <cellStyle name="Percent 14 6 2 2 5 2" xfId="39077"/>
    <cellStyle name="Percent 14 6 2 2 5 3" xfId="39078"/>
    <cellStyle name="Percent 14 6 2 2 6" xfId="39079"/>
    <cellStyle name="Percent 14 6 2 2 7" xfId="39080"/>
    <cellStyle name="Percent 14 6 2 3" xfId="39081"/>
    <cellStyle name="Percent 14 6 2 3 2" xfId="39082"/>
    <cellStyle name="Percent 14 6 2 3 2 2" xfId="39083"/>
    <cellStyle name="Percent 14 6 2 3 2 2 2" xfId="39084"/>
    <cellStyle name="Percent 14 6 2 3 2 2 3" xfId="39085"/>
    <cellStyle name="Percent 14 6 2 3 2 3" xfId="39086"/>
    <cellStyle name="Percent 14 6 2 3 2 3 2" xfId="39087"/>
    <cellStyle name="Percent 14 6 2 3 2 3 3" xfId="39088"/>
    <cellStyle name="Percent 14 6 2 3 2 4" xfId="39089"/>
    <cellStyle name="Percent 14 6 2 3 2 5" xfId="39090"/>
    <cellStyle name="Percent 14 6 2 3 3" xfId="39091"/>
    <cellStyle name="Percent 14 6 2 3 3 2" xfId="39092"/>
    <cellStyle name="Percent 14 6 2 3 3 2 2" xfId="39093"/>
    <cellStyle name="Percent 14 6 2 3 3 2 3" xfId="39094"/>
    <cellStyle name="Percent 14 6 2 3 3 3" xfId="39095"/>
    <cellStyle name="Percent 14 6 2 3 3 3 2" xfId="39096"/>
    <cellStyle name="Percent 14 6 2 3 3 3 3" xfId="39097"/>
    <cellStyle name="Percent 14 6 2 3 3 4" xfId="39098"/>
    <cellStyle name="Percent 14 6 2 3 3 5" xfId="39099"/>
    <cellStyle name="Percent 14 6 2 3 4" xfId="39100"/>
    <cellStyle name="Percent 14 6 2 3 4 2" xfId="39101"/>
    <cellStyle name="Percent 14 6 2 3 4 3" xfId="39102"/>
    <cellStyle name="Percent 14 6 2 3 5" xfId="39103"/>
    <cellStyle name="Percent 14 6 2 3 5 2" xfId="39104"/>
    <cellStyle name="Percent 14 6 2 3 5 3" xfId="39105"/>
    <cellStyle name="Percent 14 6 2 3 6" xfId="39106"/>
    <cellStyle name="Percent 14 6 2 3 7" xfId="39107"/>
    <cellStyle name="Percent 14 6 2 4" xfId="39108"/>
    <cellStyle name="Percent 14 6 2 4 2" xfId="39109"/>
    <cellStyle name="Percent 14 6 2 4 2 2" xfId="39110"/>
    <cellStyle name="Percent 14 6 2 4 2 3" xfId="39111"/>
    <cellStyle name="Percent 14 6 2 4 3" xfId="39112"/>
    <cellStyle name="Percent 14 6 2 4 3 2" xfId="39113"/>
    <cellStyle name="Percent 14 6 2 4 3 3" xfId="39114"/>
    <cellStyle name="Percent 14 6 2 4 4" xfId="39115"/>
    <cellStyle name="Percent 14 6 2 4 5" xfId="39116"/>
    <cellStyle name="Percent 14 6 2 5" xfId="39117"/>
    <cellStyle name="Percent 14 6 2 5 2" xfId="39118"/>
    <cellStyle name="Percent 14 6 2 5 2 2" xfId="39119"/>
    <cellStyle name="Percent 14 6 2 5 2 3" xfId="39120"/>
    <cellStyle name="Percent 14 6 2 5 3" xfId="39121"/>
    <cellStyle name="Percent 14 6 2 5 3 2" xfId="39122"/>
    <cellStyle name="Percent 14 6 2 5 3 3" xfId="39123"/>
    <cellStyle name="Percent 14 6 2 5 4" xfId="39124"/>
    <cellStyle name="Percent 14 6 2 5 5" xfId="39125"/>
    <cellStyle name="Percent 14 6 2 6" xfId="39126"/>
    <cellStyle name="Percent 14 6 2 6 2" xfId="39127"/>
    <cellStyle name="Percent 14 6 2 6 3" xfId="39128"/>
    <cellStyle name="Percent 14 6 2 7" xfId="39129"/>
    <cellStyle name="Percent 14 6 2 7 2" xfId="39130"/>
    <cellStyle name="Percent 14 6 2 7 3" xfId="39131"/>
    <cellStyle name="Percent 14 6 2 8" xfId="39132"/>
    <cellStyle name="Percent 14 6 2 9" xfId="39133"/>
    <cellStyle name="Percent 14 6 3" xfId="39134"/>
    <cellStyle name="Percent 14 6 3 2" xfId="39135"/>
    <cellStyle name="Percent 14 6 3 2 2" xfId="39136"/>
    <cellStyle name="Percent 14 6 3 2 2 2" xfId="39137"/>
    <cellStyle name="Percent 14 6 3 2 2 3" xfId="39138"/>
    <cellStyle name="Percent 14 6 3 2 3" xfId="39139"/>
    <cellStyle name="Percent 14 6 3 2 3 2" xfId="39140"/>
    <cellStyle name="Percent 14 6 3 2 3 3" xfId="39141"/>
    <cellStyle name="Percent 14 6 3 2 4" xfId="39142"/>
    <cellStyle name="Percent 14 6 3 2 5" xfId="39143"/>
    <cellStyle name="Percent 14 6 3 3" xfId="39144"/>
    <cellStyle name="Percent 14 6 3 3 2" xfId="39145"/>
    <cellStyle name="Percent 14 6 3 3 2 2" xfId="39146"/>
    <cellStyle name="Percent 14 6 3 3 2 3" xfId="39147"/>
    <cellStyle name="Percent 14 6 3 3 3" xfId="39148"/>
    <cellStyle name="Percent 14 6 3 3 3 2" xfId="39149"/>
    <cellStyle name="Percent 14 6 3 3 3 3" xfId="39150"/>
    <cellStyle name="Percent 14 6 3 3 4" xfId="39151"/>
    <cellStyle name="Percent 14 6 3 3 5" xfId="39152"/>
    <cellStyle name="Percent 14 6 3 4" xfId="39153"/>
    <cellStyle name="Percent 14 6 3 4 2" xfId="39154"/>
    <cellStyle name="Percent 14 6 3 4 3" xfId="39155"/>
    <cellStyle name="Percent 14 6 3 5" xfId="39156"/>
    <cellStyle name="Percent 14 6 3 5 2" xfId="39157"/>
    <cellStyle name="Percent 14 6 3 5 3" xfId="39158"/>
    <cellStyle name="Percent 14 6 3 6" xfId="39159"/>
    <cellStyle name="Percent 14 6 3 7" xfId="39160"/>
    <cellStyle name="Percent 14 6 4" xfId="39161"/>
    <cellStyle name="Percent 14 6 4 2" xfId="39162"/>
    <cellStyle name="Percent 14 6 4 2 2" xfId="39163"/>
    <cellStyle name="Percent 14 6 4 2 2 2" xfId="39164"/>
    <cellStyle name="Percent 14 6 4 2 2 3" xfId="39165"/>
    <cellStyle name="Percent 14 6 4 2 3" xfId="39166"/>
    <cellStyle name="Percent 14 6 4 2 3 2" xfId="39167"/>
    <cellStyle name="Percent 14 6 4 2 3 3" xfId="39168"/>
    <cellStyle name="Percent 14 6 4 2 4" xfId="39169"/>
    <cellStyle name="Percent 14 6 4 2 5" xfId="39170"/>
    <cellStyle name="Percent 14 6 4 3" xfId="39171"/>
    <cellStyle name="Percent 14 6 4 3 2" xfId="39172"/>
    <cellStyle name="Percent 14 6 4 3 2 2" xfId="39173"/>
    <cellStyle name="Percent 14 6 4 3 2 3" xfId="39174"/>
    <cellStyle name="Percent 14 6 4 3 3" xfId="39175"/>
    <cellStyle name="Percent 14 6 4 3 3 2" xfId="39176"/>
    <cellStyle name="Percent 14 6 4 3 3 3" xfId="39177"/>
    <cellStyle name="Percent 14 6 4 3 4" xfId="39178"/>
    <cellStyle name="Percent 14 6 4 3 5" xfId="39179"/>
    <cellStyle name="Percent 14 6 4 4" xfId="39180"/>
    <cellStyle name="Percent 14 6 4 4 2" xfId="39181"/>
    <cellStyle name="Percent 14 6 4 4 3" xfId="39182"/>
    <cellStyle name="Percent 14 6 4 5" xfId="39183"/>
    <cellStyle name="Percent 14 6 4 5 2" xfId="39184"/>
    <cellStyle name="Percent 14 6 4 5 3" xfId="39185"/>
    <cellStyle name="Percent 14 6 4 6" xfId="39186"/>
    <cellStyle name="Percent 14 6 4 7" xfId="39187"/>
    <cellStyle name="Percent 14 6 5" xfId="39188"/>
    <cellStyle name="Percent 14 6 5 2" xfId="39189"/>
    <cellStyle name="Percent 14 6 5 2 2" xfId="39190"/>
    <cellStyle name="Percent 14 6 5 2 3" xfId="39191"/>
    <cellStyle name="Percent 14 6 5 3" xfId="39192"/>
    <cellStyle name="Percent 14 6 5 3 2" xfId="39193"/>
    <cellStyle name="Percent 14 6 5 3 3" xfId="39194"/>
    <cellStyle name="Percent 14 6 5 4" xfId="39195"/>
    <cellStyle name="Percent 14 6 5 5" xfId="39196"/>
    <cellStyle name="Percent 14 6 6" xfId="39197"/>
    <cellStyle name="Percent 14 6 6 2" xfId="39198"/>
    <cellStyle name="Percent 14 6 6 2 2" xfId="39199"/>
    <cellStyle name="Percent 14 6 6 2 3" xfId="39200"/>
    <cellStyle name="Percent 14 6 6 3" xfId="39201"/>
    <cellStyle name="Percent 14 6 6 3 2" xfId="39202"/>
    <cellStyle name="Percent 14 6 6 3 3" xfId="39203"/>
    <cellStyle name="Percent 14 6 6 4" xfId="39204"/>
    <cellStyle name="Percent 14 6 6 5" xfId="39205"/>
    <cellStyle name="Percent 14 6 7" xfId="39206"/>
    <cellStyle name="Percent 14 6 7 2" xfId="39207"/>
    <cellStyle name="Percent 14 6 7 3" xfId="39208"/>
    <cellStyle name="Percent 14 6 8" xfId="39209"/>
    <cellStyle name="Percent 14 6 8 2" xfId="39210"/>
    <cellStyle name="Percent 14 6 8 3" xfId="39211"/>
    <cellStyle name="Percent 14 6 9" xfId="39212"/>
    <cellStyle name="Percent 14 7" xfId="39213"/>
    <cellStyle name="Percent 14 7 2" xfId="39214"/>
    <cellStyle name="Percent 14 7 2 2" xfId="39215"/>
    <cellStyle name="Percent 14 7 2 2 2" xfId="39216"/>
    <cellStyle name="Percent 14 7 2 2 2 2" xfId="39217"/>
    <cellStyle name="Percent 14 7 2 2 2 3" xfId="39218"/>
    <cellStyle name="Percent 14 7 2 2 3" xfId="39219"/>
    <cellStyle name="Percent 14 7 2 2 3 2" xfId="39220"/>
    <cellStyle name="Percent 14 7 2 2 3 3" xfId="39221"/>
    <cellStyle name="Percent 14 7 2 2 4" xfId="39222"/>
    <cellStyle name="Percent 14 7 2 2 5" xfId="39223"/>
    <cellStyle name="Percent 14 7 2 3" xfId="39224"/>
    <cellStyle name="Percent 14 7 2 3 2" xfId="39225"/>
    <cellStyle name="Percent 14 7 2 3 2 2" xfId="39226"/>
    <cellStyle name="Percent 14 7 2 3 2 3" xfId="39227"/>
    <cellStyle name="Percent 14 7 2 3 3" xfId="39228"/>
    <cellStyle name="Percent 14 7 2 3 3 2" xfId="39229"/>
    <cellStyle name="Percent 14 7 2 3 3 3" xfId="39230"/>
    <cellStyle name="Percent 14 7 2 3 4" xfId="39231"/>
    <cellStyle name="Percent 14 7 2 3 5" xfId="39232"/>
    <cellStyle name="Percent 14 7 2 4" xfId="39233"/>
    <cellStyle name="Percent 14 7 2 4 2" xfId="39234"/>
    <cellStyle name="Percent 14 7 2 4 3" xfId="39235"/>
    <cellStyle name="Percent 14 7 2 5" xfId="39236"/>
    <cellStyle name="Percent 14 7 2 5 2" xfId="39237"/>
    <cellStyle name="Percent 14 7 2 5 3" xfId="39238"/>
    <cellStyle name="Percent 14 7 2 6" xfId="39239"/>
    <cellStyle name="Percent 14 7 2 7" xfId="39240"/>
    <cellStyle name="Percent 14 7 3" xfId="39241"/>
    <cellStyle name="Percent 14 7 3 2" xfId="39242"/>
    <cellStyle name="Percent 14 7 3 2 2" xfId="39243"/>
    <cellStyle name="Percent 14 7 3 2 2 2" xfId="39244"/>
    <cellStyle name="Percent 14 7 3 2 2 3" xfId="39245"/>
    <cellStyle name="Percent 14 7 3 2 3" xfId="39246"/>
    <cellStyle name="Percent 14 7 3 2 3 2" xfId="39247"/>
    <cellStyle name="Percent 14 7 3 2 3 3" xfId="39248"/>
    <cellStyle name="Percent 14 7 3 2 4" xfId="39249"/>
    <cellStyle name="Percent 14 7 3 2 5" xfId="39250"/>
    <cellStyle name="Percent 14 7 3 3" xfId="39251"/>
    <cellStyle name="Percent 14 7 3 3 2" xfId="39252"/>
    <cellStyle name="Percent 14 7 3 3 2 2" xfId="39253"/>
    <cellStyle name="Percent 14 7 3 3 2 3" xfId="39254"/>
    <cellStyle name="Percent 14 7 3 3 3" xfId="39255"/>
    <cellStyle name="Percent 14 7 3 3 3 2" xfId="39256"/>
    <cellStyle name="Percent 14 7 3 3 3 3" xfId="39257"/>
    <cellStyle name="Percent 14 7 3 3 4" xfId="39258"/>
    <cellStyle name="Percent 14 7 3 3 5" xfId="39259"/>
    <cellStyle name="Percent 14 7 3 4" xfId="39260"/>
    <cellStyle name="Percent 14 7 3 4 2" xfId="39261"/>
    <cellStyle name="Percent 14 7 3 4 3" xfId="39262"/>
    <cellStyle name="Percent 14 7 3 5" xfId="39263"/>
    <cellStyle name="Percent 14 7 3 5 2" xfId="39264"/>
    <cellStyle name="Percent 14 7 3 5 3" xfId="39265"/>
    <cellStyle name="Percent 14 7 3 6" xfId="39266"/>
    <cellStyle name="Percent 14 7 3 7" xfId="39267"/>
    <cellStyle name="Percent 14 7 4" xfId="39268"/>
    <cellStyle name="Percent 14 7 4 2" xfId="39269"/>
    <cellStyle name="Percent 14 7 4 2 2" xfId="39270"/>
    <cellStyle name="Percent 14 7 4 2 3" xfId="39271"/>
    <cellStyle name="Percent 14 7 4 3" xfId="39272"/>
    <cellStyle name="Percent 14 7 4 3 2" xfId="39273"/>
    <cellStyle name="Percent 14 7 4 3 3" xfId="39274"/>
    <cellStyle name="Percent 14 7 4 4" xfId="39275"/>
    <cellStyle name="Percent 14 7 4 5" xfId="39276"/>
    <cellStyle name="Percent 14 7 5" xfId="39277"/>
    <cellStyle name="Percent 14 7 5 2" xfId="39278"/>
    <cellStyle name="Percent 14 7 5 2 2" xfId="39279"/>
    <cellStyle name="Percent 14 7 5 2 3" xfId="39280"/>
    <cellStyle name="Percent 14 7 5 3" xfId="39281"/>
    <cellStyle name="Percent 14 7 5 3 2" xfId="39282"/>
    <cellStyle name="Percent 14 7 5 3 3" xfId="39283"/>
    <cellStyle name="Percent 14 7 5 4" xfId="39284"/>
    <cellStyle name="Percent 14 7 5 5" xfId="39285"/>
    <cellStyle name="Percent 14 7 6" xfId="39286"/>
    <cellStyle name="Percent 14 7 6 2" xfId="39287"/>
    <cellStyle name="Percent 14 7 6 3" xfId="39288"/>
    <cellStyle name="Percent 14 7 7" xfId="39289"/>
    <cellStyle name="Percent 14 7 7 2" xfId="39290"/>
    <cellStyle name="Percent 14 7 7 3" xfId="39291"/>
    <cellStyle name="Percent 14 7 8" xfId="39292"/>
    <cellStyle name="Percent 14 7 9" xfId="39293"/>
    <cellStyle name="Percent 15" xfId="39294"/>
    <cellStyle name="Percent 15 2" xfId="39295"/>
    <cellStyle name="Percent 15 2 2" xfId="39296"/>
    <cellStyle name="Percent 15 3" xfId="39297"/>
    <cellStyle name="Percent 15 3 2" xfId="39298"/>
    <cellStyle name="Percent 15 4" xfId="39299"/>
    <cellStyle name="Percent 16" xfId="39300"/>
    <cellStyle name="Percent 16 2" xfId="39301"/>
    <cellStyle name="Percent 16 2 2" xfId="39302"/>
    <cellStyle name="Percent 16 3" xfId="39303"/>
    <cellStyle name="Percent 16 3 2" xfId="39304"/>
    <cellStyle name="Percent 16 4" xfId="39305"/>
    <cellStyle name="Percent 17" xfId="39306"/>
    <cellStyle name="Percent 17 2" xfId="43113"/>
    <cellStyle name="Percent 17 3" xfId="43112"/>
    <cellStyle name="Percent 18" xfId="39307"/>
    <cellStyle name="Percent 18 2" xfId="39308"/>
    <cellStyle name="Percent 18 2 2" xfId="39309"/>
    <cellStyle name="Percent 18 2 3" xfId="43115"/>
    <cellStyle name="Percent 18 3" xfId="39310"/>
    <cellStyle name="Percent 18 4" xfId="43114"/>
    <cellStyle name="Percent 19" xfId="39311"/>
    <cellStyle name="Percent 19 2" xfId="39312"/>
    <cellStyle name="Percent 19 2 2" xfId="39313"/>
    <cellStyle name="Percent 19 2 3" xfId="43117"/>
    <cellStyle name="Percent 19 3" xfId="39314"/>
    <cellStyle name="Percent 19 4" xfId="43116"/>
    <cellStyle name="Percent 2" xfId="39315"/>
    <cellStyle name="Percent 2 2" xfId="39316"/>
    <cellStyle name="Percent 2 2 10" xfId="39317"/>
    <cellStyle name="Percent 2 2 11" xfId="39318"/>
    <cellStyle name="Percent 2 2 2" xfId="39319"/>
    <cellStyle name="Percent 2 2 2 2" xfId="39320"/>
    <cellStyle name="Percent 2 2 2 3" xfId="39321"/>
    <cellStyle name="Percent 2 2 2 4" xfId="39322"/>
    <cellStyle name="Percent 2 2 2 5" xfId="39323"/>
    <cellStyle name="Percent 2 2 2 6" xfId="39324"/>
    <cellStyle name="Percent 2 2 2 7" xfId="39325"/>
    <cellStyle name="Percent 2 2 2 8" xfId="39326"/>
    <cellStyle name="Percent 2 2 2 9" xfId="39327"/>
    <cellStyle name="Percent 2 2 3" xfId="39328"/>
    <cellStyle name="Percent 2 2 4" xfId="39329"/>
    <cellStyle name="Percent 2 2 5" xfId="39330"/>
    <cellStyle name="Percent 2 2 6" xfId="39331"/>
    <cellStyle name="Percent 2 2 7" xfId="39332"/>
    <cellStyle name="Percent 2 2 8" xfId="39333"/>
    <cellStyle name="Percent 2 2 9" xfId="39334"/>
    <cellStyle name="Percent 2 3" xfId="39335"/>
    <cellStyle name="Percent 2 3 2" xfId="39336"/>
    <cellStyle name="Percent 2 3 2 2" xfId="43121"/>
    <cellStyle name="Percent 2 3 3" xfId="43120"/>
    <cellStyle name="Percent 2 4" xfId="39337"/>
    <cellStyle name="Percent 2 4 2" xfId="43122"/>
    <cellStyle name="Percent 2 5" xfId="39338"/>
    <cellStyle name="Percent 2 6" xfId="39339"/>
    <cellStyle name="Percent 2 7" xfId="39340"/>
    <cellStyle name="Percent 2 7 2" xfId="39341"/>
    <cellStyle name="Percent 2 8" xfId="43118"/>
    <cellStyle name="Percent 20" xfId="39342"/>
    <cellStyle name="Percent 20 2" xfId="39343"/>
    <cellStyle name="Percent 20 2 2" xfId="39344"/>
    <cellStyle name="Percent 20 3" xfId="39345"/>
    <cellStyle name="Percent 21" xfId="39346"/>
    <cellStyle name="Percent 21 2" xfId="39347"/>
    <cellStyle name="Percent 21 2 2" xfId="39348"/>
    <cellStyle name="Percent 21 3" xfId="39349"/>
    <cellStyle name="Percent 22" xfId="39350"/>
    <cellStyle name="Percent 22 2" xfId="39351"/>
    <cellStyle name="Percent 22 3" xfId="43125"/>
    <cellStyle name="Percent 23" xfId="39352"/>
    <cellStyle name="Percent 23 2" xfId="39353"/>
    <cellStyle name="Percent 23 2 2" xfId="39354"/>
    <cellStyle name="Percent 23 3" xfId="39355"/>
    <cellStyle name="Percent 24" xfId="39356"/>
    <cellStyle name="Percent 24 2" xfId="39357"/>
    <cellStyle name="Percent 25" xfId="39358"/>
    <cellStyle name="Percent 25 2" xfId="39359"/>
    <cellStyle name="Percent 26" xfId="39360"/>
    <cellStyle name="Percent 26 2" xfId="39361"/>
    <cellStyle name="Percent 27" xfId="39362"/>
    <cellStyle name="Percent 28" xfId="39363"/>
    <cellStyle name="Percent 28 10" xfId="39364"/>
    <cellStyle name="Percent 28 11" xfId="39365"/>
    <cellStyle name="Percent 28 2" xfId="39366"/>
    <cellStyle name="Percent 28 2 2" xfId="39367"/>
    <cellStyle name="Percent 28 2 2 2" xfId="39368"/>
    <cellStyle name="Percent 28 2 2 2 2" xfId="39369"/>
    <cellStyle name="Percent 28 2 2 2 2 2" xfId="39370"/>
    <cellStyle name="Percent 28 2 2 2 2 3" xfId="39371"/>
    <cellStyle name="Percent 28 2 2 2 3" xfId="39372"/>
    <cellStyle name="Percent 28 2 2 2 3 2" xfId="39373"/>
    <cellStyle name="Percent 28 2 2 2 3 3" xfId="39374"/>
    <cellStyle name="Percent 28 2 2 2 4" xfId="39375"/>
    <cellStyle name="Percent 28 2 2 2 5" xfId="39376"/>
    <cellStyle name="Percent 28 2 2 3" xfId="39377"/>
    <cellStyle name="Percent 28 2 2 3 2" xfId="39378"/>
    <cellStyle name="Percent 28 2 2 3 2 2" xfId="39379"/>
    <cellStyle name="Percent 28 2 2 3 2 3" xfId="39380"/>
    <cellStyle name="Percent 28 2 2 3 3" xfId="39381"/>
    <cellStyle name="Percent 28 2 2 3 3 2" xfId="39382"/>
    <cellStyle name="Percent 28 2 2 3 3 3" xfId="39383"/>
    <cellStyle name="Percent 28 2 2 3 4" xfId="39384"/>
    <cellStyle name="Percent 28 2 2 3 5" xfId="39385"/>
    <cellStyle name="Percent 28 2 2 4" xfId="39386"/>
    <cellStyle name="Percent 28 2 2 4 2" xfId="39387"/>
    <cellStyle name="Percent 28 2 2 4 3" xfId="39388"/>
    <cellStyle name="Percent 28 2 2 5" xfId="39389"/>
    <cellStyle name="Percent 28 2 2 5 2" xfId="39390"/>
    <cellStyle name="Percent 28 2 2 5 3" xfId="39391"/>
    <cellStyle name="Percent 28 2 2 6" xfId="39392"/>
    <cellStyle name="Percent 28 2 2 7" xfId="39393"/>
    <cellStyle name="Percent 28 2 3" xfId="39394"/>
    <cellStyle name="Percent 28 2 3 2" xfId="39395"/>
    <cellStyle name="Percent 28 2 3 2 2" xfId="39396"/>
    <cellStyle name="Percent 28 2 3 2 2 2" xfId="39397"/>
    <cellStyle name="Percent 28 2 3 2 2 3" xfId="39398"/>
    <cellStyle name="Percent 28 2 3 2 3" xfId="39399"/>
    <cellStyle name="Percent 28 2 3 2 3 2" xfId="39400"/>
    <cellStyle name="Percent 28 2 3 2 3 3" xfId="39401"/>
    <cellStyle name="Percent 28 2 3 2 4" xfId="39402"/>
    <cellStyle name="Percent 28 2 3 2 5" xfId="39403"/>
    <cellStyle name="Percent 28 2 3 3" xfId="39404"/>
    <cellStyle name="Percent 28 2 3 3 2" xfId="39405"/>
    <cellStyle name="Percent 28 2 3 3 2 2" xfId="39406"/>
    <cellStyle name="Percent 28 2 3 3 2 3" xfId="39407"/>
    <cellStyle name="Percent 28 2 3 3 3" xfId="39408"/>
    <cellStyle name="Percent 28 2 3 3 3 2" xfId="39409"/>
    <cellStyle name="Percent 28 2 3 3 3 3" xfId="39410"/>
    <cellStyle name="Percent 28 2 3 3 4" xfId="39411"/>
    <cellStyle name="Percent 28 2 3 3 5" xfId="39412"/>
    <cellStyle name="Percent 28 2 3 4" xfId="39413"/>
    <cellStyle name="Percent 28 2 3 4 2" xfId="39414"/>
    <cellStyle name="Percent 28 2 3 4 3" xfId="39415"/>
    <cellStyle name="Percent 28 2 3 5" xfId="39416"/>
    <cellStyle name="Percent 28 2 3 5 2" xfId="39417"/>
    <cellStyle name="Percent 28 2 3 5 3" xfId="39418"/>
    <cellStyle name="Percent 28 2 3 6" xfId="39419"/>
    <cellStyle name="Percent 28 2 3 7" xfId="39420"/>
    <cellStyle name="Percent 28 2 4" xfId="39421"/>
    <cellStyle name="Percent 28 2 4 2" xfId="39422"/>
    <cellStyle name="Percent 28 2 4 2 2" xfId="39423"/>
    <cellStyle name="Percent 28 2 4 2 3" xfId="39424"/>
    <cellStyle name="Percent 28 2 4 3" xfId="39425"/>
    <cellStyle name="Percent 28 2 4 3 2" xfId="39426"/>
    <cellStyle name="Percent 28 2 4 3 3" xfId="39427"/>
    <cellStyle name="Percent 28 2 4 4" xfId="39428"/>
    <cellStyle name="Percent 28 2 4 5" xfId="39429"/>
    <cellStyle name="Percent 28 2 5" xfId="39430"/>
    <cellStyle name="Percent 28 2 5 2" xfId="39431"/>
    <cellStyle name="Percent 28 2 5 2 2" xfId="39432"/>
    <cellStyle name="Percent 28 2 5 2 3" xfId="39433"/>
    <cellStyle name="Percent 28 2 5 3" xfId="39434"/>
    <cellStyle name="Percent 28 2 5 3 2" xfId="39435"/>
    <cellStyle name="Percent 28 2 5 3 3" xfId="39436"/>
    <cellStyle name="Percent 28 2 5 4" xfId="39437"/>
    <cellStyle name="Percent 28 2 5 5" xfId="39438"/>
    <cellStyle name="Percent 28 2 6" xfId="39439"/>
    <cellStyle name="Percent 28 2 6 2" xfId="39440"/>
    <cellStyle name="Percent 28 2 6 3" xfId="39441"/>
    <cellStyle name="Percent 28 2 7" xfId="39442"/>
    <cellStyle name="Percent 28 2 7 2" xfId="39443"/>
    <cellStyle name="Percent 28 2 7 3" xfId="39444"/>
    <cellStyle name="Percent 28 2 8" xfId="39445"/>
    <cellStyle name="Percent 28 2 9" xfId="39446"/>
    <cellStyle name="Percent 28 3" xfId="39447"/>
    <cellStyle name="Percent 28 3 2" xfId="39448"/>
    <cellStyle name="Percent 28 3 2 2" xfId="39449"/>
    <cellStyle name="Percent 28 3 2 2 2" xfId="39450"/>
    <cellStyle name="Percent 28 3 2 2 2 2" xfId="39451"/>
    <cellStyle name="Percent 28 3 2 2 2 3" xfId="39452"/>
    <cellStyle name="Percent 28 3 2 2 3" xfId="39453"/>
    <cellStyle name="Percent 28 3 2 2 3 2" xfId="39454"/>
    <cellStyle name="Percent 28 3 2 2 3 3" xfId="39455"/>
    <cellStyle name="Percent 28 3 2 2 4" xfId="39456"/>
    <cellStyle name="Percent 28 3 2 2 5" xfId="39457"/>
    <cellStyle name="Percent 28 3 2 3" xfId="39458"/>
    <cellStyle name="Percent 28 3 2 3 2" xfId="39459"/>
    <cellStyle name="Percent 28 3 2 3 2 2" xfId="39460"/>
    <cellStyle name="Percent 28 3 2 3 2 3" xfId="39461"/>
    <cellStyle name="Percent 28 3 2 3 3" xfId="39462"/>
    <cellStyle name="Percent 28 3 2 3 3 2" xfId="39463"/>
    <cellStyle name="Percent 28 3 2 3 3 3" xfId="39464"/>
    <cellStyle name="Percent 28 3 2 3 4" xfId="39465"/>
    <cellStyle name="Percent 28 3 2 3 5" xfId="39466"/>
    <cellStyle name="Percent 28 3 2 4" xfId="39467"/>
    <cellStyle name="Percent 28 3 2 4 2" xfId="39468"/>
    <cellStyle name="Percent 28 3 2 4 3" xfId="39469"/>
    <cellStyle name="Percent 28 3 2 5" xfId="39470"/>
    <cellStyle name="Percent 28 3 2 5 2" xfId="39471"/>
    <cellStyle name="Percent 28 3 2 5 3" xfId="39472"/>
    <cellStyle name="Percent 28 3 2 6" xfId="39473"/>
    <cellStyle name="Percent 28 3 2 7" xfId="39474"/>
    <cellStyle name="Percent 28 3 3" xfId="39475"/>
    <cellStyle name="Percent 28 3 3 2" xfId="39476"/>
    <cellStyle name="Percent 28 3 3 2 2" xfId="39477"/>
    <cellStyle name="Percent 28 3 3 2 2 2" xfId="39478"/>
    <cellStyle name="Percent 28 3 3 2 2 3" xfId="39479"/>
    <cellStyle name="Percent 28 3 3 2 3" xfId="39480"/>
    <cellStyle name="Percent 28 3 3 2 3 2" xfId="39481"/>
    <cellStyle name="Percent 28 3 3 2 3 3" xfId="39482"/>
    <cellStyle name="Percent 28 3 3 2 4" xfId="39483"/>
    <cellStyle name="Percent 28 3 3 2 5" xfId="39484"/>
    <cellStyle name="Percent 28 3 3 3" xfId="39485"/>
    <cellStyle name="Percent 28 3 3 3 2" xfId="39486"/>
    <cellStyle name="Percent 28 3 3 3 2 2" xfId="39487"/>
    <cellStyle name="Percent 28 3 3 3 2 3" xfId="39488"/>
    <cellStyle name="Percent 28 3 3 3 3" xfId="39489"/>
    <cellStyle name="Percent 28 3 3 3 3 2" xfId="39490"/>
    <cellStyle name="Percent 28 3 3 3 3 3" xfId="39491"/>
    <cellStyle name="Percent 28 3 3 3 4" xfId="39492"/>
    <cellStyle name="Percent 28 3 3 3 5" xfId="39493"/>
    <cellStyle name="Percent 28 3 3 4" xfId="39494"/>
    <cellStyle name="Percent 28 3 3 4 2" xfId="39495"/>
    <cellStyle name="Percent 28 3 3 4 3" xfId="39496"/>
    <cellStyle name="Percent 28 3 3 5" xfId="39497"/>
    <cellStyle name="Percent 28 3 3 5 2" xfId="39498"/>
    <cellStyle name="Percent 28 3 3 5 3" xfId="39499"/>
    <cellStyle name="Percent 28 3 3 6" xfId="39500"/>
    <cellStyle name="Percent 28 3 3 7" xfId="39501"/>
    <cellStyle name="Percent 28 3 4" xfId="39502"/>
    <cellStyle name="Percent 28 3 4 2" xfId="39503"/>
    <cellStyle name="Percent 28 3 4 2 2" xfId="39504"/>
    <cellStyle name="Percent 28 3 4 2 3" xfId="39505"/>
    <cellStyle name="Percent 28 3 4 3" xfId="39506"/>
    <cellStyle name="Percent 28 3 4 3 2" xfId="39507"/>
    <cellStyle name="Percent 28 3 4 3 3" xfId="39508"/>
    <cellStyle name="Percent 28 3 4 4" xfId="39509"/>
    <cellStyle name="Percent 28 3 4 5" xfId="39510"/>
    <cellStyle name="Percent 28 3 5" xfId="39511"/>
    <cellStyle name="Percent 28 3 5 2" xfId="39512"/>
    <cellStyle name="Percent 28 3 5 2 2" xfId="39513"/>
    <cellStyle name="Percent 28 3 5 2 3" xfId="39514"/>
    <cellStyle name="Percent 28 3 5 3" xfId="39515"/>
    <cellStyle name="Percent 28 3 5 3 2" xfId="39516"/>
    <cellStyle name="Percent 28 3 5 3 3" xfId="39517"/>
    <cellStyle name="Percent 28 3 5 4" xfId="39518"/>
    <cellStyle name="Percent 28 3 5 5" xfId="39519"/>
    <cellStyle name="Percent 28 3 6" xfId="39520"/>
    <cellStyle name="Percent 28 3 6 2" xfId="39521"/>
    <cellStyle name="Percent 28 3 6 3" xfId="39522"/>
    <cellStyle name="Percent 28 3 7" xfId="39523"/>
    <cellStyle name="Percent 28 3 7 2" xfId="39524"/>
    <cellStyle name="Percent 28 3 7 3" xfId="39525"/>
    <cellStyle name="Percent 28 3 8" xfId="39526"/>
    <cellStyle name="Percent 28 3 9" xfId="39527"/>
    <cellStyle name="Percent 28 4" xfId="39528"/>
    <cellStyle name="Percent 28 4 2" xfId="39529"/>
    <cellStyle name="Percent 28 4 2 2" xfId="39530"/>
    <cellStyle name="Percent 28 4 2 2 2" xfId="39531"/>
    <cellStyle name="Percent 28 4 2 2 3" xfId="39532"/>
    <cellStyle name="Percent 28 4 2 3" xfId="39533"/>
    <cellStyle name="Percent 28 4 2 3 2" xfId="39534"/>
    <cellStyle name="Percent 28 4 2 3 3" xfId="39535"/>
    <cellStyle name="Percent 28 4 2 4" xfId="39536"/>
    <cellStyle name="Percent 28 4 2 5" xfId="39537"/>
    <cellStyle name="Percent 28 4 3" xfId="39538"/>
    <cellStyle name="Percent 28 4 3 2" xfId="39539"/>
    <cellStyle name="Percent 28 4 3 2 2" xfId="39540"/>
    <cellStyle name="Percent 28 4 3 2 3" xfId="39541"/>
    <cellStyle name="Percent 28 4 3 3" xfId="39542"/>
    <cellStyle name="Percent 28 4 3 3 2" xfId="39543"/>
    <cellStyle name="Percent 28 4 3 3 3" xfId="39544"/>
    <cellStyle name="Percent 28 4 3 4" xfId="39545"/>
    <cellStyle name="Percent 28 4 3 5" xfId="39546"/>
    <cellStyle name="Percent 28 4 4" xfId="39547"/>
    <cellStyle name="Percent 28 4 4 2" xfId="39548"/>
    <cellStyle name="Percent 28 4 4 3" xfId="39549"/>
    <cellStyle name="Percent 28 4 5" xfId="39550"/>
    <cellStyle name="Percent 28 4 5 2" xfId="39551"/>
    <cellStyle name="Percent 28 4 5 3" xfId="39552"/>
    <cellStyle name="Percent 28 4 6" xfId="39553"/>
    <cellStyle name="Percent 28 4 7" xfId="39554"/>
    <cellStyle name="Percent 28 5" xfId="39555"/>
    <cellStyle name="Percent 28 5 2" xfId="39556"/>
    <cellStyle name="Percent 28 5 2 2" xfId="39557"/>
    <cellStyle name="Percent 28 5 2 2 2" xfId="39558"/>
    <cellStyle name="Percent 28 5 2 2 3" xfId="39559"/>
    <cellStyle name="Percent 28 5 2 3" xfId="39560"/>
    <cellStyle name="Percent 28 5 2 3 2" xfId="39561"/>
    <cellStyle name="Percent 28 5 2 3 3" xfId="39562"/>
    <cellStyle name="Percent 28 5 2 4" xfId="39563"/>
    <cellStyle name="Percent 28 5 2 5" xfId="39564"/>
    <cellStyle name="Percent 28 5 3" xfId="39565"/>
    <cellStyle name="Percent 28 5 3 2" xfId="39566"/>
    <cellStyle name="Percent 28 5 3 2 2" xfId="39567"/>
    <cellStyle name="Percent 28 5 3 2 3" xfId="39568"/>
    <cellStyle name="Percent 28 5 3 3" xfId="39569"/>
    <cellStyle name="Percent 28 5 3 3 2" xfId="39570"/>
    <cellStyle name="Percent 28 5 3 3 3" xfId="39571"/>
    <cellStyle name="Percent 28 5 3 4" xfId="39572"/>
    <cellStyle name="Percent 28 5 3 5" xfId="39573"/>
    <cellStyle name="Percent 28 5 4" xfId="39574"/>
    <cellStyle name="Percent 28 5 4 2" xfId="39575"/>
    <cellStyle name="Percent 28 5 4 3" xfId="39576"/>
    <cellStyle name="Percent 28 5 5" xfId="39577"/>
    <cellStyle name="Percent 28 5 5 2" xfId="39578"/>
    <cellStyle name="Percent 28 5 5 3" xfId="39579"/>
    <cellStyle name="Percent 28 5 6" xfId="39580"/>
    <cellStyle name="Percent 28 5 7" xfId="39581"/>
    <cellStyle name="Percent 28 6" xfId="39582"/>
    <cellStyle name="Percent 28 6 2" xfId="39583"/>
    <cellStyle name="Percent 28 6 2 2" xfId="39584"/>
    <cellStyle name="Percent 28 6 2 3" xfId="39585"/>
    <cellStyle name="Percent 28 6 3" xfId="39586"/>
    <cellStyle name="Percent 28 6 3 2" xfId="39587"/>
    <cellStyle name="Percent 28 6 3 3" xfId="39588"/>
    <cellStyle name="Percent 28 6 4" xfId="39589"/>
    <cellStyle name="Percent 28 6 5" xfId="39590"/>
    <cellStyle name="Percent 28 7" xfId="39591"/>
    <cellStyle name="Percent 28 7 2" xfId="39592"/>
    <cellStyle name="Percent 28 7 2 2" xfId="39593"/>
    <cellStyle name="Percent 28 7 2 3" xfId="39594"/>
    <cellStyle name="Percent 28 7 3" xfId="39595"/>
    <cellStyle name="Percent 28 7 3 2" xfId="39596"/>
    <cellStyle name="Percent 28 7 3 3" xfId="39597"/>
    <cellStyle name="Percent 28 7 4" xfId="39598"/>
    <cellStyle name="Percent 28 7 5" xfId="39599"/>
    <cellStyle name="Percent 28 8" xfId="39600"/>
    <cellStyle name="Percent 28 8 2" xfId="39601"/>
    <cellStyle name="Percent 28 8 3" xfId="39602"/>
    <cellStyle name="Percent 28 9" xfId="39603"/>
    <cellStyle name="Percent 28 9 2" xfId="39604"/>
    <cellStyle name="Percent 28 9 3" xfId="39605"/>
    <cellStyle name="Percent 29" xfId="39606"/>
    <cellStyle name="Percent 29 10" xfId="39607"/>
    <cellStyle name="Percent 29 11" xfId="39608"/>
    <cellStyle name="Percent 29 2" xfId="39609"/>
    <cellStyle name="Percent 29 2 2" xfId="39610"/>
    <cellStyle name="Percent 29 2 2 2" xfId="39611"/>
    <cellStyle name="Percent 29 2 2 2 2" xfId="39612"/>
    <cellStyle name="Percent 29 2 2 2 2 2" xfId="39613"/>
    <cellStyle name="Percent 29 2 2 2 2 3" xfId="39614"/>
    <cellStyle name="Percent 29 2 2 2 3" xfId="39615"/>
    <cellStyle name="Percent 29 2 2 2 3 2" xfId="39616"/>
    <cellStyle name="Percent 29 2 2 2 3 3" xfId="39617"/>
    <cellStyle name="Percent 29 2 2 2 4" xfId="39618"/>
    <cellStyle name="Percent 29 2 2 2 5" xfId="39619"/>
    <cellStyle name="Percent 29 2 2 3" xfId="39620"/>
    <cellStyle name="Percent 29 2 2 3 2" xfId="39621"/>
    <cellStyle name="Percent 29 2 2 3 2 2" xfId="39622"/>
    <cellStyle name="Percent 29 2 2 3 2 3" xfId="39623"/>
    <cellStyle name="Percent 29 2 2 3 3" xfId="39624"/>
    <cellStyle name="Percent 29 2 2 3 3 2" xfId="39625"/>
    <cellStyle name="Percent 29 2 2 3 3 3" xfId="39626"/>
    <cellStyle name="Percent 29 2 2 3 4" xfId="39627"/>
    <cellStyle name="Percent 29 2 2 3 5" xfId="39628"/>
    <cellStyle name="Percent 29 2 2 4" xfId="39629"/>
    <cellStyle name="Percent 29 2 2 4 2" xfId="39630"/>
    <cellStyle name="Percent 29 2 2 4 3" xfId="39631"/>
    <cellStyle name="Percent 29 2 2 5" xfId="39632"/>
    <cellStyle name="Percent 29 2 2 5 2" xfId="39633"/>
    <cellStyle name="Percent 29 2 2 5 3" xfId="39634"/>
    <cellStyle name="Percent 29 2 2 6" xfId="39635"/>
    <cellStyle name="Percent 29 2 2 7" xfId="39636"/>
    <cellStyle name="Percent 29 2 3" xfId="39637"/>
    <cellStyle name="Percent 29 2 3 2" xfId="39638"/>
    <cellStyle name="Percent 29 2 3 2 2" xfId="39639"/>
    <cellStyle name="Percent 29 2 3 2 2 2" xfId="39640"/>
    <cellStyle name="Percent 29 2 3 2 2 3" xfId="39641"/>
    <cellStyle name="Percent 29 2 3 2 3" xfId="39642"/>
    <cellStyle name="Percent 29 2 3 2 3 2" xfId="39643"/>
    <cellStyle name="Percent 29 2 3 2 3 3" xfId="39644"/>
    <cellStyle name="Percent 29 2 3 2 4" xfId="39645"/>
    <cellStyle name="Percent 29 2 3 2 5" xfId="39646"/>
    <cellStyle name="Percent 29 2 3 3" xfId="39647"/>
    <cellStyle name="Percent 29 2 3 3 2" xfId="39648"/>
    <cellStyle name="Percent 29 2 3 3 2 2" xfId="39649"/>
    <cellStyle name="Percent 29 2 3 3 2 3" xfId="39650"/>
    <cellStyle name="Percent 29 2 3 3 3" xfId="39651"/>
    <cellStyle name="Percent 29 2 3 3 3 2" xfId="39652"/>
    <cellStyle name="Percent 29 2 3 3 3 3" xfId="39653"/>
    <cellStyle name="Percent 29 2 3 3 4" xfId="39654"/>
    <cellStyle name="Percent 29 2 3 3 5" xfId="39655"/>
    <cellStyle name="Percent 29 2 3 4" xfId="39656"/>
    <cellStyle name="Percent 29 2 3 4 2" xfId="39657"/>
    <cellStyle name="Percent 29 2 3 4 3" xfId="39658"/>
    <cellStyle name="Percent 29 2 3 5" xfId="39659"/>
    <cellStyle name="Percent 29 2 3 5 2" xfId="39660"/>
    <cellStyle name="Percent 29 2 3 5 3" xfId="39661"/>
    <cellStyle name="Percent 29 2 3 6" xfId="39662"/>
    <cellStyle name="Percent 29 2 3 7" xfId="39663"/>
    <cellStyle name="Percent 29 2 4" xfId="39664"/>
    <cellStyle name="Percent 29 2 4 2" xfId="39665"/>
    <cellStyle name="Percent 29 2 4 2 2" xfId="39666"/>
    <cellStyle name="Percent 29 2 4 2 3" xfId="39667"/>
    <cellStyle name="Percent 29 2 4 3" xfId="39668"/>
    <cellStyle name="Percent 29 2 4 3 2" xfId="39669"/>
    <cellStyle name="Percent 29 2 4 3 3" xfId="39670"/>
    <cellStyle name="Percent 29 2 4 4" xfId="39671"/>
    <cellStyle name="Percent 29 2 4 5" xfId="39672"/>
    <cellStyle name="Percent 29 2 5" xfId="39673"/>
    <cellStyle name="Percent 29 2 5 2" xfId="39674"/>
    <cellStyle name="Percent 29 2 5 2 2" xfId="39675"/>
    <cellStyle name="Percent 29 2 5 2 3" xfId="39676"/>
    <cellStyle name="Percent 29 2 5 3" xfId="39677"/>
    <cellStyle name="Percent 29 2 5 3 2" xfId="39678"/>
    <cellStyle name="Percent 29 2 5 3 3" xfId="39679"/>
    <cellStyle name="Percent 29 2 5 4" xfId="39680"/>
    <cellStyle name="Percent 29 2 5 5" xfId="39681"/>
    <cellStyle name="Percent 29 2 6" xfId="39682"/>
    <cellStyle name="Percent 29 2 6 2" xfId="39683"/>
    <cellStyle name="Percent 29 2 6 3" xfId="39684"/>
    <cellStyle name="Percent 29 2 7" xfId="39685"/>
    <cellStyle name="Percent 29 2 7 2" xfId="39686"/>
    <cellStyle name="Percent 29 2 7 3" xfId="39687"/>
    <cellStyle name="Percent 29 2 8" xfId="39688"/>
    <cellStyle name="Percent 29 2 9" xfId="39689"/>
    <cellStyle name="Percent 29 3" xfId="39690"/>
    <cellStyle name="Percent 29 3 2" xfId="39691"/>
    <cellStyle name="Percent 29 3 2 2" xfId="39692"/>
    <cellStyle name="Percent 29 3 2 2 2" xfId="39693"/>
    <cellStyle name="Percent 29 3 2 2 2 2" xfId="39694"/>
    <cellStyle name="Percent 29 3 2 2 2 3" xfId="39695"/>
    <cellStyle name="Percent 29 3 2 2 3" xfId="39696"/>
    <cellStyle name="Percent 29 3 2 2 3 2" xfId="39697"/>
    <cellStyle name="Percent 29 3 2 2 3 3" xfId="39698"/>
    <cellStyle name="Percent 29 3 2 2 4" xfId="39699"/>
    <cellStyle name="Percent 29 3 2 2 5" xfId="39700"/>
    <cellStyle name="Percent 29 3 2 3" xfId="39701"/>
    <cellStyle name="Percent 29 3 2 3 2" xfId="39702"/>
    <cellStyle name="Percent 29 3 2 3 2 2" xfId="39703"/>
    <cellStyle name="Percent 29 3 2 3 2 3" xfId="39704"/>
    <cellStyle name="Percent 29 3 2 3 3" xfId="39705"/>
    <cellStyle name="Percent 29 3 2 3 3 2" xfId="39706"/>
    <cellStyle name="Percent 29 3 2 3 3 3" xfId="39707"/>
    <cellStyle name="Percent 29 3 2 3 4" xfId="39708"/>
    <cellStyle name="Percent 29 3 2 3 5" xfId="39709"/>
    <cellStyle name="Percent 29 3 2 4" xfId="39710"/>
    <cellStyle name="Percent 29 3 2 4 2" xfId="39711"/>
    <cellStyle name="Percent 29 3 2 4 3" xfId="39712"/>
    <cellStyle name="Percent 29 3 2 5" xfId="39713"/>
    <cellStyle name="Percent 29 3 2 5 2" xfId="39714"/>
    <cellStyle name="Percent 29 3 2 5 3" xfId="39715"/>
    <cellStyle name="Percent 29 3 2 6" xfId="39716"/>
    <cellStyle name="Percent 29 3 2 7" xfId="39717"/>
    <cellStyle name="Percent 29 3 3" xfId="39718"/>
    <cellStyle name="Percent 29 3 3 2" xfId="39719"/>
    <cellStyle name="Percent 29 3 3 2 2" xfId="39720"/>
    <cellStyle name="Percent 29 3 3 2 2 2" xfId="39721"/>
    <cellStyle name="Percent 29 3 3 2 2 3" xfId="39722"/>
    <cellStyle name="Percent 29 3 3 2 3" xfId="39723"/>
    <cellStyle name="Percent 29 3 3 2 3 2" xfId="39724"/>
    <cellStyle name="Percent 29 3 3 2 3 3" xfId="39725"/>
    <cellStyle name="Percent 29 3 3 2 4" xfId="39726"/>
    <cellStyle name="Percent 29 3 3 2 5" xfId="39727"/>
    <cellStyle name="Percent 29 3 3 3" xfId="39728"/>
    <cellStyle name="Percent 29 3 3 3 2" xfId="39729"/>
    <cellStyle name="Percent 29 3 3 3 2 2" xfId="39730"/>
    <cellStyle name="Percent 29 3 3 3 2 3" xfId="39731"/>
    <cellStyle name="Percent 29 3 3 3 3" xfId="39732"/>
    <cellStyle name="Percent 29 3 3 3 3 2" xfId="39733"/>
    <cellStyle name="Percent 29 3 3 3 3 3" xfId="39734"/>
    <cellStyle name="Percent 29 3 3 3 4" xfId="39735"/>
    <cellStyle name="Percent 29 3 3 3 5" xfId="39736"/>
    <cellStyle name="Percent 29 3 3 4" xfId="39737"/>
    <cellStyle name="Percent 29 3 3 4 2" xfId="39738"/>
    <cellStyle name="Percent 29 3 3 4 3" xfId="39739"/>
    <cellStyle name="Percent 29 3 3 5" xfId="39740"/>
    <cellStyle name="Percent 29 3 3 5 2" xfId="39741"/>
    <cellStyle name="Percent 29 3 3 5 3" xfId="39742"/>
    <cellStyle name="Percent 29 3 3 6" xfId="39743"/>
    <cellStyle name="Percent 29 3 3 7" xfId="39744"/>
    <cellStyle name="Percent 29 3 4" xfId="39745"/>
    <cellStyle name="Percent 29 3 4 2" xfId="39746"/>
    <cellStyle name="Percent 29 3 4 2 2" xfId="39747"/>
    <cellStyle name="Percent 29 3 4 2 3" xfId="39748"/>
    <cellStyle name="Percent 29 3 4 3" xfId="39749"/>
    <cellStyle name="Percent 29 3 4 3 2" xfId="39750"/>
    <cellStyle name="Percent 29 3 4 3 3" xfId="39751"/>
    <cellStyle name="Percent 29 3 4 4" xfId="39752"/>
    <cellStyle name="Percent 29 3 4 5" xfId="39753"/>
    <cellStyle name="Percent 29 3 5" xfId="39754"/>
    <cellStyle name="Percent 29 3 5 2" xfId="39755"/>
    <cellStyle name="Percent 29 3 5 2 2" xfId="39756"/>
    <cellStyle name="Percent 29 3 5 2 3" xfId="39757"/>
    <cellStyle name="Percent 29 3 5 3" xfId="39758"/>
    <cellStyle name="Percent 29 3 5 3 2" xfId="39759"/>
    <cellStyle name="Percent 29 3 5 3 3" xfId="39760"/>
    <cellStyle name="Percent 29 3 5 4" xfId="39761"/>
    <cellStyle name="Percent 29 3 5 5" xfId="39762"/>
    <cellStyle name="Percent 29 3 6" xfId="39763"/>
    <cellStyle name="Percent 29 3 6 2" xfId="39764"/>
    <cellStyle name="Percent 29 3 6 3" xfId="39765"/>
    <cellStyle name="Percent 29 3 7" xfId="39766"/>
    <cellStyle name="Percent 29 3 7 2" xfId="39767"/>
    <cellStyle name="Percent 29 3 7 3" xfId="39768"/>
    <cellStyle name="Percent 29 3 8" xfId="39769"/>
    <cellStyle name="Percent 29 3 9" xfId="39770"/>
    <cellStyle name="Percent 29 4" xfId="39771"/>
    <cellStyle name="Percent 29 4 2" xfId="39772"/>
    <cellStyle name="Percent 29 4 2 2" xfId="39773"/>
    <cellStyle name="Percent 29 4 2 2 2" xfId="39774"/>
    <cellStyle name="Percent 29 4 2 2 3" xfId="39775"/>
    <cellStyle name="Percent 29 4 2 3" xfId="39776"/>
    <cellStyle name="Percent 29 4 2 3 2" xfId="39777"/>
    <cellStyle name="Percent 29 4 2 3 3" xfId="39778"/>
    <cellStyle name="Percent 29 4 2 4" xfId="39779"/>
    <cellStyle name="Percent 29 4 2 5" xfId="39780"/>
    <cellStyle name="Percent 29 4 3" xfId="39781"/>
    <cellStyle name="Percent 29 4 3 2" xfId="39782"/>
    <cellStyle name="Percent 29 4 3 2 2" xfId="39783"/>
    <cellStyle name="Percent 29 4 3 2 3" xfId="39784"/>
    <cellStyle name="Percent 29 4 3 3" xfId="39785"/>
    <cellStyle name="Percent 29 4 3 3 2" xfId="39786"/>
    <cellStyle name="Percent 29 4 3 3 3" xfId="39787"/>
    <cellStyle name="Percent 29 4 3 4" xfId="39788"/>
    <cellStyle name="Percent 29 4 3 5" xfId="39789"/>
    <cellStyle name="Percent 29 4 4" xfId="39790"/>
    <cellStyle name="Percent 29 4 4 2" xfId="39791"/>
    <cellStyle name="Percent 29 4 4 3" xfId="39792"/>
    <cellStyle name="Percent 29 4 5" xfId="39793"/>
    <cellStyle name="Percent 29 4 5 2" xfId="39794"/>
    <cellStyle name="Percent 29 4 5 3" xfId="39795"/>
    <cellStyle name="Percent 29 4 6" xfId="39796"/>
    <cellStyle name="Percent 29 4 7" xfId="39797"/>
    <cellStyle name="Percent 29 5" xfId="39798"/>
    <cellStyle name="Percent 29 5 2" xfId="39799"/>
    <cellStyle name="Percent 29 5 2 2" xfId="39800"/>
    <cellStyle name="Percent 29 5 2 2 2" xfId="39801"/>
    <cellStyle name="Percent 29 5 2 2 3" xfId="39802"/>
    <cellStyle name="Percent 29 5 2 3" xfId="39803"/>
    <cellStyle name="Percent 29 5 2 3 2" xfId="39804"/>
    <cellStyle name="Percent 29 5 2 3 3" xfId="39805"/>
    <cellStyle name="Percent 29 5 2 4" xfId="39806"/>
    <cellStyle name="Percent 29 5 2 5" xfId="39807"/>
    <cellStyle name="Percent 29 5 3" xfId="39808"/>
    <cellStyle name="Percent 29 5 3 2" xfId="39809"/>
    <cellStyle name="Percent 29 5 3 2 2" xfId="39810"/>
    <cellStyle name="Percent 29 5 3 2 3" xfId="39811"/>
    <cellStyle name="Percent 29 5 3 3" xfId="39812"/>
    <cellStyle name="Percent 29 5 3 3 2" xfId="39813"/>
    <cellStyle name="Percent 29 5 3 3 3" xfId="39814"/>
    <cellStyle name="Percent 29 5 3 4" xfId="39815"/>
    <cellStyle name="Percent 29 5 3 5" xfId="39816"/>
    <cellStyle name="Percent 29 5 4" xfId="39817"/>
    <cellStyle name="Percent 29 5 4 2" xfId="39818"/>
    <cellStyle name="Percent 29 5 4 3" xfId="39819"/>
    <cellStyle name="Percent 29 5 5" xfId="39820"/>
    <cellStyle name="Percent 29 5 5 2" xfId="39821"/>
    <cellStyle name="Percent 29 5 5 3" xfId="39822"/>
    <cellStyle name="Percent 29 5 6" xfId="39823"/>
    <cellStyle name="Percent 29 5 7" xfId="39824"/>
    <cellStyle name="Percent 29 6" xfId="39825"/>
    <cellStyle name="Percent 29 6 2" xfId="39826"/>
    <cellStyle name="Percent 29 6 2 2" xfId="39827"/>
    <cellStyle name="Percent 29 6 2 3" xfId="39828"/>
    <cellStyle name="Percent 29 6 3" xfId="39829"/>
    <cellStyle name="Percent 29 6 3 2" xfId="39830"/>
    <cellStyle name="Percent 29 6 3 3" xfId="39831"/>
    <cellStyle name="Percent 29 6 4" xfId="39832"/>
    <cellStyle name="Percent 29 6 5" xfId="39833"/>
    <cellStyle name="Percent 29 7" xfId="39834"/>
    <cellStyle name="Percent 29 7 2" xfId="39835"/>
    <cellStyle name="Percent 29 7 2 2" xfId="39836"/>
    <cellStyle name="Percent 29 7 2 3" xfId="39837"/>
    <cellStyle name="Percent 29 7 3" xfId="39838"/>
    <cellStyle name="Percent 29 7 3 2" xfId="39839"/>
    <cellStyle name="Percent 29 7 3 3" xfId="39840"/>
    <cellStyle name="Percent 29 7 4" xfId="39841"/>
    <cellStyle name="Percent 29 7 5" xfId="39842"/>
    <cellStyle name="Percent 29 8" xfId="39843"/>
    <cellStyle name="Percent 29 8 2" xfId="39844"/>
    <cellStyle name="Percent 29 8 3" xfId="39845"/>
    <cellStyle name="Percent 29 9" xfId="39846"/>
    <cellStyle name="Percent 29 9 2" xfId="39847"/>
    <cellStyle name="Percent 29 9 3" xfId="39848"/>
    <cellStyle name="Percent 3" xfId="39849"/>
    <cellStyle name="Percent 3 10" xfId="39850"/>
    <cellStyle name="Percent 3 11" xfId="39851"/>
    <cellStyle name="Percent 3 12" xfId="39852"/>
    <cellStyle name="Percent 3 13" xfId="39853"/>
    <cellStyle name="Percent 3 14" xfId="39854"/>
    <cellStyle name="Percent 3 15" xfId="39855"/>
    <cellStyle name="Percent 3 16" xfId="39856"/>
    <cellStyle name="Percent 3 17" xfId="39857"/>
    <cellStyle name="Percent 3 18" xfId="39858"/>
    <cellStyle name="Percent 3 19" xfId="39859"/>
    <cellStyle name="Percent 3 2" xfId="39860"/>
    <cellStyle name="Percent 3 2 10" xfId="43127"/>
    <cellStyle name="Percent 3 2 2" xfId="39861"/>
    <cellStyle name="Percent 3 2 2 2" xfId="39862"/>
    <cellStyle name="Percent 3 2 2 3" xfId="43128"/>
    <cellStyle name="Percent 3 2 3" xfId="39863"/>
    <cellStyle name="Percent 3 2 3 2" xfId="39864"/>
    <cellStyle name="Percent 3 2 4" xfId="39865"/>
    <cellStyle name="Percent 3 2 5" xfId="39866"/>
    <cellStyle name="Percent 3 2 6" xfId="39867"/>
    <cellStyle name="Percent 3 2 7" xfId="39868"/>
    <cellStyle name="Percent 3 2 8" xfId="39869"/>
    <cellStyle name="Percent 3 2 9" xfId="39870"/>
    <cellStyle name="Percent 3 20" xfId="39871"/>
    <cellStyle name="Percent 3 21" xfId="39872"/>
    <cellStyle name="Percent 3 22" xfId="39873"/>
    <cellStyle name="Percent 3 23" xfId="39874"/>
    <cellStyle name="Percent 3 24" xfId="39875"/>
    <cellStyle name="Percent 3 25" xfId="39876"/>
    <cellStyle name="Percent 3 26" xfId="39877"/>
    <cellStyle name="Percent 3 27" xfId="39878"/>
    <cellStyle name="Percent 3 28" xfId="43126"/>
    <cellStyle name="Percent 3 3" xfId="39879"/>
    <cellStyle name="Percent 3 3 2" xfId="39880"/>
    <cellStyle name="Percent 3 3 3" xfId="43129"/>
    <cellStyle name="Percent 3 4" xfId="39881"/>
    <cellStyle name="Percent 3 5" xfId="39882"/>
    <cellStyle name="Percent 3 6" xfId="39883"/>
    <cellStyle name="Percent 3 7" xfId="39884"/>
    <cellStyle name="Percent 3 8" xfId="39885"/>
    <cellStyle name="Percent 3 9" xfId="39886"/>
    <cellStyle name="Percent 30" xfId="39887"/>
    <cellStyle name="Percent 30 2" xfId="39888"/>
    <cellStyle name="Percent 30 2 2" xfId="39889"/>
    <cellStyle name="Percent 30 2 3" xfId="39890"/>
    <cellStyle name="Percent 30 3" xfId="39891"/>
    <cellStyle name="Percent 30 4" xfId="39892"/>
    <cellStyle name="Percent 31" xfId="39893"/>
    <cellStyle name="Percent 31 2" xfId="39894"/>
    <cellStyle name="Percent 31 2 2" xfId="39895"/>
    <cellStyle name="Percent 31 2 2 2" xfId="39896"/>
    <cellStyle name="Percent 31 2 2 2 2" xfId="39897"/>
    <cellStyle name="Percent 31 2 2 2 3" xfId="39898"/>
    <cellStyle name="Percent 31 2 2 3" xfId="39899"/>
    <cellStyle name="Percent 31 2 2 3 2" xfId="39900"/>
    <cellStyle name="Percent 31 2 2 3 3" xfId="39901"/>
    <cellStyle name="Percent 31 2 2 4" xfId="39902"/>
    <cellStyle name="Percent 31 2 2 5" xfId="39903"/>
    <cellStyle name="Percent 31 2 3" xfId="39904"/>
    <cellStyle name="Percent 31 2 3 2" xfId="39905"/>
    <cellStyle name="Percent 31 2 3 2 2" xfId="39906"/>
    <cellStyle name="Percent 31 2 3 2 3" xfId="39907"/>
    <cellStyle name="Percent 31 2 3 3" xfId="39908"/>
    <cellStyle name="Percent 31 2 3 3 2" xfId="39909"/>
    <cellStyle name="Percent 31 2 3 3 3" xfId="39910"/>
    <cellStyle name="Percent 31 2 3 4" xfId="39911"/>
    <cellStyle name="Percent 31 2 3 5" xfId="39912"/>
    <cellStyle name="Percent 31 2 4" xfId="39913"/>
    <cellStyle name="Percent 31 2 4 2" xfId="39914"/>
    <cellStyle name="Percent 31 2 4 3" xfId="39915"/>
    <cellStyle name="Percent 31 2 5" xfId="39916"/>
    <cellStyle name="Percent 31 2 5 2" xfId="39917"/>
    <cellStyle name="Percent 31 2 5 3" xfId="39918"/>
    <cellStyle name="Percent 31 2 6" xfId="39919"/>
    <cellStyle name="Percent 31 2 7" xfId="39920"/>
    <cellStyle name="Percent 31 3" xfId="39921"/>
    <cellStyle name="Percent 31 3 2" xfId="39922"/>
    <cellStyle name="Percent 31 3 2 2" xfId="39923"/>
    <cellStyle name="Percent 31 3 2 2 2" xfId="39924"/>
    <cellStyle name="Percent 31 3 2 2 3" xfId="39925"/>
    <cellStyle name="Percent 31 3 2 3" xfId="39926"/>
    <cellStyle name="Percent 31 3 2 3 2" xfId="39927"/>
    <cellStyle name="Percent 31 3 2 3 3" xfId="39928"/>
    <cellStyle name="Percent 31 3 2 4" xfId="39929"/>
    <cellStyle name="Percent 31 3 2 5" xfId="39930"/>
    <cellStyle name="Percent 31 3 3" xfId="39931"/>
    <cellStyle name="Percent 31 3 3 2" xfId="39932"/>
    <cellStyle name="Percent 31 3 3 2 2" xfId="39933"/>
    <cellStyle name="Percent 31 3 3 2 3" xfId="39934"/>
    <cellStyle name="Percent 31 3 3 3" xfId="39935"/>
    <cellStyle name="Percent 31 3 3 3 2" xfId="39936"/>
    <cellStyle name="Percent 31 3 3 3 3" xfId="39937"/>
    <cellStyle name="Percent 31 3 3 4" xfId="39938"/>
    <cellStyle name="Percent 31 3 3 5" xfId="39939"/>
    <cellStyle name="Percent 31 3 4" xfId="39940"/>
    <cellStyle name="Percent 31 3 4 2" xfId="39941"/>
    <cellStyle name="Percent 31 3 4 3" xfId="39942"/>
    <cellStyle name="Percent 31 3 5" xfId="39943"/>
    <cellStyle name="Percent 31 3 5 2" xfId="39944"/>
    <cellStyle name="Percent 31 3 5 3" xfId="39945"/>
    <cellStyle name="Percent 31 3 6" xfId="39946"/>
    <cellStyle name="Percent 31 3 7" xfId="39947"/>
    <cellStyle name="Percent 31 4" xfId="39948"/>
    <cellStyle name="Percent 31 4 2" xfId="39949"/>
    <cellStyle name="Percent 31 4 2 2" xfId="39950"/>
    <cellStyle name="Percent 31 4 2 3" xfId="39951"/>
    <cellStyle name="Percent 31 4 3" xfId="39952"/>
    <cellStyle name="Percent 31 4 3 2" xfId="39953"/>
    <cellStyle name="Percent 31 4 3 3" xfId="39954"/>
    <cellStyle name="Percent 31 4 4" xfId="39955"/>
    <cellStyle name="Percent 31 4 5" xfId="39956"/>
    <cellStyle name="Percent 31 5" xfId="39957"/>
    <cellStyle name="Percent 31 5 2" xfId="39958"/>
    <cellStyle name="Percent 31 5 2 2" xfId="39959"/>
    <cellStyle name="Percent 31 5 2 3" xfId="39960"/>
    <cellStyle name="Percent 31 5 3" xfId="39961"/>
    <cellStyle name="Percent 31 5 3 2" xfId="39962"/>
    <cellStyle name="Percent 31 5 3 3" xfId="39963"/>
    <cellStyle name="Percent 31 5 4" xfId="39964"/>
    <cellStyle name="Percent 31 5 5" xfId="39965"/>
    <cellStyle name="Percent 31 6" xfId="39966"/>
    <cellStyle name="Percent 31 6 2" xfId="39967"/>
    <cellStyle name="Percent 31 6 3" xfId="39968"/>
    <cellStyle name="Percent 31 7" xfId="39969"/>
    <cellStyle name="Percent 31 7 2" xfId="39970"/>
    <cellStyle name="Percent 31 7 3" xfId="39971"/>
    <cellStyle name="Percent 31 8" xfId="39972"/>
    <cellStyle name="Percent 31 9" xfId="39973"/>
    <cellStyle name="Percent 32" xfId="39974"/>
    <cellStyle name="Percent 32 2" xfId="39975"/>
    <cellStyle name="Percent 32 2 2" xfId="39976"/>
    <cellStyle name="Percent 32 2 2 2" xfId="39977"/>
    <cellStyle name="Percent 32 2 2 2 2" xfId="39978"/>
    <cellStyle name="Percent 32 2 2 2 3" xfId="39979"/>
    <cellStyle name="Percent 32 2 2 3" xfId="39980"/>
    <cellStyle name="Percent 32 2 2 3 2" xfId="39981"/>
    <cellStyle name="Percent 32 2 2 3 3" xfId="39982"/>
    <cellStyle name="Percent 32 2 2 4" xfId="39983"/>
    <cellStyle name="Percent 32 2 2 5" xfId="39984"/>
    <cellStyle name="Percent 32 2 3" xfId="39985"/>
    <cellStyle name="Percent 32 2 3 2" xfId="39986"/>
    <cellStyle name="Percent 32 2 3 2 2" xfId="39987"/>
    <cellStyle name="Percent 32 2 3 2 3" xfId="39988"/>
    <cellStyle name="Percent 32 2 3 3" xfId="39989"/>
    <cellStyle name="Percent 32 2 3 3 2" xfId="39990"/>
    <cellStyle name="Percent 32 2 3 3 3" xfId="39991"/>
    <cellStyle name="Percent 32 2 3 4" xfId="39992"/>
    <cellStyle name="Percent 32 2 3 5" xfId="39993"/>
    <cellStyle name="Percent 32 2 4" xfId="39994"/>
    <cellStyle name="Percent 32 2 4 2" xfId="39995"/>
    <cellStyle name="Percent 32 2 4 3" xfId="39996"/>
    <cellStyle name="Percent 32 2 5" xfId="39997"/>
    <cellStyle name="Percent 32 2 5 2" xfId="39998"/>
    <cellStyle name="Percent 32 2 5 3" xfId="39999"/>
    <cellStyle name="Percent 32 2 6" xfId="40000"/>
    <cellStyle name="Percent 32 2 7" xfId="40001"/>
    <cellStyle name="Percent 32 3" xfId="40002"/>
    <cellStyle name="Percent 32 3 2" xfId="40003"/>
    <cellStyle name="Percent 32 3 2 2" xfId="40004"/>
    <cellStyle name="Percent 32 3 2 2 2" xfId="40005"/>
    <cellStyle name="Percent 32 3 2 2 3" xfId="40006"/>
    <cellStyle name="Percent 32 3 2 3" xfId="40007"/>
    <cellStyle name="Percent 32 3 2 3 2" xfId="40008"/>
    <cellStyle name="Percent 32 3 2 3 3" xfId="40009"/>
    <cellStyle name="Percent 32 3 2 4" xfId="40010"/>
    <cellStyle name="Percent 32 3 2 5" xfId="40011"/>
    <cellStyle name="Percent 32 3 3" xfId="40012"/>
    <cellStyle name="Percent 32 3 3 2" xfId="40013"/>
    <cellStyle name="Percent 32 3 3 2 2" xfId="40014"/>
    <cellStyle name="Percent 32 3 3 2 3" xfId="40015"/>
    <cellStyle name="Percent 32 3 3 3" xfId="40016"/>
    <cellStyle name="Percent 32 3 3 3 2" xfId="40017"/>
    <cellStyle name="Percent 32 3 3 3 3" xfId="40018"/>
    <cellStyle name="Percent 32 3 3 4" xfId="40019"/>
    <cellStyle name="Percent 32 3 3 5" xfId="40020"/>
    <cellStyle name="Percent 32 3 4" xfId="40021"/>
    <cellStyle name="Percent 32 3 4 2" xfId="40022"/>
    <cellStyle name="Percent 32 3 4 3" xfId="40023"/>
    <cellStyle name="Percent 32 3 5" xfId="40024"/>
    <cellStyle name="Percent 32 3 5 2" xfId="40025"/>
    <cellStyle name="Percent 32 3 5 3" xfId="40026"/>
    <cellStyle name="Percent 32 3 6" xfId="40027"/>
    <cellStyle name="Percent 32 3 7" xfId="40028"/>
    <cellStyle name="Percent 32 4" xfId="40029"/>
    <cellStyle name="Percent 32 4 2" xfId="40030"/>
    <cellStyle name="Percent 32 4 2 2" xfId="40031"/>
    <cellStyle name="Percent 32 4 2 3" xfId="40032"/>
    <cellStyle name="Percent 32 4 3" xfId="40033"/>
    <cellStyle name="Percent 32 4 3 2" xfId="40034"/>
    <cellStyle name="Percent 32 4 3 3" xfId="40035"/>
    <cellStyle name="Percent 32 4 4" xfId="40036"/>
    <cellStyle name="Percent 32 4 5" xfId="40037"/>
    <cellStyle name="Percent 32 5" xfId="40038"/>
    <cellStyle name="Percent 32 5 2" xfId="40039"/>
    <cellStyle name="Percent 32 5 2 2" xfId="40040"/>
    <cellStyle name="Percent 32 5 2 3" xfId="40041"/>
    <cellStyle name="Percent 32 5 3" xfId="40042"/>
    <cellStyle name="Percent 32 5 3 2" xfId="40043"/>
    <cellStyle name="Percent 32 5 3 3" xfId="40044"/>
    <cellStyle name="Percent 32 5 4" xfId="40045"/>
    <cellStyle name="Percent 32 5 5" xfId="40046"/>
    <cellStyle name="Percent 32 6" xfId="40047"/>
    <cellStyle name="Percent 32 6 2" xfId="40048"/>
    <cellStyle name="Percent 32 6 3" xfId="40049"/>
    <cellStyle name="Percent 32 7" xfId="40050"/>
    <cellStyle name="Percent 32 7 2" xfId="40051"/>
    <cellStyle name="Percent 32 7 3" xfId="40052"/>
    <cellStyle name="Percent 32 8" xfId="40053"/>
    <cellStyle name="Percent 32 9" xfId="40054"/>
    <cellStyle name="Percent 33" xfId="40055"/>
    <cellStyle name="Percent 33 2" xfId="40056"/>
    <cellStyle name="Percent 33 2 2" xfId="40057"/>
    <cellStyle name="Percent 33 2 2 2" xfId="40058"/>
    <cellStyle name="Percent 33 2 2 2 2" xfId="40059"/>
    <cellStyle name="Percent 33 2 2 2 3" xfId="40060"/>
    <cellStyle name="Percent 33 2 2 3" xfId="40061"/>
    <cellStyle name="Percent 33 2 2 3 2" xfId="40062"/>
    <cellStyle name="Percent 33 2 2 3 3" xfId="40063"/>
    <cellStyle name="Percent 33 2 2 4" xfId="40064"/>
    <cellStyle name="Percent 33 2 2 5" xfId="40065"/>
    <cellStyle name="Percent 33 2 3" xfId="40066"/>
    <cellStyle name="Percent 33 2 3 2" xfId="40067"/>
    <cellStyle name="Percent 33 2 3 2 2" xfId="40068"/>
    <cellStyle name="Percent 33 2 3 2 3" xfId="40069"/>
    <cellStyle name="Percent 33 2 3 3" xfId="40070"/>
    <cellStyle name="Percent 33 2 3 3 2" xfId="40071"/>
    <cellStyle name="Percent 33 2 3 3 3" xfId="40072"/>
    <cellStyle name="Percent 33 2 3 4" xfId="40073"/>
    <cellStyle name="Percent 33 2 3 5" xfId="40074"/>
    <cellStyle name="Percent 33 2 4" xfId="40075"/>
    <cellStyle name="Percent 33 2 4 2" xfId="40076"/>
    <cellStyle name="Percent 33 2 4 3" xfId="40077"/>
    <cellStyle name="Percent 33 2 5" xfId="40078"/>
    <cellStyle name="Percent 33 2 5 2" xfId="40079"/>
    <cellStyle name="Percent 33 2 5 3" xfId="40080"/>
    <cellStyle name="Percent 33 2 6" xfId="40081"/>
    <cellStyle name="Percent 33 2 7" xfId="40082"/>
    <cellStyle name="Percent 33 3" xfId="40083"/>
    <cellStyle name="Percent 33 3 2" xfId="40084"/>
    <cellStyle name="Percent 33 3 2 2" xfId="40085"/>
    <cellStyle name="Percent 33 3 2 2 2" xfId="40086"/>
    <cellStyle name="Percent 33 3 2 2 3" xfId="40087"/>
    <cellStyle name="Percent 33 3 2 3" xfId="40088"/>
    <cellStyle name="Percent 33 3 2 3 2" xfId="40089"/>
    <cellStyle name="Percent 33 3 2 3 3" xfId="40090"/>
    <cellStyle name="Percent 33 3 2 4" xfId="40091"/>
    <cellStyle name="Percent 33 3 2 5" xfId="40092"/>
    <cellStyle name="Percent 33 3 3" xfId="40093"/>
    <cellStyle name="Percent 33 3 3 2" xfId="40094"/>
    <cellStyle name="Percent 33 3 3 2 2" xfId="40095"/>
    <cellStyle name="Percent 33 3 3 2 3" xfId="40096"/>
    <cellStyle name="Percent 33 3 3 3" xfId="40097"/>
    <cellStyle name="Percent 33 3 3 3 2" xfId="40098"/>
    <cellStyle name="Percent 33 3 3 3 3" xfId="40099"/>
    <cellStyle name="Percent 33 3 3 4" xfId="40100"/>
    <cellStyle name="Percent 33 3 3 5" xfId="40101"/>
    <cellStyle name="Percent 33 3 4" xfId="40102"/>
    <cellStyle name="Percent 33 3 4 2" xfId="40103"/>
    <cellStyle name="Percent 33 3 4 3" xfId="40104"/>
    <cellStyle name="Percent 33 3 5" xfId="40105"/>
    <cellStyle name="Percent 33 3 5 2" xfId="40106"/>
    <cellStyle name="Percent 33 3 5 3" xfId="40107"/>
    <cellStyle name="Percent 33 3 6" xfId="40108"/>
    <cellStyle name="Percent 33 3 7" xfId="40109"/>
    <cellStyle name="Percent 33 4" xfId="40110"/>
    <cellStyle name="Percent 33 4 2" xfId="40111"/>
    <cellStyle name="Percent 33 4 2 2" xfId="40112"/>
    <cellStyle name="Percent 33 4 2 3" xfId="40113"/>
    <cellStyle name="Percent 33 4 3" xfId="40114"/>
    <cellStyle name="Percent 33 4 3 2" xfId="40115"/>
    <cellStyle name="Percent 33 4 3 3" xfId="40116"/>
    <cellStyle name="Percent 33 4 4" xfId="40117"/>
    <cellStyle name="Percent 33 4 5" xfId="40118"/>
    <cellStyle name="Percent 33 5" xfId="40119"/>
    <cellStyle name="Percent 33 5 2" xfId="40120"/>
    <cellStyle name="Percent 33 5 2 2" xfId="40121"/>
    <cellStyle name="Percent 33 5 2 3" xfId="40122"/>
    <cellStyle name="Percent 33 5 3" xfId="40123"/>
    <cellStyle name="Percent 33 5 3 2" xfId="40124"/>
    <cellStyle name="Percent 33 5 3 3" xfId="40125"/>
    <cellStyle name="Percent 33 5 4" xfId="40126"/>
    <cellStyle name="Percent 33 5 5" xfId="40127"/>
    <cellStyle name="Percent 33 6" xfId="40128"/>
    <cellStyle name="Percent 33 6 2" xfId="40129"/>
    <cellStyle name="Percent 33 6 3" xfId="40130"/>
    <cellStyle name="Percent 33 7" xfId="40131"/>
    <cellStyle name="Percent 33 7 2" xfId="40132"/>
    <cellStyle name="Percent 33 7 3" xfId="40133"/>
    <cellStyle name="Percent 33 8" xfId="40134"/>
    <cellStyle name="Percent 33 9" xfId="40135"/>
    <cellStyle name="Percent 34" xfId="40136"/>
    <cellStyle name="Percent 34 2" xfId="40137"/>
    <cellStyle name="Percent 34 2 2" xfId="40138"/>
    <cellStyle name="Percent 34 2 3" xfId="40139"/>
    <cellStyle name="Percent 34 3" xfId="40140"/>
    <cellStyle name="Percent 34 4" xfId="40141"/>
    <cellStyle name="Percent 35" xfId="40142"/>
    <cellStyle name="Percent 35 2" xfId="40143"/>
    <cellStyle name="Percent 35 3" xfId="40144"/>
    <cellStyle name="Percent 36" xfId="40145"/>
    <cellStyle name="Percent 36 2" xfId="40146"/>
    <cellStyle name="Percent 36 3" xfId="40147"/>
    <cellStyle name="Percent 37" xfId="40148"/>
    <cellStyle name="Percent 37 2" xfId="40149"/>
    <cellStyle name="Percent 37 3" xfId="40150"/>
    <cellStyle name="Percent 38" xfId="40151"/>
    <cellStyle name="Percent 38 2" xfId="40152"/>
    <cellStyle name="Percent 38 2 2" xfId="40153"/>
    <cellStyle name="Percent 38 2 2 2" xfId="40154"/>
    <cellStyle name="Percent 38 2 2 2 2" xfId="40155"/>
    <cellStyle name="Percent 38 2 2 2 3" xfId="40156"/>
    <cellStyle name="Percent 38 2 2 3" xfId="40157"/>
    <cellStyle name="Percent 38 2 2 3 2" xfId="40158"/>
    <cellStyle name="Percent 38 2 2 3 3" xfId="40159"/>
    <cellStyle name="Percent 38 2 2 4" xfId="40160"/>
    <cellStyle name="Percent 38 2 2 5" xfId="40161"/>
    <cellStyle name="Percent 38 2 3" xfId="40162"/>
    <cellStyle name="Percent 38 2 3 2" xfId="40163"/>
    <cellStyle name="Percent 38 2 3 2 2" xfId="40164"/>
    <cellStyle name="Percent 38 2 3 2 3" xfId="40165"/>
    <cellStyle name="Percent 38 2 3 3" xfId="40166"/>
    <cellStyle name="Percent 38 2 3 3 2" xfId="40167"/>
    <cellStyle name="Percent 38 2 3 3 3" xfId="40168"/>
    <cellStyle name="Percent 38 2 3 4" xfId="40169"/>
    <cellStyle name="Percent 38 2 3 5" xfId="40170"/>
    <cellStyle name="Percent 38 2 4" xfId="40171"/>
    <cellStyle name="Percent 38 2 4 2" xfId="40172"/>
    <cellStyle name="Percent 38 2 4 3" xfId="40173"/>
    <cellStyle name="Percent 38 2 5" xfId="40174"/>
    <cellStyle name="Percent 38 2 5 2" xfId="40175"/>
    <cellStyle name="Percent 38 2 5 3" xfId="40176"/>
    <cellStyle name="Percent 38 2 6" xfId="40177"/>
    <cellStyle name="Percent 38 2 7" xfId="40178"/>
    <cellStyle name="Percent 38 3" xfId="40179"/>
    <cellStyle name="Percent 38 3 2" xfId="40180"/>
    <cellStyle name="Percent 38 3 2 2" xfId="40181"/>
    <cellStyle name="Percent 38 3 2 2 2" xfId="40182"/>
    <cellStyle name="Percent 38 3 2 2 3" xfId="40183"/>
    <cellStyle name="Percent 38 3 2 3" xfId="40184"/>
    <cellStyle name="Percent 38 3 2 3 2" xfId="40185"/>
    <cellStyle name="Percent 38 3 2 3 3" xfId="40186"/>
    <cellStyle name="Percent 38 3 2 4" xfId="40187"/>
    <cellStyle name="Percent 38 3 2 5" xfId="40188"/>
    <cellStyle name="Percent 38 3 3" xfId="40189"/>
    <cellStyle name="Percent 38 3 3 2" xfId="40190"/>
    <cellStyle name="Percent 38 3 3 2 2" xfId="40191"/>
    <cellStyle name="Percent 38 3 3 2 3" xfId="40192"/>
    <cellStyle name="Percent 38 3 3 3" xfId="40193"/>
    <cellStyle name="Percent 38 3 3 3 2" xfId="40194"/>
    <cellStyle name="Percent 38 3 3 3 3" xfId="40195"/>
    <cellStyle name="Percent 38 3 3 4" xfId="40196"/>
    <cellStyle name="Percent 38 3 3 5" xfId="40197"/>
    <cellStyle name="Percent 38 3 4" xfId="40198"/>
    <cellStyle name="Percent 38 3 4 2" xfId="40199"/>
    <cellStyle name="Percent 38 3 4 3" xfId="40200"/>
    <cellStyle name="Percent 38 3 5" xfId="40201"/>
    <cellStyle name="Percent 38 3 5 2" xfId="40202"/>
    <cellStyle name="Percent 38 3 5 3" xfId="40203"/>
    <cellStyle name="Percent 38 3 6" xfId="40204"/>
    <cellStyle name="Percent 38 3 7" xfId="40205"/>
    <cellStyle name="Percent 38 4" xfId="40206"/>
    <cellStyle name="Percent 38 4 2" xfId="40207"/>
    <cellStyle name="Percent 38 4 2 2" xfId="40208"/>
    <cellStyle name="Percent 38 4 2 3" xfId="40209"/>
    <cellStyle name="Percent 38 4 3" xfId="40210"/>
    <cellStyle name="Percent 38 4 3 2" xfId="40211"/>
    <cellStyle name="Percent 38 4 3 3" xfId="40212"/>
    <cellStyle name="Percent 38 4 4" xfId="40213"/>
    <cellStyle name="Percent 38 4 5" xfId="40214"/>
    <cellStyle name="Percent 38 5" xfId="40215"/>
    <cellStyle name="Percent 38 5 2" xfId="40216"/>
    <cellStyle name="Percent 38 5 2 2" xfId="40217"/>
    <cellStyle name="Percent 38 5 2 3" xfId="40218"/>
    <cellStyle name="Percent 38 5 3" xfId="40219"/>
    <cellStyle name="Percent 38 5 3 2" xfId="40220"/>
    <cellStyle name="Percent 38 5 3 3" xfId="40221"/>
    <cellStyle name="Percent 38 5 4" xfId="40222"/>
    <cellStyle name="Percent 38 5 5" xfId="40223"/>
    <cellStyle name="Percent 38 6" xfId="40224"/>
    <cellStyle name="Percent 38 6 2" xfId="40225"/>
    <cellStyle name="Percent 38 6 3" xfId="40226"/>
    <cellStyle name="Percent 38 7" xfId="40227"/>
    <cellStyle name="Percent 38 7 2" xfId="40228"/>
    <cellStyle name="Percent 38 7 3" xfId="40229"/>
    <cellStyle name="Percent 38 8" xfId="40230"/>
    <cellStyle name="Percent 38 9" xfId="40231"/>
    <cellStyle name="Percent 39" xfId="40232"/>
    <cellStyle name="Percent 39 2" xfId="40233"/>
    <cellStyle name="Percent 39 3" xfId="40234"/>
    <cellStyle name="Percent 4" xfId="40235"/>
    <cellStyle name="Percent 4 10" xfId="40236"/>
    <cellStyle name="Percent 4 11" xfId="40237"/>
    <cellStyle name="Percent 4 12" xfId="40238"/>
    <cellStyle name="Percent 4 13" xfId="40239"/>
    <cellStyle name="Percent 4 14" xfId="40240"/>
    <cellStyle name="Percent 4 15" xfId="40241"/>
    <cellStyle name="Percent 4 16" xfId="40242"/>
    <cellStyle name="Percent 4 17" xfId="40243"/>
    <cellStyle name="Percent 4 18" xfId="40244"/>
    <cellStyle name="Percent 4 19" xfId="40245"/>
    <cellStyle name="Percent 4 2" xfId="40246"/>
    <cellStyle name="Percent 4 2 2" xfId="40247"/>
    <cellStyle name="Percent 4 20" xfId="40248"/>
    <cellStyle name="Percent 4 21" xfId="40249"/>
    <cellStyle name="Percent 4 22" xfId="40250"/>
    <cellStyle name="Percent 4 23" xfId="40251"/>
    <cellStyle name="Percent 4 24" xfId="40252"/>
    <cellStyle name="Percent 4 25" xfId="40253"/>
    <cellStyle name="Percent 4 26" xfId="40254"/>
    <cellStyle name="Percent 4 3" xfId="40255"/>
    <cellStyle name="Percent 4 4" xfId="40256"/>
    <cellStyle name="Percent 4 5" xfId="40257"/>
    <cellStyle name="Percent 4 6" xfId="40258"/>
    <cellStyle name="Percent 4 7" xfId="40259"/>
    <cellStyle name="Percent 4 8" xfId="40260"/>
    <cellStyle name="Percent 4 9" xfId="40261"/>
    <cellStyle name="Percent 40" xfId="40262"/>
    <cellStyle name="Percent 40 2" xfId="40263"/>
    <cellStyle name="Percent 41" xfId="40264"/>
    <cellStyle name="Percent 42" xfId="40265"/>
    <cellStyle name="Percent 43" xfId="40266"/>
    <cellStyle name="Percent 44" xfId="40267"/>
    <cellStyle name="Percent 44 2" xfId="40268"/>
    <cellStyle name="Percent 44 2 2" xfId="40269"/>
    <cellStyle name="Percent 44 2 2 2" xfId="40270"/>
    <cellStyle name="Percent 44 2 2 2 2" xfId="40271"/>
    <cellStyle name="Percent 44 2 2 2 3" xfId="40272"/>
    <cellStyle name="Percent 44 2 2 3" xfId="40273"/>
    <cellStyle name="Percent 44 2 2 3 2" xfId="40274"/>
    <cellStyle name="Percent 44 2 2 3 3" xfId="40275"/>
    <cellStyle name="Percent 44 2 2 4" xfId="40276"/>
    <cellStyle name="Percent 44 2 2 5" xfId="40277"/>
    <cellStyle name="Percent 44 2 3" xfId="40278"/>
    <cellStyle name="Percent 44 2 3 2" xfId="40279"/>
    <cellStyle name="Percent 44 2 3 2 2" xfId="40280"/>
    <cellStyle name="Percent 44 2 3 2 3" xfId="40281"/>
    <cellStyle name="Percent 44 2 3 3" xfId="40282"/>
    <cellStyle name="Percent 44 2 3 3 2" xfId="40283"/>
    <cellStyle name="Percent 44 2 3 3 3" xfId="40284"/>
    <cellStyle name="Percent 44 2 3 4" xfId="40285"/>
    <cellStyle name="Percent 44 2 3 5" xfId="40286"/>
    <cellStyle name="Percent 44 2 4" xfId="40287"/>
    <cellStyle name="Percent 44 2 4 2" xfId="40288"/>
    <cellStyle name="Percent 44 2 4 3" xfId="40289"/>
    <cellStyle name="Percent 44 2 5" xfId="40290"/>
    <cellStyle name="Percent 44 2 5 2" xfId="40291"/>
    <cellStyle name="Percent 44 2 5 3" xfId="40292"/>
    <cellStyle name="Percent 44 2 6" xfId="40293"/>
    <cellStyle name="Percent 44 2 7" xfId="40294"/>
    <cellStyle name="Percent 44 3" xfId="40295"/>
    <cellStyle name="Percent 44 3 2" xfId="40296"/>
    <cellStyle name="Percent 44 3 2 2" xfId="40297"/>
    <cellStyle name="Percent 44 3 2 2 2" xfId="40298"/>
    <cellStyle name="Percent 44 3 2 2 3" xfId="40299"/>
    <cellStyle name="Percent 44 3 2 3" xfId="40300"/>
    <cellStyle name="Percent 44 3 2 3 2" xfId="40301"/>
    <cellStyle name="Percent 44 3 2 3 3" xfId="40302"/>
    <cellStyle name="Percent 44 3 2 4" xfId="40303"/>
    <cellStyle name="Percent 44 3 2 5" xfId="40304"/>
    <cellStyle name="Percent 44 3 3" xfId="40305"/>
    <cellStyle name="Percent 44 3 3 2" xfId="40306"/>
    <cellStyle name="Percent 44 3 3 2 2" xfId="40307"/>
    <cellStyle name="Percent 44 3 3 2 3" xfId="40308"/>
    <cellStyle name="Percent 44 3 3 3" xfId="40309"/>
    <cellStyle name="Percent 44 3 3 3 2" xfId="40310"/>
    <cellStyle name="Percent 44 3 3 3 3" xfId="40311"/>
    <cellStyle name="Percent 44 3 3 4" xfId="40312"/>
    <cellStyle name="Percent 44 3 3 5" xfId="40313"/>
    <cellStyle name="Percent 44 3 4" xfId="40314"/>
    <cellStyle name="Percent 44 3 4 2" xfId="40315"/>
    <cellStyle name="Percent 44 3 4 3" xfId="40316"/>
    <cellStyle name="Percent 44 3 5" xfId="40317"/>
    <cellStyle name="Percent 44 3 5 2" xfId="40318"/>
    <cellStyle name="Percent 44 3 5 3" xfId="40319"/>
    <cellStyle name="Percent 44 3 6" xfId="40320"/>
    <cellStyle name="Percent 44 3 7" xfId="40321"/>
    <cellStyle name="Percent 44 4" xfId="40322"/>
    <cellStyle name="Percent 44 4 2" xfId="40323"/>
    <cellStyle name="Percent 44 4 2 2" xfId="40324"/>
    <cellStyle name="Percent 44 4 2 3" xfId="40325"/>
    <cellStyle name="Percent 44 4 3" xfId="40326"/>
    <cellStyle name="Percent 44 4 3 2" xfId="40327"/>
    <cellStyle name="Percent 44 4 3 3" xfId="40328"/>
    <cellStyle name="Percent 44 4 4" xfId="40329"/>
    <cellStyle name="Percent 44 4 5" xfId="40330"/>
    <cellStyle name="Percent 44 5" xfId="40331"/>
    <cellStyle name="Percent 44 5 2" xfId="40332"/>
    <cellStyle name="Percent 44 5 2 2" xfId="40333"/>
    <cellStyle name="Percent 44 5 2 3" xfId="40334"/>
    <cellStyle name="Percent 44 5 3" xfId="40335"/>
    <cellStyle name="Percent 44 5 3 2" xfId="40336"/>
    <cellStyle name="Percent 44 5 3 3" xfId="40337"/>
    <cellStyle name="Percent 44 5 4" xfId="40338"/>
    <cellStyle name="Percent 44 5 5" xfId="40339"/>
    <cellStyle name="Percent 44 6" xfId="40340"/>
    <cellStyle name="Percent 44 6 2" xfId="40341"/>
    <cellStyle name="Percent 44 6 3" xfId="40342"/>
    <cellStyle name="Percent 44 7" xfId="40343"/>
    <cellStyle name="Percent 44 7 2" xfId="40344"/>
    <cellStyle name="Percent 44 7 3" xfId="40345"/>
    <cellStyle name="Percent 44 8" xfId="40346"/>
    <cellStyle name="Percent 44 9" xfId="40347"/>
    <cellStyle name="Percent 45" xfId="40348"/>
    <cellStyle name="Percent 46" xfId="40349"/>
    <cellStyle name="Percent 47" xfId="40350"/>
    <cellStyle name="Percent 48" xfId="40351"/>
    <cellStyle name="Percent 49" xfId="42881"/>
    <cellStyle name="Percent 5" xfId="40352"/>
    <cellStyle name="Percent 5 10" xfId="40353"/>
    <cellStyle name="Percent 5 11" xfId="40354"/>
    <cellStyle name="Percent 5 11 2" xfId="40355"/>
    <cellStyle name="Percent 5 11 2 2" xfId="40356"/>
    <cellStyle name="Percent 5 11 2 2 2" xfId="40357"/>
    <cellStyle name="Percent 5 11 2 2 2 2" xfId="40358"/>
    <cellStyle name="Percent 5 11 2 2 2 3" xfId="40359"/>
    <cellStyle name="Percent 5 11 2 2 3" xfId="40360"/>
    <cellStyle name="Percent 5 11 2 2 3 2" xfId="40361"/>
    <cellStyle name="Percent 5 11 2 2 3 3" xfId="40362"/>
    <cellStyle name="Percent 5 11 2 2 4" xfId="40363"/>
    <cellStyle name="Percent 5 11 2 2 5" xfId="40364"/>
    <cellStyle name="Percent 5 11 2 3" xfId="40365"/>
    <cellStyle name="Percent 5 11 2 3 2" xfId="40366"/>
    <cellStyle name="Percent 5 11 2 3 2 2" xfId="40367"/>
    <cellStyle name="Percent 5 11 2 3 2 3" xfId="40368"/>
    <cellStyle name="Percent 5 11 2 3 3" xfId="40369"/>
    <cellStyle name="Percent 5 11 2 3 3 2" xfId="40370"/>
    <cellStyle name="Percent 5 11 2 3 3 3" xfId="40371"/>
    <cellStyle name="Percent 5 11 2 3 4" xfId="40372"/>
    <cellStyle name="Percent 5 11 2 3 5" xfId="40373"/>
    <cellStyle name="Percent 5 11 2 4" xfId="40374"/>
    <cellStyle name="Percent 5 11 2 4 2" xfId="40375"/>
    <cellStyle name="Percent 5 11 2 4 3" xfId="40376"/>
    <cellStyle name="Percent 5 11 2 5" xfId="40377"/>
    <cellStyle name="Percent 5 11 2 5 2" xfId="40378"/>
    <cellStyle name="Percent 5 11 2 5 3" xfId="40379"/>
    <cellStyle name="Percent 5 11 2 6" xfId="40380"/>
    <cellStyle name="Percent 5 11 2 7" xfId="40381"/>
    <cellStyle name="Percent 5 11 3" xfId="40382"/>
    <cellStyle name="Percent 5 11 3 2" xfId="40383"/>
    <cellStyle name="Percent 5 11 3 2 2" xfId="40384"/>
    <cellStyle name="Percent 5 11 3 2 2 2" xfId="40385"/>
    <cellStyle name="Percent 5 11 3 2 2 3" xfId="40386"/>
    <cellStyle name="Percent 5 11 3 2 3" xfId="40387"/>
    <cellStyle name="Percent 5 11 3 2 3 2" xfId="40388"/>
    <cellStyle name="Percent 5 11 3 2 3 3" xfId="40389"/>
    <cellStyle name="Percent 5 11 3 2 4" xfId="40390"/>
    <cellStyle name="Percent 5 11 3 2 5" xfId="40391"/>
    <cellStyle name="Percent 5 11 3 3" xfId="40392"/>
    <cellStyle name="Percent 5 11 3 3 2" xfId="40393"/>
    <cellStyle name="Percent 5 11 3 3 2 2" xfId="40394"/>
    <cellStyle name="Percent 5 11 3 3 2 3" xfId="40395"/>
    <cellStyle name="Percent 5 11 3 3 3" xfId="40396"/>
    <cellStyle name="Percent 5 11 3 3 3 2" xfId="40397"/>
    <cellStyle name="Percent 5 11 3 3 3 3" xfId="40398"/>
    <cellStyle name="Percent 5 11 3 3 4" xfId="40399"/>
    <cellStyle name="Percent 5 11 3 3 5" xfId="40400"/>
    <cellStyle name="Percent 5 11 3 4" xfId="40401"/>
    <cellStyle name="Percent 5 11 3 4 2" xfId="40402"/>
    <cellStyle name="Percent 5 11 3 4 3" xfId="40403"/>
    <cellStyle name="Percent 5 11 3 5" xfId="40404"/>
    <cellStyle name="Percent 5 11 3 5 2" xfId="40405"/>
    <cellStyle name="Percent 5 11 3 5 3" xfId="40406"/>
    <cellStyle name="Percent 5 11 3 6" xfId="40407"/>
    <cellStyle name="Percent 5 11 3 7" xfId="40408"/>
    <cellStyle name="Percent 5 11 4" xfId="40409"/>
    <cellStyle name="Percent 5 11 4 2" xfId="40410"/>
    <cellStyle name="Percent 5 11 4 2 2" xfId="40411"/>
    <cellStyle name="Percent 5 11 4 2 3" xfId="40412"/>
    <cellStyle name="Percent 5 11 4 3" xfId="40413"/>
    <cellStyle name="Percent 5 11 4 3 2" xfId="40414"/>
    <cellStyle name="Percent 5 11 4 3 3" xfId="40415"/>
    <cellStyle name="Percent 5 11 4 4" xfId="40416"/>
    <cellStyle name="Percent 5 11 4 5" xfId="40417"/>
    <cellStyle name="Percent 5 11 5" xfId="40418"/>
    <cellStyle name="Percent 5 11 5 2" xfId="40419"/>
    <cellStyle name="Percent 5 11 5 2 2" xfId="40420"/>
    <cellStyle name="Percent 5 11 5 2 3" xfId="40421"/>
    <cellStyle name="Percent 5 11 5 3" xfId="40422"/>
    <cellStyle name="Percent 5 11 5 3 2" xfId="40423"/>
    <cellStyle name="Percent 5 11 5 3 3" xfId="40424"/>
    <cellStyle name="Percent 5 11 5 4" xfId="40425"/>
    <cellStyle name="Percent 5 11 5 5" xfId="40426"/>
    <cellStyle name="Percent 5 11 6" xfId="40427"/>
    <cellStyle name="Percent 5 11 6 2" xfId="40428"/>
    <cellStyle name="Percent 5 11 6 3" xfId="40429"/>
    <cellStyle name="Percent 5 11 7" xfId="40430"/>
    <cellStyle name="Percent 5 11 7 2" xfId="40431"/>
    <cellStyle name="Percent 5 11 7 3" xfId="40432"/>
    <cellStyle name="Percent 5 11 8" xfId="40433"/>
    <cellStyle name="Percent 5 11 9" xfId="40434"/>
    <cellStyle name="Percent 5 2" xfId="40435"/>
    <cellStyle name="Percent 5 2 2" xfId="40436"/>
    <cellStyle name="Percent 5 2 3" xfId="40437"/>
    <cellStyle name="Percent 5 2 4" xfId="40438"/>
    <cellStyle name="Percent 5 2 5" xfId="40439"/>
    <cellStyle name="Percent 5 2 6" xfId="40440"/>
    <cellStyle name="Percent 5 2 7" xfId="40441"/>
    <cellStyle name="Percent 5 2 8" xfId="40442"/>
    <cellStyle name="Percent 5 2 9" xfId="40443"/>
    <cellStyle name="Percent 5 3" xfId="40444"/>
    <cellStyle name="Percent 5 3 2" xfId="40445"/>
    <cellStyle name="Percent 5 3 2 10" xfId="40446"/>
    <cellStyle name="Percent 5 3 2 11" xfId="40447"/>
    <cellStyle name="Percent 5 3 2 2" xfId="40448"/>
    <cellStyle name="Percent 5 3 2 2 10" xfId="40449"/>
    <cellStyle name="Percent 5 3 2 2 2" xfId="40450"/>
    <cellStyle name="Percent 5 3 2 2 2 2" xfId="40451"/>
    <cellStyle name="Percent 5 3 2 2 2 2 2" xfId="40452"/>
    <cellStyle name="Percent 5 3 2 2 2 2 2 2" xfId="40453"/>
    <cellStyle name="Percent 5 3 2 2 2 2 2 2 2" xfId="40454"/>
    <cellStyle name="Percent 5 3 2 2 2 2 2 2 3" xfId="40455"/>
    <cellStyle name="Percent 5 3 2 2 2 2 2 3" xfId="40456"/>
    <cellStyle name="Percent 5 3 2 2 2 2 2 3 2" xfId="40457"/>
    <cellStyle name="Percent 5 3 2 2 2 2 2 3 3" xfId="40458"/>
    <cellStyle name="Percent 5 3 2 2 2 2 2 4" xfId="40459"/>
    <cellStyle name="Percent 5 3 2 2 2 2 2 5" xfId="40460"/>
    <cellStyle name="Percent 5 3 2 2 2 2 3" xfId="40461"/>
    <cellStyle name="Percent 5 3 2 2 2 2 3 2" xfId="40462"/>
    <cellStyle name="Percent 5 3 2 2 2 2 3 2 2" xfId="40463"/>
    <cellStyle name="Percent 5 3 2 2 2 2 3 2 3" xfId="40464"/>
    <cellStyle name="Percent 5 3 2 2 2 2 3 3" xfId="40465"/>
    <cellStyle name="Percent 5 3 2 2 2 2 3 3 2" xfId="40466"/>
    <cellStyle name="Percent 5 3 2 2 2 2 3 3 3" xfId="40467"/>
    <cellStyle name="Percent 5 3 2 2 2 2 3 4" xfId="40468"/>
    <cellStyle name="Percent 5 3 2 2 2 2 3 5" xfId="40469"/>
    <cellStyle name="Percent 5 3 2 2 2 2 4" xfId="40470"/>
    <cellStyle name="Percent 5 3 2 2 2 2 4 2" xfId="40471"/>
    <cellStyle name="Percent 5 3 2 2 2 2 4 3" xfId="40472"/>
    <cellStyle name="Percent 5 3 2 2 2 2 5" xfId="40473"/>
    <cellStyle name="Percent 5 3 2 2 2 2 5 2" xfId="40474"/>
    <cellStyle name="Percent 5 3 2 2 2 2 5 3" xfId="40475"/>
    <cellStyle name="Percent 5 3 2 2 2 2 6" xfId="40476"/>
    <cellStyle name="Percent 5 3 2 2 2 2 7" xfId="40477"/>
    <cellStyle name="Percent 5 3 2 2 2 3" xfId="40478"/>
    <cellStyle name="Percent 5 3 2 2 2 3 2" xfId="40479"/>
    <cellStyle name="Percent 5 3 2 2 2 3 2 2" xfId="40480"/>
    <cellStyle name="Percent 5 3 2 2 2 3 2 2 2" xfId="40481"/>
    <cellStyle name="Percent 5 3 2 2 2 3 2 2 3" xfId="40482"/>
    <cellStyle name="Percent 5 3 2 2 2 3 2 3" xfId="40483"/>
    <cellStyle name="Percent 5 3 2 2 2 3 2 3 2" xfId="40484"/>
    <cellStyle name="Percent 5 3 2 2 2 3 2 3 3" xfId="40485"/>
    <cellStyle name="Percent 5 3 2 2 2 3 2 4" xfId="40486"/>
    <cellStyle name="Percent 5 3 2 2 2 3 2 5" xfId="40487"/>
    <cellStyle name="Percent 5 3 2 2 2 3 3" xfId="40488"/>
    <cellStyle name="Percent 5 3 2 2 2 3 3 2" xfId="40489"/>
    <cellStyle name="Percent 5 3 2 2 2 3 3 2 2" xfId="40490"/>
    <cellStyle name="Percent 5 3 2 2 2 3 3 2 3" xfId="40491"/>
    <cellStyle name="Percent 5 3 2 2 2 3 3 3" xfId="40492"/>
    <cellStyle name="Percent 5 3 2 2 2 3 3 3 2" xfId="40493"/>
    <cellStyle name="Percent 5 3 2 2 2 3 3 3 3" xfId="40494"/>
    <cellStyle name="Percent 5 3 2 2 2 3 3 4" xfId="40495"/>
    <cellStyle name="Percent 5 3 2 2 2 3 3 5" xfId="40496"/>
    <cellStyle name="Percent 5 3 2 2 2 3 4" xfId="40497"/>
    <cellStyle name="Percent 5 3 2 2 2 3 4 2" xfId="40498"/>
    <cellStyle name="Percent 5 3 2 2 2 3 4 3" xfId="40499"/>
    <cellStyle name="Percent 5 3 2 2 2 3 5" xfId="40500"/>
    <cellStyle name="Percent 5 3 2 2 2 3 5 2" xfId="40501"/>
    <cellStyle name="Percent 5 3 2 2 2 3 5 3" xfId="40502"/>
    <cellStyle name="Percent 5 3 2 2 2 3 6" xfId="40503"/>
    <cellStyle name="Percent 5 3 2 2 2 3 7" xfId="40504"/>
    <cellStyle name="Percent 5 3 2 2 2 4" xfId="40505"/>
    <cellStyle name="Percent 5 3 2 2 2 4 2" xfId="40506"/>
    <cellStyle name="Percent 5 3 2 2 2 4 2 2" xfId="40507"/>
    <cellStyle name="Percent 5 3 2 2 2 4 2 3" xfId="40508"/>
    <cellStyle name="Percent 5 3 2 2 2 4 3" xfId="40509"/>
    <cellStyle name="Percent 5 3 2 2 2 4 3 2" xfId="40510"/>
    <cellStyle name="Percent 5 3 2 2 2 4 3 3" xfId="40511"/>
    <cellStyle name="Percent 5 3 2 2 2 4 4" xfId="40512"/>
    <cellStyle name="Percent 5 3 2 2 2 4 5" xfId="40513"/>
    <cellStyle name="Percent 5 3 2 2 2 5" xfId="40514"/>
    <cellStyle name="Percent 5 3 2 2 2 5 2" xfId="40515"/>
    <cellStyle name="Percent 5 3 2 2 2 5 2 2" xfId="40516"/>
    <cellStyle name="Percent 5 3 2 2 2 5 2 3" xfId="40517"/>
    <cellStyle name="Percent 5 3 2 2 2 5 3" xfId="40518"/>
    <cellStyle name="Percent 5 3 2 2 2 5 3 2" xfId="40519"/>
    <cellStyle name="Percent 5 3 2 2 2 5 3 3" xfId="40520"/>
    <cellStyle name="Percent 5 3 2 2 2 5 4" xfId="40521"/>
    <cellStyle name="Percent 5 3 2 2 2 5 5" xfId="40522"/>
    <cellStyle name="Percent 5 3 2 2 2 6" xfId="40523"/>
    <cellStyle name="Percent 5 3 2 2 2 6 2" xfId="40524"/>
    <cellStyle name="Percent 5 3 2 2 2 6 3" xfId="40525"/>
    <cellStyle name="Percent 5 3 2 2 2 7" xfId="40526"/>
    <cellStyle name="Percent 5 3 2 2 2 7 2" xfId="40527"/>
    <cellStyle name="Percent 5 3 2 2 2 7 3" xfId="40528"/>
    <cellStyle name="Percent 5 3 2 2 2 8" xfId="40529"/>
    <cellStyle name="Percent 5 3 2 2 2 9" xfId="40530"/>
    <cellStyle name="Percent 5 3 2 2 3" xfId="40531"/>
    <cellStyle name="Percent 5 3 2 2 3 2" xfId="40532"/>
    <cellStyle name="Percent 5 3 2 2 3 2 2" xfId="40533"/>
    <cellStyle name="Percent 5 3 2 2 3 2 2 2" xfId="40534"/>
    <cellStyle name="Percent 5 3 2 2 3 2 2 3" xfId="40535"/>
    <cellStyle name="Percent 5 3 2 2 3 2 3" xfId="40536"/>
    <cellStyle name="Percent 5 3 2 2 3 2 3 2" xfId="40537"/>
    <cellStyle name="Percent 5 3 2 2 3 2 3 3" xfId="40538"/>
    <cellStyle name="Percent 5 3 2 2 3 2 4" xfId="40539"/>
    <cellStyle name="Percent 5 3 2 2 3 2 5" xfId="40540"/>
    <cellStyle name="Percent 5 3 2 2 3 3" xfId="40541"/>
    <cellStyle name="Percent 5 3 2 2 3 3 2" xfId="40542"/>
    <cellStyle name="Percent 5 3 2 2 3 3 2 2" xfId="40543"/>
    <cellStyle name="Percent 5 3 2 2 3 3 2 3" xfId="40544"/>
    <cellStyle name="Percent 5 3 2 2 3 3 3" xfId="40545"/>
    <cellStyle name="Percent 5 3 2 2 3 3 3 2" xfId="40546"/>
    <cellStyle name="Percent 5 3 2 2 3 3 3 3" xfId="40547"/>
    <cellStyle name="Percent 5 3 2 2 3 3 4" xfId="40548"/>
    <cellStyle name="Percent 5 3 2 2 3 3 5" xfId="40549"/>
    <cellStyle name="Percent 5 3 2 2 3 4" xfId="40550"/>
    <cellStyle name="Percent 5 3 2 2 3 4 2" xfId="40551"/>
    <cellStyle name="Percent 5 3 2 2 3 4 3" xfId="40552"/>
    <cellStyle name="Percent 5 3 2 2 3 5" xfId="40553"/>
    <cellStyle name="Percent 5 3 2 2 3 5 2" xfId="40554"/>
    <cellStyle name="Percent 5 3 2 2 3 5 3" xfId="40555"/>
    <cellStyle name="Percent 5 3 2 2 3 6" xfId="40556"/>
    <cellStyle name="Percent 5 3 2 2 3 7" xfId="40557"/>
    <cellStyle name="Percent 5 3 2 2 4" xfId="40558"/>
    <cellStyle name="Percent 5 3 2 2 4 2" xfId="40559"/>
    <cellStyle name="Percent 5 3 2 2 4 2 2" xfId="40560"/>
    <cellStyle name="Percent 5 3 2 2 4 2 2 2" xfId="40561"/>
    <cellStyle name="Percent 5 3 2 2 4 2 2 3" xfId="40562"/>
    <cellStyle name="Percent 5 3 2 2 4 2 3" xfId="40563"/>
    <cellStyle name="Percent 5 3 2 2 4 2 3 2" xfId="40564"/>
    <cellStyle name="Percent 5 3 2 2 4 2 3 3" xfId="40565"/>
    <cellStyle name="Percent 5 3 2 2 4 2 4" xfId="40566"/>
    <cellStyle name="Percent 5 3 2 2 4 2 5" xfId="40567"/>
    <cellStyle name="Percent 5 3 2 2 4 3" xfId="40568"/>
    <cellStyle name="Percent 5 3 2 2 4 3 2" xfId="40569"/>
    <cellStyle name="Percent 5 3 2 2 4 3 2 2" xfId="40570"/>
    <cellStyle name="Percent 5 3 2 2 4 3 2 3" xfId="40571"/>
    <cellStyle name="Percent 5 3 2 2 4 3 3" xfId="40572"/>
    <cellStyle name="Percent 5 3 2 2 4 3 3 2" xfId="40573"/>
    <cellStyle name="Percent 5 3 2 2 4 3 3 3" xfId="40574"/>
    <cellStyle name="Percent 5 3 2 2 4 3 4" xfId="40575"/>
    <cellStyle name="Percent 5 3 2 2 4 3 5" xfId="40576"/>
    <cellStyle name="Percent 5 3 2 2 4 4" xfId="40577"/>
    <cellStyle name="Percent 5 3 2 2 4 4 2" xfId="40578"/>
    <cellStyle name="Percent 5 3 2 2 4 4 3" xfId="40579"/>
    <cellStyle name="Percent 5 3 2 2 4 5" xfId="40580"/>
    <cellStyle name="Percent 5 3 2 2 4 5 2" xfId="40581"/>
    <cellStyle name="Percent 5 3 2 2 4 5 3" xfId="40582"/>
    <cellStyle name="Percent 5 3 2 2 4 6" xfId="40583"/>
    <cellStyle name="Percent 5 3 2 2 4 7" xfId="40584"/>
    <cellStyle name="Percent 5 3 2 2 5" xfId="40585"/>
    <cellStyle name="Percent 5 3 2 2 5 2" xfId="40586"/>
    <cellStyle name="Percent 5 3 2 2 5 2 2" xfId="40587"/>
    <cellStyle name="Percent 5 3 2 2 5 2 3" xfId="40588"/>
    <cellStyle name="Percent 5 3 2 2 5 3" xfId="40589"/>
    <cellStyle name="Percent 5 3 2 2 5 3 2" xfId="40590"/>
    <cellStyle name="Percent 5 3 2 2 5 3 3" xfId="40591"/>
    <cellStyle name="Percent 5 3 2 2 5 4" xfId="40592"/>
    <cellStyle name="Percent 5 3 2 2 5 5" xfId="40593"/>
    <cellStyle name="Percent 5 3 2 2 6" xfId="40594"/>
    <cellStyle name="Percent 5 3 2 2 6 2" xfId="40595"/>
    <cellStyle name="Percent 5 3 2 2 6 2 2" xfId="40596"/>
    <cellStyle name="Percent 5 3 2 2 6 2 3" xfId="40597"/>
    <cellStyle name="Percent 5 3 2 2 6 3" xfId="40598"/>
    <cellStyle name="Percent 5 3 2 2 6 3 2" xfId="40599"/>
    <cellStyle name="Percent 5 3 2 2 6 3 3" xfId="40600"/>
    <cellStyle name="Percent 5 3 2 2 6 4" xfId="40601"/>
    <cellStyle name="Percent 5 3 2 2 6 5" xfId="40602"/>
    <cellStyle name="Percent 5 3 2 2 7" xfId="40603"/>
    <cellStyle name="Percent 5 3 2 2 7 2" xfId="40604"/>
    <cellStyle name="Percent 5 3 2 2 7 3" xfId="40605"/>
    <cellStyle name="Percent 5 3 2 2 8" xfId="40606"/>
    <cellStyle name="Percent 5 3 2 2 8 2" xfId="40607"/>
    <cellStyle name="Percent 5 3 2 2 8 3" xfId="40608"/>
    <cellStyle name="Percent 5 3 2 2 9" xfId="40609"/>
    <cellStyle name="Percent 5 3 2 3" xfId="40610"/>
    <cellStyle name="Percent 5 3 2 3 2" xfId="40611"/>
    <cellStyle name="Percent 5 3 2 3 2 2" xfId="40612"/>
    <cellStyle name="Percent 5 3 2 3 2 2 2" xfId="40613"/>
    <cellStyle name="Percent 5 3 2 3 2 2 2 2" xfId="40614"/>
    <cellStyle name="Percent 5 3 2 3 2 2 2 3" xfId="40615"/>
    <cellStyle name="Percent 5 3 2 3 2 2 3" xfId="40616"/>
    <cellStyle name="Percent 5 3 2 3 2 2 3 2" xfId="40617"/>
    <cellStyle name="Percent 5 3 2 3 2 2 3 3" xfId="40618"/>
    <cellStyle name="Percent 5 3 2 3 2 2 4" xfId="40619"/>
    <cellStyle name="Percent 5 3 2 3 2 2 5" xfId="40620"/>
    <cellStyle name="Percent 5 3 2 3 2 3" xfId="40621"/>
    <cellStyle name="Percent 5 3 2 3 2 3 2" xfId="40622"/>
    <cellStyle name="Percent 5 3 2 3 2 3 2 2" xfId="40623"/>
    <cellStyle name="Percent 5 3 2 3 2 3 2 3" xfId="40624"/>
    <cellStyle name="Percent 5 3 2 3 2 3 3" xfId="40625"/>
    <cellStyle name="Percent 5 3 2 3 2 3 3 2" xfId="40626"/>
    <cellStyle name="Percent 5 3 2 3 2 3 3 3" xfId="40627"/>
    <cellStyle name="Percent 5 3 2 3 2 3 4" xfId="40628"/>
    <cellStyle name="Percent 5 3 2 3 2 3 5" xfId="40629"/>
    <cellStyle name="Percent 5 3 2 3 2 4" xfId="40630"/>
    <cellStyle name="Percent 5 3 2 3 2 4 2" xfId="40631"/>
    <cellStyle name="Percent 5 3 2 3 2 4 3" xfId="40632"/>
    <cellStyle name="Percent 5 3 2 3 2 5" xfId="40633"/>
    <cellStyle name="Percent 5 3 2 3 2 5 2" xfId="40634"/>
    <cellStyle name="Percent 5 3 2 3 2 5 3" xfId="40635"/>
    <cellStyle name="Percent 5 3 2 3 2 6" xfId="40636"/>
    <cellStyle name="Percent 5 3 2 3 2 7" xfId="40637"/>
    <cellStyle name="Percent 5 3 2 3 3" xfId="40638"/>
    <cellStyle name="Percent 5 3 2 3 3 2" xfId="40639"/>
    <cellStyle name="Percent 5 3 2 3 3 2 2" xfId="40640"/>
    <cellStyle name="Percent 5 3 2 3 3 2 2 2" xfId="40641"/>
    <cellStyle name="Percent 5 3 2 3 3 2 2 3" xfId="40642"/>
    <cellStyle name="Percent 5 3 2 3 3 2 3" xfId="40643"/>
    <cellStyle name="Percent 5 3 2 3 3 2 3 2" xfId="40644"/>
    <cellStyle name="Percent 5 3 2 3 3 2 3 3" xfId="40645"/>
    <cellStyle name="Percent 5 3 2 3 3 2 4" xfId="40646"/>
    <cellStyle name="Percent 5 3 2 3 3 2 5" xfId="40647"/>
    <cellStyle name="Percent 5 3 2 3 3 3" xfId="40648"/>
    <cellStyle name="Percent 5 3 2 3 3 3 2" xfId="40649"/>
    <cellStyle name="Percent 5 3 2 3 3 3 2 2" xfId="40650"/>
    <cellStyle name="Percent 5 3 2 3 3 3 2 3" xfId="40651"/>
    <cellStyle name="Percent 5 3 2 3 3 3 3" xfId="40652"/>
    <cellStyle name="Percent 5 3 2 3 3 3 3 2" xfId="40653"/>
    <cellStyle name="Percent 5 3 2 3 3 3 3 3" xfId="40654"/>
    <cellStyle name="Percent 5 3 2 3 3 3 4" xfId="40655"/>
    <cellStyle name="Percent 5 3 2 3 3 3 5" xfId="40656"/>
    <cellStyle name="Percent 5 3 2 3 3 4" xfId="40657"/>
    <cellStyle name="Percent 5 3 2 3 3 4 2" xfId="40658"/>
    <cellStyle name="Percent 5 3 2 3 3 4 3" xfId="40659"/>
    <cellStyle name="Percent 5 3 2 3 3 5" xfId="40660"/>
    <cellStyle name="Percent 5 3 2 3 3 5 2" xfId="40661"/>
    <cellStyle name="Percent 5 3 2 3 3 5 3" xfId="40662"/>
    <cellStyle name="Percent 5 3 2 3 3 6" xfId="40663"/>
    <cellStyle name="Percent 5 3 2 3 3 7" xfId="40664"/>
    <cellStyle name="Percent 5 3 2 3 4" xfId="40665"/>
    <cellStyle name="Percent 5 3 2 3 4 2" xfId="40666"/>
    <cellStyle name="Percent 5 3 2 3 4 2 2" xfId="40667"/>
    <cellStyle name="Percent 5 3 2 3 4 2 3" xfId="40668"/>
    <cellStyle name="Percent 5 3 2 3 4 3" xfId="40669"/>
    <cellStyle name="Percent 5 3 2 3 4 3 2" xfId="40670"/>
    <cellStyle name="Percent 5 3 2 3 4 3 3" xfId="40671"/>
    <cellStyle name="Percent 5 3 2 3 4 4" xfId="40672"/>
    <cellStyle name="Percent 5 3 2 3 4 5" xfId="40673"/>
    <cellStyle name="Percent 5 3 2 3 5" xfId="40674"/>
    <cellStyle name="Percent 5 3 2 3 5 2" xfId="40675"/>
    <cellStyle name="Percent 5 3 2 3 5 2 2" xfId="40676"/>
    <cellStyle name="Percent 5 3 2 3 5 2 3" xfId="40677"/>
    <cellStyle name="Percent 5 3 2 3 5 3" xfId="40678"/>
    <cellStyle name="Percent 5 3 2 3 5 3 2" xfId="40679"/>
    <cellStyle name="Percent 5 3 2 3 5 3 3" xfId="40680"/>
    <cellStyle name="Percent 5 3 2 3 5 4" xfId="40681"/>
    <cellStyle name="Percent 5 3 2 3 5 5" xfId="40682"/>
    <cellStyle name="Percent 5 3 2 3 6" xfId="40683"/>
    <cellStyle name="Percent 5 3 2 3 6 2" xfId="40684"/>
    <cellStyle name="Percent 5 3 2 3 6 3" xfId="40685"/>
    <cellStyle name="Percent 5 3 2 3 7" xfId="40686"/>
    <cellStyle name="Percent 5 3 2 3 7 2" xfId="40687"/>
    <cellStyle name="Percent 5 3 2 3 7 3" xfId="40688"/>
    <cellStyle name="Percent 5 3 2 3 8" xfId="40689"/>
    <cellStyle name="Percent 5 3 2 3 9" xfId="40690"/>
    <cellStyle name="Percent 5 3 2 4" xfId="40691"/>
    <cellStyle name="Percent 5 3 2 4 2" xfId="40692"/>
    <cellStyle name="Percent 5 3 2 4 2 2" xfId="40693"/>
    <cellStyle name="Percent 5 3 2 4 2 2 2" xfId="40694"/>
    <cellStyle name="Percent 5 3 2 4 2 2 3" xfId="40695"/>
    <cellStyle name="Percent 5 3 2 4 2 3" xfId="40696"/>
    <cellStyle name="Percent 5 3 2 4 2 3 2" xfId="40697"/>
    <cellStyle name="Percent 5 3 2 4 2 3 3" xfId="40698"/>
    <cellStyle name="Percent 5 3 2 4 2 4" xfId="40699"/>
    <cellStyle name="Percent 5 3 2 4 2 5" xfId="40700"/>
    <cellStyle name="Percent 5 3 2 4 3" xfId="40701"/>
    <cellStyle name="Percent 5 3 2 4 3 2" xfId="40702"/>
    <cellStyle name="Percent 5 3 2 4 3 2 2" xfId="40703"/>
    <cellStyle name="Percent 5 3 2 4 3 2 3" xfId="40704"/>
    <cellStyle name="Percent 5 3 2 4 3 3" xfId="40705"/>
    <cellStyle name="Percent 5 3 2 4 3 3 2" xfId="40706"/>
    <cellStyle name="Percent 5 3 2 4 3 3 3" xfId="40707"/>
    <cellStyle name="Percent 5 3 2 4 3 4" xfId="40708"/>
    <cellStyle name="Percent 5 3 2 4 3 5" xfId="40709"/>
    <cellStyle name="Percent 5 3 2 4 4" xfId="40710"/>
    <cellStyle name="Percent 5 3 2 4 4 2" xfId="40711"/>
    <cellStyle name="Percent 5 3 2 4 4 3" xfId="40712"/>
    <cellStyle name="Percent 5 3 2 4 5" xfId="40713"/>
    <cellStyle name="Percent 5 3 2 4 5 2" xfId="40714"/>
    <cellStyle name="Percent 5 3 2 4 5 3" xfId="40715"/>
    <cellStyle name="Percent 5 3 2 4 6" xfId="40716"/>
    <cellStyle name="Percent 5 3 2 4 7" xfId="40717"/>
    <cellStyle name="Percent 5 3 2 5" xfId="40718"/>
    <cellStyle name="Percent 5 3 2 5 2" xfId="40719"/>
    <cellStyle name="Percent 5 3 2 5 2 2" xfId="40720"/>
    <cellStyle name="Percent 5 3 2 5 2 2 2" xfId="40721"/>
    <cellStyle name="Percent 5 3 2 5 2 2 3" xfId="40722"/>
    <cellStyle name="Percent 5 3 2 5 2 3" xfId="40723"/>
    <cellStyle name="Percent 5 3 2 5 2 3 2" xfId="40724"/>
    <cellStyle name="Percent 5 3 2 5 2 3 3" xfId="40725"/>
    <cellStyle name="Percent 5 3 2 5 2 4" xfId="40726"/>
    <cellStyle name="Percent 5 3 2 5 2 5" xfId="40727"/>
    <cellStyle name="Percent 5 3 2 5 3" xfId="40728"/>
    <cellStyle name="Percent 5 3 2 5 3 2" xfId="40729"/>
    <cellStyle name="Percent 5 3 2 5 3 2 2" xfId="40730"/>
    <cellStyle name="Percent 5 3 2 5 3 2 3" xfId="40731"/>
    <cellStyle name="Percent 5 3 2 5 3 3" xfId="40732"/>
    <cellStyle name="Percent 5 3 2 5 3 3 2" xfId="40733"/>
    <cellStyle name="Percent 5 3 2 5 3 3 3" xfId="40734"/>
    <cellStyle name="Percent 5 3 2 5 3 4" xfId="40735"/>
    <cellStyle name="Percent 5 3 2 5 3 5" xfId="40736"/>
    <cellStyle name="Percent 5 3 2 5 4" xfId="40737"/>
    <cellStyle name="Percent 5 3 2 5 4 2" xfId="40738"/>
    <cellStyle name="Percent 5 3 2 5 4 3" xfId="40739"/>
    <cellStyle name="Percent 5 3 2 5 5" xfId="40740"/>
    <cellStyle name="Percent 5 3 2 5 5 2" xfId="40741"/>
    <cellStyle name="Percent 5 3 2 5 5 3" xfId="40742"/>
    <cellStyle name="Percent 5 3 2 5 6" xfId="40743"/>
    <cellStyle name="Percent 5 3 2 5 7" xfId="40744"/>
    <cellStyle name="Percent 5 3 2 6" xfId="40745"/>
    <cellStyle name="Percent 5 3 2 6 2" xfId="40746"/>
    <cellStyle name="Percent 5 3 2 6 2 2" xfId="40747"/>
    <cellStyle name="Percent 5 3 2 6 2 3" xfId="40748"/>
    <cellStyle name="Percent 5 3 2 6 3" xfId="40749"/>
    <cellStyle name="Percent 5 3 2 6 3 2" xfId="40750"/>
    <cellStyle name="Percent 5 3 2 6 3 3" xfId="40751"/>
    <cellStyle name="Percent 5 3 2 6 4" xfId="40752"/>
    <cellStyle name="Percent 5 3 2 6 5" xfId="40753"/>
    <cellStyle name="Percent 5 3 2 7" xfId="40754"/>
    <cellStyle name="Percent 5 3 2 7 2" xfId="40755"/>
    <cellStyle name="Percent 5 3 2 7 2 2" xfId="40756"/>
    <cellStyle name="Percent 5 3 2 7 2 3" xfId="40757"/>
    <cellStyle name="Percent 5 3 2 7 3" xfId="40758"/>
    <cellStyle name="Percent 5 3 2 7 3 2" xfId="40759"/>
    <cellStyle name="Percent 5 3 2 7 3 3" xfId="40760"/>
    <cellStyle name="Percent 5 3 2 7 4" xfId="40761"/>
    <cellStyle name="Percent 5 3 2 7 5" xfId="40762"/>
    <cellStyle name="Percent 5 3 2 8" xfId="40763"/>
    <cellStyle name="Percent 5 3 2 8 2" xfId="40764"/>
    <cellStyle name="Percent 5 3 2 8 3" xfId="40765"/>
    <cellStyle name="Percent 5 3 2 9" xfId="40766"/>
    <cellStyle name="Percent 5 3 2 9 2" xfId="40767"/>
    <cellStyle name="Percent 5 3 2 9 3" xfId="40768"/>
    <cellStyle name="Percent 5 4" xfId="40769"/>
    <cellStyle name="Percent 5 5" xfId="40770"/>
    <cellStyle name="Percent 5 6" xfId="40771"/>
    <cellStyle name="Percent 5 7" xfId="40772"/>
    <cellStyle name="Percent 5 8" xfId="40773"/>
    <cellStyle name="Percent 5 9" xfId="40774"/>
    <cellStyle name="Percent 50" xfId="42859"/>
    <cellStyle name="Percent 51" xfId="42896"/>
    <cellStyle name="Percent 52" xfId="42897"/>
    <cellStyle name="Percent 53" xfId="42851"/>
    <cellStyle name="Percent 54" xfId="42854"/>
    <cellStyle name="Percent 55" xfId="40775"/>
    <cellStyle name="Percent 55 2" xfId="40776"/>
    <cellStyle name="Percent 55 2 2" xfId="40777"/>
    <cellStyle name="Percent 55 2 2 2" xfId="40778"/>
    <cellStyle name="Percent 55 2 2 2 2" xfId="40779"/>
    <cellStyle name="Percent 55 2 2 2 3" xfId="40780"/>
    <cellStyle name="Percent 55 2 2 3" xfId="40781"/>
    <cellStyle name="Percent 55 2 2 3 2" xfId="40782"/>
    <cellStyle name="Percent 55 2 2 3 3" xfId="40783"/>
    <cellStyle name="Percent 55 2 2 4" xfId="40784"/>
    <cellStyle name="Percent 55 2 2 5" xfId="40785"/>
    <cellStyle name="Percent 55 2 3" xfId="40786"/>
    <cellStyle name="Percent 55 2 3 2" xfId="40787"/>
    <cellStyle name="Percent 55 2 3 2 2" xfId="40788"/>
    <cellStyle name="Percent 55 2 3 2 3" xfId="40789"/>
    <cellStyle name="Percent 55 2 3 3" xfId="40790"/>
    <cellStyle name="Percent 55 2 3 3 2" xfId="40791"/>
    <cellStyle name="Percent 55 2 3 3 3" xfId="40792"/>
    <cellStyle name="Percent 55 2 3 4" xfId="40793"/>
    <cellStyle name="Percent 55 2 3 5" xfId="40794"/>
    <cellStyle name="Percent 55 2 4" xfId="40795"/>
    <cellStyle name="Percent 55 2 4 2" xfId="40796"/>
    <cellStyle name="Percent 55 2 4 3" xfId="40797"/>
    <cellStyle name="Percent 55 2 5" xfId="40798"/>
    <cellStyle name="Percent 55 2 5 2" xfId="40799"/>
    <cellStyle name="Percent 55 2 5 3" xfId="40800"/>
    <cellStyle name="Percent 55 2 6" xfId="40801"/>
    <cellStyle name="Percent 55 2 7" xfId="40802"/>
    <cellStyle name="Percent 55 3" xfId="40803"/>
    <cellStyle name="Percent 55 3 2" xfId="40804"/>
    <cellStyle name="Percent 55 3 2 2" xfId="40805"/>
    <cellStyle name="Percent 55 3 2 2 2" xfId="40806"/>
    <cellStyle name="Percent 55 3 2 2 3" xfId="40807"/>
    <cellStyle name="Percent 55 3 2 3" xfId="40808"/>
    <cellStyle name="Percent 55 3 2 3 2" xfId="40809"/>
    <cellStyle name="Percent 55 3 2 3 3" xfId="40810"/>
    <cellStyle name="Percent 55 3 2 4" xfId="40811"/>
    <cellStyle name="Percent 55 3 2 5" xfId="40812"/>
    <cellStyle name="Percent 55 3 3" xfId="40813"/>
    <cellStyle name="Percent 55 3 3 2" xfId="40814"/>
    <cellStyle name="Percent 55 3 3 2 2" xfId="40815"/>
    <cellStyle name="Percent 55 3 3 2 3" xfId="40816"/>
    <cellStyle name="Percent 55 3 3 3" xfId="40817"/>
    <cellStyle name="Percent 55 3 3 3 2" xfId="40818"/>
    <cellStyle name="Percent 55 3 3 3 3" xfId="40819"/>
    <cellStyle name="Percent 55 3 3 4" xfId="40820"/>
    <cellStyle name="Percent 55 3 3 5" xfId="40821"/>
    <cellStyle name="Percent 55 3 4" xfId="40822"/>
    <cellStyle name="Percent 55 3 4 2" xfId="40823"/>
    <cellStyle name="Percent 55 3 4 3" xfId="40824"/>
    <cellStyle name="Percent 55 3 5" xfId="40825"/>
    <cellStyle name="Percent 55 3 5 2" xfId="40826"/>
    <cellStyle name="Percent 55 3 5 3" xfId="40827"/>
    <cellStyle name="Percent 55 3 6" xfId="40828"/>
    <cellStyle name="Percent 55 3 7" xfId="40829"/>
    <cellStyle name="Percent 55 4" xfId="40830"/>
    <cellStyle name="Percent 55 4 2" xfId="40831"/>
    <cellStyle name="Percent 55 4 2 2" xfId="40832"/>
    <cellStyle name="Percent 55 4 2 3" xfId="40833"/>
    <cellStyle name="Percent 55 4 3" xfId="40834"/>
    <cellStyle name="Percent 55 4 3 2" xfId="40835"/>
    <cellStyle name="Percent 55 4 3 3" xfId="40836"/>
    <cellStyle name="Percent 55 4 4" xfId="40837"/>
    <cellStyle name="Percent 55 4 5" xfId="40838"/>
    <cellStyle name="Percent 55 5" xfId="40839"/>
    <cellStyle name="Percent 55 5 2" xfId="40840"/>
    <cellStyle name="Percent 55 5 2 2" xfId="40841"/>
    <cellStyle name="Percent 55 5 2 3" xfId="40842"/>
    <cellStyle name="Percent 55 5 3" xfId="40843"/>
    <cellStyle name="Percent 55 5 3 2" xfId="40844"/>
    <cellStyle name="Percent 55 5 3 3" xfId="40845"/>
    <cellStyle name="Percent 55 5 4" xfId="40846"/>
    <cellStyle name="Percent 55 5 5" xfId="40847"/>
    <cellStyle name="Percent 55 6" xfId="40848"/>
    <cellStyle name="Percent 55 6 2" xfId="40849"/>
    <cellStyle name="Percent 55 6 3" xfId="40850"/>
    <cellStyle name="Percent 55 7" xfId="40851"/>
    <cellStyle name="Percent 55 7 2" xfId="40852"/>
    <cellStyle name="Percent 55 7 3" xfId="40853"/>
    <cellStyle name="Percent 55 8" xfId="40854"/>
    <cellStyle name="Percent 55 9" xfId="40855"/>
    <cellStyle name="Percent 56" xfId="40856"/>
    <cellStyle name="Percent 56 2" xfId="40857"/>
    <cellStyle name="Percent 56 2 2" xfId="40858"/>
    <cellStyle name="Percent 56 2 2 2" xfId="40859"/>
    <cellStyle name="Percent 56 2 2 2 2" xfId="40860"/>
    <cellStyle name="Percent 56 2 2 2 3" xfId="40861"/>
    <cellStyle name="Percent 56 2 2 3" xfId="40862"/>
    <cellStyle name="Percent 56 2 2 3 2" xfId="40863"/>
    <cellStyle name="Percent 56 2 2 3 3" xfId="40864"/>
    <cellStyle name="Percent 56 2 2 4" xfId="40865"/>
    <cellStyle name="Percent 56 2 2 5" xfId="40866"/>
    <cellStyle name="Percent 56 2 3" xfId="40867"/>
    <cellStyle name="Percent 56 2 3 2" xfId="40868"/>
    <cellStyle name="Percent 56 2 3 2 2" xfId="40869"/>
    <cellStyle name="Percent 56 2 3 2 3" xfId="40870"/>
    <cellStyle name="Percent 56 2 3 3" xfId="40871"/>
    <cellStyle name="Percent 56 2 3 3 2" xfId="40872"/>
    <cellStyle name="Percent 56 2 3 3 3" xfId="40873"/>
    <cellStyle name="Percent 56 2 3 4" xfId="40874"/>
    <cellStyle name="Percent 56 2 3 5" xfId="40875"/>
    <cellStyle name="Percent 56 2 4" xfId="40876"/>
    <cellStyle name="Percent 56 2 4 2" xfId="40877"/>
    <cellStyle name="Percent 56 2 4 3" xfId="40878"/>
    <cellStyle name="Percent 56 2 5" xfId="40879"/>
    <cellStyle name="Percent 56 2 5 2" xfId="40880"/>
    <cellStyle name="Percent 56 2 5 3" xfId="40881"/>
    <cellStyle name="Percent 56 2 6" xfId="40882"/>
    <cellStyle name="Percent 56 2 7" xfId="40883"/>
    <cellStyle name="Percent 56 3" xfId="40884"/>
    <cellStyle name="Percent 56 3 2" xfId="40885"/>
    <cellStyle name="Percent 56 3 2 2" xfId="40886"/>
    <cellStyle name="Percent 56 3 2 2 2" xfId="40887"/>
    <cellStyle name="Percent 56 3 2 2 3" xfId="40888"/>
    <cellStyle name="Percent 56 3 2 3" xfId="40889"/>
    <cellStyle name="Percent 56 3 2 3 2" xfId="40890"/>
    <cellStyle name="Percent 56 3 2 3 3" xfId="40891"/>
    <cellStyle name="Percent 56 3 2 4" xfId="40892"/>
    <cellStyle name="Percent 56 3 2 5" xfId="40893"/>
    <cellStyle name="Percent 56 3 3" xfId="40894"/>
    <cellStyle name="Percent 56 3 3 2" xfId="40895"/>
    <cellStyle name="Percent 56 3 3 2 2" xfId="40896"/>
    <cellStyle name="Percent 56 3 3 2 3" xfId="40897"/>
    <cellStyle name="Percent 56 3 3 3" xfId="40898"/>
    <cellStyle name="Percent 56 3 3 3 2" xfId="40899"/>
    <cellStyle name="Percent 56 3 3 3 3" xfId="40900"/>
    <cellStyle name="Percent 56 3 3 4" xfId="40901"/>
    <cellStyle name="Percent 56 3 3 5" xfId="40902"/>
    <cellStyle name="Percent 56 3 4" xfId="40903"/>
    <cellStyle name="Percent 56 3 4 2" xfId="40904"/>
    <cellStyle name="Percent 56 3 4 3" xfId="40905"/>
    <cellStyle name="Percent 56 3 5" xfId="40906"/>
    <cellStyle name="Percent 56 3 5 2" xfId="40907"/>
    <cellStyle name="Percent 56 3 5 3" xfId="40908"/>
    <cellStyle name="Percent 56 3 6" xfId="40909"/>
    <cellStyle name="Percent 56 3 7" xfId="40910"/>
    <cellStyle name="Percent 56 4" xfId="40911"/>
    <cellStyle name="Percent 56 4 2" xfId="40912"/>
    <cellStyle name="Percent 56 4 2 2" xfId="40913"/>
    <cellStyle name="Percent 56 4 2 3" xfId="40914"/>
    <cellStyle name="Percent 56 4 3" xfId="40915"/>
    <cellStyle name="Percent 56 4 3 2" xfId="40916"/>
    <cellStyle name="Percent 56 4 3 3" xfId="40917"/>
    <cellStyle name="Percent 56 4 4" xfId="40918"/>
    <cellStyle name="Percent 56 4 5" xfId="40919"/>
    <cellStyle name="Percent 56 5" xfId="40920"/>
    <cellStyle name="Percent 56 5 2" xfId="40921"/>
    <cellStyle name="Percent 56 5 2 2" xfId="40922"/>
    <cellStyle name="Percent 56 5 2 3" xfId="40923"/>
    <cellStyle name="Percent 56 5 3" xfId="40924"/>
    <cellStyle name="Percent 56 5 3 2" xfId="40925"/>
    <cellStyle name="Percent 56 5 3 3" xfId="40926"/>
    <cellStyle name="Percent 56 5 4" xfId="40927"/>
    <cellStyle name="Percent 56 5 5" xfId="40928"/>
    <cellStyle name="Percent 56 6" xfId="40929"/>
    <cellStyle name="Percent 56 6 2" xfId="40930"/>
    <cellStyle name="Percent 56 6 3" xfId="40931"/>
    <cellStyle name="Percent 56 7" xfId="40932"/>
    <cellStyle name="Percent 56 7 2" xfId="40933"/>
    <cellStyle name="Percent 56 7 3" xfId="40934"/>
    <cellStyle name="Percent 56 8" xfId="40935"/>
    <cellStyle name="Percent 56 9" xfId="40936"/>
    <cellStyle name="Percent 57" xfId="42953"/>
    <cellStyle name="Percent 58" xfId="42884"/>
    <cellStyle name="Percent 59" xfId="42885"/>
    <cellStyle name="Percent 6" xfId="40937"/>
    <cellStyle name="Percent 6 10" xfId="40938"/>
    <cellStyle name="Percent 6 11" xfId="40939"/>
    <cellStyle name="Percent 6 12" xfId="40940"/>
    <cellStyle name="Percent 6 13" xfId="40941"/>
    <cellStyle name="Percent 6 14" xfId="40942"/>
    <cellStyle name="Percent 6 15" xfId="40943"/>
    <cellStyle name="Percent 6 16" xfId="40944"/>
    <cellStyle name="Percent 6 17" xfId="40945"/>
    <cellStyle name="Percent 6 18" xfId="40946"/>
    <cellStyle name="Percent 6 19" xfId="40947"/>
    <cellStyle name="Percent 6 2" xfId="40948"/>
    <cellStyle name="Percent 6 2 2" xfId="40949"/>
    <cellStyle name="Percent 6 20" xfId="40950"/>
    <cellStyle name="Percent 6 21" xfId="40951"/>
    <cellStyle name="Percent 6 22" xfId="40952"/>
    <cellStyle name="Percent 6 23" xfId="40953"/>
    <cellStyle name="Percent 6 24" xfId="40954"/>
    <cellStyle name="Percent 6 25" xfId="40955"/>
    <cellStyle name="Percent 6 26" xfId="40956"/>
    <cellStyle name="Percent 6 3" xfId="40957"/>
    <cellStyle name="Percent 6 4" xfId="40958"/>
    <cellStyle name="Percent 6 5" xfId="40959"/>
    <cellStyle name="Percent 6 6" xfId="40960"/>
    <cellStyle name="Percent 6 7" xfId="40961"/>
    <cellStyle name="Percent 6 8" xfId="40962"/>
    <cellStyle name="Percent 6 9" xfId="40963"/>
    <cellStyle name="Percent 60" xfId="42956"/>
    <cellStyle name="Percent 61" xfId="42971"/>
    <cellStyle name="Percent 62" xfId="43139"/>
    <cellStyle name="Percent 63" xfId="43180"/>
    <cellStyle name="Percent 64" xfId="43190"/>
    <cellStyle name="Percent 65" xfId="43172"/>
    <cellStyle name="Percent 66" xfId="43196"/>
    <cellStyle name="Percent 67" xfId="43199"/>
    <cellStyle name="Percent 68" xfId="42974"/>
    <cellStyle name="Percent 69" xfId="43188"/>
    <cellStyle name="Percent 7" xfId="40964"/>
    <cellStyle name="Percent 7 10" xfId="40965"/>
    <cellStyle name="Percent 7 11" xfId="40966"/>
    <cellStyle name="Percent 7 12" xfId="40967"/>
    <cellStyle name="Percent 7 13" xfId="40968"/>
    <cellStyle name="Percent 7 14" xfId="40969"/>
    <cellStyle name="Percent 7 15" xfId="40970"/>
    <cellStyle name="Percent 7 16" xfId="40971"/>
    <cellStyle name="Percent 7 17" xfId="40972"/>
    <cellStyle name="Percent 7 18" xfId="40973"/>
    <cellStyle name="Percent 7 19" xfId="40974"/>
    <cellStyle name="Percent 7 2" xfId="40975"/>
    <cellStyle name="Percent 7 20" xfId="40976"/>
    <cellStyle name="Percent 7 21" xfId="40977"/>
    <cellStyle name="Percent 7 22" xfId="40978"/>
    <cellStyle name="Percent 7 23" xfId="40979"/>
    <cellStyle name="Percent 7 24" xfId="40980"/>
    <cellStyle name="Percent 7 25" xfId="40981"/>
    <cellStyle name="Percent 7 26" xfId="40982"/>
    <cellStyle name="Percent 7 3" xfId="40983"/>
    <cellStyle name="Percent 7 4" xfId="40984"/>
    <cellStyle name="Percent 7 5" xfId="40985"/>
    <cellStyle name="Percent 7 6" xfId="40986"/>
    <cellStyle name="Percent 7 7" xfId="40987"/>
    <cellStyle name="Percent 7 8" xfId="40988"/>
    <cellStyle name="Percent 7 9" xfId="40989"/>
    <cellStyle name="Percent 8" xfId="40990"/>
    <cellStyle name="Percent 8 2" xfId="40991"/>
    <cellStyle name="Percent 8 3" xfId="40992"/>
    <cellStyle name="Percent 9" xfId="40993"/>
    <cellStyle name="Percent 9 2" xfId="40994"/>
    <cellStyle name="Percent 9 3" xfId="40995"/>
    <cellStyle name="Percent 9 3 2" xfId="40996"/>
    <cellStyle name="Percent 9 4" xfId="43133"/>
    <cellStyle name="Percent Hard" xfId="40997"/>
    <cellStyle name="Percent1" xfId="40998"/>
    <cellStyle name="Percent1 2" xfId="40999"/>
    <cellStyle name="Percent1 3" xfId="41000"/>
    <cellStyle name="Percent2" xfId="41001"/>
    <cellStyle name="Percent2 2" xfId="41002"/>
    <cellStyle name="Percent2 3" xfId="41003"/>
    <cellStyle name="PERCENTAGE" xfId="41004"/>
    <cellStyle name="PERCENTAGE 2" xfId="41005"/>
    <cellStyle name="PERCENTAGE_2011 Ad to Sales 11 26 10" xfId="41006"/>
    <cellStyle name="PercentChange" xfId="41007"/>
    <cellStyle name="Perlong" xfId="41008"/>
    <cellStyle name="PerShare" xfId="41009"/>
    <cellStyle name="PrePop Currency (0)" xfId="41010"/>
    <cellStyle name="PrePop Currency (2)" xfId="41011"/>
    <cellStyle name="PrePop Units (0)" xfId="41012"/>
    <cellStyle name="PrePop Units (1)" xfId="41013"/>
    <cellStyle name="PrePop Units (2)" xfId="41014"/>
    <cellStyle name="Price" xfId="41015"/>
    <cellStyle name="PriceUn" xfId="41016"/>
    <cellStyle name="protect" xfId="41017"/>
    <cellStyle name="Protected" xfId="41018"/>
    <cellStyle name="Protected 2" xfId="41019"/>
    <cellStyle name="Protected 3" xfId="41020"/>
    <cellStyle name="PSChar" xfId="41021"/>
    <cellStyle name="PSChar 2" xfId="41022"/>
    <cellStyle name="PSChar 3" xfId="41023"/>
    <cellStyle name="PSChar 4" xfId="41024"/>
    <cellStyle name="PSChar 5" xfId="41025"/>
    <cellStyle name="PSChar 6" xfId="41026"/>
    <cellStyle name="PSDate" xfId="41027"/>
    <cellStyle name="PSDate 2" xfId="41028"/>
    <cellStyle name="PSDate 3" xfId="41029"/>
    <cellStyle name="PSDate 4" xfId="41030"/>
    <cellStyle name="PSDate 5" xfId="41031"/>
    <cellStyle name="PSDate 6" xfId="41032"/>
    <cellStyle name="PSDec" xfId="41033"/>
    <cellStyle name="PSDec 2" xfId="41034"/>
    <cellStyle name="PSDec 3" xfId="41035"/>
    <cellStyle name="PSDec 4" xfId="41036"/>
    <cellStyle name="PSDec 5" xfId="41037"/>
    <cellStyle name="PSDec 6" xfId="41038"/>
    <cellStyle name="PSHeading" xfId="41039"/>
    <cellStyle name="PSHeading 2" xfId="41040"/>
    <cellStyle name="PSHeading 3" xfId="41041"/>
    <cellStyle name="PSHeading 4" xfId="41042"/>
    <cellStyle name="PSHeading 5" xfId="41043"/>
    <cellStyle name="PSHeading 6" xfId="41044"/>
    <cellStyle name="PSInt" xfId="41045"/>
    <cellStyle name="PSInt 2" xfId="41046"/>
    <cellStyle name="PSInt 3" xfId="41047"/>
    <cellStyle name="PSInt 4" xfId="41048"/>
    <cellStyle name="PSInt 5" xfId="41049"/>
    <cellStyle name="PSInt 6" xfId="41050"/>
    <cellStyle name="PSSpacer" xfId="41051"/>
    <cellStyle name="PSSpacer 2" xfId="41052"/>
    <cellStyle name="PSSpacer 3" xfId="41053"/>
    <cellStyle name="PSSpacer 4" xfId="41054"/>
    <cellStyle name="PSSpacer 5" xfId="41055"/>
    <cellStyle name="PSSpacer 6" xfId="41056"/>
    <cellStyle name="q" xfId="41057"/>
    <cellStyle name="q_DCF-Valuation Support" xfId="41058"/>
    <cellStyle name="q_ICOS-INC" xfId="41059"/>
    <cellStyle name="q_ICOS-INC (2)" xfId="41060"/>
    <cellStyle name="q_Merger Model16.xls Chart 1" xfId="41061"/>
    <cellStyle name="q_Merger Model34b" xfId="41062"/>
    <cellStyle name="q_Merger Model34b_198102_15" xfId="41063"/>
    <cellStyle name="QEPS-h" xfId="41064"/>
    <cellStyle name="QEPS-H1" xfId="41065"/>
    <cellStyle name="r" xfId="41066"/>
    <cellStyle name="r_pldt" xfId="41067"/>
    <cellStyle name="r_Public Trading Comp Sheet New" xfId="41068"/>
    <cellStyle name="r_Public Trading Comp Sheet New_198102_15" xfId="41069"/>
    <cellStyle name="range" xfId="41070"/>
    <cellStyle name="range 2" xfId="41071"/>
    <cellStyle name="range 2 2" xfId="41072"/>
    <cellStyle name="range 2 2 2" xfId="41073"/>
    <cellStyle name="range 2 3" xfId="41074"/>
    <cellStyle name="range 3" xfId="41075"/>
    <cellStyle name="range 3 2" xfId="41076"/>
    <cellStyle name="range 4" xfId="41077"/>
    <cellStyle name="Rate" xfId="41078"/>
    <cellStyle name="RatioX" xfId="41079"/>
    <cellStyle name="Regular" xfId="41080"/>
    <cellStyle name="ReportTitle" xfId="41081"/>
    <cellStyle name="ReportTitle1" xfId="41082"/>
    <cellStyle name="ReportTitle2" xfId="41083"/>
    <cellStyle name="ReportTitlePrompt" xfId="41084"/>
    <cellStyle name="ReportTitlePrompt 2" xfId="41085"/>
    <cellStyle name="ReportTitleValue" xfId="41086"/>
    <cellStyle name="ReportTitleValue 10" xfId="41087"/>
    <cellStyle name="ReportTitleValue 11" xfId="41088"/>
    <cellStyle name="ReportTitleValue 12" xfId="41089"/>
    <cellStyle name="ReportTitleValue 13" xfId="41090"/>
    <cellStyle name="ReportTitleValue 14" xfId="41091"/>
    <cellStyle name="ReportTitleValue 15" xfId="41092"/>
    <cellStyle name="ReportTitleValue 16" xfId="41093"/>
    <cellStyle name="ReportTitleValue 17" xfId="41094"/>
    <cellStyle name="ReportTitleValue 18" xfId="41095"/>
    <cellStyle name="ReportTitleValue 19" xfId="41096"/>
    <cellStyle name="ReportTitleValue 2" xfId="41097"/>
    <cellStyle name="ReportTitleValue 20" xfId="41098"/>
    <cellStyle name="ReportTitleValue 21" xfId="41099"/>
    <cellStyle name="ReportTitleValue 22" xfId="41100"/>
    <cellStyle name="ReportTitleValue 23" xfId="41101"/>
    <cellStyle name="ReportTitleValue 24" xfId="41102"/>
    <cellStyle name="ReportTitleValue 25" xfId="41103"/>
    <cellStyle name="ReportTitleValue 26" xfId="41104"/>
    <cellStyle name="ReportTitleValue 27" xfId="41105"/>
    <cellStyle name="ReportTitleValue 3" xfId="41106"/>
    <cellStyle name="ReportTitleValue 4" xfId="41107"/>
    <cellStyle name="ReportTitleValue 5" xfId="41108"/>
    <cellStyle name="ReportTitleValue 6" xfId="41109"/>
    <cellStyle name="ReportTitleValue 7" xfId="41110"/>
    <cellStyle name="ReportTitleValue 8" xfId="41111"/>
    <cellStyle name="ReportTitleValue 9" xfId="41112"/>
    <cellStyle name="RevList" xfId="41113"/>
    <cellStyle name="Right" xfId="41114"/>
    <cellStyle name="Round" xfId="41115"/>
    <cellStyle name="RowAcctAbovePrompt" xfId="41116"/>
    <cellStyle name="RowAcctAbovePrompt 2" xfId="41117"/>
    <cellStyle name="RowAcctSOBAbovePrompt" xfId="41118"/>
    <cellStyle name="RowAcctSOBAbovePrompt 2" xfId="41119"/>
    <cellStyle name="RowAcctSOBValue" xfId="41120"/>
    <cellStyle name="RowAcctSOBValue 2" xfId="41121"/>
    <cellStyle name="RowAcctValue" xfId="41122"/>
    <cellStyle name="RowAcctValue 2" xfId="41123"/>
    <cellStyle name="RowAttrAbovePrompt" xfId="41124"/>
    <cellStyle name="RowAttrAbovePrompt 2" xfId="41125"/>
    <cellStyle name="RowAttrValue" xfId="41126"/>
    <cellStyle name="RowAttrValue 2" xfId="41127"/>
    <cellStyle name="RowColSetAbovePrompt" xfId="41128"/>
    <cellStyle name="RowColSetAbovePrompt 2" xfId="41129"/>
    <cellStyle name="RowColSetLeftPrompt" xfId="41130"/>
    <cellStyle name="RowColSetLeftPrompt 2" xfId="41131"/>
    <cellStyle name="RowColSetValue" xfId="41132"/>
    <cellStyle name="RowColSetValue 2" xfId="41133"/>
    <cellStyle name="RowLeftPrompt" xfId="41134"/>
    <cellStyle name="RowLeftPrompt 2" xfId="41135"/>
    <cellStyle name="Salomon Logo" xfId="41136"/>
    <cellStyle name="SampleUsingFormatMask" xfId="41137"/>
    <cellStyle name="SampleUsingFormatMask 2" xfId="41138"/>
    <cellStyle name="SampleWithNoFormatMask" xfId="41139"/>
    <cellStyle name="SampleWithNoFormatMask 2" xfId="41140"/>
    <cellStyle name="SAPBEXaggData" xfId="41141"/>
    <cellStyle name="SAPBEXaggData 2" xfId="41142"/>
    <cellStyle name="SAPBEXaggData 2 2" xfId="41143"/>
    <cellStyle name="SAPBEXaggData 2 2 2" xfId="41144"/>
    <cellStyle name="SAPBEXaggData 2 2 2 2" xfId="41145"/>
    <cellStyle name="SAPBEXaggData 2 2 2 3" xfId="41146"/>
    <cellStyle name="SAPBEXaggData 2 2 3" xfId="41147"/>
    <cellStyle name="SAPBEXaggData 2 2 4" xfId="41148"/>
    <cellStyle name="SAPBEXaggData 2 3" xfId="41149"/>
    <cellStyle name="SAPBEXaggData 2 4" xfId="41150"/>
    <cellStyle name="SAPBEXaggData 3" xfId="41151"/>
    <cellStyle name="SAPBEXaggData 3 2" xfId="41152"/>
    <cellStyle name="SAPBEXaggData 3 2 2" xfId="41153"/>
    <cellStyle name="SAPBEXaggData 3 2 3" xfId="41154"/>
    <cellStyle name="SAPBEXaggData 3 3" xfId="41155"/>
    <cellStyle name="SAPBEXaggData 3 4" xfId="41156"/>
    <cellStyle name="SAPBEXaggData 4" xfId="41157"/>
    <cellStyle name="SAPBEXaggData 5" xfId="41158"/>
    <cellStyle name="SAPBEXaggData_2011 January Forecast Feb 11 copy" xfId="41159"/>
    <cellStyle name="SAPBEXaggDataEmph" xfId="41160"/>
    <cellStyle name="SAPBEXaggDataEmph 2" xfId="41161"/>
    <cellStyle name="SAPBEXaggDataEmph 2 2" xfId="41162"/>
    <cellStyle name="SAPBEXaggDataEmph 2 2 2" xfId="41163"/>
    <cellStyle name="SAPBEXaggDataEmph 2 2 3" xfId="41164"/>
    <cellStyle name="SAPBEXaggDataEmph 2 3" xfId="41165"/>
    <cellStyle name="SAPBEXaggDataEmph 2 4" xfId="41166"/>
    <cellStyle name="SAPBEXaggDataEmph 3" xfId="41167"/>
    <cellStyle name="SAPBEXaggDataEmph 4" xfId="41168"/>
    <cellStyle name="SAPBEXaggItem" xfId="41169"/>
    <cellStyle name="SAPBEXaggItem 2" xfId="41170"/>
    <cellStyle name="SAPBEXaggItem 2 2" xfId="41171"/>
    <cellStyle name="SAPBEXaggItem 2 2 2" xfId="41172"/>
    <cellStyle name="SAPBEXaggItem 2 2 3" xfId="41173"/>
    <cellStyle name="SAPBEXaggItem 2 3" xfId="41174"/>
    <cellStyle name="SAPBEXaggItem 2 4" xfId="41175"/>
    <cellStyle name="SAPBEXaggItem 3" xfId="41176"/>
    <cellStyle name="SAPBEXaggItem 4" xfId="41177"/>
    <cellStyle name="SAPBEXaggItemX" xfId="41178"/>
    <cellStyle name="SAPBEXaggItemX 2" xfId="41179"/>
    <cellStyle name="SAPBEXaggItemX 2 2" xfId="41180"/>
    <cellStyle name="SAPBEXaggItemX 2 2 2" xfId="41181"/>
    <cellStyle name="SAPBEXaggItemX 2 2 2 2" xfId="41182"/>
    <cellStyle name="SAPBEXaggItemX 2 2 2 3" xfId="41183"/>
    <cellStyle name="SAPBEXaggItemX 2 2 3" xfId="41184"/>
    <cellStyle name="SAPBEXaggItemX 2 2 4" xfId="41185"/>
    <cellStyle name="SAPBEXaggItemX 2 3" xfId="41186"/>
    <cellStyle name="SAPBEXaggItemX 2 4" xfId="41187"/>
    <cellStyle name="SAPBEXaggItemX 3" xfId="41188"/>
    <cellStyle name="SAPBEXaggItemX 3 2" xfId="41189"/>
    <cellStyle name="SAPBEXaggItemX 3 2 2" xfId="41190"/>
    <cellStyle name="SAPBEXaggItemX 3 2 3" xfId="41191"/>
    <cellStyle name="SAPBEXaggItemX 3 3" xfId="41192"/>
    <cellStyle name="SAPBEXaggItemX 3 4" xfId="41193"/>
    <cellStyle name="SAPBEXaggItemX 4" xfId="41194"/>
    <cellStyle name="SAPBEXaggItemX 5" xfId="41195"/>
    <cellStyle name="SAPBEXaggItemX_2011 January Forecast Feb 11 copy" xfId="41196"/>
    <cellStyle name="SAPBEXchaText" xfId="41197"/>
    <cellStyle name="SAPBEXchaText 2" xfId="41198"/>
    <cellStyle name="SAPBEXchaText 2 2" xfId="41199"/>
    <cellStyle name="SAPBEXchaText 2 2 2" xfId="41200"/>
    <cellStyle name="SAPBEXchaText 2 2 2 2" xfId="41201"/>
    <cellStyle name="SAPBEXchaText 2 2 2 2 2" xfId="41202"/>
    <cellStyle name="SAPBEXchaText 2 2 2 2 3" xfId="41203"/>
    <cellStyle name="SAPBEXchaText 2 2 2 3" xfId="41204"/>
    <cellStyle name="SAPBEXchaText 2 2 2 4" xfId="41205"/>
    <cellStyle name="SAPBEXchaText 2 2 3" xfId="41206"/>
    <cellStyle name="SAPBEXchaText 2 2 4" xfId="41207"/>
    <cellStyle name="SAPBEXchaText 2 3" xfId="41208"/>
    <cellStyle name="SAPBEXchaText 2 3 2" xfId="41209"/>
    <cellStyle name="SAPBEXchaText 2 3 2 2" xfId="41210"/>
    <cellStyle name="SAPBEXchaText 2 3 2 3" xfId="41211"/>
    <cellStyle name="SAPBEXchaText 2 3 3" xfId="41212"/>
    <cellStyle name="SAPBEXchaText 2 3 4" xfId="41213"/>
    <cellStyle name="SAPBEXchaText 2 4" xfId="41214"/>
    <cellStyle name="SAPBEXchaText 2 5" xfId="41215"/>
    <cellStyle name="SAPBEXchaText 3" xfId="41216"/>
    <cellStyle name="SAPBEXchaText 3 2" xfId="41217"/>
    <cellStyle name="SAPBEXchaText 3 2 2" xfId="41218"/>
    <cellStyle name="SAPBEXchaText 3 2 2 2" xfId="41219"/>
    <cellStyle name="SAPBEXchaText 3 2 2 3" xfId="41220"/>
    <cellStyle name="SAPBEXchaText 3 2 3" xfId="41221"/>
    <cellStyle name="SAPBEXchaText 3 2 4" xfId="41222"/>
    <cellStyle name="SAPBEXchaText 3 3" xfId="41223"/>
    <cellStyle name="SAPBEXchaText 3 4" xfId="41224"/>
    <cellStyle name="SAPBEXchaText 4" xfId="41225"/>
    <cellStyle name="SAPBEXchaText 4 2" xfId="41226"/>
    <cellStyle name="SAPBEXchaText 4 2 2" xfId="41227"/>
    <cellStyle name="SAPBEXchaText 4 2 3" xfId="41228"/>
    <cellStyle name="SAPBEXchaText 4 3" xfId="41229"/>
    <cellStyle name="SAPBEXchaText 4 4" xfId="41230"/>
    <cellStyle name="SAPBEXchaText 5" xfId="41231"/>
    <cellStyle name="SAPBEXchaText 6" xfId="41232"/>
    <cellStyle name="SAPBEXchaText_2011 Ad to Sales 11 26 10" xfId="41233"/>
    <cellStyle name="SAPBEXexcBad7" xfId="41234"/>
    <cellStyle name="SAPBEXexcBad7 2" xfId="41235"/>
    <cellStyle name="SAPBEXexcBad7 2 2" xfId="41236"/>
    <cellStyle name="SAPBEXexcBad7 2 2 2" xfId="41237"/>
    <cellStyle name="SAPBEXexcBad7 2 2 3" xfId="41238"/>
    <cellStyle name="SAPBEXexcBad7 2 3" xfId="41239"/>
    <cellStyle name="SAPBEXexcBad7 2 4" xfId="41240"/>
    <cellStyle name="SAPBEXexcBad7 3" xfId="41241"/>
    <cellStyle name="SAPBEXexcBad7 4" xfId="41242"/>
    <cellStyle name="SAPBEXexcBad8" xfId="41243"/>
    <cellStyle name="SAPBEXexcBad8 2" xfId="41244"/>
    <cellStyle name="SAPBEXexcBad8 2 2" xfId="41245"/>
    <cellStyle name="SAPBEXexcBad8 2 2 2" xfId="41246"/>
    <cellStyle name="SAPBEXexcBad8 2 2 3" xfId="41247"/>
    <cellStyle name="SAPBEXexcBad8 2 3" xfId="41248"/>
    <cellStyle name="SAPBEXexcBad8 2 4" xfId="41249"/>
    <cellStyle name="SAPBEXexcBad8 3" xfId="41250"/>
    <cellStyle name="SAPBEXexcBad8 4" xfId="41251"/>
    <cellStyle name="SAPBEXexcBad9" xfId="41252"/>
    <cellStyle name="SAPBEXexcBad9 2" xfId="41253"/>
    <cellStyle name="SAPBEXexcBad9 2 2" xfId="41254"/>
    <cellStyle name="SAPBEXexcBad9 2 2 2" xfId="41255"/>
    <cellStyle name="SAPBEXexcBad9 2 2 3" xfId="41256"/>
    <cellStyle name="SAPBEXexcBad9 2 3" xfId="41257"/>
    <cellStyle name="SAPBEXexcBad9 2 4" xfId="41258"/>
    <cellStyle name="SAPBEXexcBad9 3" xfId="41259"/>
    <cellStyle name="SAPBEXexcBad9 4" xfId="41260"/>
    <cellStyle name="SAPBEXexcCritical4" xfId="41261"/>
    <cellStyle name="SAPBEXexcCritical4 2" xfId="41262"/>
    <cellStyle name="SAPBEXexcCritical4 2 2" xfId="41263"/>
    <cellStyle name="SAPBEXexcCritical4 2 2 2" xfId="41264"/>
    <cellStyle name="SAPBEXexcCritical4 2 2 3" xfId="41265"/>
    <cellStyle name="SAPBEXexcCritical4 2 3" xfId="41266"/>
    <cellStyle name="SAPBEXexcCritical4 2 4" xfId="41267"/>
    <cellStyle name="SAPBEXexcCritical4 3" xfId="41268"/>
    <cellStyle name="SAPBEXexcCritical4 4" xfId="41269"/>
    <cellStyle name="SAPBEXexcCritical5" xfId="41270"/>
    <cellStyle name="SAPBEXexcCritical5 2" xfId="41271"/>
    <cellStyle name="SAPBEXexcCritical5 2 2" xfId="41272"/>
    <cellStyle name="SAPBEXexcCritical5 2 2 2" xfId="41273"/>
    <cellStyle name="SAPBEXexcCritical5 2 2 3" xfId="41274"/>
    <cellStyle name="SAPBEXexcCritical5 2 3" xfId="41275"/>
    <cellStyle name="SAPBEXexcCritical5 2 4" xfId="41276"/>
    <cellStyle name="SAPBEXexcCritical5 3" xfId="41277"/>
    <cellStyle name="SAPBEXexcCritical5 4" xfId="41278"/>
    <cellStyle name="SAPBEXexcCritical6" xfId="41279"/>
    <cellStyle name="SAPBEXexcCritical6 2" xfId="41280"/>
    <cellStyle name="SAPBEXexcCritical6 2 2" xfId="41281"/>
    <cellStyle name="SAPBEXexcCritical6 2 2 2" xfId="41282"/>
    <cellStyle name="SAPBEXexcCritical6 2 2 3" xfId="41283"/>
    <cellStyle name="SAPBEXexcCritical6 2 3" xfId="41284"/>
    <cellStyle name="SAPBEXexcCritical6 2 4" xfId="41285"/>
    <cellStyle name="SAPBEXexcCritical6 3" xfId="41286"/>
    <cellStyle name="SAPBEXexcCritical6 4" xfId="41287"/>
    <cellStyle name="SAPBEXexcGood1" xfId="41288"/>
    <cellStyle name="SAPBEXexcGood1 2" xfId="41289"/>
    <cellStyle name="SAPBEXexcGood1 2 2" xfId="41290"/>
    <cellStyle name="SAPBEXexcGood1 2 2 2" xfId="41291"/>
    <cellStyle name="SAPBEXexcGood1 2 2 3" xfId="41292"/>
    <cellStyle name="SAPBEXexcGood1 2 3" xfId="41293"/>
    <cellStyle name="SAPBEXexcGood1 2 4" xfId="41294"/>
    <cellStyle name="SAPBEXexcGood1 3" xfId="41295"/>
    <cellStyle name="SAPBEXexcGood1 4" xfId="41296"/>
    <cellStyle name="SAPBEXexcGood2" xfId="41297"/>
    <cellStyle name="SAPBEXexcGood2 2" xfId="41298"/>
    <cellStyle name="SAPBEXexcGood2 2 2" xfId="41299"/>
    <cellStyle name="SAPBEXexcGood2 2 2 2" xfId="41300"/>
    <cellStyle name="SAPBEXexcGood2 2 2 3" xfId="41301"/>
    <cellStyle name="SAPBEXexcGood2 2 3" xfId="41302"/>
    <cellStyle name="SAPBEXexcGood2 2 4" xfId="41303"/>
    <cellStyle name="SAPBEXexcGood2 3" xfId="41304"/>
    <cellStyle name="SAPBEXexcGood2 4" xfId="41305"/>
    <cellStyle name="SAPBEXexcGood3" xfId="41306"/>
    <cellStyle name="SAPBEXexcGood3 2" xfId="41307"/>
    <cellStyle name="SAPBEXexcGood3 2 2" xfId="41308"/>
    <cellStyle name="SAPBEXexcGood3 2 2 2" xfId="41309"/>
    <cellStyle name="SAPBEXexcGood3 2 2 3" xfId="41310"/>
    <cellStyle name="SAPBEXexcGood3 2 3" xfId="41311"/>
    <cellStyle name="SAPBEXexcGood3 2 4" xfId="41312"/>
    <cellStyle name="SAPBEXexcGood3 3" xfId="41313"/>
    <cellStyle name="SAPBEXexcGood3 4" xfId="41314"/>
    <cellStyle name="SAPBEXfilterDrill" xfId="41315"/>
    <cellStyle name="SAPBEXfilterDrill 2" xfId="41316"/>
    <cellStyle name="SAPBEXfilterDrill 2 2" xfId="41317"/>
    <cellStyle name="SAPBEXfilterDrill 2 2 2" xfId="41318"/>
    <cellStyle name="SAPBEXfilterDrill 2 2 3" xfId="41319"/>
    <cellStyle name="SAPBEXfilterDrill 2 3" xfId="41320"/>
    <cellStyle name="SAPBEXfilterDrill 2 4" xfId="41321"/>
    <cellStyle name="SAPBEXfilterDrill 3" xfId="41322"/>
    <cellStyle name="SAPBEXfilterDrill 4" xfId="41323"/>
    <cellStyle name="SAPBEXfilterItem" xfId="41324"/>
    <cellStyle name="SAPBEXfilterItem 2" xfId="41325"/>
    <cellStyle name="SAPBEXfilterItem 2 2" xfId="41326"/>
    <cellStyle name="SAPBEXfilterItem 2 2 2" xfId="41327"/>
    <cellStyle name="SAPBEXfilterItem 2 2 2 2" xfId="41328"/>
    <cellStyle name="SAPBEXfilterItem 2 2 2 3" xfId="41329"/>
    <cellStyle name="SAPBEXfilterItem 2 2 3" xfId="41330"/>
    <cellStyle name="SAPBEXfilterItem 2 2 4" xfId="41331"/>
    <cellStyle name="SAPBEXfilterItem 3" xfId="41332"/>
    <cellStyle name="SAPBEXfilterItem 3 2" xfId="41333"/>
    <cellStyle name="SAPBEXfilterItem 3 2 2" xfId="41334"/>
    <cellStyle name="SAPBEXfilterItem 3 2 3" xfId="41335"/>
    <cellStyle name="SAPBEXfilterItem 3 3" xfId="41336"/>
    <cellStyle name="SAPBEXfilterItem 3 4" xfId="41337"/>
    <cellStyle name="SAPBEXfilterItem_2011 Ad to Sales 11 26 10" xfId="41338"/>
    <cellStyle name="SAPBEXfilterText" xfId="41339"/>
    <cellStyle name="SAPBEXformats" xfId="41340"/>
    <cellStyle name="SAPBEXformats 2" xfId="41341"/>
    <cellStyle name="SAPBEXformats 2 2" xfId="41342"/>
    <cellStyle name="SAPBEXformats 2 2 2" xfId="41343"/>
    <cellStyle name="SAPBEXformats 2 2 2 2" xfId="41344"/>
    <cellStyle name="SAPBEXformats 2 2 2 3" xfId="41345"/>
    <cellStyle name="SAPBEXformats 2 2 3" xfId="41346"/>
    <cellStyle name="SAPBEXformats 2 2 4" xfId="41347"/>
    <cellStyle name="SAPBEXformats 2 3" xfId="41348"/>
    <cellStyle name="SAPBEXformats 2 4" xfId="41349"/>
    <cellStyle name="SAPBEXformats 3" xfId="41350"/>
    <cellStyle name="SAPBEXformats 3 2" xfId="41351"/>
    <cellStyle name="SAPBEXformats 3 2 2" xfId="41352"/>
    <cellStyle name="SAPBEXformats 3 2 2 2" xfId="41353"/>
    <cellStyle name="SAPBEXformats 3 2 2 3" xfId="41354"/>
    <cellStyle name="SAPBEXformats 3 2 3" xfId="41355"/>
    <cellStyle name="SAPBEXformats 3 2 4" xfId="41356"/>
    <cellStyle name="SAPBEXformats 3 3" xfId="41357"/>
    <cellStyle name="SAPBEXformats 3 4" xfId="41358"/>
    <cellStyle name="SAPBEXformats 4" xfId="41359"/>
    <cellStyle name="SAPBEXformats 4 2" xfId="41360"/>
    <cellStyle name="SAPBEXformats 4 2 2" xfId="41361"/>
    <cellStyle name="SAPBEXformats 4 2 3" xfId="41362"/>
    <cellStyle name="SAPBEXformats 4 3" xfId="41363"/>
    <cellStyle name="SAPBEXformats 4 4" xfId="41364"/>
    <cellStyle name="SAPBEXformats 5" xfId="41365"/>
    <cellStyle name="SAPBEXformats 6" xfId="41366"/>
    <cellStyle name="SAPBEXheaderItem" xfId="41367"/>
    <cellStyle name="SAPBEXheaderItem 2" xfId="41368"/>
    <cellStyle name="SAPBEXheaderItem 2 2" xfId="41369"/>
    <cellStyle name="SAPBEXheaderItem 2 2 2" xfId="41370"/>
    <cellStyle name="SAPBEXheaderItem 2 2 2 2" xfId="41371"/>
    <cellStyle name="SAPBEXheaderItem 2 2 2 3" xfId="41372"/>
    <cellStyle name="SAPBEXheaderItem 2 2 3" xfId="41373"/>
    <cellStyle name="SAPBEXheaderItem 2 2 4" xfId="41374"/>
    <cellStyle name="SAPBEXheaderItem 2 3" xfId="41375"/>
    <cellStyle name="SAPBEXheaderItem 2 4" xfId="41376"/>
    <cellStyle name="SAPBEXheaderItem 3" xfId="41377"/>
    <cellStyle name="SAPBEXheaderItem 3 2" xfId="41378"/>
    <cellStyle name="SAPBEXheaderItem 3 2 2" xfId="41379"/>
    <cellStyle name="SAPBEXheaderItem 3 2 3" xfId="41380"/>
    <cellStyle name="SAPBEXheaderItem 3 3" xfId="41381"/>
    <cellStyle name="SAPBEXheaderItem 3 4" xfId="41382"/>
    <cellStyle name="SAPBEXheaderItem 4" xfId="41383"/>
    <cellStyle name="SAPBEXheaderItem 5" xfId="41384"/>
    <cellStyle name="SAPBEXheaderItem_2011 Ad to Sales 11 26 10" xfId="41385"/>
    <cellStyle name="SAPBEXheaderText" xfId="41386"/>
    <cellStyle name="SAPBEXheaderText 2" xfId="41387"/>
    <cellStyle name="SAPBEXheaderText 2 2" xfId="41388"/>
    <cellStyle name="SAPBEXheaderText 2 2 2" xfId="41389"/>
    <cellStyle name="SAPBEXheaderText 2 2 2 2" xfId="41390"/>
    <cellStyle name="SAPBEXheaderText 2 2 2 3" xfId="41391"/>
    <cellStyle name="SAPBEXheaderText 2 2 3" xfId="41392"/>
    <cellStyle name="SAPBEXheaderText 2 2 4" xfId="41393"/>
    <cellStyle name="SAPBEXheaderText 2 3" xfId="41394"/>
    <cellStyle name="SAPBEXheaderText 2 4" xfId="41395"/>
    <cellStyle name="SAPBEXheaderText 3" xfId="41396"/>
    <cellStyle name="SAPBEXheaderText 3 2" xfId="41397"/>
    <cellStyle name="SAPBEXheaderText 3 2 2" xfId="41398"/>
    <cellStyle name="SAPBEXheaderText 3 2 3" xfId="41399"/>
    <cellStyle name="SAPBEXheaderText 3 3" xfId="41400"/>
    <cellStyle name="SAPBEXheaderText 3 4" xfId="41401"/>
    <cellStyle name="SAPBEXheaderText 4" xfId="41402"/>
    <cellStyle name="SAPBEXheaderText 5" xfId="41403"/>
    <cellStyle name="SAPBEXheaderText_2011 Ad to Sales 11 26 10" xfId="41404"/>
    <cellStyle name="SAPBEXHLevel0" xfId="41405"/>
    <cellStyle name="SAPBEXHLevel0 2" xfId="41406"/>
    <cellStyle name="SAPBEXHLevel0 2 2" xfId="41407"/>
    <cellStyle name="SAPBEXHLevel0 2 2 2" xfId="41408"/>
    <cellStyle name="SAPBEXHLevel0 2 2 2 2" xfId="41409"/>
    <cellStyle name="SAPBEXHLevel0 2 2 2 3" xfId="41410"/>
    <cellStyle name="SAPBEXHLevel0 2 2 3" xfId="41411"/>
    <cellStyle name="SAPBEXHLevel0 2 2 4" xfId="41412"/>
    <cellStyle name="SAPBEXHLevel0 2 3" xfId="41413"/>
    <cellStyle name="SAPBEXHLevel0 2 4" xfId="41414"/>
    <cellStyle name="SAPBEXHLevel0 3" xfId="41415"/>
    <cellStyle name="SAPBEXHLevel0 3 2" xfId="41416"/>
    <cellStyle name="SAPBEXHLevel0 3 2 2" xfId="41417"/>
    <cellStyle name="SAPBEXHLevel0 3 2 2 2" xfId="41418"/>
    <cellStyle name="SAPBEXHLevel0 3 2 2 3" xfId="41419"/>
    <cellStyle name="SAPBEXHLevel0 3 2 3" xfId="41420"/>
    <cellStyle name="SAPBEXHLevel0 3 2 4" xfId="41421"/>
    <cellStyle name="SAPBEXHLevel0 3 3" xfId="41422"/>
    <cellStyle name="SAPBEXHLevel0 3 4" xfId="41423"/>
    <cellStyle name="SAPBEXHLevel0 4" xfId="41424"/>
    <cellStyle name="SAPBEXHLevel0 4 2" xfId="41425"/>
    <cellStyle name="SAPBEXHLevel0 4 2 2" xfId="41426"/>
    <cellStyle name="SAPBEXHLevel0 4 2 3" xfId="41427"/>
    <cellStyle name="SAPBEXHLevel0 4 3" xfId="41428"/>
    <cellStyle name="SAPBEXHLevel0 4 4" xfId="41429"/>
    <cellStyle name="SAPBEXHLevel0 5" xfId="41430"/>
    <cellStyle name="SAPBEXHLevel0 6" xfId="41431"/>
    <cellStyle name="SAPBEXHLevel0X" xfId="41432"/>
    <cellStyle name="SAPBEXHLevel0X 2" xfId="41433"/>
    <cellStyle name="SAPBEXHLevel0X 2 2" xfId="41434"/>
    <cellStyle name="SAPBEXHLevel0X 2 2 2" xfId="41435"/>
    <cellStyle name="SAPBEXHLevel0X 2 2 2 2" xfId="41436"/>
    <cellStyle name="SAPBEXHLevel0X 2 2 2 3" xfId="41437"/>
    <cellStyle name="SAPBEXHLevel0X 2 2 3" xfId="41438"/>
    <cellStyle name="SAPBEXHLevel0X 2 2 4" xfId="41439"/>
    <cellStyle name="SAPBEXHLevel0X 2 3" xfId="41440"/>
    <cellStyle name="SAPBEXHLevel0X 2 4" xfId="41441"/>
    <cellStyle name="SAPBEXHLevel0X 3" xfId="41442"/>
    <cellStyle name="SAPBEXHLevel0X 3 2" xfId="41443"/>
    <cellStyle name="SAPBEXHLevel0X 3 2 2" xfId="41444"/>
    <cellStyle name="SAPBEXHLevel0X 3 2 2 2" xfId="41445"/>
    <cellStyle name="SAPBEXHLevel0X 3 2 2 3" xfId="41446"/>
    <cellStyle name="SAPBEXHLevel0X 3 2 3" xfId="41447"/>
    <cellStyle name="SAPBEXHLevel0X 3 2 4" xfId="41448"/>
    <cellStyle name="SAPBEXHLevel0X 3 3" xfId="41449"/>
    <cellStyle name="SAPBEXHLevel0X 3 4" xfId="41450"/>
    <cellStyle name="SAPBEXHLevel0X 4" xfId="41451"/>
    <cellStyle name="SAPBEXHLevel0X 4 2" xfId="41452"/>
    <cellStyle name="SAPBEXHLevel0X 4 2 2" xfId="41453"/>
    <cellStyle name="SAPBEXHLevel0X 4 2 3" xfId="41454"/>
    <cellStyle name="SAPBEXHLevel0X 4 3" xfId="41455"/>
    <cellStyle name="SAPBEXHLevel0X 4 4" xfId="41456"/>
    <cellStyle name="SAPBEXHLevel0X 5" xfId="41457"/>
    <cellStyle name="SAPBEXHLevel0X 6" xfId="41458"/>
    <cellStyle name="SAPBEXHLevel1" xfId="41459"/>
    <cellStyle name="SAPBEXHLevel1 2" xfId="41460"/>
    <cellStyle name="SAPBEXHLevel1 2 2" xfId="41461"/>
    <cellStyle name="SAPBEXHLevel1 2 2 2" xfId="41462"/>
    <cellStyle name="SAPBEXHLevel1 2 2 2 2" xfId="41463"/>
    <cellStyle name="SAPBEXHLevel1 2 2 2 3" xfId="41464"/>
    <cellStyle name="SAPBEXHLevel1 2 2 3" xfId="41465"/>
    <cellStyle name="SAPBEXHLevel1 2 2 4" xfId="41466"/>
    <cellStyle name="SAPBEXHLevel1 2 3" xfId="41467"/>
    <cellStyle name="SAPBEXHLevel1 2 4" xfId="41468"/>
    <cellStyle name="SAPBEXHLevel1 3" xfId="41469"/>
    <cellStyle name="SAPBEXHLevel1 3 2" xfId="41470"/>
    <cellStyle name="SAPBEXHLevel1 3 2 2" xfId="41471"/>
    <cellStyle name="SAPBEXHLevel1 3 2 2 2" xfId="41472"/>
    <cellStyle name="SAPBEXHLevel1 3 2 2 3" xfId="41473"/>
    <cellStyle name="SAPBEXHLevel1 3 2 3" xfId="41474"/>
    <cellStyle name="SAPBEXHLevel1 3 2 4" xfId="41475"/>
    <cellStyle name="SAPBEXHLevel1 3 3" xfId="41476"/>
    <cellStyle name="SAPBEXHLevel1 3 4" xfId="41477"/>
    <cellStyle name="SAPBEXHLevel1 4" xfId="41478"/>
    <cellStyle name="SAPBEXHLevel1 4 2" xfId="41479"/>
    <cellStyle name="SAPBEXHLevel1 4 2 2" xfId="41480"/>
    <cellStyle name="SAPBEXHLevel1 4 2 3" xfId="41481"/>
    <cellStyle name="SAPBEXHLevel1 4 3" xfId="41482"/>
    <cellStyle name="SAPBEXHLevel1 4 4" xfId="41483"/>
    <cellStyle name="SAPBEXHLevel1 5" xfId="41484"/>
    <cellStyle name="SAPBEXHLevel1 6" xfId="41485"/>
    <cellStyle name="SAPBEXHLevel1X" xfId="41486"/>
    <cellStyle name="SAPBEXHLevel1X 2" xfId="41487"/>
    <cellStyle name="SAPBEXHLevel1X 2 2" xfId="41488"/>
    <cellStyle name="SAPBEXHLevel1X 2 2 2" xfId="41489"/>
    <cellStyle name="SAPBEXHLevel1X 2 2 2 2" xfId="41490"/>
    <cellStyle name="SAPBEXHLevel1X 2 2 2 3" xfId="41491"/>
    <cellStyle name="SAPBEXHLevel1X 2 2 3" xfId="41492"/>
    <cellStyle name="SAPBEXHLevel1X 2 2 4" xfId="41493"/>
    <cellStyle name="SAPBEXHLevel1X 2 3" xfId="41494"/>
    <cellStyle name="SAPBEXHLevel1X 2 4" xfId="41495"/>
    <cellStyle name="SAPBEXHLevel1X 3" xfId="41496"/>
    <cellStyle name="SAPBEXHLevel1X 3 2" xfId="41497"/>
    <cellStyle name="SAPBEXHLevel1X 3 2 2" xfId="41498"/>
    <cellStyle name="SAPBEXHLevel1X 3 2 2 2" xfId="41499"/>
    <cellStyle name="SAPBEXHLevel1X 3 2 2 3" xfId="41500"/>
    <cellStyle name="SAPBEXHLevel1X 3 2 3" xfId="41501"/>
    <cellStyle name="SAPBEXHLevel1X 3 2 4" xfId="41502"/>
    <cellStyle name="SAPBEXHLevel1X 3 3" xfId="41503"/>
    <cellStyle name="SAPBEXHLevel1X 3 4" xfId="41504"/>
    <cellStyle name="SAPBEXHLevel1X 4" xfId="41505"/>
    <cellStyle name="SAPBEXHLevel1X 4 2" xfId="41506"/>
    <cellStyle name="SAPBEXHLevel1X 4 2 2" xfId="41507"/>
    <cellStyle name="SAPBEXHLevel1X 4 2 3" xfId="41508"/>
    <cellStyle name="SAPBEXHLevel1X 4 3" xfId="41509"/>
    <cellStyle name="SAPBEXHLevel1X 4 4" xfId="41510"/>
    <cellStyle name="SAPBEXHLevel1X 5" xfId="41511"/>
    <cellStyle name="SAPBEXHLevel1X 6" xfId="41512"/>
    <cellStyle name="SAPBEXHLevel2" xfId="41513"/>
    <cellStyle name="SAPBEXHLevel2 2" xfId="41514"/>
    <cellStyle name="SAPBEXHLevel2 2 2" xfId="41515"/>
    <cellStyle name="SAPBEXHLevel2 2 2 2" xfId="41516"/>
    <cellStyle name="SAPBEXHLevel2 2 2 2 2" xfId="41517"/>
    <cellStyle name="SAPBEXHLevel2 2 2 2 3" xfId="41518"/>
    <cellStyle name="SAPBEXHLevel2 2 2 3" xfId="41519"/>
    <cellStyle name="SAPBEXHLevel2 2 2 4" xfId="41520"/>
    <cellStyle name="SAPBEXHLevel2 2 3" xfId="41521"/>
    <cellStyle name="SAPBEXHLevel2 2 4" xfId="41522"/>
    <cellStyle name="SAPBEXHLevel2 3" xfId="41523"/>
    <cellStyle name="SAPBEXHLevel2 3 2" xfId="41524"/>
    <cellStyle name="SAPBEXHLevel2 3 2 2" xfId="41525"/>
    <cellStyle name="SAPBEXHLevel2 3 2 2 2" xfId="41526"/>
    <cellStyle name="SAPBEXHLevel2 3 2 2 3" xfId="41527"/>
    <cellStyle name="SAPBEXHLevel2 3 2 3" xfId="41528"/>
    <cellStyle name="SAPBEXHLevel2 3 2 4" xfId="41529"/>
    <cellStyle name="SAPBEXHLevel2 3 3" xfId="41530"/>
    <cellStyle name="SAPBEXHLevel2 3 4" xfId="41531"/>
    <cellStyle name="SAPBEXHLevel2 4" xfId="41532"/>
    <cellStyle name="SAPBEXHLevel2 4 2" xfId="41533"/>
    <cellStyle name="SAPBEXHLevel2 4 2 2" xfId="41534"/>
    <cellStyle name="SAPBEXHLevel2 4 2 3" xfId="41535"/>
    <cellStyle name="SAPBEXHLevel2 4 3" xfId="41536"/>
    <cellStyle name="SAPBEXHLevel2 4 4" xfId="41537"/>
    <cellStyle name="SAPBEXHLevel2 5" xfId="41538"/>
    <cellStyle name="SAPBEXHLevel2 6" xfId="41539"/>
    <cellStyle name="SAPBEXHLevel2X" xfId="41540"/>
    <cellStyle name="SAPBEXHLevel2X 2" xfId="41541"/>
    <cellStyle name="SAPBEXHLevel2X 2 2" xfId="41542"/>
    <cellStyle name="SAPBEXHLevel2X 2 2 2" xfId="41543"/>
    <cellStyle name="SAPBEXHLevel2X 2 2 2 2" xfId="41544"/>
    <cellStyle name="SAPBEXHLevel2X 2 2 2 3" xfId="41545"/>
    <cellStyle name="SAPBEXHLevel2X 2 2 3" xfId="41546"/>
    <cellStyle name="SAPBEXHLevel2X 2 2 4" xfId="41547"/>
    <cellStyle name="SAPBEXHLevel2X 2 3" xfId="41548"/>
    <cellStyle name="SAPBEXHLevel2X 2 4" xfId="41549"/>
    <cellStyle name="SAPBEXHLevel2X 3" xfId="41550"/>
    <cellStyle name="SAPBEXHLevel2X 3 2" xfId="41551"/>
    <cellStyle name="SAPBEXHLevel2X 3 2 2" xfId="41552"/>
    <cellStyle name="SAPBEXHLevel2X 3 2 2 2" xfId="41553"/>
    <cellStyle name="SAPBEXHLevel2X 3 2 2 3" xfId="41554"/>
    <cellStyle name="SAPBEXHLevel2X 3 2 3" xfId="41555"/>
    <cellStyle name="SAPBEXHLevel2X 3 2 4" xfId="41556"/>
    <cellStyle name="SAPBEXHLevel2X 3 3" xfId="41557"/>
    <cellStyle name="SAPBEXHLevel2X 3 4" xfId="41558"/>
    <cellStyle name="SAPBEXHLevel2X 4" xfId="41559"/>
    <cellStyle name="SAPBEXHLevel2X 4 2" xfId="41560"/>
    <cellStyle name="SAPBEXHLevel2X 4 2 2" xfId="41561"/>
    <cellStyle name="SAPBEXHLevel2X 4 2 3" xfId="41562"/>
    <cellStyle name="SAPBEXHLevel2X 4 3" xfId="41563"/>
    <cellStyle name="SAPBEXHLevel2X 4 4" xfId="41564"/>
    <cellStyle name="SAPBEXHLevel2X 5" xfId="41565"/>
    <cellStyle name="SAPBEXHLevel2X 6" xfId="41566"/>
    <cellStyle name="SAPBEXHLevel3" xfId="41567"/>
    <cellStyle name="SAPBEXHLevel3 2" xfId="41568"/>
    <cellStyle name="SAPBEXHLevel3 2 2" xfId="41569"/>
    <cellStyle name="SAPBEXHLevel3 2 2 2" xfId="41570"/>
    <cellStyle name="SAPBEXHLevel3 2 2 2 2" xfId="41571"/>
    <cellStyle name="SAPBEXHLevel3 2 2 2 3" xfId="41572"/>
    <cellStyle name="SAPBEXHLevel3 2 2 3" xfId="41573"/>
    <cellStyle name="SAPBEXHLevel3 2 2 4" xfId="41574"/>
    <cellStyle name="SAPBEXHLevel3 2 3" xfId="41575"/>
    <cellStyle name="SAPBEXHLevel3 2 4" xfId="41576"/>
    <cellStyle name="SAPBEXHLevel3 3" xfId="41577"/>
    <cellStyle name="SAPBEXHLevel3 3 2" xfId="41578"/>
    <cellStyle name="SAPBEXHLevel3 3 2 2" xfId="41579"/>
    <cellStyle name="SAPBEXHLevel3 3 2 2 2" xfId="41580"/>
    <cellStyle name="SAPBEXHLevel3 3 2 2 3" xfId="41581"/>
    <cellStyle name="SAPBEXHLevel3 3 2 3" xfId="41582"/>
    <cellStyle name="SAPBEXHLevel3 3 2 4" xfId="41583"/>
    <cellStyle name="SAPBEXHLevel3 3 3" xfId="41584"/>
    <cellStyle name="SAPBEXHLevel3 3 4" xfId="41585"/>
    <cellStyle name="SAPBEXHLevel3 4" xfId="41586"/>
    <cellStyle name="SAPBEXHLevel3 4 2" xfId="41587"/>
    <cellStyle name="SAPBEXHLevel3 4 2 2" xfId="41588"/>
    <cellStyle name="SAPBEXHLevel3 4 2 3" xfId="41589"/>
    <cellStyle name="SAPBEXHLevel3 4 3" xfId="41590"/>
    <cellStyle name="SAPBEXHLevel3 4 4" xfId="41591"/>
    <cellStyle name="SAPBEXHLevel3 5" xfId="41592"/>
    <cellStyle name="SAPBEXHLevel3 6" xfId="41593"/>
    <cellStyle name="SAPBEXHLevel3X" xfId="41594"/>
    <cellStyle name="SAPBEXHLevel3X 2" xfId="41595"/>
    <cellStyle name="SAPBEXHLevel3X 2 2" xfId="41596"/>
    <cellStyle name="SAPBEXHLevel3X 2 2 2" xfId="41597"/>
    <cellStyle name="SAPBEXHLevel3X 2 2 2 2" xfId="41598"/>
    <cellStyle name="SAPBEXHLevel3X 2 2 2 3" xfId="41599"/>
    <cellStyle name="SAPBEXHLevel3X 2 2 3" xfId="41600"/>
    <cellStyle name="SAPBEXHLevel3X 2 2 4" xfId="41601"/>
    <cellStyle name="SAPBEXHLevel3X 2 3" xfId="41602"/>
    <cellStyle name="SAPBEXHLevel3X 2 4" xfId="41603"/>
    <cellStyle name="SAPBEXHLevel3X 3" xfId="41604"/>
    <cellStyle name="SAPBEXHLevel3X 3 2" xfId="41605"/>
    <cellStyle name="SAPBEXHLevel3X 3 2 2" xfId="41606"/>
    <cellStyle name="SAPBEXHLevel3X 3 2 2 2" xfId="41607"/>
    <cellStyle name="SAPBEXHLevel3X 3 2 2 3" xfId="41608"/>
    <cellStyle name="SAPBEXHLevel3X 3 2 3" xfId="41609"/>
    <cellStyle name="SAPBEXHLevel3X 3 2 4" xfId="41610"/>
    <cellStyle name="SAPBEXHLevel3X 3 3" xfId="41611"/>
    <cellStyle name="SAPBEXHLevel3X 3 4" xfId="41612"/>
    <cellStyle name="SAPBEXHLevel3X 4" xfId="41613"/>
    <cellStyle name="SAPBEXHLevel3X 4 2" xfId="41614"/>
    <cellStyle name="SAPBEXHLevel3X 4 2 2" xfId="41615"/>
    <cellStyle name="SAPBEXHLevel3X 4 2 3" xfId="41616"/>
    <cellStyle name="SAPBEXHLevel3X 4 3" xfId="41617"/>
    <cellStyle name="SAPBEXHLevel3X 4 4" xfId="41618"/>
    <cellStyle name="SAPBEXHLevel3X 5" xfId="41619"/>
    <cellStyle name="SAPBEXHLevel3X 6" xfId="41620"/>
    <cellStyle name="SAPBEXresData" xfId="41621"/>
    <cellStyle name="SAPBEXresData 2" xfId="41622"/>
    <cellStyle name="SAPBEXresData 2 2" xfId="41623"/>
    <cellStyle name="SAPBEXresData 2 2 2" xfId="41624"/>
    <cellStyle name="SAPBEXresData 2 2 3" xfId="41625"/>
    <cellStyle name="SAPBEXresData 2 3" xfId="41626"/>
    <cellStyle name="SAPBEXresData 2 4" xfId="41627"/>
    <cellStyle name="SAPBEXresData 3" xfId="41628"/>
    <cellStyle name="SAPBEXresData 4" xfId="41629"/>
    <cellStyle name="SAPBEXresDataEmph" xfId="41630"/>
    <cellStyle name="SAPBEXresDataEmph 2" xfId="41631"/>
    <cellStyle name="SAPBEXresDataEmph 2 2" xfId="41632"/>
    <cellStyle name="SAPBEXresDataEmph 2 2 2" xfId="41633"/>
    <cellStyle name="SAPBEXresDataEmph 2 2 3" xfId="41634"/>
    <cellStyle name="SAPBEXresDataEmph 2 3" xfId="41635"/>
    <cellStyle name="SAPBEXresDataEmph 2 4" xfId="41636"/>
    <cellStyle name="SAPBEXresDataEmph 3" xfId="41637"/>
    <cellStyle name="SAPBEXresDataEmph 4" xfId="41638"/>
    <cellStyle name="SAPBEXresItem" xfId="41639"/>
    <cellStyle name="SAPBEXresItem 2" xfId="41640"/>
    <cellStyle name="SAPBEXresItem 2 2" xfId="41641"/>
    <cellStyle name="SAPBEXresItem 2 2 2" xfId="41642"/>
    <cellStyle name="SAPBEXresItem 2 2 3" xfId="41643"/>
    <cellStyle name="SAPBEXresItem 2 3" xfId="41644"/>
    <cellStyle name="SAPBEXresItem 2 4" xfId="41645"/>
    <cellStyle name="SAPBEXresItem 3" xfId="41646"/>
    <cellStyle name="SAPBEXresItem 4" xfId="41647"/>
    <cellStyle name="SAPBEXresItemX" xfId="41648"/>
    <cellStyle name="SAPBEXresItemX 2" xfId="41649"/>
    <cellStyle name="SAPBEXresItemX 2 2" xfId="41650"/>
    <cellStyle name="SAPBEXresItemX 2 2 2" xfId="41651"/>
    <cellStyle name="SAPBEXresItemX 2 2 3" xfId="41652"/>
    <cellStyle name="SAPBEXresItemX 2 3" xfId="41653"/>
    <cellStyle name="SAPBEXresItemX 2 4" xfId="41654"/>
    <cellStyle name="SAPBEXresItemX 3" xfId="41655"/>
    <cellStyle name="SAPBEXresItemX 4" xfId="41656"/>
    <cellStyle name="SAPBEXstdData" xfId="41657"/>
    <cellStyle name="SAPBEXstdData 2" xfId="41658"/>
    <cellStyle name="SAPBEXstdData 2 2" xfId="41659"/>
    <cellStyle name="SAPBEXstdData 2 2 2" xfId="41660"/>
    <cellStyle name="SAPBEXstdData 2 2 2 2" xfId="41661"/>
    <cellStyle name="SAPBEXstdData 2 2 2 3" xfId="41662"/>
    <cellStyle name="SAPBEXstdData 2 2 3" xfId="41663"/>
    <cellStyle name="SAPBEXstdData 2 2 4" xfId="41664"/>
    <cellStyle name="SAPBEXstdData 2 3" xfId="41665"/>
    <cellStyle name="SAPBEXstdData 2 4" xfId="41666"/>
    <cellStyle name="SAPBEXstdData 3" xfId="41667"/>
    <cellStyle name="SAPBEXstdData 3 2" xfId="41668"/>
    <cellStyle name="SAPBEXstdData 3 2 2" xfId="41669"/>
    <cellStyle name="SAPBEXstdData 3 2 3" xfId="41670"/>
    <cellStyle name="SAPBEXstdData 3 3" xfId="41671"/>
    <cellStyle name="SAPBEXstdData 3 4" xfId="41672"/>
    <cellStyle name="SAPBEXstdData 4" xfId="41673"/>
    <cellStyle name="SAPBEXstdData 5" xfId="41674"/>
    <cellStyle name="SAPBEXstdData_2011 January Forecast Feb 11 copy" xfId="41675"/>
    <cellStyle name="SAPBEXstdDataEmph" xfId="41676"/>
    <cellStyle name="SAPBEXstdDataEmph 2" xfId="41677"/>
    <cellStyle name="SAPBEXstdDataEmph 2 2" xfId="41678"/>
    <cellStyle name="SAPBEXstdDataEmph 2 2 2" xfId="41679"/>
    <cellStyle name="SAPBEXstdDataEmph 2 2 3" xfId="41680"/>
    <cellStyle name="SAPBEXstdDataEmph 2 3" xfId="41681"/>
    <cellStyle name="SAPBEXstdDataEmph 2 4" xfId="41682"/>
    <cellStyle name="SAPBEXstdDataEmph 3" xfId="41683"/>
    <cellStyle name="SAPBEXstdDataEmph 4" xfId="41684"/>
    <cellStyle name="SAPBEXstdItem" xfId="41685"/>
    <cellStyle name="SAPBEXstdItem 2" xfId="41686"/>
    <cellStyle name="SAPBEXstdItem 2 2" xfId="41687"/>
    <cellStyle name="SAPBEXstdItem 2 2 2" xfId="41688"/>
    <cellStyle name="SAPBEXstdItem 2 2 2 2" xfId="41689"/>
    <cellStyle name="SAPBEXstdItem 2 2 2 2 2" xfId="41690"/>
    <cellStyle name="SAPBEXstdItem 2 2 2 2 3" xfId="41691"/>
    <cellStyle name="SAPBEXstdItem 2 2 2 3" xfId="41692"/>
    <cellStyle name="SAPBEXstdItem 2 2 2 4" xfId="41693"/>
    <cellStyle name="SAPBEXstdItem 2 2 3" xfId="41694"/>
    <cellStyle name="SAPBEXstdItem 2 2 4" xfId="41695"/>
    <cellStyle name="SAPBEXstdItem 2 3" xfId="41696"/>
    <cellStyle name="SAPBEXstdItem 2 3 2" xfId="41697"/>
    <cellStyle name="SAPBEXstdItem 2 3 2 2" xfId="41698"/>
    <cellStyle name="SAPBEXstdItem 2 3 2 3" xfId="41699"/>
    <cellStyle name="SAPBEXstdItem 2 3 3" xfId="41700"/>
    <cellStyle name="SAPBEXstdItem 2 3 4" xfId="41701"/>
    <cellStyle name="SAPBEXstdItem 2 4" xfId="41702"/>
    <cellStyle name="SAPBEXstdItem 2 5" xfId="41703"/>
    <cellStyle name="SAPBEXstdItem 3" xfId="41704"/>
    <cellStyle name="SAPBEXstdItem 3 2" xfId="41705"/>
    <cellStyle name="SAPBEXstdItem 3 2 2" xfId="41706"/>
    <cellStyle name="SAPBEXstdItem 3 2 2 2" xfId="41707"/>
    <cellStyle name="SAPBEXstdItem 3 2 2 3" xfId="41708"/>
    <cellStyle name="SAPBEXstdItem 3 2 3" xfId="41709"/>
    <cellStyle name="SAPBEXstdItem 3 2 4" xfId="41710"/>
    <cellStyle name="SAPBEXstdItem 3 3" xfId="41711"/>
    <cellStyle name="SAPBEXstdItem 3 4" xfId="41712"/>
    <cellStyle name="SAPBEXstdItem 4" xfId="41713"/>
    <cellStyle name="SAPBEXstdItem 4 2" xfId="41714"/>
    <cellStyle name="SAPBEXstdItem 4 2 2" xfId="41715"/>
    <cellStyle name="SAPBEXstdItem 4 2 3" xfId="41716"/>
    <cellStyle name="SAPBEXstdItem 4 3" xfId="41717"/>
    <cellStyle name="SAPBEXstdItem 4 4" xfId="41718"/>
    <cellStyle name="SAPBEXstdItem 5" xfId="41719"/>
    <cellStyle name="SAPBEXstdItem 6" xfId="41720"/>
    <cellStyle name="SAPBEXstdItem_2011 Ad to Sales 11 26 10" xfId="41721"/>
    <cellStyle name="SAPBEXstdItemX" xfId="41722"/>
    <cellStyle name="SAPBEXstdItemX 2" xfId="41723"/>
    <cellStyle name="SAPBEXstdItemX 2 2" xfId="41724"/>
    <cellStyle name="SAPBEXstdItemX 2 2 2" xfId="41725"/>
    <cellStyle name="SAPBEXstdItemX 2 2 2 2" xfId="41726"/>
    <cellStyle name="SAPBEXstdItemX 2 2 2 2 2" xfId="41727"/>
    <cellStyle name="SAPBEXstdItemX 2 2 2 2 3" xfId="41728"/>
    <cellStyle name="SAPBEXstdItemX 2 2 2 3" xfId="41729"/>
    <cellStyle name="SAPBEXstdItemX 2 2 2 4" xfId="41730"/>
    <cellStyle name="SAPBEXstdItemX 2 2 3" xfId="41731"/>
    <cellStyle name="SAPBEXstdItemX 2 2 4" xfId="41732"/>
    <cellStyle name="SAPBEXstdItemX 2 3" xfId="41733"/>
    <cellStyle name="SAPBEXstdItemX 2 3 2" xfId="41734"/>
    <cellStyle name="SAPBEXstdItemX 2 3 2 2" xfId="41735"/>
    <cellStyle name="SAPBEXstdItemX 2 3 2 3" xfId="41736"/>
    <cellStyle name="SAPBEXstdItemX 2 3 3" xfId="41737"/>
    <cellStyle name="SAPBEXstdItemX 2 3 4" xfId="41738"/>
    <cellStyle name="SAPBEXstdItemX 2 4" xfId="41739"/>
    <cellStyle name="SAPBEXstdItemX 2 5" xfId="41740"/>
    <cellStyle name="SAPBEXstdItemX 3" xfId="41741"/>
    <cellStyle name="SAPBEXstdItemX 3 2" xfId="41742"/>
    <cellStyle name="SAPBEXstdItemX 3 2 2" xfId="41743"/>
    <cellStyle name="SAPBEXstdItemX 3 2 2 2" xfId="41744"/>
    <cellStyle name="SAPBEXstdItemX 3 2 2 3" xfId="41745"/>
    <cellStyle name="SAPBEXstdItemX 3 2 3" xfId="41746"/>
    <cellStyle name="SAPBEXstdItemX 3 2 4" xfId="41747"/>
    <cellStyle name="SAPBEXstdItemX 3 3" xfId="41748"/>
    <cellStyle name="SAPBEXstdItemX 3 4" xfId="41749"/>
    <cellStyle name="SAPBEXstdItemX 4" xfId="41750"/>
    <cellStyle name="SAPBEXstdItemX 4 2" xfId="41751"/>
    <cellStyle name="SAPBEXstdItemX 4 2 2" xfId="41752"/>
    <cellStyle name="SAPBEXstdItemX 4 2 3" xfId="41753"/>
    <cellStyle name="SAPBEXstdItemX 4 3" xfId="41754"/>
    <cellStyle name="SAPBEXstdItemX 4 4" xfId="41755"/>
    <cellStyle name="SAPBEXstdItemX 5" xfId="41756"/>
    <cellStyle name="SAPBEXstdItemX 6" xfId="41757"/>
    <cellStyle name="SAPBEXstdItemX_2011 Ad to Sales 11 26 10" xfId="41758"/>
    <cellStyle name="SAPBEXtitle" xfId="41759"/>
    <cellStyle name="SAPBEXtitle 2" xfId="41760"/>
    <cellStyle name="SAPBEXtitle_2011 Ad to Sales 11 26 10" xfId="41761"/>
    <cellStyle name="SAPBEXundefined" xfId="41762"/>
    <cellStyle name="SAPBEXundefined 2" xfId="41763"/>
    <cellStyle name="SAPBEXundefined 2 2" xfId="41764"/>
    <cellStyle name="SAPBEXundefined 2 2 2" xfId="41765"/>
    <cellStyle name="SAPBEXundefined 2 2 3" xfId="41766"/>
    <cellStyle name="SAPBEXundefined 2 3" xfId="41767"/>
    <cellStyle name="SAPBEXundefined 2 4" xfId="41768"/>
    <cellStyle name="SAPBEXundefined 3" xfId="41769"/>
    <cellStyle name="SAPBEXundefined 4" xfId="41770"/>
    <cellStyle name="ScripFactor" xfId="41771"/>
    <cellStyle name="SectionHeaderNormal" xfId="41772"/>
    <cellStyle name="SectionHeading" xfId="41773"/>
    <cellStyle name="SectionHeading 2" xfId="41774"/>
    <cellStyle name="SectionHeading 2 2" xfId="41775"/>
    <cellStyle name="SectionHeading 2 3" xfId="41776"/>
    <cellStyle name="SectionHeading 2 4" xfId="41777"/>
    <cellStyle name="SectionHeading 3" xfId="41778"/>
    <cellStyle name="SGD 0" xfId="41779"/>
    <cellStyle name="SGD 0 2" xfId="41780"/>
    <cellStyle name="SGD 0 3" xfId="41781"/>
    <cellStyle name="SGD 2" xfId="41782"/>
    <cellStyle name="SGD 2 2" xfId="41783"/>
    <cellStyle name="SGD 2 3" xfId="41784"/>
    <cellStyle name="Shaded" xfId="41785"/>
    <cellStyle name="Shares" xfId="41786"/>
    <cellStyle name="Short Date" xfId="41787"/>
    <cellStyle name="ShOut" xfId="41788"/>
    <cellStyle name="Standaard_Sheet1" xfId="41789"/>
    <cellStyle name="Standard_Bewertung_BrüderMannesmann_AT_000123" xfId="41790"/>
    <cellStyle name="Style 1" xfId="41791"/>
    <cellStyle name="Style 1 2" xfId="41792"/>
    <cellStyle name="Style 2" xfId="41793"/>
    <cellStyle name="Style 21" xfId="41794"/>
    <cellStyle name="Style 21 10" xfId="41795"/>
    <cellStyle name="Style 21 11" xfId="41796"/>
    <cellStyle name="Style 21 2" xfId="41797"/>
    <cellStyle name="Style 21 2 10" xfId="41798"/>
    <cellStyle name="Style 21 2 2" xfId="41799"/>
    <cellStyle name="Style 21 2 3" xfId="41800"/>
    <cellStyle name="Style 21 2 4" xfId="41801"/>
    <cellStyle name="Style 21 2 5" xfId="41802"/>
    <cellStyle name="Style 21 2 6" xfId="41803"/>
    <cellStyle name="Style 21 2 7" xfId="41804"/>
    <cellStyle name="Style 21 2 8" xfId="41805"/>
    <cellStyle name="Style 21 2 9" xfId="41806"/>
    <cellStyle name="Style 21 3" xfId="41807"/>
    <cellStyle name="Style 21 4" xfId="41808"/>
    <cellStyle name="Style 21 5" xfId="41809"/>
    <cellStyle name="Style 21 6" xfId="41810"/>
    <cellStyle name="Style 21 7" xfId="41811"/>
    <cellStyle name="Style 21 8" xfId="41812"/>
    <cellStyle name="Style 21 9" xfId="41813"/>
    <cellStyle name="Style 21_Arch Comp Page" xfId="41814"/>
    <cellStyle name="Style 22" xfId="41815"/>
    <cellStyle name="Style 22 10" xfId="41816"/>
    <cellStyle name="Style 22 11" xfId="41817"/>
    <cellStyle name="Style 22 12" xfId="41818"/>
    <cellStyle name="Style 22 13" xfId="41819"/>
    <cellStyle name="Style 22 14" xfId="41820"/>
    <cellStyle name="Style 22 15" xfId="41821"/>
    <cellStyle name="Style 22 16" xfId="41822"/>
    <cellStyle name="Style 22 17" xfId="41823"/>
    <cellStyle name="Style 22 18" xfId="41824"/>
    <cellStyle name="Style 22 19" xfId="41825"/>
    <cellStyle name="Style 22 2" xfId="41826"/>
    <cellStyle name="Style 22 20" xfId="41827"/>
    <cellStyle name="Style 22 21" xfId="41828"/>
    <cellStyle name="Style 22 22" xfId="41829"/>
    <cellStyle name="Style 22 23" xfId="41830"/>
    <cellStyle name="Style 22 24" xfId="41831"/>
    <cellStyle name="Style 22 25" xfId="41832"/>
    <cellStyle name="Style 22 26" xfId="41833"/>
    <cellStyle name="Style 22 27" xfId="41834"/>
    <cellStyle name="Style 22 3" xfId="41835"/>
    <cellStyle name="Style 22 4" xfId="41836"/>
    <cellStyle name="Style 22 5" xfId="41837"/>
    <cellStyle name="Style 22 6" xfId="41838"/>
    <cellStyle name="Style 22 7" xfId="41839"/>
    <cellStyle name="Style 22 8" xfId="41840"/>
    <cellStyle name="Style 22 9" xfId="41841"/>
    <cellStyle name="Style 23" xfId="41842"/>
    <cellStyle name="Style 23 10" xfId="41843"/>
    <cellStyle name="Style 23 11" xfId="41844"/>
    <cellStyle name="Style 23 12" xfId="41845"/>
    <cellStyle name="Style 23 13" xfId="41846"/>
    <cellStyle name="Style 23 14" xfId="41847"/>
    <cellStyle name="Style 23 15" xfId="41848"/>
    <cellStyle name="Style 23 16" xfId="41849"/>
    <cellStyle name="Style 23 17" xfId="41850"/>
    <cellStyle name="Style 23 18" xfId="41851"/>
    <cellStyle name="Style 23 19" xfId="41852"/>
    <cellStyle name="Style 23 2" xfId="41853"/>
    <cellStyle name="Style 23 2 2" xfId="41854"/>
    <cellStyle name="Style 23 2 3" xfId="41855"/>
    <cellStyle name="Style 23 20" xfId="41856"/>
    <cellStyle name="Style 23 21" xfId="41857"/>
    <cellStyle name="Style 23 22" xfId="41858"/>
    <cellStyle name="Style 23 23" xfId="41859"/>
    <cellStyle name="Style 23 24" xfId="41860"/>
    <cellStyle name="Style 23 25" xfId="41861"/>
    <cellStyle name="Style 23 26" xfId="41862"/>
    <cellStyle name="Style 23 27" xfId="41863"/>
    <cellStyle name="Style 23 28" xfId="41864"/>
    <cellStyle name="Style 23 3" xfId="41865"/>
    <cellStyle name="Style 23 4" xfId="41866"/>
    <cellStyle name="Style 23 5" xfId="41867"/>
    <cellStyle name="Style 23 6" xfId="41868"/>
    <cellStyle name="Style 23 7" xfId="41869"/>
    <cellStyle name="Style 23 8" xfId="41870"/>
    <cellStyle name="Style 23 9" xfId="41871"/>
    <cellStyle name="Style 23_Arch Comp Page" xfId="41872"/>
    <cellStyle name="Style 24" xfId="41873"/>
    <cellStyle name="Style 24 10" xfId="41874"/>
    <cellStyle name="Style 24 11" xfId="41875"/>
    <cellStyle name="Style 24 12" xfId="41876"/>
    <cellStyle name="Style 24 13" xfId="41877"/>
    <cellStyle name="Style 24 14" xfId="41878"/>
    <cellStyle name="Style 24 15" xfId="41879"/>
    <cellStyle name="Style 24 16" xfId="41880"/>
    <cellStyle name="Style 24 17" xfId="41881"/>
    <cellStyle name="Style 24 18" xfId="41882"/>
    <cellStyle name="Style 24 19" xfId="41883"/>
    <cellStyle name="Style 24 2" xfId="41884"/>
    <cellStyle name="Style 24 2 2" xfId="41885"/>
    <cellStyle name="Style 24 2_Comp Template (page 10) Steve Final - Values" xfId="41886"/>
    <cellStyle name="Style 24 20" xfId="41887"/>
    <cellStyle name="Style 24 21" xfId="41888"/>
    <cellStyle name="Style 24 22" xfId="41889"/>
    <cellStyle name="Style 24 23" xfId="41890"/>
    <cellStyle name="Style 24 24" xfId="41891"/>
    <cellStyle name="Style 24 25" xfId="41892"/>
    <cellStyle name="Style 24 26" xfId="41893"/>
    <cellStyle name="Style 24 27" xfId="41894"/>
    <cellStyle name="Style 24 3" xfId="41895"/>
    <cellStyle name="Style 24 4" xfId="41896"/>
    <cellStyle name="Style 24 5" xfId="41897"/>
    <cellStyle name="Style 24 6" xfId="41898"/>
    <cellStyle name="Style 24 7" xfId="41899"/>
    <cellStyle name="Style 24 8" xfId="41900"/>
    <cellStyle name="Style 24 9" xfId="41901"/>
    <cellStyle name="Style 24_Comps Template" xfId="41902"/>
    <cellStyle name="Style 25" xfId="41903"/>
    <cellStyle name="Style 25 2" xfId="41904"/>
    <cellStyle name="Style 25 2 2" xfId="41905"/>
    <cellStyle name="Style 25 3" xfId="41906"/>
    <cellStyle name="Style 25 4" xfId="41907"/>
    <cellStyle name="Style 25 5" xfId="41908"/>
    <cellStyle name="Style 25 6" xfId="41909"/>
    <cellStyle name="Style 25_Comps Template" xfId="41910"/>
    <cellStyle name="Style 26" xfId="41911"/>
    <cellStyle name="Style 26 2" xfId="41912"/>
    <cellStyle name="Style 26 3" xfId="41913"/>
    <cellStyle name="Style 26 4" xfId="41914"/>
    <cellStyle name="Style 26 5" xfId="41915"/>
    <cellStyle name="Style 27" xfId="41916"/>
    <cellStyle name="Style 27 2" xfId="41917"/>
    <cellStyle name="Style 27 3" xfId="41918"/>
    <cellStyle name="Style 27 4" xfId="41919"/>
    <cellStyle name="Style 27 5" xfId="41920"/>
    <cellStyle name="Style 28" xfId="41921"/>
    <cellStyle name="Style 28 2" xfId="41922"/>
    <cellStyle name="Style 28 3" xfId="41923"/>
    <cellStyle name="Style 28 4" xfId="41924"/>
    <cellStyle name="Style 28 5" xfId="41925"/>
    <cellStyle name="Style 29" xfId="41926"/>
    <cellStyle name="Style 29 2" xfId="41927"/>
    <cellStyle name="Style 29 3" xfId="41928"/>
    <cellStyle name="Style 29 4" xfId="41929"/>
    <cellStyle name="Style 29 5" xfId="41930"/>
    <cellStyle name="Style 3" xfId="41931"/>
    <cellStyle name="Style 30" xfId="41932"/>
    <cellStyle name="Style 30 10" xfId="41933"/>
    <cellStyle name="Style 30 11" xfId="41934"/>
    <cellStyle name="Style 30 12" xfId="41935"/>
    <cellStyle name="Style 30 13" xfId="41936"/>
    <cellStyle name="Style 30 14" xfId="41937"/>
    <cellStyle name="Style 30 15" xfId="41938"/>
    <cellStyle name="Style 30 16" xfId="41939"/>
    <cellStyle name="Style 30 17" xfId="41940"/>
    <cellStyle name="Style 30 18" xfId="41941"/>
    <cellStyle name="Style 30 19" xfId="41942"/>
    <cellStyle name="Style 30 2" xfId="41943"/>
    <cellStyle name="Style 30 2 2" xfId="41944"/>
    <cellStyle name="Style 30 20" xfId="41945"/>
    <cellStyle name="Style 30 21" xfId="41946"/>
    <cellStyle name="Style 30 22" xfId="41947"/>
    <cellStyle name="Style 30 23" xfId="41948"/>
    <cellStyle name="Style 30 24" xfId="41949"/>
    <cellStyle name="Style 30 25" xfId="41950"/>
    <cellStyle name="Style 30 26" xfId="41951"/>
    <cellStyle name="Style 30 27" xfId="41952"/>
    <cellStyle name="Style 30 3" xfId="41953"/>
    <cellStyle name="Style 30 4" xfId="41954"/>
    <cellStyle name="Style 30 5" xfId="41955"/>
    <cellStyle name="Style 30 6" xfId="41956"/>
    <cellStyle name="Style 30 7" xfId="41957"/>
    <cellStyle name="Style 30 8" xfId="41958"/>
    <cellStyle name="Style 30 9" xfId="41959"/>
    <cellStyle name="Style 30_Comps Template" xfId="41960"/>
    <cellStyle name="Style 31" xfId="41961"/>
    <cellStyle name="Style 31 2" xfId="41962"/>
    <cellStyle name="Style 31 3" xfId="41963"/>
    <cellStyle name="Style 31 4" xfId="41964"/>
    <cellStyle name="Style 31 5" xfId="41965"/>
    <cellStyle name="Style 32" xfId="41966"/>
    <cellStyle name="Style 32 2" xfId="41967"/>
    <cellStyle name="Style 32 3" xfId="41968"/>
    <cellStyle name="Style 32 4" xfId="41969"/>
    <cellStyle name="Style 32 5" xfId="41970"/>
    <cellStyle name="Style 33" xfId="41971"/>
    <cellStyle name="Style 33 2" xfId="41972"/>
    <cellStyle name="Style 33 3" xfId="41973"/>
    <cellStyle name="Style 33 4" xfId="41974"/>
    <cellStyle name="Style 33 5" xfId="41975"/>
    <cellStyle name="Style 34" xfId="41976"/>
    <cellStyle name="Style 34 2" xfId="41977"/>
    <cellStyle name="Style 34 3" xfId="41978"/>
    <cellStyle name="Style 34 4" xfId="41979"/>
    <cellStyle name="Style 34 5" xfId="41980"/>
    <cellStyle name="Style 35" xfId="41981"/>
    <cellStyle name="Style 35 2" xfId="41982"/>
    <cellStyle name="Style 35 3" xfId="41983"/>
    <cellStyle name="Style 35 4" xfId="41984"/>
    <cellStyle name="Style 35 5" xfId="41985"/>
    <cellStyle name="Style 36" xfId="41986"/>
    <cellStyle name="Style 36 2" xfId="41987"/>
    <cellStyle name="Style 36 3" xfId="41988"/>
    <cellStyle name="Style 36 4" xfId="41989"/>
    <cellStyle name="Style 36 5" xfId="41990"/>
    <cellStyle name="Style 37" xfId="41991"/>
    <cellStyle name="Style 37 2" xfId="41992"/>
    <cellStyle name="Style 37 3" xfId="41993"/>
    <cellStyle name="Style 37 4" xfId="41994"/>
    <cellStyle name="Style 37 5" xfId="41995"/>
    <cellStyle name="Style 38" xfId="41996"/>
    <cellStyle name="Style 38 2" xfId="41997"/>
    <cellStyle name="Style 38 3" xfId="41998"/>
    <cellStyle name="Style 38 4" xfId="41999"/>
    <cellStyle name="Style 38 5" xfId="42000"/>
    <cellStyle name="Style 39" xfId="42001"/>
    <cellStyle name="Style 39 2" xfId="42002"/>
    <cellStyle name="Style 39 3" xfId="42003"/>
    <cellStyle name="Style 39 4" xfId="42004"/>
    <cellStyle name="Style 39 5" xfId="42005"/>
    <cellStyle name="Style 40" xfId="42006"/>
    <cellStyle name="Style 40 2" xfId="42007"/>
    <cellStyle name="Style 40 3" xfId="42008"/>
    <cellStyle name="Style 40 4" xfId="42009"/>
    <cellStyle name="Style 40 5" xfId="42010"/>
    <cellStyle name="Style 41" xfId="42011"/>
    <cellStyle name="Style 41 2" xfId="42012"/>
    <cellStyle name="Style 41 3" xfId="42013"/>
    <cellStyle name="Style 41 4" xfId="42014"/>
    <cellStyle name="Style 41 5" xfId="42015"/>
    <cellStyle name="Style 42" xfId="42016"/>
    <cellStyle name="Style 42 2" xfId="42017"/>
    <cellStyle name="Style 42 3" xfId="42018"/>
    <cellStyle name="Style 42 4" xfId="42019"/>
    <cellStyle name="Style 42 5" xfId="42020"/>
    <cellStyle name="Style 43" xfId="42021"/>
    <cellStyle name="Style 43 2" xfId="42022"/>
    <cellStyle name="Style 43 2 2" xfId="42023"/>
    <cellStyle name="Style 43 3" xfId="42024"/>
    <cellStyle name="Style 43 4" xfId="42025"/>
    <cellStyle name="Style 43 5" xfId="42026"/>
    <cellStyle name="Style 43 6" xfId="42027"/>
    <cellStyle name="Style 43_Comps Template" xfId="42028"/>
    <cellStyle name="Style 44" xfId="42029"/>
    <cellStyle name="Style 44 2" xfId="42030"/>
    <cellStyle name="Style 44 3" xfId="42031"/>
    <cellStyle name="Style 44 4" xfId="42032"/>
    <cellStyle name="Style 44 5" xfId="42033"/>
    <cellStyle name="Style 45" xfId="42034"/>
    <cellStyle name="Style 45 2" xfId="42035"/>
    <cellStyle name="Style 45 3" xfId="42036"/>
    <cellStyle name="Style 45 4" xfId="42037"/>
    <cellStyle name="Style 45 5" xfId="42038"/>
    <cellStyle name="Style 46" xfId="42039"/>
    <cellStyle name="Style 46 2" xfId="42040"/>
    <cellStyle name="Style 46 3" xfId="42041"/>
    <cellStyle name="Style 46 4" xfId="42042"/>
    <cellStyle name="Style 46 5" xfId="42043"/>
    <cellStyle name="Style 47" xfId="42044"/>
    <cellStyle name="Style 47 2" xfId="42045"/>
    <cellStyle name="Style 47 3" xfId="42046"/>
    <cellStyle name="Style 47 4" xfId="42047"/>
    <cellStyle name="Style 47 5" xfId="42048"/>
    <cellStyle name="Style 48" xfId="42049"/>
    <cellStyle name="Style 48 2" xfId="42050"/>
    <cellStyle name="Style 48 3" xfId="42051"/>
    <cellStyle name="Style 48 4" xfId="42052"/>
    <cellStyle name="Style 48 5" xfId="42053"/>
    <cellStyle name="Style 49" xfId="42054"/>
    <cellStyle name="Style 50" xfId="42055"/>
    <cellStyle name="Style 51" xfId="42056"/>
    <cellStyle name="Style 52" xfId="42057"/>
    <cellStyle name="Style 53" xfId="42058"/>
    <cellStyle name="Style 54" xfId="42059"/>
    <cellStyle name="Style 55" xfId="42060"/>
    <cellStyle name="Style 56" xfId="42061"/>
    <cellStyle name="Style 57" xfId="42062"/>
    <cellStyle name="Style 58" xfId="42063"/>
    <cellStyle name="Style 59" xfId="42064"/>
    <cellStyle name="Style 60" xfId="42065"/>
    <cellStyle name="Style 61" xfId="42066"/>
    <cellStyle name="Style 62" xfId="42067"/>
    <cellStyle name="Style 63" xfId="42068"/>
    <cellStyle name="Style 64" xfId="42069"/>
    <cellStyle name="Style 65" xfId="42070"/>
    <cellStyle name="Style 66" xfId="42071"/>
    <cellStyle name="Style 67" xfId="42072"/>
    <cellStyle name="Style 68" xfId="42073"/>
    <cellStyle name="Style 68 2" xfId="42074"/>
    <cellStyle name="Style 68 3" xfId="42075"/>
    <cellStyle name="Style 68 4" xfId="42076"/>
    <cellStyle name="Style 68 5" xfId="42077"/>
    <cellStyle name="Style 69" xfId="42078"/>
    <cellStyle name="Style 70" xfId="42079"/>
    <cellStyle name="Style 71" xfId="42080"/>
    <cellStyle name="Style 72" xfId="42081"/>
    <cellStyle name="Style 73" xfId="42082"/>
    <cellStyle name="Style 74" xfId="42083"/>
    <cellStyle name="Style 74 2" xfId="42084"/>
    <cellStyle name="Style 74 3" xfId="42085"/>
    <cellStyle name="Style 74 4" xfId="42086"/>
    <cellStyle name="Style 74 5" xfId="42087"/>
    <cellStyle name="Style 75" xfId="42088"/>
    <cellStyle name="Style 76" xfId="42089"/>
    <cellStyle name="Style 77" xfId="42090"/>
    <cellStyle name="Style 78" xfId="42091"/>
    <cellStyle name="Style 79" xfId="42092"/>
    <cellStyle name="Style 79 2" xfId="42093"/>
    <cellStyle name="Style 79 3" xfId="42094"/>
    <cellStyle name="Style 79 4" xfId="42095"/>
    <cellStyle name="Style 79 5" xfId="42096"/>
    <cellStyle name="Style 80" xfId="42097"/>
    <cellStyle name="Style 81" xfId="42098"/>
    <cellStyle name="Style 82" xfId="42099"/>
    <cellStyle name="Style 83" xfId="42100"/>
    <cellStyle name="Style 83 2" xfId="42101"/>
    <cellStyle name="Style 83 3" xfId="42102"/>
    <cellStyle name="Style 83 4" xfId="42103"/>
    <cellStyle name="Style 83 5" xfId="42104"/>
    <cellStyle name="Style 84" xfId="42105"/>
    <cellStyle name="Style 85" xfId="42106"/>
    <cellStyle name="Style 86" xfId="42107"/>
    <cellStyle name="Style 87" xfId="42108"/>
    <cellStyle name="Style 88" xfId="42109"/>
    <cellStyle name="Style 89" xfId="42110"/>
    <cellStyle name="Style 90" xfId="42111"/>
    <cellStyle name="Style 91" xfId="42112"/>
    <cellStyle name="Style 92" xfId="42113"/>
    <cellStyle name="Style 93" xfId="42114"/>
    <cellStyle name="Style 94" xfId="42115"/>
    <cellStyle name="Style 95" xfId="42116"/>
    <cellStyle name="Style 96" xfId="42117"/>
    <cellStyle name="Style 97" xfId="42118"/>
    <cellStyle name="STYLE1" xfId="42119"/>
    <cellStyle name="STYLE1 10" xfId="42120"/>
    <cellStyle name="STYLE1 11" xfId="42121"/>
    <cellStyle name="STYLE1 12" xfId="42122"/>
    <cellStyle name="STYLE1 13" xfId="42123"/>
    <cellStyle name="STYLE1 14" xfId="42124"/>
    <cellStyle name="STYLE1 15" xfId="42125"/>
    <cellStyle name="STYLE1 16" xfId="42126"/>
    <cellStyle name="STYLE1 17" xfId="42127"/>
    <cellStyle name="STYLE1 18" xfId="42128"/>
    <cellStyle name="STYLE1 19" xfId="42129"/>
    <cellStyle name="STYLE1 2" xfId="42130"/>
    <cellStyle name="STYLE1 2 2" xfId="42131"/>
    <cellStyle name="STYLE1 2 2 2" xfId="42132"/>
    <cellStyle name="STYLE1 20" xfId="42133"/>
    <cellStyle name="STYLE1 21" xfId="42134"/>
    <cellStyle name="STYLE1 22" xfId="42135"/>
    <cellStyle name="STYLE1 23" xfId="42136"/>
    <cellStyle name="STYLE1 24" xfId="42137"/>
    <cellStyle name="STYLE1 25" xfId="42138"/>
    <cellStyle name="STYLE1 26" xfId="42139"/>
    <cellStyle name="STYLE1 27" xfId="42140"/>
    <cellStyle name="STYLE1 28" xfId="42141"/>
    <cellStyle name="STYLE1 29" xfId="42142"/>
    <cellStyle name="STYLE1 3" xfId="42143"/>
    <cellStyle name="STYLE1 30" xfId="42144"/>
    <cellStyle name="STYLE1 31" xfId="42145"/>
    <cellStyle name="STYLE1 32" xfId="42146"/>
    <cellStyle name="STYLE1 33" xfId="42147"/>
    <cellStyle name="STYLE1 34" xfId="42148"/>
    <cellStyle name="STYLE1 35" xfId="42149"/>
    <cellStyle name="STYLE1 36" xfId="42150"/>
    <cellStyle name="STYLE1 37" xfId="42151"/>
    <cellStyle name="STYLE1 38" xfId="42152"/>
    <cellStyle name="STYLE1 39" xfId="42153"/>
    <cellStyle name="STYLE1 4" xfId="42154"/>
    <cellStyle name="STYLE1 40" xfId="42155"/>
    <cellStyle name="STYLE1 41" xfId="42156"/>
    <cellStyle name="STYLE1 42" xfId="42157"/>
    <cellStyle name="STYLE1 43" xfId="42158"/>
    <cellStyle name="STYLE1 44" xfId="42159"/>
    <cellStyle name="STYLE1 45" xfId="42160"/>
    <cellStyle name="STYLE1 46" xfId="42161"/>
    <cellStyle name="STYLE1 47" xfId="42162"/>
    <cellStyle name="STYLE1 48" xfId="42163"/>
    <cellStyle name="STYLE1 49" xfId="42164"/>
    <cellStyle name="STYLE1 5" xfId="42165"/>
    <cellStyle name="STYLE1 50" xfId="42166"/>
    <cellStyle name="STYLE1 51" xfId="42167"/>
    <cellStyle name="STYLE1 52" xfId="42168"/>
    <cellStyle name="STYLE1 53" xfId="42169"/>
    <cellStyle name="STYLE1 54" xfId="42170"/>
    <cellStyle name="STYLE1 6" xfId="42171"/>
    <cellStyle name="STYLE1 7" xfId="42172"/>
    <cellStyle name="STYLE1 8" xfId="42173"/>
    <cellStyle name="STYLE1 9" xfId="42174"/>
    <cellStyle name="STYLE10" xfId="42175"/>
    <cellStyle name="STYLE10 2" xfId="42176"/>
    <cellStyle name="STYLE11" xfId="42177"/>
    <cellStyle name="STYLE11 2" xfId="42178"/>
    <cellStyle name="STYLE12" xfId="42179"/>
    <cellStyle name="STYLE12 2" xfId="42180"/>
    <cellStyle name="STYLE13" xfId="42181"/>
    <cellStyle name="STYLE13 2" xfId="42182"/>
    <cellStyle name="STYLE14" xfId="42183"/>
    <cellStyle name="STYLE14 2" xfId="42184"/>
    <cellStyle name="STYLE15" xfId="42185"/>
    <cellStyle name="STYLE15 10" xfId="42186"/>
    <cellStyle name="STYLE15 11" xfId="42187"/>
    <cellStyle name="STYLE15 12" xfId="42188"/>
    <cellStyle name="STYLE15 13" xfId="42189"/>
    <cellStyle name="STYLE15 14" xfId="42190"/>
    <cellStyle name="STYLE15 15" xfId="42191"/>
    <cellStyle name="STYLE15 16" xfId="42192"/>
    <cellStyle name="STYLE15 17" xfId="42193"/>
    <cellStyle name="STYLE15 18" xfId="42194"/>
    <cellStyle name="STYLE15 19" xfId="42195"/>
    <cellStyle name="STYLE15 2" xfId="42196"/>
    <cellStyle name="STYLE15 20" xfId="42197"/>
    <cellStyle name="STYLE15 21" xfId="42198"/>
    <cellStyle name="STYLE15 22" xfId="42199"/>
    <cellStyle name="STYLE15 23" xfId="42200"/>
    <cellStyle name="STYLE15 24" xfId="42201"/>
    <cellStyle name="STYLE15 25" xfId="42202"/>
    <cellStyle name="STYLE15 26" xfId="42203"/>
    <cellStyle name="STYLE15 27" xfId="42204"/>
    <cellStyle name="STYLE15 3" xfId="42205"/>
    <cellStyle name="STYLE15 4" xfId="42206"/>
    <cellStyle name="STYLE15 5" xfId="42207"/>
    <cellStyle name="STYLE15 6" xfId="42208"/>
    <cellStyle name="STYLE15 7" xfId="42209"/>
    <cellStyle name="STYLE15 8" xfId="42210"/>
    <cellStyle name="STYLE15 9" xfId="42211"/>
    <cellStyle name="STYLE2" xfId="42212"/>
    <cellStyle name="STYLE2 10" xfId="42213"/>
    <cellStyle name="STYLE2 11" xfId="42214"/>
    <cellStyle name="STYLE2 12" xfId="42215"/>
    <cellStyle name="STYLE2 13" xfId="42216"/>
    <cellStyle name="STYLE2 14" xfId="42217"/>
    <cellStyle name="STYLE2 15" xfId="42218"/>
    <cellStyle name="STYLE2 16" xfId="42219"/>
    <cellStyle name="STYLE2 17" xfId="42220"/>
    <cellStyle name="STYLE2 18" xfId="42221"/>
    <cellStyle name="STYLE2 19" xfId="42222"/>
    <cellStyle name="STYLE2 2" xfId="42223"/>
    <cellStyle name="STYLE2 2 2" xfId="42224"/>
    <cellStyle name="STYLE2 2 2 2" xfId="42225"/>
    <cellStyle name="STYLE2 20" xfId="42226"/>
    <cellStyle name="STYLE2 21" xfId="42227"/>
    <cellStyle name="STYLE2 22" xfId="42228"/>
    <cellStyle name="STYLE2 23" xfId="42229"/>
    <cellStyle name="STYLE2 24" xfId="42230"/>
    <cellStyle name="STYLE2 25" xfId="42231"/>
    <cellStyle name="STYLE2 26" xfId="42232"/>
    <cellStyle name="STYLE2 27" xfId="42233"/>
    <cellStyle name="STYLE2 28" xfId="42234"/>
    <cellStyle name="STYLE2 29" xfId="42235"/>
    <cellStyle name="STYLE2 3" xfId="42236"/>
    <cellStyle name="STYLE2 30" xfId="42237"/>
    <cellStyle name="STYLE2 31" xfId="42238"/>
    <cellStyle name="STYLE2 32" xfId="42239"/>
    <cellStyle name="STYLE2 33" xfId="42240"/>
    <cellStyle name="STYLE2 34" xfId="42241"/>
    <cellStyle name="STYLE2 35" xfId="42242"/>
    <cellStyle name="STYLE2 36" xfId="42243"/>
    <cellStyle name="STYLE2 37" xfId="42244"/>
    <cellStyle name="STYLE2 38" xfId="42245"/>
    <cellStyle name="STYLE2 39" xfId="42246"/>
    <cellStyle name="STYLE2 4" xfId="42247"/>
    <cellStyle name="STYLE2 40" xfId="42248"/>
    <cellStyle name="STYLE2 41" xfId="42249"/>
    <cellStyle name="STYLE2 42" xfId="42250"/>
    <cellStyle name="STYLE2 43" xfId="42251"/>
    <cellStyle name="STYLE2 44" xfId="42252"/>
    <cellStyle name="STYLE2 45" xfId="42253"/>
    <cellStyle name="STYLE2 46" xfId="42254"/>
    <cellStyle name="STYLE2 47" xfId="42255"/>
    <cellStyle name="STYLE2 48" xfId="42256"/>
    <cellStyle name="STYLE2 49" xfId="42257"/>
    <cellStyle name="STYLE2 5" xfId="42258"/>
    <cellStyle name="STYLE2 50" xfId="42259"/>
    <cellStyle name="STYLE2 51" xfId="42260"/>
    <cellStyle name="STYLE2 52" xfId="42261"/>
    <cellStyle name="STYLE2 53" xfId="42262"/>
    <cellStyle name="STYLE2 54" xfId="42263"/>
    <cellStyle name="STYLE2 55" xfId="42264"/>
    <cellStyle name="STYLE2 6" xfId="42265"/>
    <cellStyle name="STYLE2 7" xfId="42266"/>
    <cellStyle name="STYLE2 8" xfId="42267"/>
    <cellStyle name="STYLE2 9" xfId="42268"/>
    <cellStyle name="STYLE3" xfId="42269"/>
    <cellStyle name="STYLE3 10" xfId="42270"/>
    <cellStyle name="STYLE3 11" xfId="42271"/>
    <cellStyle name="STYLE3 12" xfId="42272"/>
    <cellStyle name="STYLE3 13" xfId="42273"/>
    <cellStyle name="STYLE3 14" xfId="42274"/>
    <cellStyle name="STYLE3 15" xfId="42275"/>
    <cellStyle name="STYLE3 16" xfId="42276"/>
    <cellStyle name="STYLE3 17" xfId="42277"/>
    <cellStyle name="STYLE3 18" xfId="42278"/>
    <cellStyle name="STYLE3 19" xfId="42279"/>
    <cellStyle name="STYLE3 2" xfId="42280"/>
    <cellStyle name="STYLE3 2 2" xfId="42281"/>
    <cellStyle name="STYLE3 2 2 2" xfId="42282"/>
    <cellStyle name="STYLE3 20" xfId="42283"/>
    <cellStyle name="STYLE3 21" xfId="42284"/>
    <cellStyle name="STYLE3 22" xfId="42285"/>
    <cellStyle name="STYLE3 23" xfId="42286"/>
    <cellStyle name="STYLE3 24" xfId="42287"/>
    <cellStyle name="STYLE3 25" xfId="42288"/>
    <cellStyle name="STYLE3 26" xfId="42289"/>
    <cellStyle name="STYLE3 27" xfId="42290"/>
    <cellStyle name="STYLE3 28" xfId="42291"/>
    <cellStyle name="STYLE3 29" xfId="42292"/>
    <cellStyle name="STYLE3 3" xfId="42293"/>
    <cellStyle name="STYLE3 30" xfId="42294"/>
    <cellStyle name="STYLE3 31" xfId="42295"/>
    <cellStyle name="STYLE3 32" xfId="42296"/>
    <cellStyle name="STYLE3 33" xfId="42297"/>
    <cellStyle name="STYLE3 34" xfId="42298"/>
    <cellStyle name="STYLE3 35" xfId="42299"/>
    <cellStyle name="STYLE3 36" xfId="42300"/>
    <cellStyle name="STYLE3 37" xfId="42301"/>
    <cellStyle name="STYLE3 38" xfId="42302"/>
    <cellStyle name="STYLE3 39" xfId="42303"/>
    <cellStyle name="STYLE3 4" xfId="42304"/>
    <cellStyle name="STYLE3 40" xfId="42305"/>
    <cellStyle name="STYLE3 41" xfId="42306"/>
    <cellStyle name="STYLE3 42" xfId="42307"/>
    <cellStyle name="STYLE3 43" xfId="42308"/>
    <cellStyle name="STYLE3 44" xfId="42309"/>
    <cellStyle name="STYLE3 45" xfId="42310"/>
    <cellStyle name="STYLE3 46" xfId="42311"/>
    <cellStyle name="STYLE3 47" xfId="42312"/>
    <cellStyle name="STYLE3 48" xfId="42313"/>
    <cellStyle name="STYLE3 49" xfId="42314"/>
    <cellStyle name="STYLE3 5" xfId="42315"/>
    <cellStyle name="STYLE3 50" xfId="42316"/>
    <cellStyle name="STYLE3 51" xfId="42317"/>
    <cellStyle name="STYLE3 52" xfId="42318"/>
    <cellStyle name="STYLE3 53" xfId="42319"/>
    <cellStyle name="STYLE3 54" xfId="42320"/>
    <cellStyle name="STYLE3 6" xfId="42321"/>
    <cellStyle name="STYLE3 7" xfId="42322"/>
    <cellStyle name="STYLE3 8" xfId="42323"/>
    <cellStyle name="STYLE3 9" xfId="42324"/>
    <cellStyle name="STYLE4" xfId="42325"/>
    <cellStyle name="STYLE4 10" xfId="42326"/>
    <cellStyle name="STYLE4 11" xfId="42327"/>
    <cellStyle name="STYLE4 12" xfId="42328"/>
    <cellStyle name="STYLE4 13" xfId="42329"/>
    <cellStyle name="STYLE4 14" xfId="42330"/>
    <cellStyle name="STYLE4 15" xfId="42331"/>
    <cellStyle name="STYLE4 16" xfId="42332"/>
    <cellStyle name="STYLE4 17" xfId="42333"/>
    <cellStyle name="STYLE4 18" xfId="42334"/>
    <cellStyle name="STYLE4 2" xfId="42335"/>
    <cellStyle name="STYLE4 2 2" xfId="42336"/>
    <cellStyle name="STYLE4 2 2 2" xfId="42337"/>
    <cellStyle name="STYLE4 3" xfId="42338"/>
    <cellStyle name="STYLE4 4" xfId="42339"/>
    <cellStyle name="STYLE4 5" xfId="42340"/>
    <cellStyle name="STYLE4 6" xfId="42341"/>
    <cellStyle name="STYLE4 7" xfId="42342"/>
    <cellStyle name="STYLE4 8" xfId="42343"/>
    <cellStyle name="STYLE4 9" xfId="42344"/>
    <cellStyle name="STYLE5" xfId="42345"/>
    <cellStyle name="STYLE5 10" xfId="42346"/>
    <cellStyle name="STYLE5 11" xfId="42347"/>
    <cellStyle name="STYLE5 12" xfId="42348"/>
    <cellStyle name="STYLE5 13" xfId="42349"/>
    <cellStyle name="STYLE5 14" xfId="42350"/>
    <cellStyle name="STYLE5 15" xfId="42351"/>
    <cellStyle name="STYLE5 16" xfId="42352"/>
    <cellStyle name="STYLE5 17" xfId="42353"/>
    <cellStyle name="STYLE5 18" xfId="42354"/>
    <cellStyle name="STYLE5 19" xfId="42355"/>
    <cellStyle name="STYLE5 2" xfId="42356"/>
    <cellStyle name="STYLE5 3" xfId="42357"/>
    <cellStyle name="STYLE5 4" xfId="42358"/>
    <cellStyle name="STYLE5 5" xfId="42359"/>
    <cellStyle name="STYLE5 6" xfId="42360"/>
    <cellStyle name="STYLE5 7" xfId="42361"/>
    <cellStyle name="STYLE5 8" xfId="42362"/>
    <cellStyle name="STYLE5 9" xfId="42363"/>
    <cellStyle name="STYLE6" xfId="42364"/>
    <cellStyle name="STYLE6 10" xfId="42365"/>
    <cellStyle name="STYLE6 11" xfId="42366"/>
    <cellStyle name="STYLE6 12" xfId="42367"/>
    <cellStyle name="STYLE6 13" xfId="42368"/>
    <cellStyle name="STYLE6 14" xfId="42369"/>
    <cellStyle name="STYLE6 15" xfId="42370"/>
    <cellStyle name="STYLE6 16" xfId="42371"/>
    <cellStyle name="STYLE6 17" xfId="42372"/>
    <cellStyle name="STYLE6 18" xfId="42373"/>
    <cellStyle name="STYLE6 19" xfId="42374"/>
    <cellStyle name="STYLE6 2" xfId="42375"/>
    <cellStyle name="STYLE6 3" xfId="42376"/>
    <cellStyle name="STYLE6 4" xfId="42377"/>
    <cellStyle name="STYLE6 5" xfId="42378"/>
    <cellStyle name="STYLE6 6" xfId="42379"/>
    <cellStyle name="STYLE6 7" xfId="42380"/>
    <cellStyle name="STYLE6 8" xfId="42381"/>
    <cellStyle name="STYLE6 9" xfId="42382"/>
    <cellStyle name="STYLE7" xfId="42383"/>
    <cellStyle name="STYLE7 10" xfId="42384"/>
    <cellStyle name="STYLE7 11" xfId="42385"/>
    <cellStyle name="STYLE7 12" xfId="42386"/>
    <cellStyle name="STYLE7 13" xfId="42387"/>
    <cellStyle name="STYLE7 14" xfId="42388"/>
    <cellStyle name="STYLE7 15" xfId="42389"/>
    <cellStyle name="STYLE7 16" xfId="42390"/>
    <cellStyle name="STYLE7 17" xfId="42391"/>
    <cellStyle name="STYLE7 18" xfId="42392"/>
    <cellStyle name="STYLE7 19" xfId="42393"/>
    <cellStyle name="STYLE7 2" xfId="42394"/>
    <cellStyle name="STYLE7 3" xfId="42395"/>
    <cellStyle name="STYLE7 4" xfId="42396"/>
    <cellStyle name="STYLE7 5" xfId="42397"/>
    <cellStyle name="STYLE7 6" xfId="42398"/>
    <cellStyle name="STYLE7 7" xfId="42399"/>
    <cellStyle name="STYLE7 8" xfId="42400"/>
    <cellStyle name="STYLE7 9" xfId="42401"/>
    <cellStyle name="STYLE8" xfId="42402"/>
    <cellStyle name="STYLE8 10" xfId="42403"/>
    <cellStyle name="STYLE8 11" xfId="42404"/>
    <cellStyle name="STYLE8 12" xfId="42405"/>
    <cellStyle name="STYLE8 13" xfId="42406"/>
    <cellStyle name="STYLE8 14" xfId="42407"/>
    <cellStyle name="STYLE8 15" xfId="42408"/>
    <cellStyle name="STYLE8 16" xfId="42409"/>
    <cellStyle name="STYLE8 17" xfId="42410"/>
    <cellStyle name="STYLE8 18" xfId="42411"/>
    <cellStyle name="STYLE8 19" xfId="42412"/>
    <cellStyle name="STYLE8 2" xfId="42413"/>
    <cellStyle name="STYLE8 3" xfId="42414"/>
    <cellStyle name="STYLE8 4" xfId="42415"/>
    <cellStyle name="STYLE8 5" xfId="42416"/>
    <cellStyle name="STYLE8 6" xfId="42417"/>
    <cellStyle name="STYLE8 7" xfId="42418"/>
    <cellStyle name="STYLE8 8" xfId="42419"/>
    <cellStyle name="STYLE8 9" xfId="42420"/>
    <cellStyle name="STYLE9" xfId="42421"/>
    <cellStyle name="STYLE9 10" xfId="42422"/>
    <cellStyle name="STYLE9 11" xfId="42423"/>
    <cellStyle name="STYLE9 12" xfId="42424"/>
    <cellStyle name="STYLE9 13" xfId="42425"/>
    <cellStyle name="STYLE9 14" xfId="42426"/>
    <cellStyle name="STYLE9 15" xfId="42427"/>
    <cellStyle name="STYLE9 16" xfId="42428"/>
    <cellStyle name="STYLE9 17" xfId="42429"/>
    <cellStyle name="STYLE9 18" xfId="42430"/>
    <cellStyle name="STYLE9 19" xfId="42431"/>
    <cellStyle name="STYLE9 2" xfId="42432"/>
    <cellStyle name="STYLE9 3" xfId="42433"/>
    <cellStyle name="STYLE9 4" xfId="42434"/>
    <cellStyle name="STYLE9 5" xfId="42435"/>
    <cellStyle name="STYLE9 6" xfId="42436"/>
    <cellStyle name="STYLE9 7" xfId="42437"/>
    <cellStyle name="STYLE9 8" xfId="42438"/>
    <cellStyle name="STYLE9 9" xfId="42439"/>
    <cellStyle name="SubComponent" xfId="42440"/>
    <cellStyle name="Subhead" xfId="42441"/>
    <cellStyle name="SubScript" xfId="42442"/>
    <cellStyle name="Subtitle" xfId="42443"/>
    <cellStyle name="Subtotal" xfId="42444"/>
    <cellStyle name="Summary2" xfId="42445"/>
    <cellStyle name="SuperScript" xfId="42446"/>
    <cellStyle name="TAB_1" xfId="42447"/>
    <cellStyle name="Table Col Head" xfId="42448"/>
    <cellStyle name="Table Head" xfId="42449"/>
    <cellStyle name="Table Head Aligned" xfId="42450"/>
    <cellStyle name="Table Head Blue" xfId="42451"/>
    <cellStyle name="Table Head Green" xfId="42452"/>
    <cellStyle name="Table Head_Deals" xfId="42453"/>
    <cellStyle name="Table Source" xfId="42454"/>
    <cellStyle name="Table Sub Head" xfId="42455"/>
    <cellStyle name="Table Text" xfId="42456"/>
    <cellStyle name="Table Title" xfId="42457"/>
    <cellStyle name="Table Units" xfId="42458"/>
    <cellStyle name="Table-#" xfId="42459"/>
    <cellStyle name="Table-Footnotes" xfId="42460"/>
    <cellStyle name="Table-Head-Bottom" xfId="42461"/>
    <cellStyle name="Table-Headings" xfId="42462"/>
    <cellStyle name="Table-Head-Title" xfId="42463"/>
    <cellStyle name="TableSubTitleItalic" xfId="42464"/>
    <cellStyle name="Table-Titles" xfId="42465"/>
    <cellStyle name="Tan Borders" xfId="42466"/>
    <cellStyle name="tcn" xfId="42467"/>
    <cellStyle name="Text" xfId="42468"/>
    <cellStyle name="Text 1" xfId="42469"/>
    <cellStyle name="Text 2" xfId="42470"/>
    <cellStyle name="Text Head 1" xfId="42471"/>
    <cellStyle name="Text Head 2" xfId="42472"/>
    <cellStyle name="Text Indent 1" xfId="42473"/>
    <cellStyle name="Text Indent 2" xfId="42474"/>
    <cellStyle name="Text Indent A" xfId="42475"/>
    <cellStyle name="Text Indent B" xfId="42476"/>
    <cellStyle name="Text Indent C" xfId="42477"/>
    <cellStyle name="text2" xfId="42478"/>
    <cellStyle name="TextBold" xfId="42479"/>
    <cellStyle name="TextItalic" xfId="42480"/>
    <cellStyle name="TextNormal" xfId="42481"/>
    <cellStyle name="THB 0" xfId="42482"/>
    <cellStyle name="THB 0 2" xfId="42483"/>
    <cellStyle name="THB 0 3" xfId="42484"/>
    <cellStyle name="Til" xfId="42485"/>
    <cellStyle name="tiles" xfId="42486"/>
    <cellStyle name="Times [0]" xfId="42487"/>
    <cellStyle name="Times [0] 2" xfId="42488"/>
    <cellStyle name="Times [0] 2 2" xfId="42489"/>
    <cellStyle name="Times [0] 2 3" xfId="42490"/>
    <cellStyle name="Times [0] 2 4" xfId="42491"/>
    <cellStyle name="Times [0] 3" xfId="42492"/>
    <cellStyle name="Times [1]" xfId="42493"/>
    <cellStyle name="Times [2]" xfId="42494"/>
    <cellStyle name="Times New Roman" xfId="42495"/>
    <cellStyle name="Title" xfId="42809" builtinId="15" customBuiltin="1"/>
    <cellStyle name="Title - PROJECT" xfId="42496"/>
    <cellStyle name="Title - Style1" xfId="42497"/>
    <cellStyle name="Title - Underline" xfId="42498"/>
    <cellStyle name="Title 2" xfId="42499"/>
    <cellStyle name="Title 2 2" xfId="42500"/>
    <cellStyle name="Title 2 3" xfId="42501"/>
    <cellStyle name="Title 3" xfId="42502"/>
    <cellStyle name="Title 3 2" xfId="43137"/>
    <cellStyle name="Title: Bold 20 pt." xfId="42503"/>
    <cellStyle name="title1" xfId="42504"/>
    <cellStyle name="title2" xfId="42505"/>
    <cellStyle name="TitleCenter" xfId="42506"/>
    <cellStyle name="TitleNormal" xfId="42507"/>
    <cellStyle name="Titles" xfId="42508"/>
    <cellStyle name="Titles - Col. Headings" xfId="42509"/>
    <cellStyle name="Titles - Other" xfId="42510"/>
    <cellStyle name="Titles_Luxury Multiples Model 10 03 03" xfId="42511"/>
    <cellStyle name="tn" xfId="42512"/>
    <cellStyle name="TOC 1" xfId="42513"/>
    <cellStyle name="TOC 2" xfId="42514"/>
    <cellStyle name="Total" xfId="42824" builtinId="25" customBuiltin="1"/>
    <cellStyle name="Total 2" xfId="42515"/>
    <cellStyle name="Total 2 2" xfId="42516"/>
    <cellStyle name="Total 2 3" xfId="42517"/>
    <cellStyle name="Total 2 3 2" xfId="42518"/>
    <cellStyle name="Total 2 3 2 2" xfId="42519"/>
    <cellStyle name="Total 2 3 2 2 2" xfId="42520"/>
    <cellStyle name="Total 2 3 2 2 2 2" xfId="42521"/>
    <cellStyle name="Total 2 3 2 2 2 3" xfId="42522"/>
    <cellStyle name="Total 2 3 2 2 3" xfId="42523"/>
    <cellStyle name="Total 2 3 2 2 4" xfId="42524"/>
    <cellStyle name="Total 2 3 2 3" xfId="42525"/>
    <cellStyle name="Total 2 3 2 4" xfId="42526"/>
    <cellStyle name="Total 2 3 3" xfId="42527"/>
    <cellStyle name="Total 2 3 3 2" xfId="42528"/>
    <cellStyle name="Total 2 3 3 2 2" xfId="42529"/>
    <cellStyle name="Total 2 3 3 2 3" xfId="42530"/>
    <cellStyle name="Total 2 3 3 3" xfId="42531"/>
    <cellStyle name="Total 2 3 3 4" xfId="42532"/>
    <cellStyle name="Total 2 3 4" xfId="42533"/>
    <cellStyle name="Total 2 3 5" xfId="42534"/>
    <cellStyle name="Total 2 4" xfId="42535"/>
    <cellStyle name="Total 2 4 2" xfId="42536"/>
    <cellStyle name="Total 2 4 2 2" xfId="42537"/>
    <cellStyle name="Total 2 4 2 2 2" xfId="42538"/>
    <cellStyle name="Total 2 4 2 2 3" xfId="42539"/>
    <cellStyle name="Total 2 4 2 3" xfId="42540"/>
    <cellStyle name="Total 2 4 2 4" xfId="42541"/>
    <cellStyle name="Total 2 4 3" xfId="42542"/>
    <cellStyle name="Total 2 4 4" xfId="42543"/>
    <cellStyle name="Total 2 5" xfId="42544"/>
    <cellStyle name="Total 2 5 2" xfId="42545"/>
    <cellStyle name="Total 2 5 2 2" xfId="42546"/>
    <cellStyle name="Total 2 5 2 3" xfId="42547"/>
    <cellStyle name="Total 2 5 3" xfId="42548"/>
    <cellStyle name="Total 2 5 4" xfId="42549"/>
    <cellStyle name="Total 2 6" xfId="42550"/>
    <cellStyle name="Total 2 7" xfId="42551"/>
    <cellStyle name="Total 2 8" xfId="42886"/>
    <cellStyle name="Total 2 9" xfId="42899"/>
    <cellStyle name="Total 3" xfId="42552"/>
    <cellStyle name="Total 3 2" xfId="42553"/>
    <cellStyle name="Total 3 2 2" xfId="42554"/>
    <cellStyle name="Total 3 2 2 2" xfId="42555"/>
    <cellStyle name="Total 3 2 2 3" xfId="42556"/>
    <cellStyle name="Total 3 2 3" xfId="42557"/>
    <cellStyle name="Total 3 2 4" xfId="42558"/>
    <cellStyle name="Total 3 3" xfId="42559"/>
    <cellStyle name="Total 3 4" xfId="42560"/>
    <cellStyle name="Total 3 5" xfId="43138"/>
    <cellStyle name="Total 4" xfId="42561"/>
    <cellStyle name="Total 5" xfId="42562"/>
    <cellStyle name="Total 5 2" xfId="42563"/>
    <cellStyle name="Total 5 2 2" xfId="42564"/>
    <cellStyle name="Total 5 2 2 2" xfId="42565"/>
    <cellStyle name="Total 5 2 2 3" xfId="42566"/>
    <cellStyle name="Total 5 2 3" xfId="42567"/>
    <cellStyle name="Total 5 2 4" xfId="42568"/>
    <cellStyle name="Total 6" xfId="42569"/>
    <cellStyle name="Total 7" xfId="42570"/>
    <cellStyle name="Total Currency" xfId="42571"/>
    <cellStyle name="Total Normal" xfId="42572"/>
    <cellStyle name="TransVal" xfId="42573"/>
    <cellStyle name="TWD 0" xfId="42574"/>
    <cellStyle name="TWD 0 2" xfId="42575"/>
    <cellStyle name="TWD 0 3" xfId="42576"/>
    <cellStyle name="Unprot" xfId="42577"/>
    <cellStyle name="Unprot$" xfId="42578"/>
    <cellStyle name="Unprotect" xfId="42579"/>
    <cellStyle name="Unprotect 2" xfId="42580"/>
    <cellStyle name="Unprotect 2 10" xfId="42581"/>
    <cellStyle name="Unprotect 2 11" xfId="42582"/>
    <cellStyle name="Unprotect 2 12" xfId="42583"/>
    <cellStyle name="Unprotect 2 2" xfId="42584"/>
    <cellStyle name="Unprotect 2 2 2" xfId="42585"/>
    <cellStyle name="Unprotect 2 2 2 2" xfId="42586"/>
    <cellStyle name="Unprotect 2 2 2 3" xfId="42587"/>
    <cellStyle name="Unprotect 2 2 2 4" xfId="42588"/>
    <cellStyle name="Unprotect 2 2 2 5" xfId="42589"/>
    <cellStyle name="Unprotect 2 2 2 6" xfId="42590"/>
    <cellStyle name="Unprotect 2 2 2 7" xfId="42591"/>
    <cellStyle name="Unprotect 2 2 3" xfId="42592"/>
    <cellStyle name="Unprotect 2 2 3 2" xfId="42593"/>
    <cellStyle name="Unprotect 2 2 3 3" xfId="42594"/>
    <cellStyle name="Unprotect 2 2 3 4" xfId="42595"/>
    <cellStyle name="Unprotect 2 2 3 5" xfId="42596"/>
    <cellStyle name="Unprotect 2 2 3 6" xfId="42597"/>
    <cellStyle name="Unprotect 2 2 3 7" xfId="42598"/>
    <cellStyle name="Unprotect 2 2 4" xfId="42599"/>
    <cellStyle name="Unprotect 2 2 5" xfId="42600"/>
    <cellStyle name="Unprotect 2 2 6" xfId="42601"/>
    <cellStyle name="Unprotect 2 2 7" xfId="42602"/>
    <cellStyle name="Unprotect 2 2 8" xfId="42603"/>
    <cellStyle name="Unprotect 2 2 9" xfId="42604"/>
    <cellStyle name="Unprotect 2 3" xfId="42605"/>
    <cellStyle name="Unprotect 2 3 2" xfId="42606"/>
    <cellStyle name="Unprotect 2 3 2 2" xfId="42607"/>
    <cellStyle name="Unprotect 2 3 2 3" xfId="42608"/>
    <cellStyle name="Unprotect 2 3 2 4" xfId="42609"/>
    <cellStyle name="Unprotect 2 3 2 5" xfId="42610"/>
    <cellStyle name="Unprotect 2 3 2 6" xfId="42611"/>
    <cellStyle name="Unprotect 2 3 2 7" xfId="42612"/>
    <cellStyle name="Unprotect 2 3 3" xfId="42613"/>
    <cellStyle name="Unprotect 2 3 3 2" xfId="42614"/>
    <cellStyle name="Unprotect 2 3 3 3" xfId="42615"/>
    <cellStyle name="Unprotect 2 3 3 4" xfId="42616"/>
    <cellStyle name="Unprotect 2 3 3 5" xfId="42617"/>
    <cellStyle name="Unprotect 2 3 3 6" xfId="42618"/>
    <cellStyle name="Unprotect 2 3 3 7" xfId="42619"/>
    <cellStyle name="Unprotect 2 3 4" xfId="42620"/>
    <cellStyle name="Unprotect 2 3 5" xfId="42621"/>
    <cellStyle name="Unprotect 2 3 6" xfId="42622"/>
    <cellStyle name="Unprotect 2 3 7" xfId="42623"/>
    <cellStyle name="Unprotect 2 3 8" xfId="42624"/>
    <cellStyle name="Unprotect 2 3 9" xfId="42625"/>
    <cellStyle name="Unprotect 2 4" xfId="42626"/>
    <cellStyle name="Unprotect 2 4 2" xfId="42627"/>
    <cellStyle name="Unprotect 2 4 2 2" xfId="42628"/>
    <cellStyle name="Unprotect 2 4 2 3" xfId="42629"/>
    <cellStyle name="Unprotect 2 4 2 4" xfId="42630"/>
    <cellStyle name="Unprotect 2 4 2 5" xfId="42631"/>
    <cellStyle name="Unprotect 2 4 2 6" xfId="42632"/>
    <cellStyle name="Unprotect 2 4 2 7" xfId="42633"/>
    <cellStyle name="Unprotect 2 4 3" xfId="42634"/>
    <cellStyle name="Unprotect 2 4 3 2" xfId="42635"/>
    <cellStyle name="Unprotect 2 4 3 3" xfId="42636"/>
    <cellStyle name="Unprotect 2 4 3 4" xfId="42637"/>
    <cellStyle name="Unprotect 2 4 3 5" xfId="42638"/>
    <cellStyle name="Unprotect 2 4 3 6" xfId="42639"/>
    <cellStyle name="Unprotect 2 4 3 7" xfId="42640"/>
    <cellStyle name="Unprotect 2 4 4" xfId="42641"/>
    <cellStyle name="Unprotect 2 4 5" xfId="42642"/>
    <cellStyle name="Unprotect 2 4 6" xfId="42643"/>
    <cellStyle name="Unprotect 2 4 7" xfId="42644"/>
    <cellStyle name="Unprotect 2 4 8" xfId="42645"/>
    <cellStyle name="Unprotect 2 4 9" xfId="42646"/>
    <cellStyle name="Unprotect 2 5" xfId="42647"/>
    <cellStyle name="Unprotect 2 5 2" xfId="42648"/>
    <cellStyle name="Unprotect 2 5 3" xfId="42649"/>
    <cellStyle name="Unprotect 2 5 4" xfId="42650"/>
    <cellStyle name="Unprotect 2 5 5" xfId="42651"/>
    <cellStyle name="Unprotect 2 5 6" xfId="42652"/>
    <cellStyle name="Unprotect 2 5 7" xfId="42653"/>
    <cellStyle name="Unprotect 2 6" xfId="42654"/>
    <cellStyle name="Unprotect 2 6 2" xfId="42655"/>
    <cellStyle name="Unprotect 2 6 3" xfId="42656"/>
    <cellStyle name="Unprotect 2 6 4" xfId="42657"/>
    <cellStyle name="Unprotect 2 6 5" xfId="42658"/>
    <cellStyle name="Unprotect 2 6 6" xfId="42659"/>
    <cellStyle name="Unprotect 2 6 7" xfId="42660"/>
    <cellStyle name="Unprotect 2 7" xfId="42661"/>
    <cellStyle name="Unprotect 2 8" xfId="42662"/>
    <cellStyle name="Unprotect 2 9" xfId="42663"/>
    <cellStyle name="Unprotect 3" xfId="42664"/>
    <cellStyle name="Unprotect 3 10" xfId="42665"/>
    <cellStyle name="Unprotect 3 11" xfId="42666"/>
    <cellStyle name="Unprotect 3 12" xfId="42667"/>
    <cellStyle name="Unprotect 3 2" xfId="42668"/>
    <cellStyle name="Unprotect 3 2 2" xfId="42669"/>
    <cellStyle name="Unprotect 3 2 2 2" xfId="42670"/>
    <cellStyle name="Unprotect 3 2 2 3" xfId="42671"/>
    <cellStyle name="Unprotect 3 2 2 4" xfId="42672"/>
    <cellStyle name="Unprotect 3 2 2 5" xfId="42673"/>
    <cellStyle name="Unprotect 3 2 2 6" xfId="42674"/>
    <cellStyle name="Unprotect 3 2 2 7" xfId="42675"/>
    <cellStyle name="Unprotect 3 2 3" xfId="42676"/>
    <cellStyle name="Unprotect 3 2 3 2" xfId="42677"/>
    <cellStyle name="Unprotect 3 2 3 3" xfId="42678"/>
    <cellStyle name="Unprotect 3 2 3 4" xfId="42679"/>
    <cellStyle name="Unprotect 3 2 3 5" xfId="42680"/>
    <cellStyle name="Unprotect 3 2 3 6" xfId="42681"/>
    <cellStyle name="Unprotect 3 2 3 7" xfId="42682"/>
    <cellStyle name="Unprotect 3 2 4" xfId="42683"/>
    <cellStyle name="Unprotect 3 2 5" xfId="42684"/>
    <cellStyle name="Unprotect 3 2 6" xfId="42685"/>
    <cellStyle name="Unprotect 3 2 7" xfId="42686"/>
    <cellStyle name="Unprotect 3 2 8" xfId="42687"/>
    <cellStyle name="Unprotect 3 2 9" xfId="42688"/>
    <cellStyle name="Unprotect 3 3" xfId="42689"/>
    <cellStyle name="Unprotect 3 3 2" xfId="42690"/>
    <cellStyle name="Unprotect 3 3 2 2" xfId="42691"/>
    <cellStyle name="Unprotect 3 3 2 3" xfId="42692"/>
    <cellStyle name="Unprotect 3 3 2 4" xfId="42693"/>
    <cellStyle name="Unprotect 3 3 2 5" xfId="42694"/>
    <cellStyle name="Unprotect 3 3 2 6" xfId="42695"/>
    <cellStyle name="Unprotect 3 3 2 7" xfId="42696"/>
    <cellStyle name="Unprotect 3 3 3" xfId="42697"/>
    <cellStyle name="Unprotect 3 3 3 2" xfId="42698"/>
    <cellStyle name="Unprotect 3 3 3 3" xfId="42699"/>
    <cellStyle name="Unprotect 3 3 3 4" xfId="42700"/>
    <cellStyle name="Unprotect 3 3 3 5" xfId="42701"/>
    <cellStyle name="Unprotect 3 3 3 6" xfId="42702"/>
    <cellStyle name="Unprotect 3 3 3 7" xfId="42703"/>
    <cellStyle name="Unprotect 3 3 4" xfId="42704"/>
    <cellStyle name="Unprotect 3 3 5" xfId="42705"/>
    <cellStyle name="Unprotect 3 3 6" xfId="42706"/>
    <cellStyle name="Unprotect 3 3 7" xfId="42707"/>
    <cellStyle name="Unprotect 3 3 8" xfId="42708"/>
    <cellStyle name="Unprotect 3 3 9" xfId="42709"/>
    <cellStyle name="Unprotect 3 4" xfId="42710"/>
    <cellStyle name="Unprotect 3 4 2" xfId="42711"/>
    <cellStyle name="Unprotect 3 4 2 2" xfId="42712"/>
    <cellStyle name="Unprotect 3 4 2 3" xfId="42713"/>
    <cellStyle name="Unprotect 3 4 2 4" xfId="42714"/>
    <cellStyle name="Unprotect 3 4 2 5" xfId="42715"/>
    <cellStyle name="Unprotect 3 4 2 6" xfId="42716"/>
    <cellStyle name="Unprotect 3 4 2 7" xfId="42717"/>
    <cellStyle name="Unprotect 3 4 3" xfId="42718"/>
    <cellStyle name="Unprotect 3 4 3 2" xfId="42719"/>
    <cellStyle name="Unprotect 3 4 3 3" xfId="42720"/>
    <cellStyle name="Unprotect 3 4 3 4" xfId="42721"/>
    <cellStyle name="Unprotect 3 4 3 5" xfId="42722"/>
    <cellStyle name="Unprotect 3 4 3 6" xfId="42723"/>
    <cellStyle name="Unprotect 3 4 3 7" xfId="42724"/>
    <cellStyle name="Unprotect 3 4 4" xfId="42725"/>
    <cellStyle name="Unprotect 3 4 5" xfId="42726"/>
    <cellStyle name="Unprotect 3 4 6" xfId="42727"/>
    <cellStyle name="Unprotect 3 4 7" xfId="42728"/>
    <cellStyle name="Unprotect 3 4 8" xfId="42729"/>
    <cellStyle name="Unprotect 3 4 9" xfId="42730"/>
    <cellStyle name="Unprotect 3 5" xfId="42731"/>
    <cellStyle name="Unprotect 3 5 2" xfId="42732"/>
    <cellStyle name="Unprotect 3 5 3" xfId="42733"/>
    <cellStyle name="Unprotect 3 5 4" xfId="42734"/>
    <cellStyle name="Unprotect 3 5 5" xfId="42735"/>
    <cellStyle name="Unprotect 3 5 6" xfId="42736"/>
    <cellStyle name="Unprotect 3 5 7" xfId="42737"/>
    <cellStyle name="Unprotect 3 6" xfId="42738"/>
    <cellStyle name="Unprotect 3 6 2" xfId="42739"/>
    <cellStyle name="Unprotect 3 6 3" xfId="42740"/>
    <cellStyle name="Unprotect 3 6 4" xfId="42741"/>
    <cellStyle name="Unprotect 3 6 5" xfId="42742"/>
    <cellStyle name="Unprotect 3 6 6" xfId="42743"/>
    <cellStyle name="Unprotect 3 6 7" xfId="42744"/>
    <cellStyle name="Unprotect 3 7" xfId="42745"/>
    <cellStyle name="Unprotect 3 8" xfId="42746"/>
    <cellStyle name="Unprotect 3 9" xfId="42747"/>
    <cellStyle name="Unprotect 4" xfId="42748"/>
    <cellStyle name="Unprotect 5" xfId="42749"/>
    <cellStyle name="Unprotected" xfId="42750"/>
    <cellStyle name="Unprotected 2" xfId="42751"/>
    <cellStyle name="Unprotected 3" xfId="42752"/>
    <cellStyle name="Unsure" xfId="42753"/>
    <cellStyle name="UploadThisRowValue" xfId="42754"/>
    <cellStyle name="UploadThisRowValue 2" xfId="42755"/>
    <cellStyle name="USD 0" xfId="42756"/>
    <cellStyle name="USD 0 2" xfId="42757"/>
    <cellStyle name="USD 0 3" xfId="42758"/>
    <cellStyle name="USD 2" xfId="42759"/>
    <cellStyle name="USD 2 2" xfId="42760"/>
    <cellStyle name="USD 2 3" xfId="42761"/>
    <cellStyle name="Valuta (0)_bosss" xfId="42762"/>
    <cellStyle name="Valuta_Foglio1" xfId="42763"/>
    <cellStyle name="Vertically Centered" xfId="42764"/>
    <cellStyle name="Währung [0]_Tabelle1" xfId="42765"/>
    <cellStyle name="Währung_Tabelle1" xfId="42766"/>
    <cellStyle name="Warning Text" xfId="42822" builtinId="11" customBuiltin="1"/>
    <cellStyle name="Warning Text 2" xfId="42767"/>
    <cellStyle name="Warning Text 2 2" xfId="42768"/>
    <cellStyle name="Warning Text 2 3" xfId="42769"/>
    <cellStyle name="Warning Text 2 4" xfId="42770"/>
    <cellStyle name="Warning Text 3" xfId="42771"/>
    <cellStyle name="Warning Text 4" xfId="42772"/>
    <cellStyle name="Word Wrap" xfId="42773"/>
    <cellStyle name="xstyle" xfId="42774"/>
    <cellStyle name="Year" xfId="42775"/>
    <cellStyle name="Year&quot;E&quot;" xfId="42776"/>
    <cellStyle name="Year&quot;PF&quot;" xfId="42777"/>
    <cellStyle name="Year_194645_13" xfId="42778"/>
    <cellStyle name="yellow" xfId="42779"/>
    <cellStyle name="YesNo" xfId="42780"/>
    <cellStyle name="백분율_95" xfId="42781"/>
    <cellStyle name="콤마 [0]_2002 AOP AsiaROW-012 011231" xfId="42782"/>
    <cellStyle name="콤마_95" xfId="42783"/>
    <cellStyle name="통화 [0]_95" xfId="42784"/>
    <cellStyle name="통화_95" xfId="42785"/>
    <cellStyle name="표준_2002 AOP AsiaROW-012 011231" xfId="42786"/>
    <cellStyle name="標準_0003RJ" xfId="42787"/>
    <cellStyle name="通貨 [0.00]_MODEL" xfId="42788"/>
    <cellStyle name="通貨_MODEL" xfId="42789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5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4.xml"/><Relationship Id="rId33" Type="http://schemas.openxmlformats.org/officeDocument/2006/relationships/externalLink" Target="externalLinks/externalLink12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openxmlformats.org/officeDocument/2006/relationships/externalLink" Target="externalLinks/externalLink11.xml"/><Relationship Id="rId37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externalLink" Target="externalLinks/externalLink7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externalLink" Target="externalLinks/externalLink6.xml"/><Relationship Id="rId30" Type="http://schemas.openxmlformats.org/officeDocument/2006/relationships/externalLink" Target="externalLinks/externalLink9.xml"/><Relationship Id="rId35" Type="http://schemas.openxmlformats.org/officeDocument/2006/relationships/externalLink" Target="externalLinks/externalLink1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7</xdr:row>
      <xdr:rowOff>0</xdr:rowOff>
    </xdr:from>
    <xdr:to>
      <xdr:col>10</xdr:col>
      <xdr:colOff>214313</xdr:colOff>
      <xdr:row>8</xdr:row>
      <xdr:rowOff>35719</xdr:rowOff>
    </xdr:to>
    <xdr:sp macro="" textlink="">
      <xdr:nvSpPr>
        <xdr:cNvPr id="3" name="5-Point Sta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024563" y="1166813"/>
          <a:ext cx="214313" cy="202406"/>
        </a:xfrm>
        <a:prstGeom prst="star5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10</xdr:col>
      <xdr:colOff>214313</xdr:colOff>
      <xdr:row>13</xdr:row>
      <xdr:rowOff>35718</xdr:rowOff>
    </xdr:to>
    <xdr:sp macro="" textlink="">
      <xdr:nvSpPr>
        <xdr:cNvPr id="4" name="5-Point Sta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024563" y="2000250"/>
          <a:ext cx="214313" cy="202406"/>
        </a:xfrm>
        <a:prstGeom prst="star5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23</xdr:row>
      <xdr:rowOff>0</xdr:rowOff>
    </xdr:from>
    <xdr:to>
      <xdr:col>10</xdr:col>
      <xdr:colOff>214313</xdr:colOff>
      <xdr:row>25</xdr:row>
      <xdr:rowOff>0</xdr:rowOff>
    </xdr:to>
    <xdr:sp macro="" textlink="">
      <xdr:nvSpPr>
        <xdr:cNvPr id="5" name="5-Point Sta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024563" y="3738563"/>
          <a:ext cx="214313" cy="202406"/>
        </a:xfrm>
        <a:prstGeom prst="star5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31</xdr:row>
      <xdr:rowOff>0</xdr:rowOff>
    </xdr:from>
    <xdr:to>
      <xdr:col>10</xdr:col>
      <xdr:colOff>214313</xdr:colOff>
      <xdr:row>32</xdr:row>
      <xdr:rowOff>35719</xdr:rowOff>
    </xdr:to>
    <xdr:sp macro="" textlink="">
      <xdr:nvSpPr>
        <xdr:cNvPr id="6" name="5-Point Sta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024563" y="4845844"/>
          <a:ext cx="214313" cy="202406"/>
        </a:xfrm>
        <a:prstGeom prst="star5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42</xdr:row>
      <xdr:rowOff>0</xdr:rowOff>
    </xdr:from>
    <xdr:to>
      <xdr:col>10</xdr:col>
      <xdr:colOff>214313</xdr:colOff>
      <xdr:row>43</xdr:row>
      <xdr:rowOff>35718</xdr:rowOff>
    </xdr:to>
    <xdr:sp macro="" textlink="">
      <xdr:nvSpPr>
        <xdr:cNvPr id="7" name="5-Point Sta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6024563" y="6488906"/>
          <a:ext cx="214313" cy="202406"/>
        </a:xfrm>
        <a:prstGeom prst="star5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51</xdr:row>
      <xdr:rowOff>0</xdr:rowOff>
    </xdr:from>
    <xdr:to>
      <xdr:col>10</xdr:col>
      <xdr:colOff>214313</xdr:colOff>
      <xdr:row>52</xdr:row>
      <xdr:rowOff>35719</xdr:rowOff>
    </xdr:to>
    <xdr:sp macro="" textlink="">
      <xdr:nvSpPr>
        <xdr:cNvPr id="8" name="5-Point Sta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6024563" y="7881938"/>
          <a:ext cx="214313" cy="202406"/>
        </a:xfrm>
        <a:prstGeom prst="star5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750093</xdr:colOff>
      <xdr:row>68</xdr:row>
      <xdr:rowOff>23812</xdr:rowOff>
    </xdr:from>
    <xdr:to>
      <xdr:col>27</xdr:col>
      <xdr:colOff>468180</xdr:colOff>
      <xdr:row>102</xdr:row>
      <xdr:rowOff>146914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31906" y="11358562"/>
          <a:ext cx="7409524" cy="5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178593</xdr:colOff>
      <xdr:row>67</xdr:row>
      <xdr:rowOff>130968</xdr:rowOff>
    </xdr:from>
    <xdr:to>
      <xdr:col>9</xdr:col>
      <xdr:colOff>515828</xdr:colOff>
      <xdr:row>98</xdr:row>
      <xdr:rowOff>68418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8593" y="11299031"/>
          <a:ext cx="7219048" cy="51047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139</xdr:row>
      <xdr:rowOff>142875</xdr:rowOff>
    </xdr:from>
    <xdr:to>
      <xdr:col>9</xdr:col>
      <xdr:colOff>527711</xdr:colOff>
      <xdr:row>174</xdr:row>
      <xdr:rowOff>99290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3312438"/>
          <a:ext cx="7409524" cy="5790477"/>
        </a:xfrm>
        <a:prstGeom prst="rect">
          <a:avLst/>
        </a:prstGeom>
      </xdr:spPr>
    </xdr:pic>
    <xdr:clientData/>
  </xdr:twoCellAnchor>
  <xdr:twoCellAnchor editAs="oneCell">
    <xdr:from>
      <xdr:col>9</xdr:col>
      <xdr:colOff>107156</xdr:colOff>
      <xdr:row>141</xdr:row>
      <xdr:rowOff>71437</xdr:rowOff>
    </xdr:from>
    <xdr:to>
      <xdr:col>27</xdr:col>
      <xdr:colOff>161012</xdr:colOff>
      <xdr:row>171</xdr:row>
      <xdr:rowOff>156527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88969" y="23574375"/>
          <a:ext cx="7304762" cy="508571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762000</xdr:colOff>
      <xdr:row>35</xdr:row>
      <xdr:rowOff>83343</xdr:rowOff>
    </xdr:from>
    <xdr:to>
      <xdr:col>8</xdr:col>
      <xdr:colOff>59531</xdr:colOff>
      <xdr:row>36</xdr:row>
      <xdr:rowOff>142875</xdr:rowOff>
    </xdr:to>
    <xdr:sp macro="" textlink="">
      <xdr:nvSpPr>
        <xdr:cNvPr id="2" name="5-Point Star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5143500" y="5917406"/>
          <a:ext cx="178594" cy="226219"/>
        </a:xfrm>
        <a:prstGeom prst="star5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94629</xdr:colOff>
      <xdr:row>52</xdr:row>
      <xdr:rowOff>46567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971429" cy="84666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773906</xdr:colOff>
      <xdr:row>14</xdr:row>
      <xdr:rowOff>71438</xdr:rowOff>
    </xdr:from>
    <xdr:to>
      <xdr:col>9</xdr:col>
      <xdr:colOff>773906</xdr:colOff>
      <xdr:row>28</xdr:row>
      <xdr:rowOff>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CxnSpPr/>
      </xdr:nvCxnSpPr>
      <xdr:spPr>
        <a:xfrm>
          <a:off x="11306175" y="2338388"/>
          <a:ext cx="0" cy="2195512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714375</xdr:colOff>
      <xdr:row>38</xdr:row>
      <xdr:rowOff>23812</xdr:rowOff>
    </xdr:from>
    <xdr:to>
      <xdr:col>9</xdr:col>
      <xdr:colOff>738187</xdr:colOff>
      <xdr:row>51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CxnSpPr/>
      </xdr:nvCxnSpPr>
      <xdr:spPr>
        <a:xfrm flipH="1">
          <a:off x="11306175" y="6176962"/>
          <a:ext cx="0" cy="2081213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762000</xdr:colOff>
      <xdr:row>55</xdr:row>
      <xdr:rowOff>59531</xdr:rowOff>
    </xdr:from>
    <xdr:to>
      <xdr:col>9</xdr:col>
      <xdr:colOff>762000</xdr:colOff>
      <xdr:row>72</xdr:row>
      <xdr:rowOff>119062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CxnSpPr/>
      </xdr:nvCxnSpPr>
      <xdr:spPr>
        <a:xfrm>
          <a:off x="11306175" y="8965406"/>
          <a:ext cx="0" cy="2812256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738187</xdr:colOff>
      <xdr:row>98</xdr:row>
      <xdr:rowOff>59531</xdr:rowOff>
    </xdr:from>
    <xdr:to>
      <xdr:col>9</xdr:col>
      <xdr:colOff>797719</xdr:colOff>
      <xdr:row>120</xdr:row>
      <xdr:rowOff>11906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CxnSpPr/>
      </xdr:nvCxnSpPr>
      <xdr:spPr>
        <a:xfrm flipH="1">
          <a:off x="11306175" y="16090106"/>
          <a:ext cx="0" cy="35147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762000</xdr:colOff>
      <xdr:row>158</xdr:row>
      <xdr:rowOff>35719</xdr:rowOff>
    </xdr:from>
    <xdr:to>
      <xdr:col>9</xdr:col>
      <xdr:colOff>797719</xdr:colOff>
      <xdr:row>169</xdr:row>
      <xdr:rowOff>130969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CxnSpPr/>
      </xdr:nvCxnSpPr>
      <xdr:spPr>
        <a:xfrm>
          <a:off x="11306175" y="25781794"/>
          <a:ext cx="0" cy="18764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714375</xdr:colOff>
      <xdr:row>38</xdr:row>
      <xdr:rowOff>23812</xdr:rowOff>
    </xdr:from>
    <xdr:to>
      <xdr:col>11</xdr:col>
      <xdr:colOff>738187</xdr:colOff>
      <xdr:row>51</xdr:row>
      <xdr:rowOff>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CxnSpPr/>
      </xdr:nvCxnSpPr>
      <xdr:spPr>
        <a:xfrm flipH="1">
          <a:off x="11306175" y="6176962"/>
          <a:ext cx="0" cy="2081213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762000</xdr:colOff>
      <xdr:row>55</xdr:row>
      <xdr:rowOff>59531</xdr:rowOff>
    </xdr:from>
    <xdr:to>
      <xdr:col>11</xdr:col>
      <xdr:colOff>762000</xdr:colOff>
      <xdr:row>72</xdr:row>
      <xdr:rowOff>119062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CxnSpPr/>
      </xdr:nvCxnSpPr>
      <xdr:spPr>
        <a:xfrm>
          <a:off x="11306175" y="8965406"/>
          <a:ext cx="0" cy="2812256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738187</xdr:colOff>
      <xdr:row>98</xdr:row>
      <xdr:rowOff>59531</xdr:rowOff>
    </xdr:from>
    <xdr:to>
      <xdr:col>11</xdr:col>
      <xdr:colOff>797719</xdr:colOff>
      <xdr:row>120</xdr:row>
      <xdr:rowOff>11906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CxnSpPr/>
      </xdr:nvCxnSpPr>
      <xdr:spPr>
        <a:xfrm flipH="1">
          <a:off x="11306175" y="16090106"/>
          <a:ext cx="0" cy="35147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762000</xdr:colOff>
      <xdr:row>158</xdr:row>
      <xdr:rowOff>35719</xdr:rowOff>
    </xdr:from>
    <xdr:to>
      <xdr:col>11</xdr:col>
      <xdr:colOff>797719</xdr:colOff>
      <xdr:row>169</xdr:row>
      <xdr:rowOff>130969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CxnSpPr/>
      </xdr:nvCxnSpPr>
      <xdr:spPr>
        <a:xfrm>
          <a:off x="11306175" y="25781794"/>
          <a:ext cx="0" cy="18764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750094</xdr:colOff>
      <xdr:row>16</xdr:row>
      <xdr:rowOff>23813</xdr:rowOff>
    </xdr:from>
    <xdr:to>
      <xdr:col>11</xdr:col>
      <xdr:colOff>762000</xdr:colOff>
      <xdr:row>28</xdr:row>
      <xdr:rowOff>35719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CxnSpPr/>
      </xdr:nvCxnSpPr>
      <xdr:spPr>
        <a:xfrm flipH="1">
          <a:off x="11306175" y="2614613"/>
          <a:ext cx="0" cy="1955006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994833</xdr:colOff>
      <xdr:row>111</xdr:row>
      <xdr:rowOff>158750</xdr:rowOff>
    </xdr:from>
    <xdr:to>
      <xdr:col>9</xdr:col>
      <xdr:colOff>402167</xdr:colOff>
      <xdr:row>131</xdr:row>
      <xdr:rowOff>52917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CxnSpPr/>
      </xdr:nvCxnSpPr>
      <xdr:spPr>
        <a:xfrm flipV="1">
          <a:off x="6953250" y="18647833"/>
          <a:ext cx="1619250" cy="3704167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2324100</xdr:colOff>
      <xdr:row>0</xdr:row>
      <xdr:rowOff>0</xdr:rowOff>
    </xdr:from>
    <xdr:to>
      <xdr:col>0</xdr:col>
      <xdr:colOff>2324100</xdr:colOff>
      <xdr:row>1</xdr:row>
      <xdr:rowOff>41501</xdr:rowOff>
    </xdr:to>
    <xdr:sp macro="" textlink="">
      <xdr:nvSpPr>
        <xdr:cNvPr id="2" name="Text Box 5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>
          <a:spLocks noChangeArrowheads="1"/>
        </xdr:cNvSpPr>
      </xdr:nvSpPr>
      <xdr:spPr bwMode="auto">
        <a:xfrm>
          <a:off x="2324100" y="4562475"/>
          <a:ext cx="104775" cy="2034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s01corp\ROOT\Ret\Fin\956050\CC\Reporting\Flash\JulyFY03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s01corp\ROOT\GENLEDG\FINLREPT\10-Q'S\1998\3Q98\3Q98F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eep_me\acctg\2000\FDC%20INFO\1200\DEC%202000%20GAAP%20TESTBUD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B001/Local%20Settings/Temporary%20Internet%20Files/OLK1A/Documents%20and%20Settings/JW7030/Local%20Settings/Temporary%20Internet%20Files/OLK1/Documents%20and%20Settings/RJ562/Local%20Settings/Temporary%20Internet%20Files/OLK5/2004-02%20Buildup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mitchell/Local%20Settings/Temporary%20Internet%20Files/Content.Outlook/AAXS4USJ/FY%202010%20ER%20Log%20password%20protected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T%20files/June%202000%20BALANCE%20SHEET%20REVISED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100097/My%20Documents/Models/4th%20Qtr%202004/Live/Documents%20and%20Settings/JW7030/Local%20Settings/Temporary%20Internet%20Files/OLK1/Documents%20and%20Settings/dc582/Local%20Settings/Temporary%20Internet%20Files/OLK23/2004%20B2B%20budget%20oct%2015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FINANCE/Y2K%20Budget/00budasp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JAN%2000%20Balance%20Sheet%20040400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B:\My%20Documents\New%20Stores\2000%20Stores\Infrastructure%20Costs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eep_me\acctg\FINANCE\FY%202001%20budgets\actg%20budget\SY%20budget%20oct%2016%20vers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rk/AppData/Local/Microsoft/Windows/Temporary%20Internet%20Files/Content.IE5/EQL1OXG1/2014%20Car%20Toys%20financial%20statements%20income%20tax%20wp's%20february%2016,%202015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whit/Downloads/CT%20Consolidation_Dec%202016_3.30.17PM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rk/Documents/clients/car%20toys/2015/sbc/ct/2015%20cti%20sbc%20wp%20file%20february%204,%20201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ily"/>
      <sheetName val="merchandise"/>
      <sheetName val="curt t - rick h report"/>
      <sheetName val="mixrate"/>
      <sheetName val="retail"/>
      <sheetName val="retail misc"/>
      <sheetName val="imp cls"/>
      <sheetName val="imp daily"/>
      <sheetName val="imp str"/>
      <sheetName val="clsbud"/>
      <sheetName val="retail bud"/>
      <sheetName val="Gross summary"/>
      <sheetName val="Exec Summary"/>
      <sheetName val="Enterprise Information"/>
      <sheetName val="H"/>
      <sheetName val="JulyFY03"/>
      <sheetName val="Cost Drivers"/>
      <sheetName val="Sheet1"/>
      <sheetName val="Sheet2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PL"/>
      <sheetName val="PRBS"/>
      <sheetName val="PROthDta"/>
      <sheetName val="10QPL"/>
      <sheetName val="10QBS"/>
      <sheetName val="10QCF"/>
      <sheetName val="10QOthDta"/>
      <sheetName val="strcttable"/>
      <sheetName val="A"/>
      <sheetName val="B"/>
      <sheetName val="Control"/>
      <sheetName val="Dialog1"/>
      <sheetName val="Module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unTime"/>
      <sheetName val="Summary"/>
      <sheetName val="Income"/>
      <sheetName val="Balance"/>
      <sheetName val="Budget"/>
      <sheetName val="Data"/>
      <sheetName val="Module"/>
    </sheetNames>
    <sheetDataSet>
      <sheetData sheetId="0" refreshError="1">
        <row r="4">
          <cell r="C4" t="str">
            <v>12</v>
          </cell>
        </row>
        <row r="5">
          <cell r="C5" t="str">
            <v>DECEMBER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>
        <row r="1">
          <cell r="A1">
            <v>10.01</v>
          </cell>
          <cell r="J1">
            <v>10.01</v>
          </cell>
          <cell r="K1">
            <v>14266530</v>
          </cell>
          <cell r="L1">
            <v>117971804</v>
          </cell>
        </row>
        <row r="2">
          <cell r="J2">
            <v>10.039999999999999</v>
          </cell>
          <cell r="K2">
            <v>-391320</v>
          </cell>
          <cell r="L2">
            <v>-4189971</v>
          </cell>
        </row>
        <row r="3">
          <cell r="J3">
            <v>10.1</v>
          </cell>
          <cell r="K3">
            <v>-539039</v>
          </cell>
          <cell r="L3">
            <v>-2925113</v>
          </cell>
        </row>
        <row r="4">
          <cell r="J4">
            <v>15.01</v>
          </cell>
          <cell r="K4">
            <v>7560069</v>
          </cell>
          <cell r="L4">
            <v>61975062</v>
          </cell>
        </row>
        <row r="5">
          <cell r="J5">
            <v>15.010999999999999</v>
          </cell>
          <cell r="K5">
            <v>0</v>
          </cell>
          <cell r="L5">
            <v>0</v>
          </cell>
        </row>
        <row r="6">
          <cell r="J6">
            <v>15.02</v>
          </cell>
          <cell r="K6">
            <v>81821</v>
          </cell>
          <cell r="L6">
            <v>876085</v>
          </cell>
        </row>
        <row r="7">
          <cell r="J7">
            <v>15.03</v>
          </cell>
          <cell r="K7">
            <v>80646</v>
          </cell>
          <cell r="L7">
            <v>675736</v>
          </cell>
        </row>
        <row r="8">
          <cell r="J8">
            <v>15.05</v>
          </cell>
          <cell r="K8">
            <v>0</v>
          </cell>
          <cell r="L8">
            <v>-459662</v>
          </cell>
        </row>
        <row r="9">
          <cell r="J9">
            <v>15.06</v>
          </cell>
          <cell r="K9">
            <v>-10058</v>
          </cell>
          <cell r="L9">
            <v>-64456</v>
          </cell>
        </row>
        <row r="10">
          <cell r="J10">
            <v>15.07</v>
          </cell>
          <cell r="K10">
            <v>-65000</v>
          </cell>
          <cell r="L10">
            <v>-780000</v>
          </cell>
        </row>
        <row r="11">
          <cell r="J11">
            <v>15.085000000000001</v>
          </cell>
          <cell r="K11">
            <v>-19872</v>
          </cell>
          <cell r="L11">
            <v>-134123</v>
          </cell>
        </row>
        <row r="12">
          <cell r="J12">
            <v>15.086</v>
          </cell>
          <cell r="K12">
            <v>-20312</v>
          </cell>
          <cell r="L12">
            <v>-124290</v>
          </cell>
        </row>
        <row r="13">
          <cell r="J13">
            <v>15.1</v>
          </cell>
          <cell r="K13">
            <v>11509</v>
          </cell>
          <cell r="L13">
            <v>107635</v>
          </cell>
        </row>
        <row r="14">
          <cell r="J14">
            <v>15.15</v>
          </cell>
          <cell r="K14">
            <v>250</v>
          </cell>
          <cell r="L14">
            <v>3000</v>
          </cell>
        </row>
        <row r="15">
          <cell r="J15">
            <v>15.2</v>
          </cell>
          <cell r="K15">
            <v>42900</v>
          </cell>
          <cell r="L15">
            <v>356054</v>
          </cell>
        </row>
        <row r="16">
          <cell r="J16">
            <v>15.25</v>
          </cell>
          <cell r="K16">
            <v>42801</v>
          </cell>
          <cell r="L16">
            <v>354505</v>
          </cell>
        </row>
        <row r="17">
          <cell r="J17">
            <v>15.3</v>
          </cell>
          <cell r="K17">
            <v>2856</v>
          </cell>
          <cell r="L17">
            <v>23635</v>
          </cell>
        </row>
        <row r="18">
          <cell r="J18">
            <v>15.35</v>
          </cell>
          <cell r="K18">
            <v>4994</v>
          </cell>
          <cell r="L18">
            <v>41359</v>
          </cell>
        </row>
        <row r="19">
          <cell r="J19">
            <v>15.4</v>
          </cell>
          <cell r="K19">
            <v>3570</v>
          </cell>
          <cell r="L19">
            <v>29551</v>
          </cell>
        </row>
        <row r="20">
          <cell r="J20">
            <v>15.45</v>
          </cell>
          <cell r="K20">
            <v>12900</v>
          </cell>
          <cell r="L20">
            <v>106413</v>
          </cell>
        </row>
        <row r="21">
          <cell r="J21">
            <v>15.5</v>
          </cell>
          <cell r="K21">
            <v>4102</v>
          </cell>
          <cell r="L21">
            <v>49224</v>
          </cell>
        </row>
        <row r="22">
          <cell r="J22">
            <v>15.55</v>
          </cell>
          <cell r="K22">
            <v>-146681</v>
          </cell>
          <cell r="L22">
            <v>-1271884</v>
          </cell>
        </row>
        <row r="23">
          <cell r="J23">
            <v>15.6</v>
          </cell>
          <cell r="K23">
            <v>-652303</v>
          </cell>
          <cell r="L23">
            <v>-2384442</v>
          </cell>
        </row>
        <row r="24">
          <cell r="J24">
            <v>15.65</v>
          </cell>
          <cell r="K24">
            <v>-1883129</v>
          </cell>
          <cell r="L24">
            <v>-13422118</v>
          </cell>
        </row>
        <row r="25">
          <cell r="J25">
            <v>15.654999999999999</v>
          </cell>
          <cell r="K25">
            <v>0</v>
          </cell>
          <cell r="L25">
            <v>0</v>
          </cell>
        </row>
        <row r="26">
          <cell r="J26">
            <v>15.66</v>
          </cell>
          <cell r="K26">
            <v>-139104</v>
          </cell>
          <cell r="L26">
            <v>-938914</v>
          </cell>
        </row>
        <row r="27">
          <cell r="J27">
            <v>15.7</v>
          </cell>
          <cell r="K27">
            <v>-12097</v>
          </cell>
          <cell r="L27">
            <v>-101333</v>
          </cell>
        </row>
        <row r="28">
          <cell r="J28">
            <v>20.010000000000002</v>
          </cell>
          <cell r="K28">
            <v>1003138</v>
          </cell>
          <cell r="L28">
            <v>8746555</v>
          </cell>
        </row>
        <row r="29">
          <cell r="J29">
            <v>20.02</v>
          </cell>
          <cell r="K29">
            <v>0</v>
          </cell>
          <cell r="L29">
            <v>0</v>
          </cell>
        </row>
        <row r="30">
          <cell r="J30">
            <v>20.03</v>
          </cell>
          <cell r="K30">
            <v>187328</v>
          </cell>
          <cell r="L30">
            <v>2106648</v>
          </cell>
        </row>
        <row r="31">
          <cell r="J31">
            <v>20.04</v>
          </cell>
          <cell r="K31">
            <v>70000</v>
          </cell>
          <cell r="L31">
            <v>786875</v>
          </cell>
        </row>
        <row r="32">
          <cell r="J32">
            <v>20.05</v>
          </cell>
          <cell r="K32">
            <v>109331</v>
          </cell>
          <cell r="L32">
            <v>416081</v>
          </cell>
        </row>
        <row r="33">
          <cell r="J33">
            <v>20.100000000000001</v>
          </cell>
          <cell r="K33">
            <v>869570</v>
          </cell>
          <cell r="L33">
            <v>7098965</v>
          </cell>
        </row>
        <row r="34">
          <cell r="J34">
            <v>20.12</v>
          </cell>
          <cell r="K34">
            <v>0</v>
          </cell>
          <cell r="L34">
            <v>0</v>
          </cell>
        </row>
        <row r="35">
          <cell r="J35">
            <v>20.149999999999999</v>
          </cell>
          <cell r="K35">
            <v>140320</v>
          </cell>
          <cell r="L35">
            <v>1268635</v>
          </cell>
        </row>
        <row r="36">
          <cell r="J36">
            <v>20.2</v>
          </cell>
          <cell r="K36">
            <v>12131</v>
          </cell>
          <cell r="L36">
            <v>104093</v>
          </cell>
        </row>
        <row r="37">
          <cell r="J37">
            <v>20.3</v>
          </cell>
          <cell r="K37">
            <v>48156</v>
          </cell>
          <cell r="L37">
            <v>532573</v>
          </cell>
        </row>
        <row r="38">
          <cell r="J38">
            <v>20.350000000000001</v>
          </cell>
          <cell r="K38">
            <v>3840</v>
          </cell>
          <cell r="L38">
            <v>28796</v>
          </cell>
        </row>
        <row r="39">
          <cell r="J39">
            <v>20.355</v>
          </cell>
          <cell r="K39">
            <v>0</v>
          </cell>
          <cell r="L39">
            <v>0</v>
          </cell>
        </row>
        <row r="40">
          <cell r="J40">
            <v>20.36</v>
          </cell>
          <cell r="K40">
            <v>0</v>
          </cell>
          <cell r="L40">
            <v>0</v>
          </cell>
        </row>
        <row r="41">
          <cell r="J41">
            <v>20.399999999999999</v>
          </cell>
          <cell r="K41">
            <v>686261</v>
          </cell>
          <cell r="L41">
            <v>5141503</v>
          </cell>
        </row>
        <row r="42">
          <cell r="J42">
            <v>20.45</v>
          </cell>
          <cell r="K42">
            <v>2812</v>
          </cell>
          <cell r="L42">
            <v>25444</v>
          </cell>
        </row>
        <row r="43">
          <cell r="J43">
            <v>20.47</v>
          </cell>
          <cell r="K43">
            <v>0</v>
          </cell>
          <cell r="L43">
            <v>0</v>
          </cell>
        </row>
        <row r="44">
          <cell r="J44">
            <v>20.48</v>
          </cell>
          <cell r="K44">
            <v>0</v>
          </cell>
          <cell r="L44">
            <v>38385</v>
          </cell>
        </row>
        <row r="45">
          <cell r="J45">
            <v>20.5</v>
          </cell>
          <cell r="K45">
            <v>57948</v>
          </cell>
          <cell r="L45">
            <v>643726</v>
          </cell>
        </row>
        <row r="46">
          <cell r="J46">
            <v>20.51</v>
          </cell>
          <cell r="K46">
            <v>0</v>
          </cell>
          <cell r="L46">
            <v>73600</v>
          </cell>
        </row>
        <row r="47">
          <cell r="J47">
            <v>20.52</v>
          </cell>
          <cell r="K47">
            <v>10411</v>
          </cell>
          <cell r="L47">
            <v>53426</v>
          </cell>
        </row>
        <row r="48">
          <cell r="J48">
            <v>20.53</v>
          </cell>
          <cell r="K48">
            <v>7538</v>
          </cell>
          <cell r="L48">
            <v>76558</v>
          </cell>
        </row>
        <row r="49">
          <cell r="J49">
            <v>20.55</v>
          </cell>
          <cell r="K49">
            <v>15000</v>
          </cell>
          <cell r="L49">
            <v>180000</v>
          </cell>
        </row>
        <row r="50">
          <cell r="J50">
            <v>20.6</v>
          </cell>
          <cell r="K50">
            <v>340769</v>
          </cell>
          <cell r="L50">
            <v>2972648</v>
          </cell>
        </row>
        <row r="51">
          <cell r="J51">
            <v>20.65</v>
          </cell>
          <cell r="K51">
            <v>0</v>
          </cell>
          <cell r="L51">
            <v>0</v>
          </cell>
        </row>
        <row r="52">
          <cell r="J52">
            <v>20.66</v>
          </cell>
          <cell r="K52">
            <v>0</v>
          </cell>
          <cell r="L52">
            <v>0</v>
          </cell>
        </row>
        <row r="53">
          <cell r="J53">
            <v>20.7</v>
          </cell>
          <cell r="K53">
            <v>90136</v>
          </cell>
          <cell r="L53">
            <v>978347</v>
          </cell>
        </row>
        <row r="54">
          <cell r="J54">
            <v>20.75</v>
          </cell>
          <cell r="K54">
            <v>0</v>
          </cell>
          <cell r="L54">
            <v>0</v>
          </cell>
        </row>
        <row r="55">
          <cell r="J55">
            <v>20.8</v>
          </cell>
          <cell r="K55">
            <v>517</v>
          </cell>
          <cell r="L55">
            <v>38191</v>
          </cell>
        </row>
        <row r="56">
          <cell r="J56">
            <v>25.05</v>
          </cell>
          <cell r="K56">
            <v>305724</v>
          </cell>
          <cell r="L56">
            <v>3466992</v>
          </cell>
        </row>
        <row r="57">
          <cell r="J57">
            <v>25.1</v>
          </cell>
          <cell r="K57">
            <v>0</v>
          </cell>
          <cell r="L57">
            <v>0</v>
          </cell>
        </row>
        <row r="58">
          <cell r="J58">
            <v>25.15</v>
          </cell>
          <cell r="K58">
            <v>52539</v>
          </cell>
          <cell r="L58">
            <v>599985</v>
          </cell>
        </row>
        <row r="59">
          <cell r="J59">
            <v>25.2</v>
          </cell>
          <cell r="K59">
            <v>55450</v>
          </cell>
          <cell r="L59">
            <v>615195</v>
          </cell>
        </row>
        <row r="60">
          <cell r="J60">
            <v>30.05</v>
          </cell>
          <cell r="K60">
            <v>1063147</v>
          </cell>
          <cell r="L60">
            <v>8065173</v>
          </cell>
        </row>
        <row r="61">
          <cell r="J61">
            <v>30.1</v>
          </cell>
          <cell r="K61">
            <v>11000</v>
          </cell>
          <cell r="L61">
            <v>127000</v>
          </cell>
        </row>
        <row r="62">
          <cell r="J62">
            <v>30.15</v>
          </cell>
          <cell r="K62">
            <v>0</v>
          </cell>
          <cell r="L62">
            <v>153339</v>
          </cell>
        </row>
        <row r="63">
          <cell r="J63">
            <v>30.2</v>
          </cell>
          <cell r="K63">
            <v>0</v>
          </cell>
          <cell r="L63">
            <v>1000</v>
          </cell>
        </row>
        <row r="64">
          <cell r="J64">
            <v>30.25</v>
          </cell>
          <cell r="K64">
            <v>-331466</v>
          </cell>
          <cell r="L64">
            <v>-2600216</v>
          </cell>
        </row>
        <row r="65">
          <cell r="J65">
            <v>30.27</v>
          </cell>
          <cell r="K65">
            <v>0</v>
          </cell>
          <cell r="L65">
            <v>-51000</v>
          </cell>
        </row>
        <row r="66">
          <cell r="J66">
            <v>30.3</v>
          </cell>
          <cell r="K66">
            <v>-560468</v>
          </cell>
          <cell r="L66">
            <v>-4412340</v>
          </cell>
        </row>
        <row r="67">
          <cell r="J67">
            <v>30.35</v>
          </cell>
          <cell r="K67">
            <v>547783</v>
          </cell>
          <cell r="L67">
            <v>3830531</v>
          </cell>
        </row>
        <row r="68">
          <cell r="J68">
            <v>30.4</v>
          </cell>
          <cell r="K68">
            <v>8030</v>
          </cell>
          <cell r="L68">
            <v>249998</v>
          </cell>
        </row>
        <row r="69">
          <cell r="J69">
            <v>30.41</v>
          </cell>
          <cell r="K69">
            <v>2000</v>
          </cell>
          <cell r="L69">
            <v>19500</v>
          </cell>
        </row>
        <row r="70">
          <cell r="J70">
            <v>30.42</v>
          </cell>
          <cell r="K70">
            <v>19440</v>
          </cell>
          <cell r="L70">
            <v>178891</v>
          </cell>
        </row>
        <row r="71">
          <cell r="J71">
            <v>30.44</v>
          </cell>
          <cell r="K71">
            <v>48953</v>
          </cell>
          <cell r="L71">
            <v>257408</v>
          </cell>
        </row>
        <row r="72">
          <cell r="J72">
            <v>30.45</v>
          </cell>
          <cell r="K72">
            <v>1200</v>
          </cell>
          <cell r="L72">
            <v>13000</v>
          </cell>
        </row>
        <row r="73">
          <cell r="J73">
            <v>30.5</v>
          </cell>
          <cell r="K73">
            <v>8166</v>
          </cell>
          <cell r="L73">
            <v>97992</v>
          </cell>
        </row>
        <row r="74">
          <cell r="J74">
            <v>30.51</v>
          </cell>
          <cell r="K74">
            <v>8000</v>
          </cell>
          <cell r="L74">
            <v>94500</v>
          </cell>
        </row>
        <row r="75">
          <cell r="J75">
            <v>30.52</v>
          </cell>
          <cell r="K75">
            <v>5345</v>
          </cell>
          <cell r="L75">
            <v>52870</v>
          </cell>
        </row>
        <row r="76">
          <cell r="J76">
            <v>30.53</v>
          </cell>
          <cell r="K76">
            <v>45000</v>
          </cell>
          <cell r="L76">
            <v>152000</v>
          </cell>
        </row>
        <row r="77">
          <cell r="J77">
            <v>30.54</v>
          </cell>
          <cell r="K77">
            <v>3555</v>
          </cell>
          <cell r="L77">
            <v>55000</v>
          </cell>
        </row>
        <row r="78">
          <cell r="J78">
            <v>30.55</v>
          </cell>
          <cell r="K78">
            <v>1400</v>
          </cell>
          <cell r="L78">
            <v>16800</v>
          </cell>
        </row>
        <row r="79">
          <cell r="J79">
            <v>30.56</v>
          </cell>
          <cell r="K79">
            <v>0</v>
          </cell>
          <cell r="L79">
            <v>17500</v>
          </cell>
        </row>
        <row r="80">
          <cell r="J80">
            <v>30.57</v>
          </cell>
          <cell r="K80">
            <v>0</v>
          </cell>
          <cell r="L80">
            <v>31000</v>
          </cell>
        </row>
        <row r="81">
          <cell r="J81">
            <v>30.58</v>
          </cell>
          <cell r="K81">
            <v>-150000</v>
          </cell>
          <cell r="L81">
            <v>-1800000</v>
          </cell>
        </row>
        <row r="82">
          <cell r="J82">
            <v>30.6</v>
          </cell>
          <cell r="K82">
            <v>100</v>
          </cell>
          <cell r="L82">
            <v>1200</v>
          </cell>
        </row>
        <row r="83">
          <cell r="J83">
            <v>30.63</v>
          </cell>
          <cell r="K83">
            <v>6704</v>
          </cell>
          <cell r="L83">
            <v>75223</v>
          </cell>
        </row>
        <row r="84">
          <cell r="J84">
            <v>30.65</v>
          </cell>
          <cell r="K84">
            <v>52124</v>
          </cell>
          <cell r="L84">
            <v>575889</v>
          </cell>
        </row>
        <row r="85">
          <cell r="J85">
            <v>30.7</v>
          </cell>
          <cell r="K85">
            <v>-141340</v>
          </cell>
          <cell r="L85">
            <v>-1196229</v>
          </cell>
        </row>
        <row r="86">
          <cell r="J86">
            <v>30.75</v>
          </cell>
          <cell r="K86">
            <v>126932</v>
          </cell>
          <cell r="L86">
            <v>924674</v>
          </cell>
        </row>
        <row r="87">
          <cell r="J87">
            <v>30.77</v>
          </cell>
          <cell r="K87">
            <v>-693421</v>
          </cell>
          <cell r="L87">
            <v>-4882117</v>
          </cell>
        </row>
        <row r="88">
          <cell r="J88">
            <v>30.78</v>
          </cell>
          <cell r="K88">
            <v>28000</v>
          </cell>
          <cell r="L88">
            <v>136000</v>
          </cell>
        </row>
        <row r="89">
          <cell r="J89">
            <v>35.020000000000003</v>
          </cell>
          <cell r="K89">
            <v>16833</v>
          </cell>
          <cell r="L89">
            <v>203270</v>
          </cell>
        </row>
        <row r="90">
          <cell r="J90">
            <v>35.06</v>
          </cell>
          <cell r="K90">
            <v>28845</v>
          </cell>
          <cell r="L90">
            <v>239684</v>
          </cell>
        </row>
        <row r="91">
          <cell r="J91">
            <v>35.08</v>
          </cell>
          <cell r="K91">
            <v>44876</v>
          </cell>
          <cell r="L91">
            <v>371873</v>
          </cell>
        </row>
        <row r="92">
          <cell r="J92">
            <v>35.1</v>
          </cell>
          <cell r="K92">
            <v>399.9</v>
          </cell>
          <cell r="L92">
            <v>4799.3999999999996</v>
          </cell>
        </row>
        <row r="93">
          <cell r="J93">
            <v>35.119999999999997</v>
          </cell>
          <cell r="K93">
            <v>1800</v>
          </cell>
          <cell r="L93">
            <v>22050</v>
          </cell>
        </row>
        <row r="94">
          <cell r="J94">
            <v>35.14</v>
          </cell>
          <cell r="K94">
            <v>19333.900000000001</v>
          </cell>
          <cell r="L94">
            <v>231948.22</v>
          </cell>
        </row>
        <row r="95">
          <cell r="J95">
            <v>35.159999999999997</v>
          </cell>
          <cell r="K95">
            <v>7309</v>
          </cell>
          <cell r="L95">
            <v>82828</v>
          </cell>
        </row>
        <row r="96">
          <cell r="J96">
            <v>35.18</v>
          </cell>
          <cell r="K96">
            <v>7460</v>
          </cell>
          <cell r="L96">
            <v>88316</v>
          </cell>
        </row>
        <row r="97">
          <cell r="J97">
            <v>35.200000000000003</v>
          </cell>
          <cell r="K97">
            <v>5988</v>
          </cell>
          <cell r="L97">
            <v>74680</v>
          </cell>
        </row>
        <row r="98">
          <cell r="J98">
            <v>35.22</v>
          </cell>
          <cell r="K98">
            <v>0</v>
          </cell>
          <cell r="L98">
            <v>20500</v>
          </cell>
        </row>
        <row r="99">
          <cell r="J99">
            <v>35.24</v>
          </cell>
          <cell r="K99">
            <v>4250</v>
          </cell>
          <cell r="L99">
            <v>45200</v>
          </cell>
        </row>
        <row r="100">
          <cell r="J100">
            <v>35.25</v>
          </cell>
          <cell r="K100">
            <v>0</v>
          </cell>
          <cell r="L100">
            <v>0</v>
          </cell>
        </row>
        <row r="101">
          <cell r="J101">
            <v>35.26</v>
          </cell>
          <cell r="K101">
            <v>93135</v>
          </cell>
          <cell r="L101">
            <v>772395</v>
          </cell>
        </row>
        <row r="102">
          <cell r="J102">
            <v>35.28</v>
          </cell>
          <cell r="K102">
            <v>14272</v>
          </cell>
          <cell r="L102">
            <v>118175</v>
          </cell>
        </row>
        <row r="103">
          <cell r="J103">
            <v>35.299999999999997</v>
          </cell>
          <cell r="K103">
            <v>182169</v>
          </cell>
          <cell r="L103">
            <v>2026693</v>
          </cell>
        </row>
        <row r="104">
          <cell r="J104">
            <v>35.340000000000003</v>
          </cell>
          <cell r="K104">
            <v>12501</v>
          </cell>
          <cell r="L104">
            <v>368452</v>
          </cell>
        </row>
        <row r="105">
          <cell r="J105">
            <v>35.36</v>
          </cell>
          <cell r="K105">
            <v>6706</v>
          </cell>
          <cell r="L105">
            <v>51273</v>
          </cell>
        </row>
        <row r="106">
          <cell r="J106">
            <v>35.380000000000003</v>
          </cell>
          <cell r="K106">
            <v>17500</v>
          </cell>
          <cell r="L106">
            <v>70000</v>
          </cell>
        </row>
        <row r="107">
          <cell r="J107">
            <v>35.4</v>
          </cell>
          <cell r="K107">
            <v>1821</v>
          </cell>
          <cell r="L107">
            <v>33016</v>
          </cell>
        </row>
        <row r="108">
          <cell r="J108">
            <v>35.42</v>
          </cell>
          <cell r="K108">
            <v>1325</v>
          </cell>
          <cell r="L108">
            <v>157700</v>
          </cell>
        </row>
        <row r="109">
          <cell r="J109">
            <v>35.44</v>
          </cell>
          <cell r="K109">
            <v>7315</v>
          </cell>
          <cell r="L109">
            <v>161473</v>
          </cell>
        </row>
        <row r="110">
          <cell r="J110">
            <v>35.46</v>
          </cell>
          <cell r="K110">
            <v>69831.27</v>
          </cell>
          <cell r="L110">
            <v>660434.79</v>
          </cell>
        </row>
        <row r="111">
          <cell r="J111">
            <v>35.479999999999997</v>
          </cell>
          <cell r="K111">
            <v>19468.990000000002</v>
          </cell>
          <cell r="L111">
            <v>233627.13</v>
          </cell>
        </row>
        <row r="112">
          <cell r="J112">
            <v>35.5</v>
          </cell>
          <cell r="K112">
            <v>5250</v>
          </cell>
          <cell r="L112">
            <v>66300</v>
          </cell>
        </row>
        <row r="113">
          <cell r="J113">
            <v>35.51</v>
          </cell>
          <cell r="K113">
            <v>18750</v>
          </cell>
          <cell r="L113">
            <v>75000</v>
          </cell>
        </row>
        <row r="114">
          <cell r="J114">
            <v>35.520000000000003</v>
          </cell>
          <cell r="K114">
            <v>0</v>
          </cell>
          <cell r="L114">
            <v>0</v>
          </cell>
        </row>
        <row r="115">
          <cell r="J115">
            <v>35.53</v>
          </cell>
          <cell r="K115">
            <v>0</v>
          </cell>
          <cell r="L115">
            <v>0</v>
          </cell>
        </row>
        <row r="116">
          <cell r="J116">
            <v>35.549999999999997</v>
          </cell>
          <cell r="K116">
            <v>0</v>
          </cell>
          <cell r="L116">
            <v>8124</v>
          </cell>
        </row>
        <row r="117">
          <cell r="J117">
            <v>35.555</v>
          </cell>
          <cell r="K117">
            <v>0</v>
          </cell>
          <cell r="L117">
            <v>0</v>
          </cell>
        </row>
        <row r="118">
          <cell r="J118">
            <v>35.555999999999997</v>
          </cell>
          <cell r="K118">
            <v>20540</v>
          </cell>
          <cell r="L118">
            <v>246480</v>
          </cell>
        </row>
        <row r="119">
          <cell r="J119">
            <v>35.557000000000002</v>
          </cell>
          <cell r="K119">
            <v>222750</v>
          </cell>
          <cell r="L119">
            <v>2885620</v>
          </cell>
        </row>
        <row r="120">
          <cell r="J120">
            <v>35.558</v>
          </cell>
          <cell r="K120">
            <v>2083</v>
          </cell>
          <cell r="L120">
            <v>24996</v>
          </cell>
        </row>
        <row r="121">
          <cell r="J121">
            <v>35.558999999999997</v>
          </cell>
          <cell r="K121">
            <v>18852</v>
          </cell>
          <cell r="L121">
            <v>226224</v>
          </cell>
        </row>
        <row r="122">
          <cell r="J122">
            <v>35.56</v>
          </cell>
          <cell r="K122">
            <v>0</v>
          </cell>
          <cell r="L122">
            <v>3339</v>
          </cell>
        </row>
        <row r="123">
          <cell r="J123">
            <v>35.58</v>
          </cell>
          <cell r="K123">
            <v>6895</v>
          </cell>
          <cell r="L123">
            <v>120650</v>
          </cell>
        </row>
        <row r="124">
          <cell r="J124">
            <v>35.590000000000003</v>
          </cell>
          <cell r="K124">
            <v>1850</v>
          </cell>
          <cell r="L124">
            <v>20750</v>
          </cell>
        </row>
        <row r="125">
          <cell r="J125">
            <v>35.6</v>
          </cell>
          <cell r="K125">
            <v>0</v>
          </cell>
          <cell r="L125">
            <v>750</v>
          </cell>
        </row>
        <row r="126">
          <cell r="J126">
            <v>35.619999999999997</v>
          </cell>
          <cell r="K126">
            <v>-273620</v>
          </cell>
          <cell r="L126">
            <v>-2587666</v>
          </cell>
        </row>
        <row r="127">
          <cell r="J127">
            <v>35.630000000000003</v>
          </cell>
          <cell r="K127">
            <v>0</v>
          </cell>
          <cell r="L127">
            <v>0</v>
          </cell>
        </row>
        <row r="128">
          <cell r="J128">
            <v>35.634999999999998</v>
          </cell>
          <cell r="K128">
            <v>0</v>
          </cell>
          <cell r="L128">
            <v>0</v>
          </cell>
        </row>
        <row r="129">
          <cell r="J129">
            <v>35.700000000000003</v>
          </cell>
          <cell r="K129">
            <v>25927</v>
          </cell>
          <cell r="L129">
            <v>419499</v>
          </cell>
        </row>
        <row r="130">
          <cell r="J130">
            <v>35.72</v>
          </cell>
          <cell r="K130">
            <v>16032</v>
          </cell>
          <cell r="L130">
            <v>180022</v>
          </cell>
        </row>
        <row r="131">
          <cell r="J131">
            <v>35.74</v>
          </cell>
          <cell r="K131">
            <v>6250</v>
          </cell>
          <cell r="L131">
            <v>113500</v>
          </cell>
        </row>
        <row r="132">
          <cell r="J132">
            <v>35.76</v>
          </cell>
          <cell r="K132">
            <v>3750</v>
          </cell>
          <cell r="L132">
            <v>45000</v>
          </cell>
        </row>
        <row r="133">
          <cell r="J133">
            <v>35.78</v>
          </cell>
          <cell r="K133">
            <v>100</v>
          </cell>
          <cell r="L133">
            <v>3054</v>
          </cell>
        </row>
        <row r="134">
          <cell r="J134">
            <v>35.799999999999997</v>
          </cell>
          <cell r="K134">
            <v>18000</v>
          </cell>
          <cell r="L134">
            <v>216000</v>
          </cell>
        </row>
        <row r="135">
          <cell r="J135">
            <v>35.82</v>
          </cell>
          <cell r="K135">
            <v>10411</v>
          </cell>
          <cell r="L135">
            <v>116112</v>
          </cell>
        </row>
        <row r="136">
          <cell r="J136">
            <v>35.840000000000003</v>
          </cell>
          <cell r="K136">
            <v>22277</v>
          </cell>
          <cell r="L136">
            <v>325932</v>
          </cell>
        </row>
        <row r="137">
          <cell r="J137">
            <v>35.86</v>
          </cell>
          <cell r="K137">
            <v>9298</v>
          </cell>
          <cell r="L137">
            <v>106450</v>
          </cell>
        </row>
        <row r="138">
          <cell r="J138">
            <v>35.880000000000003</v>
          </cell>
          <cell r="K138">
            <v>14954</v>
          </cell>
          <cell r="L138">
            <v>177400</v>
          </cell>
        </row>
        <row r="139">
          <cell r="J139">
            <v>35.9</v>
          </cell>
          <cell r="K139">
            <v>20320</v>
          </cell>
          <cell r="L139">
            <v>218086</v>
          </cell>
        </row>
        <row r="140">
          <cell r="J140">
            <v>35.92</v>
          </cell>
          <cell r="K140">
            <v>9982</v>
          </cell>
          <cell r="L140">
            <v>82723</v>
          </cell>
        </row>
        <row r="141">
          <cell r="J141">
            <v>35.94</v>
          </cell>
          <cell r="K141">
            <v>62290</v>
          </cell>
          <cell r="L141">
            <v>531464</v>
          </cell>
        </row>
        <row r="142">
          <cell r="J142">
            <v>35.96</v>
          </cell>
          <cell r="K142">
            <v>3490</v>
          </cell>
          <cell r="L142">
            <v>33715</v>
          </cell>
        </row>
        <row r="143">
          <cell r="J143">
            <v>35.979999999999997</v>
          </cell>
          <cell r="K143">
            <v>25496</v>
          </cell>
          <cell r="L143">
            <v>317677</v>
          </cell>
        </row>
        <row r="144">
          <cell r="J144">
            <v>35.980499999999999</v>
          </cell>
          <cell r="K144">
            <v>29836</v>
          </cell>
          <cell r="L144">
            <v>260047</v>
          </cell>
        </row>
        <row r="145">
          <cell r="J145">
            <v>35.981499999999997</v>
          </cell>
          <cell r="K145">
            <v>157129</v>
          </cell>
          <cell r="L145">
            <v>1346016</v>
          </cell>
        </row>
        <row r="146">
          <cell r="J146">
            <v>35.981999999999999</v>
          </cell>
          <cell r="K146">
            <v>46452</v>
          </cell>
          <cell r="L146">
            <v>547390</v>
          </cell>
        </row>
        <row r="147">
          <cell r="J147">
            <v>35.982500000000002</v>
          </cell>
          <cell r="K147">
            <v>25422</v>
          </cell>
          <cell r="L147">
            <v>245905</v>
          </cell>
        </row>
        <row r="148">
          <cell r="J148">
            <v>35.982599999999998</v>
          </cell>
          <cell r="K148">
            <v>0</v>
          </cell>
          <cell r="L148">
            <v>17800</v>
          </cell>
        </row>
        <row r="149">
          <cell r="J149">
            <v>35.982999999999997</v>
          </cell>
          <cell r="K149">
            <v>2839</v>
          </cell>
          <cell r="L149">
            <v>23618</v>
          </cell>
        </row>
        <row r="150">
          <cell r="J150">
            <v>35.983499999999999</v>
          </cell>
          <cell r="K150">
            <v>550</v>
          </cell>
          <cell r="L150">
            <v>6600</v>
          </cell>
        </row>
        <row r="151">
          <cell r="J151">
            <v>35.984499999999997</v>
          </cell>
          <cell r="K151">
            <v>0</v>
          </cell>
          <cell r="L151">
            <v>1500</v>
          </cell>
        </row>
        <row r="152">
          <cell r="J152">
            <v>35.985999999999997</v>
          </cell>
          <cell r="K152">
            <v>0</v>
          </cell>
          <cell r="L152">
            <v>22500</v>
          </cell>
        </row>
        <row r="153">
          <cell r="J153">
            <v>35.987000000000002</v>
          </cell>
          <cell r="K153">
            <v>0</v>
          </cell>
          <cell r="L153">
            <v>0</v>
          </cell>
        </row>
        <row r="154">
          <cell r="J154">
            <v>36.200000000000003</v>
          </cell>
          <cell r="K154">
            <v>1200000</v>
          </cell>
          <cell r="L154">
            <v>9800000</v>
          </cell>
        </row>
        <row r="155">
          <cell r="J155">
            <v>36.4</v>
          </cell>
          <cell r="K155">
            <v>69789</v>
          </cell>
          <cell r="L155">
            <v>598488</v>
          </cell>
        </row>
      </sheetData>
      <sheetData sheetId="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-Mobile"/>
      <sheetName val="AT&amp;T"/>
      <sheetName val="Verizon"/>
      <sheetName val="Verizon TX"/>
      <sheetName val="Nextel"/>
      <sheetName val="Sprint"/>
      <sheetName val="XM Radio"/>
      <sheetName val="Sirius"/>
      <sheetName val="Ricochet"/>
      <sheetName val="Budget"/>
      <sheetName val="Cingular - non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4">
          <cell r="B4">
            <v>509450</v>
          </cell>
          <cell r="C4">
            <v>0</v>
          </cell>
          <cell r="D4">
            <v>0</v>
          </cell>
          <cell r="E4">
            <v>0</v>
          </cell>
        </row>
        <row r="5">
          <cell r="B5">
            <v>506200</v>
          </cell>
          <cell r="C5">
            <v>-114369.94987487793</v>
          </cell>
          <cell r="D5">
            <v>-51120.439971923828</v>
          </cell>
          <cell r="E5">
            <v>-63249.509914398193</v>
          </cell>
        </row>
        <row r="6">
          <cell r="B6">
            <v>509400</v>
          </cell>
          <cell r="C6">
            <v>-19245.190010070801</v>
          </cell>
          <cell r="D6">
            <v>-23600.300048828125</v>
          </cell>
          <cell r="E6">
            <v>4355.1099872589111</v>
          </cell>
        </row>
        <row r="7">
          <cell r="B7">
            <v>507100</v>
          </cell>
          <cell r="C7">
            <v>0</v>
          </cell>
          <cell r="D7">
            <v>0</v>
          </cell>
          <cell r="E7">
            <v>0</v>
          </cell>
        </row>
        <row r="8">
          <cell r="B8">
            <v>506500</v>
          </cell>
          <cell r="C8">
            <v>-4941.2700595855713</v>
          </cell>
          <cell r="D8">
            <v>3937.9900546073914</v>
          </cell>
          <cell r="E8">
            <v>-8879.2600083351135</v>
          </cell>
        </row>
        <row r="9">
          <cell r="B9">
            <v>506600</v>
          </cell>
          <cell r="C9">
            <v>-11145.699964523315</v>
          </cell>
          <cell r="D9">
            <v>-16204.510040283203</v>
          </cell>
          <cell r="E9">
            <v>5058.8100490570068</v>
          </cell>
        </row>
        <row r="10">
          <cell r="B10">
            <v>507400</v>
          </cell>
          <cell r="C10">
            <v>0</v>
          </cell>
          <cell r="D10">
            <v>0</v>
          </cell>
          <cell r="E10">
            <v>0</v>
          </cell>
        </row>
        <row r="11">
          <cell r="B11">
            <v>507300</v>
          </cell>
          <cell r="C11">
            <v>-1155.139995098114</v>
          </cell>
          <cell r="D11">
            <v>-2477.4499903097749</v>
          </cell>
          <cell r="E11">
            <v>1322.310005068779</v>
          </cell>
        </row>
        <row r="12">
          <cell r="B12">
            <v>506700</v>
          </cell>
          <cell r="C12">
            <v>0</v>
          </cell>
          <cell r="D12">
            <v>0</v>
          </cell>
          <cell r="E12">
            <v>0</v>
          </cell>
        </row>
        <row r="13">
          <cell r="B13">
            <v>506950</v>
          </cell>
          <cell r="C13">
            <v>0</v>
          </cell>
          <cell r="D13">
            <v>0</v>
          </cell>
          <cell r="E13">
            <v>0</v>
          </cell>
        </row>
        <row r="14">
          <cell r="B14">
            <v>506300</v>
          </cell>
          <cell r="C14">
            <v>-3056.8100090026855</v>
          </cell>
          <cell r="D14">
            <v>-4149.9800338745117</v>
          </cell>
          <cell r="E14">
            <v>1093.1700013875961</v>
          </cell>
        </row>
        <row r="15">
          <cell r="B15">
            <v>506800</v>
          </cell>
          <cell r="C15">
            <v>0</v>
          </cell>
          <cell r="D15">
            <v>0</v>
          </cell>
          <cell r="E15">
            <v>0</v>
          </cell>
        </row>
        <row r="16">
          <cell r="B16">
            <v>507000</v>
          </cell>
          <cell r="C16">
            <v>-1049251.4904785156</v>
          </cell>
          <cell r="D16">
            <v>-861656.57739257813</v>
          </cell>
          <cell r="E16">
            <v>-187594.90895938873</v>
          </cell>
        </row>
        <row r="17">
          <cell r="B17">
            <v>506910</v>
          </cell>
          <cell r="C17">
            <v>-7415.4800248146057</v>
          </cell>
          <cell r="D17">
            <v>-6820.1499273851514</v>
          </cell>
          <cell r="E17">
            <v>-595.3300147652626</v>
          </cell>
        </row>
        <row r="18">
          <cell r="B18">
            <v>506900</v>
          </cell>
          <cell r="C18">
            <v>-141454.2799987793</v>
          </cell>
          <cell r="D18">
            <v>-239458.47053909302</v>
          </cell>
          <cell r="E18">
            <v>98004.189507484436</v>
          </cell>
        </row>
        <row r="19">
          <cell r="B19">
            <v>506100</v>
          </cell>
          <cell r="C19">
            <v>-4585.2300128936768</v>
          </cell>
          <cell r="D19">
            <v>-3070</v>
          </cell>
          <cell r="E19">
            <v>-1515.2299957275391</v>
          </cell>
        </row>
        <row r="20">
          <cell r="B20">
            <v>507950</v>
          </cell>
          <cell r="C20">
            <v>0</v>
          </cell>
          <cell r="D20">
            <v>0</v>
          </cell>
          <cell r="E20">
            <v>0</v>
          </cell>
        </row>
        <row r="21">
          <cell r="B21">
            <v>507010</v>
          </cell>
          <cell r="C21">
            <v>-41598.910003662109</v>
          </cell>
          <cell r="D21">
            <v>-115437.76941108704</v>
          </cell>
          <cell r="E21">
            <v>73838.859474182129</v>
          </cell>
        </row>
        <row r="22">
          <cell r="B22">
            <v>507020</v>
          </cell>
          <cell r="C22">
            <v>-3998.7300071716309</v>
          </cell>
          <cell r="D22">
            <v>-5405.1800327301025</v>
          </cell>
          <cell r="E22">
            <v>1406.4499953985214</v>
          </cell>
        </row>
        <row r="23">
          <cell r="B23">
            <v>507900</v>
          </cell>
          <cell r="C23">
            <v>0</v>
          </cell>
          <cell r="D23">
            <v>0</v>
          </cell>
          <cell r="E23">
            <v>0</v>
          </cell>
        </row>
        <row r="24">
          <cell r="B24">
            <v>507800</v>
          </cell>
          <cell r="C24">
            <v>-25266.509963989258</v>
          </cell>
          <cell r="D24">
            <v>-10044.759910583496</v>
          </cell>
          <cell r="E24">
            <v>-15221.749947309494</v>
          </cell>
        </row>
        <row r="25">
          <cell r="B25">
            <v>507700</v>
          </cell>
          <cell r="C25">
            <v>-33939.190116882324</v>
          </cell>
          <cell r="D25">
            <v>-21666.24017906189</v>
          </cell>
          <cell r="E25">
            <v>-12272.950036883354</v>
          </cell>
        </row>
        <row r="26">
          <cell r="B26">
            <v>815350</v>
          </cell>
          <cell r="C26">
            <v>-16969.630077362061</v>
          </cell>
          <cell r="D26">
            <v>-4080</v>
          </cell>
          <cell r="E26">
            <v>-12889.63009262085</v>
          </cell>
        </row>
        <row r="27">
          <cell r="B27">
            <v>815300</v>
          </cell>
          <cell r="C27">
            <v>-47180.979942321777</v>
          </cell>
          <cell r="D27">
            <v>-12840</v>
          </cell>
          <cell r="E27">
            <v>-34340.979919433594</v>
          </cell>
        </row>
        <row r="28">
          <cell r="B28">
            <v>815100</v>
          </cell>
          <cell r="C28">
            <v>0</v>
          </cell>
          <cell r="D28">
            <v>0</v>
          </cell>
          <cell r="E28">
            <v>0</v>
          </cell>
        </row>
        <row r="29">
          <cell r="B29">
            <v>816200</v>
          </cell>
          <cell r="C29">
            <v>-8235.4602241516113</v>
          </cell>
          <cell r="D29">
            <v>-2040</v>
          </cell>
          <cell r="E29">
            <v>-6195.4601154327393</v>
          </cell>
        </row>
        <row r="30">
          <cell r="B30">
            <v>815700</v>
          </cell>
          <cell r="C30">
            <v>-4128.0700068473816</v>
          </cell>
          <cell r="D30">
            <v>-7075</v>
          </cell>
          <cell r="E30">
            <v>2946.9300004541874</v>
          </cell>
        </row>
        <row r="31">
          <cell r="B31">
            <v>815850</v>
          </cell>
          <cell r="C31">
            <v>-6113.650016784668</v>
          </cell>
          <cell r="D31">
            <v>-4540</v>
          </cell>
          <cell r="E31">
            <v>-1573.6500034630299</v>
          </cell>
        </row>
        <row r="32">
          <cell r="B32">
            <v>815500</v>
          </cell>
          <cell r="C32">
            <v>0</v>
          </cell>
          <cell r="D32">
            <v>0</v>
          </cell>
          <cell r="E32">
            <v>0</v>
          </cell>
        </row>
        <row r="33">
          <cell r="B33">
            <v>815900</v>
          </cell>
          <cell r="C33">
            <v>-247597.42712402344</v>
          </cell>
          <cell r="D33">
            <v>-230220</v>
          </cell>
          <cell r="E33">
            <v>-17377.430316925049</v>
          </cell>
        </row>
        <row r="34">
          <cell r="B34">
            <v>815400</v>
          </cell>
          <cell r="C34">
            <v>-27905.170013427734</v>
          </cell>
          <cell r="D34">
            <v>-34500</v>
          </cell>
          <cell r="E34">
            <v>6594.8299531936646</v>
          </cell>
        </row>
        <row r="35">
          <cell r="B35">
            <v>815600</v>
          </cell>
          <cell r="C35">
            <v>-2602.0800323486328</v>
          </cell>
          <cell r="D35">
            <v>-6360</v>
          </cell>
          <cell r="E35">
            <v>3757.919994354248</v>
          </cell>
        </row>
        <row r="36">
          <cell r="B36">
            <v>815800</v>
          </cell>
          <cell r="C36">
            <v>-4585.2300128936768</v>
          </cell>
          <cell r="D36">
            <v>-670</v>
          </cell>
          <cell r="E36">
            <v>-3915.2300300598145</v>
          </cell>
        </row>
        <row r="37">
          <cell r="B37">
            <v>521000</v>
          </cell>
          <cell r="C37">
            <v>0</v>
          </cell>
          <cell r="D37">
            <v>1480</v>
          </cell>
          <cell r="E37">
            <v>-1480</v>
          </cell>
        </row>
        <row r="38">
          <cell r="B38">
            <v>504100</v>
          </cell>
          <cell r="C38">
            <v>45614.519897460938</v>
          </cell>
          <cell r="D38">
            <v>59640.00061416626</v>
          </cell>
          <cell r="E38">
            <v>-14025.480075120926</v>
          </cell>
        </row>
        <row r="39">
          <cell r="B39">
            <v>504200</v>
          </cell>
          <cell r="C39">
            <v>0</v>
          </cell>
          <cell r="D39">
            <v>0</v>
          </cell>
          <cell r="E39">
            <v>0</v>
          </cell>
        </row>
        <row r="40">
          <cell r="B40">
            <v>506450</v>
          </cell>
          <cell r="C40">
            <v>-3530.0099878311157</v>
          </cell>
          <cell r="D40">
            <v>-342.47999930381775</v>
          </cell>
          <cell r="E40">
            <v>-3187.530005812645</v>
          </cell>
        </row>
        <row r="41">
          <cell r="B41">
            <v>506400</v>
          </cell>
          <cell r="C41">
            <v>-35379.009910583496</v>
          </cell>
          <cell r="D41">
            <v>-61230.039585113525</v>
          </cell>
          <cell r="E41">
            <v>25851.030141592026</v>
          </cell>
        </row>
        <row r="42">
          <cell r="B42">
            <v>509100</v>
          </cell>
          <cell r="C42">
            <v>0</v>
          </cell>
          <cell r="D42">
            <v>0</v>
          </cell>
          <cell r="E42">
            <v>0</v>
          </cell>
        </row>
        <row r="43">
          <cell r="B43">
            <v>509150</v>
          </cell>
          <cell r="C43">
            <v>-20525.619140625</v>
          </cell>
          <cell r="D43">
            <v>-31446</v>
          </cell>
          <cell r="E43">
            <v>10920.3798828125</v>
          </cell>
        </row>
        <row r="44">
          <cell r="B44">
            <v>508250</v>
          </cell>
          <cell r="C44">
            <v>0</v>
          </cell>
          <cell r="D44">
            <v>0</v>
          </cell>
          <cell r="E44">
            <v>0</v>
          </cell>
        </row>
        <row r="45">
          <cell r="B45">
            <v>508200</v>
          </cell>
          <cell r="C45">
            <v>0</v>
          </cell>
          <cell r="D45">
            <v>0</v>
          </cell>
          <cell r="E45">
            <v>0</v>
          </cell>
        </row>
        <row r="46">
          <cell r="B46">
            <v>508300</v>
          </cell>
          <cell r="C46">
            <v>0</v>
          </cell>
          <cell r="D46">
            <v>0</v>
          </cell>
          <cell r="E46">
            <v>0</v>
          </cell>
        </row>
        <row r="47">
          <cell r="B47">
            <v>508400</v>
          </cell>
          <cell r="C47">
            <v>0</v>
          </cell>
          <cell r="D47">
            <v>0</v>
          </cell>
          <cell r="E47">
            <v>0</v>
          </cell>
        </row>
        <row r="48">
          <cell r="B48">
            <v>509000</v>
          </cell>
          <cell r="C48">
            <v>0</v>
          </cell>
          <cell r="D48">
            <v>0</v>
          </cell>
          <cell r="E48">
            <v>0</v>
          </cell>
        </row>
        <row r="49">
          <cell r="B49">
            <v>508500</v>
          </cell>
          <cell r="C49">
            <v>0</v>
          </cell>
          <cell r="D49">
            <v>0</v>
          </cell>
          <cell r="E49">
            <v>0</v>
          </cell>
        </row>
        <row r="50">
          <cell r="B50">
            <v>508600</v>
          </cell>
          <cell r="C50">
            <v>0</v>
          </cell>
          <cell r="D50">
            <v>0</v>
          </cell>
          <cell r="E50">
            <v>0</v>
          </cell>
        </row>
        <row r="51">
          <cell r="B51">
            <v>508700</v>
          </cell>
          <cell r="C51">
            <v>0</v>
          </cell>
          <cell r="D51">
            <v>0</v>
          </cell>
          <cell r="E51">
            <v>0</v>
          </cell>
        </row>
        <row r="52">
          <cell r="B52">
            <v>508900</v>
          </cell>
          <cell r="C52">
            <v>0</v>
          </cell>
          <cell r="D52">
            <v>0</v>
          </cell>
          <cell r="E52">
            <v>0</v>
          </cell>
        </row>
        <row r="53">
          <cell r="B53">
            <v>508800</v>
          </cell>
          <cell r="C53">
            <v>0</v>
          </cell>
          <cell r="D53">
            <v>0</v>
          </cell>
          <cell r="E53">
            <v>0</v>
          </cell>
        </row>
        <row r="54">
          <cell r="B54">
            <v>509300</v>
          </cell>
          <cell r="C54">
            <v>-1238.46000623703</v>
          </cell>
          <cell r="D54">
            <v>-2122.5</v>
          </cell>
          <cell r="E54">
            <v>884.03999405354261</v>
          </cell>
        </row>
        <row r="55">
          <cell r="B55">
            <v>509900</v>
          </cell>
          <cell r="C55">
            <v>0</v>
          </cell>
          <cell r="D55">
            <v>0</v>
          </cell>
          <cell r="E55">
            <v>0</v>
          </cell>
        </row>
        <row r="56">
          <cell r="B56">
            <v>509800</v>
          </cell>
          <cell r="C56">
            <v>0</v>
          </cell>
          <cell r="D56">
            <v>0</v>
          </cell>
          <cell r="E56">
            <v>0</v>
          </cell>
        </row>
        <row r="57">
          <cell r="B57">
            <v>509200</v>
          </cell>
          <cell r="C57">
            <v>0</v>
          </cell>
          <cell r="D57">
            <v>0</v>
          </cell>
          <cell r="E57">
            <v>0</v>
          </cell>
        </row>
        <row r="58">
          <cell r="B58">
            <v>825250</v>
          </cell>
          <cell r="C58">
            <v>37.5</v>
          </cell>
          <cell r="D58">
            <v>0</v>
          </cell>
          <cell r="E58">
            <v>37.5</v>
          </cell>
        </row>
        <row r="59">
          <cell r="B59">
            <v>825200</v>
          </cell>
          <cell r="C59">
            <v>19207.690010070801</v>
          </cell>
          <cell r="D59">
            <v>14897.070081710815</v>
          </cell>
          <cell r="E59">
            <v>4310.6200453042984</v>
          </cell>
        </row>
        <row r="60">
          <cell r="B60">
            <v>825400</v>
          </cell>
          <cell r="C60">
            <v>0</v>
          </cell>
          <cell r="D60">
            <v>0</v>
          </cell>
          <cell r="E60">
            <v>0</v>
          </cell>
        </row>
        <row r="61">
          <cell r="B61">
            <v>825900</v>
          </cell>
          <cell r="C61">
            <v>0</v>
          </cell>
          <cell r="D61">
            <v>0</v>
          </cell>
          <cell r="E61">
            <v>0</v>
          </cell>
        </row>
        <row r="62">
          <cell r="B62">
            <v>825800</v>
          </cell>
          <cell r="C62">
            <v>0</v>
          </cell>
          <cell r="D62">
            <v>0</v>
          </cell>
          <cell r="E62">
            <v>0</v>
          </cell>
        </row>
        <row r="63">
          <cell r="B63">
            <v>825100</v>
          </cell>
          <cell r="C63">
            <v>1238.46000623703</v>
          </cell>
          <cell r="D63">
            <v>1042.0399956703186</v>
          </cell>
          <cell r="E63">
            <v>196.42000085115433</v>
          </cell>
        </row>
        <row r="64">
          <cell r="B64">
            <v>825500</v>
          </cell>
          <cell r="C64">
            <v>0</v>
          </cell>
          <cell r="D64">
            <v>0</v>
          </cell>
          <cell r="E64">
            <v>0</v>
          </cell>
        </row>
        <row r="65">
          <cell r="B65">
            <v>825700</v>
          </cell>
          <cell r="C65">
            <v>0</v>
          </cell>
          <cell r="D65">
            <v>0</v>
          </cell>
          <cell r="E65">
            <v>0</v>
          </cell>
        </row>
        <row r="66">
          <cell r="B66">
            <v>825300</v>
          </cell>
          <cell r="C66">
            <v>45565.520050048828</v>
          </cell>
          <cell r="D66">
            <v>30951.050090789795</v>
          </cell>
          <cell r="E66">
            <v>14614.469833135605</v>
          </cell>
        </row>
        <row r="67">
          <cell r="B67">
            <v>825350</v>
          </cell>
          <cell r="C67">
            <v>0</v>
          </cell>
          <cell r="D67">
            <v>0</v>
          </cell>
          <cell r="E67">
            <v>0</v>
          </cell>
        </row>
        <row r="68">
          <cell r="B68">
            <v>825000</v>
          </cell>
          <cell r="C68">
            <v>30869.52995300293</v>
          </cell>
          <cell r="D68">
            <v>53537.339962005615</v>
          </cell>
          <cell r="E68">
            <v>-22667.81000995636</v>
          </cell>
        </row>
        <row r="69">
          <cell r="B69">
            <v>825600</v>
          </cell>
          <cell r="C69">
            <v>2888.3100051879883</v>
          </cell>
          <cell r="D69">
            <v>0</v>
          </cell>
          <cell r="E69">
            <v>2888.3100051879883</v>
          </cell>
        </row>
        <row r="70">
          <cell r="B70">
            <v>522500</v>
          </cell>
          <cell r="C70">
            <v>-800</v>
          </cell>
          <cell r="D70">
            <v>0</v>
          </cell>
          <cell r="E70">
            <v>-800</v>
          </cell>
        </row>
        <row r="71">
          <cell r="B71">
            <v>522400</v>
          </cell>
          <cell r="C71">
            <v>0</v>
          </cell>
          <cell r="D71">
            <v>0</v>
          </cell>
          <cell r="E71">
            <v>0</v>
          </cell>
        </row>
        <row r="72">
          <cell r="B72">
            <v>522700</v>
          </cell>
          <cell r="C72">
            <v>-648.45001220703125</v>
          </cell>
          <cell r="D72">
            <v>-5300</v>
          </cell>
          <cell r="E72">
            <v>4651.5498046875</v>
          </cell>
        </row>
        <row r="73">
          <cell r="B73">
            <v>522200</v>
          </cell>
          <cell r="C73">
            <v>-3831.989990234375</v>
          </cell>
          <cell r="D73">
            <v>0</v>
          </cell>
          <cell r="E73">
            <v>-3831.989990234375</v>
          </cell>
        </row>
        <row r="74">
          <cell r="B74">
            <v>522100</v>
          </cell>
          <cell r="C74">
            <v>-20000</v>
          </cell>
          <cell r="D74">
            <v>11483.4296875</v>
          </cell>
          <cell r="E74">
            <v>-31483.4296875</v>
          </cell>
        </row>
        <row r="75">
          <cell r="B75">
            <v>509600</v>
          </cell>
          <cell r="C75">
            <v>0</v>
          </cell>
          <cell r="D75">
            <v>-306</v>
          </cell>
          <cell r="E75">
            <v>306</v>
          </cell>
        </row>
        <row r="76">
          <cell r="B76">
            <v>507500</v>
          </cell>
          <cell r="C76">
            <v>-89226.969680786133</v>
          </cell>
          <cell r="D76">
            <v>0</v>
          </cell>
          <cell r="E76">
            <v>-89226.969680786133</v>
          </cell>
        </row>
        <row r="77">
          <cell r="B77">
            <v>601101</v>
          </cell>
          <cell r="C77">
            <v>0</v>
          </cell>
          <cell r="D77">
            <v>0</v>
          </cell>
          <cell r="E77">
            <v>0</v>
          </cell>
        </row>
        <row r="78">
          <cell r="B78">
            <v>509550</v>
          </cell>
          <cell r="C78">
            <v>0</v>
          </cell>
          <cell r="D78">
            <v>-45630</v>
          </cell>
          <cell r="E78">
            <v>45630</v>
          </cell>
        </row>
        <row r="79">
          <cell r="B79">
            <v>509500</v>
          </cell>
          <cell r="C79">
            <v>-45565.520050048828</v>
          </cell>
          <cell r="D79">
            <v>-34492.530116081238</v>
          </cell>
          <cell r="E79">
            <v>-11072.989911079407</v>
          </cell>
        </row>
        <row r="80">
          <cell r="B80">
            <v>507600</v>
          </cell>
          <cell r="C80">
            <v>0</v>
          </cell>
          <cell r="D80">
            <v>-4240</v>
          </cell>
          <cell r="E80">
            <v>4240</v>
          </cell>
        </row>
        <row r="81">
          <cell r="B81">
            <v>509700</v>
          </cell>
          <cell r="C81">
            <v>-15253.639961242676</v>
          </cell>
          <cell r="D81">
            <v>-20430</v>
          </cell>
          <cell r="E81">
            <v>5176.3599500656128</v>
          </cell>
        </row>
        <row r="82">
          <cell r="B82"/>
          <cell r="C82">
            <v>-1917319.7167878151</v>
          </cell>
          <cell r="D82">
            <v>-1692007.4566917866</v>
          </cell>
          <cell r="E82">
            <v>-225312.2600897029</v>
          </cell>
        </row>
      </sheetData>
      <sheetData sheetId="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tigation Log"/>
      <sheetName val="Log"/>
      <sheetName val="August - Results"/>
      <sheetName val="August Workbook "/>
      <sheetName val="July  - Results "/>
      <sheetName val="July Workbook"/>
      <sheetName val="June - Results"/>
      <sheetName val="June Workbook "/>
      <sheetName val="May -  Results  "/>
      <sheetName val="May Workbook"/>
      <sheetName val="April -  Results "/>
      <sheetName val="Drop Down List"/>
      <sheetName val="Litigation Log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A1" t="str">
            <v>Adrienne Gemperle</v>
          </cell>
          <cell r="B1" t="str">
            <v>Attila Szabo</v>
          </cell>
          <cell r="C1" t="str">
            <v>01 Home Office - Seattle</v>
          </cell>
          <cell r="D1" t="str">
            <v>Internal-Mgmt</v>
          </cell>
          <cell r="E1" t="str">
            <v>Benefits</v>
          </cell>
        </row>
        <row r="2">
          <cell r="A2" t="str">
            <v>Sue Gerba</v>
          </cell>
          <cell r="B2" t="str">
            <v>Miles Hassinger</v>
          </cell>
          <cell r="C2" t="str">
            <v>03 Scott's - Edmonds</v>
          </cell>
          <cell r="D2" t="str">
            <v>Internal-Hotline</v>
          </cell>
          <cell r="E2" t="str">
            <v>Care &amp; Concern</v>
          </cell>
        </row>
        <row r="3">
          <cell r="A3" t="str">
            <v>Jessica Zirk</v>
          </cell>
          <cell r="B3" t="str">
            <v>Chris Ideson</v>
          </cell>
          <cell r="C3" t="str">
            <v>05 Clinkerdagger - Spokane</v>
          </cell>
          <cell r="D3" t="str">
            <v>External-DOL</v>
          </cell>
          <cell r="E3" t="str">
            <v>Cash Handling</v>
          </cell>
        </row>
        <row r="4">
          <cell r="A4" t="str">
            <v>Judi Ervin</v>
          </cell>
          <cell r="B4" t="str">
            <v>Mark Colcord</v>
          </cell>
          <cell r="C4" t="str">
            <v>06 Kincaid's - Honolulu</v>
          </cell>
          <cell r="D4" t="str">
            <v>External-EEOC</v>
          </cell>
          <cell r="E4" t="str">
            <v>Compensation</v>
          </cell>
        </row>
        <row r="5">
          <cell r="A5" t="str">
            <v>Maria Garcia-Cabale</v>
          </cell>
          <cell r="B5" t="str">
            <v>Don Adams</v>
          </cell>
          <cell r="C5" t="str">
            <v>10 Simon's - Anchorage</v>
          </cell>
          <cell r="D5" t="str">
            <v>External-HRC</v>
          </cell>
          <cell r="E5" t="str">
            <v>Compliance</v>
          </cell>
        </row>
        <row r="6">
          <cell r="A6" t="str">
            <v>Vicki Medak</v>
          </cell>
          <cell r="B6" t="str">
            <v>Greg Knudson</v>
          </cell>
          <cell r="C6" t="str">
            <v>12 Horatio's - San Leandro</v>
          </cell>
          <cell r="D6" t="str">
            <v>External-Guest</v>
          </cell>
          <cell r="E6" t="str">
            <v>Crew Alcohol &amp; Drug Consumption</v>
          </cell>
        </row>
        <row r="7">
          <cell r="B7" t="str">
            <v>Jeff Martin</v>
          </cell>
          <cell r="C7" t="str">
            <v>14 Maggie Bluff's - Seattle</v>
          </cell>
          <cell r="D7" t="str">
            <v>External-Other</v>
          </cell>
          <cell r="E7" t="str">
            <v>Discrimination</v>
          </cell>
        </row>
        <row r="8">
          <cell r="B8" t="str">
            <v>Nathan Fullmer</v>
          </cell>
          <cell r="C8" t="str">
            <v>16 Stanley's - Tacoma</v>
          </cell>
          <cell r="E8" t="str">
            <v>Harassment</v>
          </cell>
        </row>
        <row r="9">
          <cell r="B9" t="str">
            <v>Adrienne Gemperle</v>
          </cell>
          <cell r="C9" t="str">
            <v>17 Ryan's - Honolulu</v>
          </cell>
          <cell r="E9" t="str">
            <v>Investigation</v>
          </cell>
        </row>
        <row r="10">
          <cell r="B10" t="str">
            <v>Mark Chernis</v>
          </cell>
          <cell r="C10" t="str">
            <v>18 Cutters - Seattle</v>
          </cell>
          <cell r="E10" t="str">
            <v>Kudos</v>
          </cell>
        </row>
        <row r="11">
          <cell r="B11" t="str">
            <v>Michelle Glarner</v>
          </cell>
          <cell r="C11" t="str">
            <v>20 Skates - Berkeley</v>
          </cell>
          <cell r="E11" t="str">
            <v>Medical Issue</v>
          </cell>
        </row>
        <row r="12">
          <cell r="B12" t="str">
            <v>Pat Irwin</v>
          </cell>
          <cell r="C12" t="str">
            <v>23 Kincaid's - Bloomington</v>
          </cell>
          <cell r="E12" t="str">
            <v>Multiple</v>
          </cell>
        </row>
        <row r="13">
          <cell r="B13" t="str">
            <v>Rick Kelly</v>
          </cell>
          <cell r="C13" t="str">
            <v>26 Kincaid's - Burlingame</v>
          </cell>
          <cell r="E13" t="str">
            <v>Other (specify in notes)</v>
          </cell>
        </row>
        <row r="14">
          <cell r="B14" t="str">
            <v>Robin O'Neill</v>
          </cell>
          <cell r="C14" t="str">
            <v>29 Palomino - Seattle</v>
          </cell>
          <cell r="E14" t="str">
            <v>Performance</v>
          </cell>
        </row>
        <row r="15">
          <cell r="B15" t="str">
            <v>Scott Campbell</v>
          </cell>
          <cell r="C15" t="str">
            <v>31 Kincaid's - Oakland</v>
          </cell>
          <cell r="E15" t="str">
            <v>Relationship/Conflict</v>
          </cell>
        </row>
        <row r="16">
          <cell r="B16" t="str">
            <v>Steve Stoddard</v>
          </cell>
          <cell r="C16" t="str">
            <v>33 Palomino - Minneapolis</v>
          </cell>
          <cell r="E16" t="str">
            <v>Retaliation</v>
          </cell>
        </row>
        <row r="17">
          <cell r="C17" t="str">
            <v>34 Palisade - Seattle</v>
          </cell>
          <cell r="E17" t="str">
            <v>Staffing</v>
          </cell>
        </row>
        <row r="18">
          <cell r="C18" t="str">
            <v>35 Palomino - San Francisco</v>
          </cell>
          <cell r="E18" t="str">
            <v>Technical Proficiency</v>
          </cell>
        </row>
        <row r="19">
          <cell r="C19" t="str">
            <v>40 Palomino - Indianapolis</v>
          </cell>
          <cell r="E19" t="str">
            <v>Termination Communication</v>
          </cell>
        </row>
        <row r="20">
          <cell r="C20" t="str">
            <v>42 Palomino - Dallas</v>
          </cell>
          <cell r="E20" t="str">
            <v>Time &amp; Attendance</v>
          </cell>
        </row>
        <row r="21">
          <cell r="C21" t="str">
            <v>44 Kincaid's - Redondo</v>
          </cell>
          <cell r="E21" t="str">
            <v>Training</v>
          </cell>
        </row>
        <row r="22">
          <cell r="C22" t="str">
            <v>48 Palomino - Cincinnati</v>
          </cell>
          <cell r="E22" t="str">
            <v>Unemployment Claim</v>
          </cell>
        </row>
        <row r="23">
          <cell r="C23" t="str">
            <v>49 Palomino - Westwood</v>
          </cell>
          <cell r="E23" t="str">
            <v>Unknown</v>
          </cell>
        </row>
        <row r="24">
          <cell r="C24" t="str">
            <v>50 Kincaid's - Norfolk</v>
          </cell>
          <cell r="E24" t="str">
            <v>Wage &amp; Hour</v>
          </cell>
        </row>
        <row r="25">
          <cell r="C25" t="str">
            <v>52 Kincaid's - St. Paul</v>
          </cell>
          <cell r="E25" t="str">
            <v>Work Environment</v>
          </cell>
        </row>
        <row r="26">
          <cell r="C26" t="str">
            <v>53 Palomino - Pittsburgh</v>
          </cell>
          <cell r="E26" t="str">
            <v>Worker's Compensation</v>
          </cell>
        </row>
        <row r="27">
          <cell r="C27" t="str">
            <v>54 Kincaid's - Phoenix</v>
          </cell>
        </row>
        <row r="28">
          <cell r="C28" t="str">
            <v>55 Kincaid's - Carmel</v>
          </cell>
        </row>
        <row r="29">
          <cell r="C29" t="str">
            <v>56 Kincaid's - Milwaukee</v>
          </cell>
        </row>
        <row r="30">
          <cell r="C30" t="str">
            <v>57 Newport Bay - Washington Square</v>
          </cell>
        </row>
        <row r="31">
          <cell r="C31" t="str">
            <v>58 Newport Bay - Jantzen Beach</v>
          </cell>
        </row>
        <row r="32">
          <cell r="C32" t="str">
            <v>59 Newport Bay - Tigard</v>
          </cell>
        </row>
        <row r="33">
          <cell r="C33" t="str">
            <v>60  Newport Bay - Marina Fish House</v>
          </cell>
        </row>
        <row r="34">
          <cell r="C34" t="str">
            <v>61 Newport Bay - Tanasbourne</v>
          </cell>
        </row>
        <row r="35">
          <cell r="C35" t="str">
            <v>64 Stanford's - Kruse Way</v>
          </cell>
        </row>
        <row r="36">
          <cell r="C36" t="str">
            <v>65 Newport Seafood Grill - Mall 205</v>
          </cell>
        </row>
        <row r="37">
          <cell r="C37" t="str">
            <v>66 Standford's - Lloyd Center</v>
          </cell>
        </row>
        <row r="38">
          <cell r="C38" t="str">
            <v>67 Standford's - RiverPlace</v>
          </cell>
        </row>
        <row r="39">
          <cell r="C39" t="str">
            <v>68 Billy Heartbeats - Lloyd Center</v>
          </cell>
        </row>
        <row r="40">
          <cell r="C40" t="str">
            <v>69 Stanfords - Tanasbourne</v>
          </cell>
        </row>
        <row r="41">
          <cell r="C41" t="str">
            <v>70 Newport Bay - Vancouver Plaza</v>
          </cell>
        </row>
        <row r="42">
          <cell r="C42" t="str">
            <v>71 Stanford's - Jantzen Beach</v>
          </cell>
        </row>
        <row r="43">
          <cell r="C43" t="str">
            <v>72 Stanford's - Broadway Plaza</v>
          </cell>
        </row>
        <row r="44">
          <cell r="C44" t="str">
            <v>73 Newport Bay - Salem</v>
          </cell>
        </row>
        <row r="45">
          <cell r="C45" t="str">
            <v>74 Kincaid's Portland</v>
          </cell>
        </row>
        <row r="46">
          <cell r="C46" t="str">
            <v>75 Stanford's Southcenter</v>
          </cell>
        </row>
        <row r="47">
          <cell r="C47" t="str">
            <v>76 Newport Bay - Southcenter</v>
          </cell>
        </row>
        <row r="48">
          <cell r="C48" t="str">
            <v>77 Portland City Grill - Portland</v>
          </cell>
        </row>
        <row r="49">
          <cell r="C49" t="str">
            <v>78 Palomino - Pearl District</v>
          </cell>
        </row>
        <row r="50">
          <cell r="C50" t="str">
            <v>79 Stanford's Clackamas</v>
          </cell>
        </row>
        <row r="51">
          <cell r="C51" t="str">
            <v>80 Manzana - Lake Oswego</v>
          </cell>
        </row>
        <row r="52">
          <cell r="C52" t="str">
            <v>81 Henry's Tavern - Pearl District</v>
          </cell>
        </row>
        <row r="53">
          <cell r="C53" t="str">
            <v>82 Stanford's - Airport</v>
          </cell>
        </row>
        <row r="54">
          <cell r="C54" t="str">
            <v>83 Newport Seafood Grill - Lloyd</v>
          </cell>
        </row>
        <row r="55">
          <cell r="C55" t="str">
            <v>84 Palomino - Bellevue</v>
          </cell>
        </row>
        <row r="56">
          <cell r="C56" t="str">
            <v>85 Stanford's - Northgate</v>
          </cell>
        </row>
        <row r="57">
          <cell r="C57" t="str">
            <v>301 Fondi - Kent Station</v>
          </cell>
        </row>
        <row r="58">
          <cell r="C58" t="str">
            <v>302 Fondi - Northcut</v>
          </cell>
        </row>
        <row r="59">
          <cell r="C59" t="str">
            <v>303 Fondi - Gig Harbor</v>
          </cell>
        </row>
      </sheetData>
      <sheetData sheetId="1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unTime"/>
      <sheetName val="Summary"/>
      <sheetName val="Income"/>
      <sheetName val="Balance"/>
      <sheetName val="Data"/>
      <sheetName val="AR DET"/>
      <sheetName val="Module"/>
    </sheetNames>
    <sheetDataSet>
      <sheetData sheetId="0" refreshError="1">
        <row r="4">
          <cell r="C4" t="str">
            <v>06</v>
          </cell>
        </row>
        <row r="8">
          <cell r="C8" t="str">
            <v>2000</v>
          </cell>
        </row>
        <row r="10">
          <cell r="C10" t="str">
            <v>CTY</v>
          </cell>
        </row>
        <row r="11">
          <cell r="C11" t="str">
            <v>06/30/00</v>
          </cell>
        </row>
        <row r="12">
          <cell r="C12" t="str">
            <v>ALL</v>
          </cell>
        </row>
      </sheetData>
      <sheetData sheetId="1" refreshError="1"/>
      <sheetData sheetId="2" refreshError="1"/>
      <sheetData sheetId="3" refreshError="1"/>
      <sheetData sheetId="4" refreshError="1">
        <row r="1">
          <cell r="D1">
            <v>1.0149999999999999</v>
          </cell>
          <cell r="E1">
            <v>2743831.08</v>
          </cell>
          <cell r="F1">
            <v>7194368.7700000005</v>
          </cell>
          <cell r="G1">
            <v>991069.52</v>
          </cell>
          <cell r="H1">
            <v>3175146.29</v>
          </cell>
        </row>
        <row r="2">
          <cell r="D2">
            <v>1.0152000000000001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D3">
            <v>1.0155000000000001</v>
          </cell>
          <cell r="E3">
            <v>0</v>
          </cell>
          <cell r="F3">
            <v>0</v>
          </cell>
          <cell r="G3">
            <v>456831.19</v>
          </cell>
          <cell r="H3">
            <v>-2275980.3199999998</v>
          </cell>
        </row>
        <row r="4">
          <cell r="D4">
            <v>1.016</v>
          </cell>
          <cell r="E4">
            <v>0</v>
          </cell>
          <cell r="F4">
            <v>350</v>
          </cell>
          <cell r="G4">
            <v>0</v>
          </cell>
          <cell r="H4">
            <v>350</v>
          </cell>
        </row>
        <row r="5">
          <cell r="D5">
            <v>1.0169999999999999</v>
          </cell>
          <cell r="E5">
            <v>0</v>
          </cell>
          <cell r="F5">
            <v>0</v>
          </cell>
          <cell r="G5">
            <v>476166.6</v>
          </cell>
          <cell r="H5">
            <v>-426336.7</v>
          </cell>
        </row>
        <row r="6">
          <cell r="D6">
            <v>1.0189999999999999</v>
          </cell>
          <cell r="E6">
            <v>0</v>
          </cell>
          <cell r="F6">
            <v>10850</v>
          </cell>
          <cell r="G6">
            <v>550</v>
          </cell>
          <cell r="H6">
            <v>12369.5</v>
          </cell>
        </row>
        <row r="7">
          <cell r="D7">
            <v>1.0249999999999999</v>
          </cell>
          <cell r="E7">
            <v>1.72</v>
          </cell>
          <cell r="F7">
            <v>2105</v>
          </cell>
          <cell r="G7">
            <v>0</v>
          </cell>
          <cell r="H7">
            <v>2063.4899999999998</v>
          </cell>
        </row>
        <row r="8">
          <cell r="D8">
            <v>1.03</v>
          </cell>
          <cell r="E8">
            <v>1724428.64</v>
          </cell>
          <cell r="F8">
            <v>11249995.07</v>
          </cell>
          <cell r="G8">
            <v>-237313.01</v>
          </cell>
          <cell r="H8">
            <v>4721894.12</v>
          </cell>
        </row>
        <row r="9">
          <cell r="D9">
            <v>1.0309999999999999</v>
          </cell>
          <cell r="E9">
            <v>27.47</v>
          </cell>
          <cell r="F9">
            <v>-4442.45</v>
          </cell>
          <cell r="G9">
            <v>21610.05</v>
          </cell>
          <cell r="H9">
            <v>46206.97</v>
          </cell>
        </row>
        <row r="10">
          <cell r="D10">
            <v>1.0329999999999999</v>
          </cell>
          <cell r="E10">
            <v>0</v>
          </cell>
          <cell r="F10">
            <v>20461.62</v>
          </cell>
          <cell r="G10">
            <v>0</v>
          </cell>
          <cell r="H10">
            <v>0</v>
          </cell>
        </row>
        <row r="11">
          <cell r="D11">
            <v>1.034</v>
          </cell>
          <cell r="E11">
            <v>15589.66</v>
          </cell>
          <cell r="F11">
            <v>399938.68</v>
          </cell>
          <cell r="G11">
            <v>166884.41</v>
          </cell>
          <cell r="H11">
            <v>1100316.0900000001</v>
          </cell>
        </row>
        <row r="12">
          <cell r="D12">
            <v>1.036</v>
          </cell>
          <cell r="E12">
            <v>-12731.7</v>
          </cell>
          <cell r="F12">
            <v>-215418.42</v>
          </cell>
          <cell r="G12">
            <v>-11710.14</v>
          </cell>
          <cell r="H12">
            <v>-106438.49</v>
          </cell>
        </row>
        <row r="13">
          <cell r="D13">
            <v>1.0369999999999999</v>
          </cell>
          <cell r="E13">
            <v>0</v>
          </cell>
          <cell r="F13">
            <v>0</v>
          </cell>
          <cell r="G13">
            <v>20726.25</v>
          </cell>
          <cell r="H13">
            <v>364949.73</v>
          </cell>
        </row>
        <row r="14">
          <cell r="D14">
            <v>1.0389999999999999</v>
          </cell>
          <cell r="E14">
            <v>-123802.29</v>
          </cell>
          <cell r="F14">
            <v>2496507.71</v>
          </cell>
          <cell r="G14">
            <v>512982.6</v>
          </cell>
          <cell r="H14">
            <v>2942081.87</v>
          </cell>
        </row>
        <row r="15">
          <cell r="D15">
            <v>1.04</v>
          </cell>
          <cell r="E15">
            <v>2295330.73</v>
          </cell>
          <cell r="F15">
            <v>15799119.880000001</v>
          </cell>
          <cell r="G15">
            <v>1384684.6</v>
          </cell>
          <cell r="H15">
            <v>9790564.5500000007</v>
          </cell>
        </row>
        <row r="16">
          <cell r="D16">
            <v>1.042</v>
          </cell>
          <cell r="E16">
            <v>198275.28</v>
          </cell>
          <cell r="F16">
            <v>-675070.81</v>
          </cell>
          <cell r="G16">
            <v>-26195.09</v>
          </cell>
          <cell r="H16">
            <v>-130259.32</v>
          </cell>
        </row>
        <row r="17">
          <cell r="D17">
            <v>1.044</v>
          </cell>
          <cell r="E17">
            <v>0</v>
          </cell>
          <cell r="F17">
            <v>0</v>
          </cell>
          <cell r="G17">
            <v>-6543.68</v>
          </cell>
          <cell r="H17">
            <v>-37061.089999999997</v>
          </cell>
        </row>
        <row r="18">
          <cell r="D18">
            <v>1.046</v>
          </cell>
          <cell r="E18">
            <v>-79.47</v>
          </cell>
          <cell r="F18">
            <v>158.94</v>
          </cell>
          <cell r="G18">
            <v>13498.87</v>
          </cell>
          <cell r="H18">
            <v>9152.9</v>
          </cell>
        </row>
        <row r="19">
          <cell r="D19">
            <v>1.05</v>
          </cell>
          <cell r="E19">
            <v>253493.88</v>
          </cell>
          <cell r="F19">
            <v>592076.37</v>
          </cell>
          <cell r="G19">
            <v>44139.98</v>
          </cell>
          <cell r="H19">
            <v>359556.17</v>
          </cell>
        </row>
        <row r="20">
          <cell r="D20">
            <v>1.0549999999999999</v>
          </cell>
          <cell r="E20">
            <v>145600</v>
          </cell>
          <cell r="F20">
            <v>1341000</v>
          </cell>
          <cell r="G20">
            <v>0</v>
          </cell>
          <cell r="H20">
            <v>0</v>
          </cell>
        </row>
        <row r="21">
          <cell r="D21">
            <v>1.06</v>
          </cell>
          <cell r="E21">
            <v>0</v>
          </cell>
          <cell r="F21">
            <v>730528</v>
          </cell>
          <cell r="G21">
            <v>0</v>
          </cell>
          <cell r="H21">
            <v>730528</v>
          </cell>
        </row>
        <row r="22">
          <cell r="D22">
            <v>1.07</v>
          </cell>
          <cell r="E22">
            <v>77004</v>
          </cell>
          <cell r="F22">
            <v>2371721.83</v>
          </cell>
          <cell r="G22">
            <v>237571.26</v>
          </cell>
          <cell r="H22">
            <v>1650238.95</v>
          </cell>
        </row>
        <row r="23">
          <cell r="D23">
            <v>1.08</v>
          </cell>
          <cell r="E23">
            <v>3940.15</v>
          </cell>
          <cell r="F23">
            <v>637623.52</v>
          </cell>
          <cell r="G23">
            <v>15450.29</v>
          </cell>
          <cell r="H23">
            <v>382095.18</v>
          </cell>
        </row>
        <row r="24">
          <cell r="D24">
            <v>1.0900000000000001</v>
          </cell>
          <cell r="E24">
            <v>1067.8699999999999</v>
          </cell>
          <cell r="F24">
            <v>1183771.33</v>
          </cell>
          <cell r="G24">
            <v>52519.85</v>
          </cell>
          <cell r="H24">
            <v>926321.3</v>
          </cell>
        </row>
        <row r="25">
          <cell r="D25">
            <v>1.1000000000000001</v>
          </cell>
          <cell r="E25">
            <v>3042.53</v>
          </cell>
          <cell r="F25">
            <v>536191.18000000005</v>
          </cell>
          <cell r="G25">
            <v>-746.57</v>
          </cell>
          <cell r="H25">
            <v>393038.98</v>
          </cell>
        </row>
        <row r="26">
          <cell r="D26">
            <v>1.1100000000000001</v>
          </cell>
          <cell r="E26">
            <v>42245.2</v>
          </cell>
          <cell r="F26">
            <v>1529921.67</v>
          </cell>
          <cell r="G26">
            <v>8229.76</v>
          </cell>
          <cell r="H26">
            <v>1160229.29</v>
          </cell>
        </row>
        <row r="27">
          <cell r="D27">
            <v>1.1200000000000001</v>
          </cell>
          <cell r="E27">
            <v>-19703.830000000002</v>
          </cell>
          <cell r="F27">
            <v>7752205.9000000004</v>
          </cell>
          <cell r="G27">
            <v>172417.63</v>
          </cell>
          <cell r="H27">
            <v>5656277.54</v>
          </cell>
        </row>
        <row r="28">
          <cell r="D28">
            <v>1.1299999999999999</v>
          </cell>
          <cell r="E28">
            <v>3136.42</v>
          </cell>
          <cell r="F28">
            <v>331294.73</v>
          </cell>
          <cell r="G28">
            <v>7977.05</v>
          </cell>
          <cell r="H28">
            <v>225889.61</v>
          </cell>
        </row>
        <row r="29">
          <cell r="D29">
            <v>1.1399999999999999</v>
          </cell>
          <cell r="E29">
            <v>0</v>
          </cell>
          <cell r="F29">
            <v>168695.37</v>
          </cell>
          <cell r="G29">
            <v>0</v>
          </cell>
          <cell r="H29">
            <v>150891.45000000001</v>
          </cell>
        </row>
        <row r="30">
          <cell r="D30">
            <v>1.1499999999999999</v>
          </cell>
          <cell r="E30">
            <v>0</v>
          </cell>
          <cell r="F30">
            <v>122690</v>
          </cell>
          <cell r="G30">
            <v>0</v>
          </cell>
          <cell r="H30">
            <v>3048.73</v>
          </cell>
        </row>
        <row r="31">
          <cell r="D31">
            <v>1.1599999999999999</v>
          </cell>
          <cell r="E31">
            <v>810.43</v>
          </cell>
          <cell r="F31">
            <v>316571.53000000003</v>
          </cell>
          <cell r="G31">
            <v>4989.09</v>
          </cell>
          <cell r="H31">
            <v>262461.93</v>
          </cell>
        </row>
        <row r="32">
          <cell r="D32">
            <v>1.17</v>
          </cell>
          <cell r="E32">
            <v>0</v>
          </cell>
          <cell r="F32">
            <v>0</v>
          </cell>
          <cell r="G32">
            <v>0</v>
          </cell>
          <cell r="H32">
            <v>3012.97</v>
          </cell>
        </row>
        <row r="33">
          <cell r="D33">
            <v>1.18</v>
          </cell>
          <cell r="E33">
            <v>-170313.44</v>
          </cell>
          <cell r="F33">
            <v>-6264083.4900000002</v>
          </cell>
          <cell r="G33">
            <v>-125766.48</v>
          </cell>
          <cell r="H33">
            <v>-4462587.6100000003</v>
          </cell>
        </row>
        <row r="34">
          <cell r="D34">
            <v>1.19</v>
          </cell>
          <cell r="E34">
            <v>2904.33</v>
          </cell>
          <cell r="F34">
            <v>161387.57999999999</v>
          </cell>
          <cell r="G34">
            <v>61276.24</v>
          </cell>
          <cell r="H34">
            <v>751945.38</v>
          </cell>
        </row>
        <row r="35">
          <cell r="D35">
            <v>1.2</v>
          </cell>
          <cell r="E35">
            <v>0</v>
          </cell>
          <cell r="F35">
            <v>0</v>
          </cell>
          <cell r="G35">
            <v>-23230.09</v>
          </cell>
          <cell r="H35">
            <v>-195976.41</v>
          </cell>
        </row>
        <row r="36">
          <cell r="D36">
            <v>1.26</v>
          </cell>
          <cell r="E36">
            <v>-29526.89</v>
          </cell>
          <cell r="F36">
            <v>1022536.15</v>
          </cell>
          <cell r="G36">
            <v>-18686.849999999999</v>
          </cell>
          <cell r="H36">
            <v>1289392.45</v>
          </cell>
        </row>
        <row r="37">
          <cell r="D37">
            <v>1.28</v>
          </cell>
          <cell r="E37">
            <v>-166.67</v>
          </cell>
          <cell r="F37">
            <v>7499.95</v>
          </cell>
          <cell r="G37">
            <v>-166.67</v>
          </cell>
          <cell r="H37">
            <v>9499.99</v>
          </cell>
        </row>
        <row r="38">
          <cell r="D38">
            <v>1.3</v>
          </cell>
          <cell r="E38">
            <v>0</v>
          </cell>
          <cell r="F38">
            <v>970000</v>
          </cell>
          <cell r="G38">
            <v>0</v>
          </cell>
          <cell r="H38">
            <v>0</v>
          </cell>
        </row>
        <row r="39">
          <cell r="D39">
            <v>2.0099999999999998</v>
          </cell>
          <cell r="E39">
            <v>3665951.44</v>
          </cell>
          <cell r="F39">
            <v>12684399.700000001</v>
          </cell>
          <cell r="G39">
            <v>1524051.02</v>
          </cell>
          <cell r="H39">
            <v>5370153.3799999999</v>
          </cell>
        </row>
        <row r="40">
          <cell r="D40">
            <v>2.02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</row>
        <row r="41">
          <cell r="D41">
            <v>2.0299999999999998</v>
          </cell>
          <cell r="E41">
            <v>0</v>
          </cell>
          <cell r="F41">
            <v>1146750</v>
          </cell>
          <cell r="G41">
            <v>3000000</v>
          </cell>
          <cell r="H41">
            <v>3000000</v>
          </cell>
        </row>
        <row r="42">
          <cell r="D42">
            <v>2.0339999999999998</v>
          </cell>
          <cell r="E42">
            <v>-2747.51</v>
          </cell>
          <cell r="F42">
            <v>25889.119999999999</v>
          </cell>
          <cell r="G42">
            <v>27237.45</v>
          </cell>
          <cell r="H42">
            <v>44956.63</v>
          </cell>
        </row>
        <row r="43">
          <cell r="D43">
            <v>2.0350000000000001</v>
          </cell>
          <cell r="E43">
            <v>-24320.97</v>
          </cell>
          <cell r="F43">
            <v>2265484.5699999998</v>
          </cell>
          <cell r="G43">
            <v>-27108.42</v>
          </cell>
          <cell r="H43">
            <v>2176015.06</v>
          </cell>
        </row>
        <row r="44">
          <cell r="D44">
            <v>2.04</v>
          </cell>
          <cell r="E44">
            <v>296445.74</v>
          </cell>
          <cell r="F44">
            <v>3345273.94</v>
          </cell>
          <cell r="G44">
            <v>588069.19999999995</v>
          </cell>
          <cell r="H44">
            <v>1368781.04</v>
          </cell>
        </row>
        <row r="45">
          <cell r="D45">
            <v>2.0499999999999998</v>
          </cell>
          <cell r="E45">
            <v>237814.57</v>
          </cell>
          <cell r="F45">
            <v>1799922.46</v>
          </cell>
          <cell r="G45">
            <v>280955.13</v>
          </cell>
          <cell r="H45">
            <v>1355646.14</v>
          </cell>
        </row>
        <row r="46">
          <cell r="D46">
            <v>2.06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</row>
        <row r="47">
          <cell r="D47">
            <v>2.0699999999999998</v>
          </cell>
          <cell r="E47">
            <v>-285622.7</v>
          </cell>
          <cell r="F47">
            <v>-33829.85</v>
          </cell>
          <cell r="G47">
            <v>-2797.91</v>
          </cell>
          <cell r="H47">
            <v>150937.60000000001</v>
          </cell>
        </row>
        <row r="48">
          <cell r="D48">
            <v>2.0750000000000002</v>
          </cell>
          <cell r="E48">
            <v>503481.17</v>
          </cell>
          <cell r="F48">
            <v>900109.96</v>
          </cell>
          <cell r="G48">
            <v>296312.5</v>
          </cell>
          <cell r="H48">
            <v>296312.5</v>
          </cell>
        </row>
        <row r="49">
          <cell r="D49">
            <v>2.08</v>
          </cell>
          <cell r="E49">
            <v>70819.63</v>
          </cell>
          <cell r="F49">
            <v>737628.17</v>
          </cell>
          <cell r="G49">
            <v>25229.51</v>
          </cell>
          <cell r="H49">
            <v>492017.84</v>
          </cell>
        </row>
        <row r="50">
          <cell r="D50">
            <v>2.0819999999999999</v>
          </cell>
          <cell r="E50">
            <v>60264.83</v>
          </cell>
          <cell r="F50">
            <v>243826.13</v>
          </cell>
          <cell r="G50">
            <v>50035.39</v>
          </cell>
          <cell r="H50">
            <v>150000</v>
          </cell>
        </row>
        <row r="51">
          <cell r="D51">
            <v>2.0840000000000001</v>
          </cell>
          <cell r="E51">
            <v>7333.26</v>
          </cell>
          <cell r="F51">
            <v>21155.62</v>
          </cell>
          <cell r="G51">
            <v>8645.9500000000007</v>
          </cell>
          <cell r="H51">
            <v>31913.17</v>
          </cell>
        </row>
        <row r="52">
          <cell r="D52">
            <v>2.0859999999999999</v>
          </cell>
          <cell r="E52">
            <v>32130.05</v>
          </cell>
          <cell r="F52">
            <v>155055.45000000001</v>
          </cell>
          <cell r="G52">
            <v>5266.3</v>
          </cell>
          <cell r="H52">
            <v>15000</v>
          </cell>
        </row>
        <row r="53">
          <cell r="D53">
            <v>2.0880000000000001</v>
          </cell>
          <cell r="E53">
            <v>924886.6</v>
          </cell>
          <cell r="F53">
            <v>2327999.44</v>
          </cell>
          <cell r="G53">
            <v>721812.24</v>
          </cell>
          <cell r="H53">
            <v>1957801</v>
          </cell>
        </row>
        <row r="54">
          <cell r="D54">
            <v>2.09</v>
          </cell>
          <cell r="E54">
            <v>174712</v>
          </cell>
          <cell r="F54">
            <v>3536707.07</v>
          </cell>
          <cell r="G54">
            <v>334174.33</v>
          </cell>
          <cell r="H54">
            <v>3156910.29</v>
          </cell>
        </row>
        <row r="55">
          <cell r="D55">
            <v>2.1</v>
          </cell>
          <cell r="E55">
            <v>0</v>
          </cell>
          <cell r="F55">
            <v>575780.25</v>
          </cell>
          <cell r="G55">
            <v>-29700</v>
          </cell>
          <cell r="H55">
            <v>588084.56999999995</v>
          </cell>
        </row>
        <row r="56">
          <cell r="D56">
            <v>2.1150000000000002</v>
          </cell>
          <cell r="E56">
            <v>0</v>
          </cell>
          <cell r="F56">
            <v>35250000</v>
          </cell>
          <cell r="G56">
            <v>-3750000</v>
          </cell>
          <cell r="H56">
            <v>38250000</v>
          </cell>
        </row>
        <row r="57">
          <cell r="D57">
            <v>2.117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</row>
        <row r="58">
          <cell r="D58">
            <v>2.12</v>
          </cell>
          <cell r="E58">
            <v>0</v>
          </cell>
          <cell r="F58">
            <v>0</v>
          </cell>
          <cell r="G58">
            <v>0</v>
          </cell>
          <cell r="H58">
            <v>16099.5</v>
          </cell>
        </row>
        <row r="59">
          <cell r="D59">
            <v>2.7</v>
          </cell>
          <cell r="E59">
            <v>4930</v>
          </cell>
          <cell r="F59">
            <v>9599600</v>
          </cell>
          <cell r="G59">
            <v>0</v>
          </cell>
          <cell r="H59">
            <v>10500000</v>
          </cell>
        </row>
        <row r="60">
          <cell r="D60">
            <v>2.71</v>
          </cell>
          <cell r="E60">
            <v>605</v>
          </cell>
          <cell r="F60">
            <v>556785</v>
          </cell>
          <cell r="G60">
            <v>0</v>
          </cell>
          <cell r="H60">
            <v>0</v>
          </cell>
        </row>
        <row r="61">
          <cell r="D61">
            <v>2.8</v>
          </cell>
          <cell r="E61">
            <v>330645</v>
          </cell>
          <cell r="F61">
            <v>11779226</v>
          </cell>
          <cell r="G61">
            <v>0</v>
          </cell>
          <cell r="H61">
            <v>10500000</v>
          </cell>
        </row>
        <row r="62">
          <cell r="D62">
            <v>3.01</v>
          </cell>
          <cell r="E62">
            <v>0</v>
          </cell>
          <cell r="F62">
            <v>618723</v>
          </cell>
          <cell r="G62">
            <v>0</v>
          </cell>
          <cell r="H62">
            <v>10000</v>
          </cell>
        </row>
        <row r="63">
          <cell r="D63">
            <v>3.0150000000000001</v>
          </cell>
          <cell r="E63">
            <v>0</v>
          </cell>
          <cell r="F63">
            <v>1907450.79</v>
          </cell>
          <cell r="G63">
            <v>0</v>
          </cell>
          <cell r="H63">
            <v>149938.44</v>
          </cell>
        </row>
        <row r="64">
          <cell r="D64">
            <v>3.0169999999999999</v>
          </cell>
          <cell r="E64">
            <v>12837</v>
          </cell>
          <cell r="F64">
            <v>-156587</v>
          </cell>
          <cell r="G64">
            <v>0</v>
          </cell>
          <cell r="H64">
            <v>0</v>
          </cell>
        </row>
        <row r="65">
          <cell r="D65">
            <v>3.02</v>
          </cell>
          <cell r="E65">
            <v>0</v>
          </cell>
          <cell r="F65">
            <v>-1258084.3899999999</v>
          </cell>
          <cell r="G65">
            <v>0</v>
          </cell>
          <cell r="H65">
            <v>0</v>
          </cell>
        </row>
        <row r="66">
          <cell r="D66">
            <v>3.03</v>
          </cell>
          <cell r="E66">
            <v>-336180</v>
          </cell>
          <cell r="F66">
            <v>22465820.16</v>
          </cell>
          <cell r="G66">
            <v>-21585576</v>
          </cell>
          <cell r="H66">
            <v>8774663.0800000001</v>
          </cell>
        </row>
        <row r="67">
          <cell r="D67">
            <v>3.04</v>
          </cell>
          <cell r="E67">
            <v>0</v>
          </cell>
          <cell r="F67">
            <v>-68198660.879999995</v>
          </cell>
          <cell r="G67">
            <v>21585576</v>
          </cell>
          <cell r="H67">
            <v>-67610960.730000004</v>
          </cell>
        </row>
      </sheetData>
      <sheetData sheetId="5" refreshError="1"/>
      <sheetData sheetId="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B Budget 2003"/>
      <sheetName val="B2B P&amp;L"/>
      <sheetName val="BB 04 Budget DATA"/>
      <sheetName val="SUBS ECONOMICS"/>
      <sheetName val="BB Budget 2004"/>
      <sheetName val="RWROWS1"/>
      <sheetName val="RWRACCTS1"/>
      <sheetName val="RWRCALCS1"/>
      <sheetName val="RWCOLUMNS1"/>
      <sheetName val="RWCACCTS1"/>
      <sheetName val="RWCCALCS1"/>
      <sheetName val="RWCEXCEPTIONS1"/>
      <sheetName val="RWCEXCEPTIONSDETAIL1"/>
      <sheetName val="RWROWORDERS1"/>
      <sheetName val="RWCONTENTS1"/>
      <sheetName val="RWDISPLAYROWS1"/>
      <sheetName val="RWDISPLAYCOLS1"/>
      <sheetName val="RWCONTROLVALUES1"/>
      <sheetName val="RWREPORT1"/>
      <sheetName val="CRITERIA1"/>
      <sheetName val="CRITERIA2"/>
      <sheetName val="CODE"/>
      <sheetName val="CapEx"/>
      <sheetName val="AMEX"/>
      <sheetName val="Auto"/>
      <sheetName val="Courier"/>
      <sheetName val="freight out"/>
      <sheetName val="Bus. Cards"/>
      <sheetName val="Cust. Relationships"/>
      <sheetName val="Meals &amp; Ent."/>
      <sheetName val="Office Suppies"/>
      <sheetName val="Wireless phones"/>
      <sheetName val="Unit Activations"/>
      <sheetName val="Ricochet"/>
      <sheetName val="Travel"/>
      <sheetName val="Output 1 (1109)"/>
      <sheetName val="Output 1 (9001)"/>
      <sheetName val="Payroill"/>
      <sheetName val="BQ Forecast"/>
      <sheetName val="Bell. In-Lin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p taxes"/>
      <sheetName val="taxes"/>
      <sheetName val="deprec"/>
      <sheetName val="vac accrual"/>
      <sheetName val="Salaries"/>
      <sheetName val="00deacts"/>
      <sheetName val="capital"/>
      <sheetName val="AC summary"/>
      <sheetName val="Company"/>
      <sheetName val="ACcostcent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unTime"/>
      <sheetName val="Summary"/>
      <sheetName val="Income"/>
      <sheetName val="Balance"/>
      <sheetName val="Data"/>
      <sheetName val="AR DET"/>
      <sheetName val="Modu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>
            <v>1.0149999999999999</v>
          </cell>
          <cell r="B1" t="str">
            <v>Cash in Bank</v>
          </cell>
        </row>
        <row r="2">
          <cell r="A2">
            <v>1.0152000000000001</v>
          </cell>
          <cell r="B2" t="str">
            <v>Cash - US Bank Equity Account</v>
          </cell>
        </row>
        <row r="3">
          <cell r="A3">
            <v>1.0155000000000001</v>
          </cell>
          <cell r="B3" t="str">
            <v>Cash in bank - disbursement account</v>
          </cell>
        </row>
        <row r="4">
          <cell r="A4">
            <v>1.016</v>
          </cell>
          <cell r="B4" t="str">
            <v>Petty Cash</v>
          </cell>
        </row>
        <row r="5">
          <cell r="A5">
            <v>1.0169999999999999</v>
          </cell>
          <cell r="B5" t="str">
            <v>Payroll Cash Account</v>
          </cell>
        </row>
        <row r="6">
          <cell r="A6">
            <v>1.0189999999999999</v>
          </cell>
          <cell r="B6" t="str">
            <v>Cash in Stores</v>
          </cell>
        </row>
        <row r="7">
          <cell r="A7">
            <v>1.02</v>
          </cell>
          <cell r="B7" t="str">
            <v>Investments</v>
          </cell>
        </row>
        <row r="8">
          <cell r="A8">
            <v>1.0249999999999999</v>
          </cell>
          <cell r="B8" t="str">
            <v>Cash in bank - OR Dept of Trans</v>
          </cell>
        </row>
        <row r="9">
          <cell r="A9">
            <v>1.03</v>
          </cell>
          <cell r="B9" t="str">
            <v>Trade Accounts Receivable</v>
          </cell>
        </row>
        <row r="10">
          <cell r="A10">
            <v>1.0309999999999999</v>
          </cell>
          <cell r="B10" t="str">
            <v>Employee Accounts Receivable</v>
          </cell>
        </row>
        <row r="11">
          <cell r="A11">
            <v>1.0329999999999999</v>
          </cell>
          <cell r="B11" t="str">
            <v>Interest receivable</v>
          </cell>
        </row>
        <row r="12">
          <cell r="A12">
            <v>1.034</v>
          </cell>
          <cell r="B12" t="str">
            <v>Other Accounts Receivable</v>
          </cell>
        </row>
        <row r="13">
          <cell r="A13">
            <v>1.036</v>
          </cell>
          <cell r="B13" t="str">
            <v>Less:  Allowance for Doubtful Accounts</v>
          </cell>
        </row>
        <row r="14">
          <cell r="A14">
            <v>1.0369999999999999</v>
          </cell>
          <cell r="B14" t="str">
            <v>Clearing Accounts</v>
          </cell>
        </row>
        <row r="15">
          <cell r="A15">
            <v>1.0389999999999999</v>
          </cell>
          <cell r="B15" t="str">
            <v>Vendor Accounts Receivable</v>
          </cell>
        </row>
        <row r="16">
          <cell r="A16">
            <v>1.04</v>
          </cell>
          <cell r="B16" t="str">
            <v>Inventory</v>
          </cell>
        </row>
        <row r="17">
          <cell r="A17">
            <v>1.042</v>
          </cell>
          <cell r="B17" t="str">
            <v>Shrinkage Reserve</v>
          </cell>
        </row>
        <row r="18">
          <cell r="A18">
            <v>1.044</v>
          </cell>
          <cell r="B18" t="str">
            <v>Obsolesence Reserve</v>
          </cell>
        </row>
        <row r="19">
          <cell r="A19">
            <v>1.046</v>
          </cell>
          <cell r="B19" t="str">
            <v>Other Inventory Accounts</v>
          </cell>
        </row>
        <row r="20">
          <cell r="A20">
            <v>1.05</v>
          </cell>
          <cell r="B20" t="str">
            <v>Prepaid Expenses</v>
          </cell>
        </row>
        <row r="21">
          <cell r="A21">
            <v>1.0549999999999999</v>
          </cell>
          <cell r="B21" t="str">
            <v>DEFERRED TAX ASSET CURRENT</v>
          </cell>
        </row>
        <row r="22">
          <cell r="A22">
            <v>1.06</v>
          </cell>
          <cell r="B22" t="str">
            <v>Assets held under capital lease</v>
          </cell>
        </row>
        <row r="23">
          <cell r="A23">
            <v>1.07</v>
          </cell>
          <cell r="B23" t="str">
            <v>Displays</v>
          </cell>
        </row>
        <row r="24">
          <cell r="A24">
            <v>1.08</v>
          </cell>
          <cell r="B24" t="str">
            <v>Equipment</v>
          </cell>
        </row>
        <row r="25">
          <cell r="A25">
            <v>1.0900000000000001</v>
          </cell>
          <cell r="B25" t="str">
            <v>Signage</v>
          </cell>
        </row>
        <row r="26">
          <cell r="A26">
            <v>1.1000000000000001</v>
          </cell>
          <cell r="B26" t="str">
            <v>Furniture &amp; Fixtures</v>
          </cell>
        </row>
        <row r="27">
          <cell r="A27">
            <v>1.1100000000000001</v>
          </cell>
          <cell r="B27" t="str">
            <v>Computer Hardware &amp; Software</v>
          </cell>
        </row>
        <row r="28">
          <cell r="A28">
            <v>1.1200000000000001</v>
          </cell>
          <cell r="B28" t="str">
            <v>Leasehold Improvements</v>
          </cell>
        </row>
        <row r="29">
          <cell r="A29">
            <v>1.1299999999999999</v>
          </cell>
          <cell r="B29" t="str">
            <v>Shop Tools</v>
          </cell>
        </row>
        <row r="30">
          <cell r="A30">
            <v>1.1399999999999999</v>
          </cell>
          <cell r="B30" t="str">
            <v>Loaners</v>
          </cell>
        </row>
        <row r="31">
          <cell r="A31">
            <v>1.1499999999999999</v>
          </cell>
          <cell r="B31" t="str">
            <v>Vehicles</v>
          </cell>
        </row>
        <row r="32">
          <cell r="A32">
            <v>1.1599999999999999</v>
          </cell>
          <cell r="B32" t="str">
            <v>Telephone</v>
          </cell>
        </row>
        <row r="33">
          <cell r="A33">
            <v>1.17</v>
          </cell>
          <cell r="B33" t="str">
            <v>Use Tax on Capital Assets</v>
          </cell>
        </row>
        <row r="34">
          <cell r="A34">
            <v>1.18</v>
          </cell>
          <cell r="B34" t="str">
            <v>Accumulated Depreciation</v>
          </cell>
        </row>
        <row r="35">
          <cell r="A35">
            <v>1.19</v>
          </cell>
          <cell r="B35" t="str">
            <v>Other Non Current Assets</v>
          </cell>
        </row>
        <row r="36">
          <cell r="A36">
            <v>1.2</v>
          </cell>
          <cell r="B36" t="str">
            <v>Accumulatd Depreciation Other Non Cur</v>
          </cell>
        </row>
        <row r="37">
          <cell r="A37">
            <v>1.26</v>
          </cell>
          <cell r="B37" t="str">
            <v>Deferred Loan Costs</v>
          </cell>
        </row>
        <row r="38">
          <cell r="A38">
            <v>1.28</v>
          </cell>
          <cell r="B38" t="str">
            <v>Non Compete Agreement with DB</v>
          </cell>
        </row>
        <row r="39">
          <cell r="A39">
            <v>1.3</v>
          </cell>
          <cell r="B39" t="str">
            <v>DEFERRED TAX ASSET NON CURRENT</v>
          </cell>
        </row>
        <row r="40">
          <cell r="A40">
            <v>2.0099999999999998</v>
          </cell>
          <cell r="B40" t="str">
            <v>Trade Accounts Payable</v>
          </cell>
        </row>
        <row r="41">
          <cell r="A41">
            <v>2.02</v>
          </cell>
          <cell r="B41" t="str">
            <v>Other Accounts Payable</v>
          </cell>
        </row>
        <row r="42">
          <cell r="A42">
            <v>2.0299999999999998</v>
          </cell>
          <cell r="B42" t="str">
            <v>Current Portion of LT Debt</v>
          </cell>
        </row>
        <row r="43">
          <cell r="A43">
            <v>2.0329999999999999</v>
          </cell>
          <cell r="B43" t="str">
            <v>FDC REVOLVING LINE OF CREDIT</v>
          </cell>
        </row>
        <row r="44">
          <cell r="A44">
            <v>2.0350000000000001</v>
          </cell>
          <cell r="B44" t="str">
            <v>Current portion of Deferred Revenue</v>
          </cell>
        </row>
        <row r="45">
          <cell r="A45">
            <v>2.04</v>
          </cell>
          <cell r="B45" t="str">
            <v>Accrued Advertising Expense</v>
          </cell>
        </row>
        <row r="46">
          <cell r="A46">
            <v>2.0499999999999998</v>
          </cell>
          <cell r="B46" t="str">
            <v>Accrued payroll and related</v>
          </cell>
        </row>
        <row r="47">
          <cell r="A47">
            <v>2.06</v>
          </cell>
          <cell r="B47" t="str">
            <v>Accrued Interest</v>
          </cell>
        </row>
        <row r="48">
          <cell r="A48">
            <v>2.0699999999999998</v>
          </cell>
          <cell r="B48" t="str">
            <v>Other Accrued Expenses</v>
          </cell>
        </row>
        <row r="49">
          <cell r="A49">
            <v>2.0750000000000002</v>
          </cell>
          <cell r="B49" t="str">
            <v>Interest Expense Payable ST</v>
          </cell>
        </row>
        <row r="50">
          <cell r="A50">
            <v>2.08</v>
          </cell>
          <cell r="B50" t="str">
            <v>Accrued Business Taxes</v>
          </cell>
        </row>
        <row r="51">
          <cell r="A51">
            <v>2.0819999999999999</v>
          </cell>
          <cell r="B51" t="str">
            <v>OR Taxes Payable</v>
          </cell>
        </row>
        <row r="52">
          <cell r="A52">
            <v>2.0840000000000001</v>
          </cell>
          <cell r="B52" t="str">
            <v>County inc. taxes payable</v>
          </cell>
        </row>
        <row r="53">
          <cell r="A53">
            <v>2.0859999999999999</v>
          </cell>
          <cell r="B53" t="str">
            <v>Colorado Inc. Taxes Payable</v>
          </cell>
        </row>
        <row r="54">
          <cell r="A54">
            <v>2.0880000000000001</v>
          </cell>
          <cell r="B54" t="str">
            <v>Federal Inc. Taxes Payable</v>
          </cell>
        </row>
        <row r="55">
          <cell r="A55">
            <v>2.089</v>
          </cell>
          <cell r="B55" t="str">
            <v>DEFERRED TAX LIABILITY CURRENT</v>
          </cell>
        </row>
        <row r="56">
          <cell r="A56">
            <v>2.09</v>
          </cell>
          <cell r="B56" t="str">
            <v>Deferred Income - L-T portion</v>
          </cell>
        </row>
        <row r="57">
          <cell r="A57">
            <v>2.1</v>
          </cell>
          <cell r="B57" t="str">
            <v>Capital lease obligation</v>
          </cell>
        </row>
        <row r="58">
          <cell r="A58">
            <v>2.11</v>
          </cell>
          <cell r="B58" t="str">
            <v>Less: Current Portion of LT Debt</v>
          </cell>
        </row>
        <row r="59">
          <cell r="A59">
            <v>2.1120000000000001</v>
          </cell>
          <cell r="B59" t="str">
            <v>DEFERRED TAX LIABILITY NON CURRENT</v>
          </cell>
        </row>
        <row r="60">
          <cell r="A60">
            <v>2.1150000000000002</v>
          </cell>
          <cell r="B60" t="str">
            <v>Senior Term Credit Facility</v>
          </cell>
        </row>
        <row r="61">
          <cell r="A61">
            <v>2.117</v>
          </cell>
          <cell r="B61" t="str">
            <v>Note Payable to Dan</v>
          </cell>
        </row>
        <row r="62">
          <cell r="A62">
            <v>2.12</v>
          </cell>
          <cell r="B62" t="str">
            <v>Other Non Current Liabilities</v>
          </cell>
        </row>
        <row r="63">
          <cell r="A63">
            <v>2.7</v>
          </cell>
          <cell r="B63" t="str">
            <v>Convertible Preferred Stock A</v>
          </cell>
        </row>
        <row r="64">
          <cell r="A64">
            <v>2.71</v>
          </cell>
          <cell r="B64" t="str">
            <v>Convertible Preferred Stock B</v>
          </cell>
        </row>
        <row r="65">
          <cell r="A65">
            <v>2.8</v>
          </cell>
          <cell r="B65" t="str">
            <v>Redeemable Preferred Stock</v>
          </cell>
        </row>
        <row r="66">
          <cell r="A66">
            <v>3.01</v>
          </cell>
          <cell r="B66" t="str">
            <v>Common Stock</v>
          </cell>
        </row>
        <row r="67">
          <cell r="A67">
            <v>3.0150000000000001</v>
          </cell>
          <cell r="B67" t="str">
            <v>Additional Paid-In-Capital</v>
          </cell>
        </row>
        <row r="68">
          <cell r="A68">
            <v>3.0169999999999999</v>
          </cell>
          <cell r="B68" t="str">
            <v>Deferred Stock Compensation</v>
          </cell>
        </row>
        <row r="69">
          <cell r="A69">
            <v>3.02</v>
          </cell>
          <cell r="B69" t="str">
            <v>Note Receivable from Employees</v>
          </cell>
        </row>
        <row r="70">
          <cell r="A70">
            <v>3.03</v>
          </cell>
          <cell r="B70" t="str">
            <v>Retained Earnings</v>
          </cell>
        </row>
        <row r="71">
          <cell r="A71">
            <v>3.04</v>
          </cell>
          <cell r="B71" t="str">
            <v>Dividends</v>
          </cell>
        </row>
        <row r="72">
          <cell r="A72">
            <v>3.05</v>
          </cell>
          <cell r="B72" t="str">
            <v>Current Period P/L</v>
          </cell>
        </row>
        <row r="73">
          <cell r="A73">
            <v>3.06</v>
          </cell>
          <cell r="B73" t="str">
            <v>Write-off Income</v>
          </cell>
        </row>
      </sheetData>
      <sheetData sheetId="5" refreshError="1"/>
      <sheetData sheetId="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ll Monty"/>
      <sheetName val="Operation Costs"/>
      <sheetName val="Existing Store Cost"/>
      <sheetName val="wo Install Bay"/>
      <sheetName val="wo POP"/>
      <sheetName val="wo POP and Flat Screens"/>
      <sheetName val="wo Flat Screens"/>
      <sheetName val="wo Install,POP &amp; Flat Screens"/>
    </sheetNames>
    <sheetDataSet>
      <sheetData sheetId="0" refreshError="1">
        <row r="4">
          <cell r="D4">
            <v>8.5999999999999993E-2</v>
          </cell>
        </row>
        <row r="5">
          <cell r="D5">
            <v>0.08</v>
          </cell>
        </row>
        <row r="6">
          <cell r="D6">
            <v>0.03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ct summary"/>
      <sheetName val="00 RRVIEW"/>
      <sheetName val="ACcostcenter"/>
      <sheetName val="payroll"/>
      <sheetName val="Auto Expense"/>
      <sheetName val="Outside services"/>
      <sheetName val="Cont Education"/>
      <sheetName val="Relocation"/>
      <sheetName val="Overtime"/>
      <sheetName val="overtime (2)"/>
      <sheetName val="Outside service temps"/>
      <sheetName val="Equ Leasing"/>
      <sheetName val="Supplies"/>
      <sheetName val="Meal Ent"/>
      <sheetName val="Dallas Travel"/>
      <sheetName val="Houston Travel"/>
      <sheetName val="Spokane Travel"/>
      <sheetName val="Denver Travel"/>
      <sheetName val="Portland Travel"/>
      <sheetName val="Other Loc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T Tax Notes to Finalize"/>
      <sheetName val="2013 Provision"/>
      <sheetName val="2013 Tax Acct Rllfwd"/>
      <sheetName val="2013 DT Rllfwd"/>
      <sheetName val="WA T.I."/>
      <sheetName val="2012 Prov to Rtn"/>
      <sheetName val="AJEs (GT)"/>
      <sheetName val="Post Close AJEs"/>
      <sheetName val="Reports --&gt;"/>
      <sheetName val="CT_PL 12.2013"/>
      <sheetName val="CT_BS 12.2013"/>
      <sheetName val="2012 Provision"/>
      <sheetName val="2013 ppe def tax"/>
      <sheetName val="PPE Tax vs. Book"/>
      <sheetName val="Depr Tax Sched 2014 per SBBB"/>
      <sheetName val="mar 2013 from sbbb"/>
      <sheetName val="GL PvtTbl"/>
      <sheetName val="WA GL Activity"/>
      <sheetName val="2013 GL Tax Activity"/>
      <sheetName val="March 2013 PL"/>
      <sheetName val="WA_TB 12.2013"/>
      <sheetName val="CT_TB 12.2013"/>
      <sheetName val="2012 Deferred Tax Rllfwd"/>
      <sheetName val="2012 tb "/>
      <sheetName val="2012 Tax Acct Rllfwd"/>
      <sheetName val="pl"/>
      <sheetName val="ppa's"/>
      <sheetName val="gl ac activity, prov &amp; pymts"/>
      <sheetName val="GT_Custom"/>
      <sheetName val="march 2012"/>
      <sheetName val="WA 3.31.13"/>
      <sheetName val="WA 6.30.13"/>
      <sheetName val="WA 9.30.13"/>
      <sheetName val="WA 12.31.13"/>
      <sheetName val="WA 12.31.12"/>
      <sheetName val="CT investment in Subs"/>
    </sheetNames>
    <sheetDataSet>
      <sheetData sheetId="0"/>
      <sheetData sheetId="1">
        <row r="6">
          <cell r="C6">
            <v>4849000</v>
          </cell>
        </row>
        <row r="12">
          <cell r="C12">
            <v>131150.51153614779</v>
          </cell>
        </row>
      </sheetData>
      <sheetData sheetId="2"/>
      <sheetData sheetId="3">
        <row r="15">
          <cell r="AU15">
            <v>-3189.5030000000002</v>
          </cell>
        </row>
      </sheetData>
      <sheetData sheetId="4">
        <row r="18">
          <cell r="D18">
            <v>-690785</v>
          </cell>
        </row>
      </sheetData>
      <sheetData sheetId="5">
        <row r="25">
          <cell r="Q25">
            <v>-3189503</v>
          </cell>
        </row>
      </sheetData>
      <sheetData sheetId="6">
        <row r="11">
          <cell r="N11">
            <v>472883.8400000002</v>
          </cell>
        </row>
      </sheetData>
      <sheetData sheetId="7">
        <row r="6">
          <cell r="D6">
            <v>-379089</v>
          </cell>
        </row>
      </sheetData>
      <sheetData sheetId="8"/>
      <sheetData sheetId="9">
        <row r="226">
          <cell r="E226">
            <v>1688763.45</v>
          </cell>
        </row>
      </sheetData>
      <sheetData sheetId="10">
        <row r="52">
          <cell r="G52">
            <v>-545079</v>
          </cell>
        </row>
      </sheetData>
      <sheetData sheetId="11"/>
      <sheetData sheetId="12">
        <row r="35">
          <cell r="I35">
            <v>3473.6868921066634</v>
          </cell>
        </row>
      </sheetData>
      <sheetData sheetId="13"/>
      <sheetData sheetId="14"/>
      <sheetData sheetId="15"/>
      <sheetData sheetId="16">
        <row r="4">
          <cell r="A4" t="str">
            <v>Sum of DR (CR)</v>
          </cell>
        </row>
      </sheetData>
      <sheetData sheetId="17">
        <row r="2">
          <cell r="L2">
            <v>166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ol BS"/>
      <sheetName val="Consol IS"/>
      <sheetName val="Consol SOCF"/>
      <sheetName val="Consol SOSE"/>
      <sheetName val="FS Support Schedules--&gt;"/>
      <sheetName val="SCFWksht"/>
      <sheetName val="AJEs"/>
      <sheetName val="Investment"/>
      <sheetName val="CT Ownership Calc"/>
      <sheetName val="CT_BS"/>
      <sheetName val="CT_PL"/>
      <sheetName val="CT_TB 12.31.16"/>
      <sheetName val="WA_BS"/>
      <sheetName val="WA_PL"/>
      <sheetName val="WA_TB 12.31.16"/>
    </sheetNames>
    <sheetDataSet>
      <sheetData sheetId="0"/>
      <sheetData sheetId="1">
        <row r="29">
          <cell r="E29">
            <v>-11929782.48321679</v>
          </cell>
        </row>
      </sheetData>
      <sheetData sheetId="2"/>
      <sheetData sheetId="3">
        <row r="109">
          <cell r="K109">
            <v>13022.666201440081</v>
          </cell>
        </row>
      </sheetData>
      <sheetData sheetId="4"/>
      <sheetData sheetId="5"/>
      <sheetData sheetId="6"/>
      <sheetData sheetId="7"/>
      <sheetData sheetId="8">
        <row r="46">
          <cell r="J46">
            <v>0.67033957254691223</v>
          </cell>
        </row>
      </sheetData>
      <sheetData sheetId="9">
        <row r="28">
          <cell r="H28">
            <v>4498013.3100000005</v>
          </cell>
        </row>
        <row r="37">
          <cell r="H37">
            <v>-2763988.17</v>
          </cell>
        </row>
        <row r="72">
          <cell r="H72">
            <v>462058.47000000009</v>
          </cell>
        </row>
        <row r="85">
          <cell r="H85">
            <v>15646736.579999998</v>
          </cell>
        </row>
        <row r="104">
          <cell r="H104">
            <v>363457.12999999995</v>
          </cell>
        </row>
        <row r="112">
          <cell r="H112">
            <v>5767923.2699999996</v>
          </cell>
        </row>
        <row r="116">
          <cell r="H116">
            <v>2302972.84</v>
          </cell>
        </row>
        <row r="153">
          <cell r="H153">
            <v>5995904.4100000095</v>
          </cell>
        </row>
        <row r="162">
          <cell r="H162">
            <v>140429.54999999999</v>
          </cell>
        </row>
        <row r="167">
          <cell r="H167">
            <v>8618366.916783236</v>
          </cell>
        </row>
        <row r="171">
          <cell r="H171">
            <v>-826068.25</v>
          </cell>
        </row>
        <row r="175">
          <cell r="H175">
            <v>0</v>
          </cell>
        </row>
        <row r="176">
          <cell r="H176">
            <v>0</v>
          </cell>
        </row>
        <row r="187">
          <cell r="H187">
            <v>5415770.3300000001</v>
          </cell>
        </row>
        <row r="219">
          <cell r="H219">
            <v>5833009.6799999997</v>
          </cell>
        </row>
        <row r="232">
          <cell r="H232">
            <v>3611407.5300000003</v>
          </cell>
        </row>
        <row r="244">
          <cell r="H244">
            <v>258417.71</v>
          </cell>
        </row>
        <row r="252">
          <cell r="H252">
            <v>845642.15</v>
          </cell>
        </row>
        <row r="259">
          <cell r="H259">
            <v>0</v>
          </cell>
        </row>
        <row r="263">
          <cell r="H263">
            <v>302975.34000000003</v>
          </cell>
        </row>
        <row r="280">
          <cell r="H280">
            <v>4695229.5599999996</v>
          </cell>
        </row>
        <row r="281">
          <cell r="H281">
            <v>-176133</v>
          </cell>
        </row>
        <row r="282">
          <cell r="H282">
            <v>-68198660.879999995</v>
          </cell>
        </row>
        <row r="283">
          <cell r="H283">
            <v>102311918.29000001</v>
          </cell>
        </row>
      </sheetData>
      <sheetData sheetId="10"/>
      <sheetData sheetId="11"/>
      <sheetData sheetId="12">
        <row r="28">
          <cell r="H28">
            <v>59498695.959999993</v>
          </cell>
        </row>
        <row r="35">
          <cell r="H35">
            <v>2763988.17</v>
          </cell>
        </row>
        <row r="89">
          <cell r="H89">
            <v>449841466.56999999</v>
          </cell>
        </row>
        <row r="110">
          <cell r="H110">
            <v>38896966.119999982</v>
          </cell>
        </row>
        <row r="130">
          <cell r="H130">
            <v>31781009.73</v>
          </cell>
        </row>
        <row r="161">
          <cell r="H161">
            <v>25527840.890000008</v>
          </cell>
        </row>
        <row r="166">
          <cell r="H166">
            <v>292284.58</v>
          </cell>
        </row>
        <row r="170">
          <cell r="H170">
            <v>0</v>
          </cell>
        </row>
        <row r="181">
          <cell r="H181">
            <v>210862066.45999998</v>
          </cell>
        </row>
        <row r="221">
          <cell r="H221">
            <v>367527142.01000005</v>
          </cell>
        </row>
        <row r="235">
          <cell r="H235">
            <v>3062972.41</v>
          </cell>
        </row>
        <row r="240">
          <cell r="H240">
            <v>1170696.94</v>
          </cell>
        </row>
        <row r="244">
          <cell r="H244">
            <v>0</v>
          </cell>
        </row>
        <row r="248">
          <cell r="H248">
            <v>74269</v>
          </cell>
        </row>
        <row r="252">
          <cell r="E252">
            <v>0</v>
          </cell>
        </row>
        <row r="256">
          <cell r="H256">
            <v>243036.62</v>
          </cell>
        </row>
        <row r="262">
          <cell r="H262">
            <v>-4930665.01</v>
          </cell>
        </row>
        <row r="263">
          <cell r="H263">
            <v>0</v>
          </cell>
        </row>
        <row r="265">
          <cell r="H265">
            <v>7607722.1699999999</v>
          </cell>
        </row>
        <row r="267">
          <cell r="H267">
            <v>-133433120.86</v>
          </cell>
        </row>
        <row r="268">
          <cell r="H268">
            <v>-127212473.97</v>
          </cell>
        </row>
        <row r="269">
          <cell r="H269">
            <v>290339468.69999999</v>
          </cell>
        </row>
        <row r="270">
          <cell r="H270">
            <v>-9472850.6199998185</v>
          </cell>
        </row>
      </sheetData>
      <sheetData sheetId="13"/>
      <sheetData sheetId="14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erts"/>
      <sheetName val="cti processes"/>
      <sheetName val="GT_Custom"/>
      <sheetName val="2015 options"/>
      <sheetName val="2015 sbc"/>
      <sheetName val="nqso exercises"/>
      <sheetName val="sose"/>
      <sheetName val="com stk"/>
      <sheetName val="ct valuation report summary"/>
      <sheetName val="historical fin stm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M21">
            <v>8.5631110424057582</v>
          </cell>
        </row>
      </sheetData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R64"/>
  <sheetViews>
    <sheetView zoomScale="80" zoomScaleNormal="80" workbookViewId="0">
      <selection activeCell="I38" sqref="I38"/>
    </sheetView>
  </sheetViews>
  <sheetFormatPr defaultColWidth="9.1796875" defaultRowHeight="13"/>
  <cols>
    <col min="1" max="1" width="21.26953125" style="3" bestFit="1" customWidth="1"/>
    <col min="2" max="2" width="1.1796875" style="3" customWidth="1"/>
    <col min="3" max="3" width="77.7265625" style="3" bestFit="1" customWidth="1"/>
    <col min="4" max="4" width="0.81640625" style="3" customWidth="1"/>
    <col min="5" max="5" width="2.54296875" style="5" customWidth="1"/>
    <col min="6" max="6" width="1" style="3" customWidth="1"/>
    <col min="7" max="7" width="34" style="3" customWidth="1"/>
    <col min="8" max="8" width="1.1796875" style="3" customWidth="1"/>
    <col min="9" max="9" width="11.26953125" style="3" bestFit="1" customWidth="1"/>
    <col min="10" max="10" width="1.1796875" style="3" customWidth="1"/>
    <col min="11" max="11" width="9.54296875" style="3" bestFit="1" customWidth="1"/>
    <col min="12" max="12" width="1.1796875" style="3" customWidth="1"/>
    <col min="13" max="13" width="9.26953125" style="3" bestFit="1" customWidth="1"/>
    <col min="14" max="14" width="1.1796875" style="3" customWidth="1"/>
    <col min="15" max="15" width="9.1796875" style="3" bestFit="1" customWidth="1"/>
    <col min="16" max="16" width="1.453125" style="3" customWidth="1"/>
    <col min="17" max="17" width="9.26953125" style="3" bestFit="1" customWidth="1"/>
    <col min="18" max="18" width="1.1796875" style="3" customWidth="1"/>
    <col min="19" max="16384" width="9.1796875" style="3"/>
  </cols>
  <sheetData>
    <row r="1" spans="1:13">
      <c r="C1" s="6" t="s">
        <v>960</v>
      </c>
    </row>
    <row r="2" spans="1:13">
      <c r="C2" s="5" t="s">
        <v>1260</v>
      </c>
    </row>
    <row r="3" spans="1:13">
      <c r="C3" s="5" t="s">
        <v>961</v>
      </c>
    </row>
    <row r="4" spans="1:13">
      <c r="C4" s="5" t="s">
        <v>1267</v>
      </c>
      <c r="G4" s="670" t="s">
        <v>1268</v>
      </c>
    </row>
    <row r="5" spans="1:13">
      <c r="G5" s="43"/>
      <c r="H5" s="43"/>
      <c r="I5" s="43"/>
    </row>
    <row r="6" spans="1:13">
      <c r="A6" s="5" t="s">
        <v>957</v>
      </c>
      <c r="G6" s="39"/>
      <c r="H6" s="43"/>
      <c r="I6" s="43"/>
    </row>
    <row r="7" spans="1:13">
      <c r="A7" s="82" t="s">
        <v>958</v>
      </c>
      <c r="C7" s="3" t="s">
        <v>959</v>
      </c>
      <c r="G7" s="39"/>
      <c r="H7" s="43"/>
      <c r="I7" s="43"/>
    </row>
    <row r="8" spans="1:13">
      <c r="A8" s="5"/>
      <c r="G8" s="39"/>
      <c r="H8" s="43"/>
      <c r="I8" s="43"/>
    </row>
    <row r="9" spans="1:13">
      <c r="A9" s="4" t="s">
        <v>1261</v>
      </c>
      <c r="G9" s="39"/>
      <c r="H9" s="43"/>
      <c r="I9" s="43"/>
    </row>
    <row r="10" spans="1:13">
      <c r="A10" s="4"/>
      <c r="C10" s="3" t="s">
        <v>82</v>
      </c>
      <c r="G10" s="5"/>
    </row>
    <row r="11" spans="1:13">
      <c r="A11" s="4"/>
      <c r="C11" s="3" t="s">
        <v>83</v>
      </c>
      <c r="G11" s="5"/>
    </row>
    <row r="12" spans="1:13">
      <c r="A12" s="4"/>
      <c r="C12" s="3" t="s">
        <v>1262</v>
      </c>
      <c r="E12" s="57"/>
      <c r="F12" s="90"/>
      <c r="H12" s="57"/>
      <c r="I12" s="57"/>
      <c r="J12" s="90"/>
      <c r="K12" s="90"/>
      <c r="L12" s="90"/>
      <c r="M12" s="90"/>
    </row>
    <row r="13" spans="1:13">
      <c r="A13" s="4"/>
      <c r="C13" s="3" t="s">
        <v>1263</v>
      </c>
      <c r="E13" s="57"/>
      <c r="F13" s="90"/>
      <c r="H13" s="57"/>
      <c r="I13" s="57"/>
      <c r="J13" s="90"/>
      <c r="K13" s="90"/>
      <c r="L13" s="90"/>
      <c r="M13" s="90"/>
    </row>
    <row r="14" spans="1:13">
      <c r="A14" s="4"/>
      <c r="C14" s="3" t="s">
        <v>1186</v>
      </c>
      <c r="E14" s="57"/>
      <c r="F14" s="90"/>
      <c r="G14" s="57"/>
      <c r="H14" s="57"/>
      <c r="I14" s="57"/>
      <c r="J14" s="90"/>
      <c r="K14" s="90"/>
      <c r="L14" s="90"/>
      <c r="M14" s="90"/>
    </row>
    <row r="15" spans="1:13">
      <c r="A15" s="4"/>
      <c r="C15" s="3" t="s">
        <v>1187</v>
      </c>
      <c r="E15" s="57"/>
      <c r="F15" s="90"/>
      <c r="G15" s="57"/>
      <c r="H15" s="57"/>
      <c r="I15" s="57"/>
      <c r="J15" s="90"/>
      <c r="K15" s="90"/>
      <c r="L15" s="90"/>
      <c r="M15" s="90"/>
    </row>
    <row r="16" spans="1:13">
      <c r="A16" s="4"/>
      <c r="E16" s="57"/>
      <c r="F16" s="90"/>
      <c r="G16" s="57"/>
      <c r="H16" s="57"/>
      <c r="I16" s="57"/>
      <c r="J16" s="90"/>
      <c r="K16" s="90"/>
      <c r="L16" s="90"/>
      <c r="M16" s="90"/>
    </row>
    <row r="17" spans="1:13">
      <c r="A17" s="4" t="s">
        <v>1264</v>
      </c>
      <c r="E17" s="57"/>
      <c r="F17" s="90"/>
      <c r="G17" s="57"/>
      <c r="H17" s="90"/>
      <c r="I17" s="53"/>
      <c r="J17" s="90"/>
      <c r="K17" s="90"/>
      <c r="L17" s="90"/>
      <c r="M17" s="90"/>
    </row>
    <row r="18" spans="1:13">
      <c r="A18" s="4"/>
      <c r="C18" s="3" t="s">
        <v>84</v>
      </c>
      <c r="G18" s="5"/>
      <c r="I18" s="5"/>
    </row>
    <row r="19" spans="1:13">
      <c r="A19" s="4"/>
      <c r="C19" s="3" t="s">
        <v>85</v>
      </c>
      <c r="E19" s="57"/>
      <c r="G19" s="5"/>
      <c r="I19" s="5"/>
    </row>
    <row r="20" spans="1:13">
      <c r="A20" s="4"/>
      <c r="C20" s="3" t="s">
        <v>92</v>
      </c>
      <c r="E20" s="57"/>
      <c r="G20" s="5"/>
    </row>
    <row r="21" spans="1:13">
      <c r="A21" s="4"/>
      <c r="C21" s="3" t="s">
        <v>100</v>
      </c>
      <c r="E21" s="57"/>
      <c r="G21" s="76"/>
    </row>
    <row r="22" spans="1:13">
      <c r="A22" s="4"/>
      <c r="G22" s="5"/>
    </row>
    <row r="23" spans="1:13">
      <c r="A23" s="4" t="s">
        <v>951</v>
      </c>
      <c r="C23" s="3" t="s">
        <v>972</v>
      </c>
    </row>
    <row r="24" spans="1:13">
      <c r="A24" s="4"/>
      <c r="C24" s="3" t="s">
        <v>1185</v>
      </c>
      <c r="E24" s="57"/>
      <c r="G24" s="5"/>
    </row>
    <row r="25" spans="1:13">
      <c r="A25" s="4"/>
      <c r="G25" s="5"/>
    </row>
    <row r="26" spans="1:13">
      <c r="A26" s="4" t="s">
        <v>2266</v>
      </c>
      <c r="C26" s="3" t="s">
        <v>1265</v>
      </c>
      <c r="G26" s="5"/>
    </row>
    <row r="27" spans="1:13">
      <c r="A27" s="4"/>
      <c r="G27" s="5"/>
    </row>
    <row r="28" spans="1:13">
      <c r="A28" s="4" t="s">
        <v>952</v>
      </c>
      <c r="C28" s="3" t="s">
        <v>954</v>
      </c>
      <c r="G28" s="5"/>
    </row>
    <row r="29" spans="1:13">
      <c r="A29" s="4"/>
      <c r="C29" s="3" t="s">
        <v>87</v>
      </c>
      <c r="G29" s="5"/>
    </row>
    <row r="30" spans="1:13">
      <c r="A30" s="4"/>
      <c r="C30" s="3" t="s">
        <v>1195</v>
      </c>
      <c r="G30" s="5"/>
    </row>
    <row r="31" spans="1:13">
      <c r="A31" s="4"/>
      <c r="C31" s="3" t="s">
        <v>88</v>
      </c>
      <c r="E31" s="57"/>
      <c r="G31" s="5"/>
    </row>
    <row r="32" spans="1:13">
      <c r="A32" s="4"/>
      <c r="C32" s="3" t="s">
        <v>110</v>
      </c>
      <c r="E32" s="57"/>
    </row>
    <row r="33" spans="1:18">
      <c r="A33" s="4"/>
      <c r="C33" s="3" t="s">
        <v>364</v>
      </c>
      <c r="G33" s="76"/>
    </row>
    <row r="34" spans="1:18">
      <c r="A34" s="4"/>
      <c r="G34" s="5"/>
    </row>
    <row r="35" spans="1:18">
      <c r="A35" s="4" t="s">
        <v>955</v>
      </c>
      <c r="C35" s="3" t="s">
        <v>953</v>
      </c>
    </row>
    <row r="36" spans="1:18">
      <c r="A36" s="4"/>
      <c r="G36" s="5"/>
    </row>
    <row r="37" spans="1:18">
      <c r="A37" s="4" t="s">
        <v>1266</v>
      </c>
      <c r="C37" s="3" t="s">
        <v>86</v>
      </c>
      <c r="G37" s="5"/>
    </row>
    <row r="38" spans="1:18">
      <c r="A38" s="4"/>
      <c r="C38" s="3" t="s">
        <v>1179</v>
      </c>
    </row>
    <row r="39" spans="1:18">
      <c r="A39" s="4"/>
      <c r="R39" s="5"/>
    </row>
    <row r="40" spans="1:18">
      <c r="A40" s="4" t="s">
        <v>91</v>
      </c>
      <c r="C40" s="3" t="s">
        <v>1200</v>
      </c>
    </row>
    <row r="41" spans="1:18">
      <c r="C41" s="3" t="s">
        <v>89</v>
      </c>
    </row>
    <row r="42" spans="1:18">
      <c r="C42" s="3" t="s">
        <v>93</v>
      </c>
    </row>
    <row r="44" spans="1:18">
      <c r="A44" s="4" t="s">
        <v>956</v>
      </c>
      <c r="C44" s="3" t="s">
        <v>90</v>
      </c>
    </row>
    <row r="45" spans="1:18">
      <c r="A45" s="82" t="s">
        <v>1057</v>
      </c>
      <c r="C45" s="3" t="s">
        <v>2267</v>
      </c>
    </row>
    <row r="46" spans="1:18">
      <c r="A46" s="82" t="s">
        <v>1030</v>
      </c>
      <c r="C46" s="3" t="s">
        <v>2268</v>
      </c>
    </row>
    <row r="47" spans="1:18">
      <c r="A47" s="82" t="s">
        <v>1073</v>
      </c>
      <c r="C47" s="3" t="s">
        <v>1160</v>
      </c>
    </row>
    <row r="48" spans="1:18">
      <c r="A48" s="82" t="s">
        <v>1074</v>
      </c>
      <c r="C48" s="3" t="s">
        <v>1161</v>
      </c>
    </row>
    <row r="49" spans="1:9">
      <c r="A49" s="82" t="s">
        <v>1162</v>
      </c>
      <c r="C49" s="3" t="s">
        <v>1173</v>
      </c>
    </row>
    <row r="50" spans="1:9" ht="26">
      <c r="A50" s="4" t="s">
        <v>1056</v>
      </c>
      <c r="C50" s="3" t="s">
        <v>2269</v>
      </c>
      <c r="E50" s="57"/>
      <c r="F50" s="90"/>
      <c r="G50" s="671" t="s">
        <v>2270</v>
      </c>
      <c r="H50" s="90"/>
      <c r="I50" s="105"/>
    </row>
    <row r="51" spans="1:9">
      <c r="E51" s="57"/>
      <c r="F51" s="90"/>
      <c r="G51" s="105"/>
      <c r="H51" s="90"/>
      <c r="I51" s="105"/>
    </row>
    <row r="53" spans="1:9">
      <c r="E53" s="57"/>
      <c r="F53" s="90"/>
      <c r="G53" s="53"/>
      <c r="H53" s="90"/>
      <c r="I53" s="53"/>
    </row>
    <row r="54" spans="1:9">
      <c r="E54" s="57"/>
      <c r="F54" s="90"/>
      <c r="G54" s="90"/>
      <c r="H54" s="90"/>
      <c r="I54" s="90"/>
    </row>
    <row r="55" spans="1:9">
      <c r="E55" s="57"/>
      <c r="F55" s="90"/>
      <c r="G55" s="53"/>
      <c r="H55" s="90"/>
      <c r="I55" s="53"/>
    </row>
    <row r="56" spans="1:9">
      <c r="E56" s="57"/>
      <c r="F56" s="90"/>
      <c r="G56" s="90"/>
      <c r="H56" s="90"/>
      <c r="I56" s="90"/>
    </row>
    <row r="57" spans="1:9">
      <c r="E57" s="57"/>
      <c r="F57" s="90"/>
      <c r="G57" s="106"/>
      <c r="H57" s="90"/>
      <c r="I57" s="53"/>
    </row>
    <row r="58" spans="1:9">
      <c r="E58" s="57"/>
      <c r="F58" s="90"/>
      <c r="G58" s="90"/>
      <c r="H58" s="90"/>
      <c r="I58" s="53"/>
    </row>
    <row r="59" spans="1:9">
      <c r="E59" s="57"/>
      <c r="F59" s="90"/>
      <c r="G59" s="90"/>
      <c r="H59" s="90"/>
      <c r="I59" s="90"/>
    </row>
    <row r="60" spans="1:9">
      <c r="E60" s="57"/>
      <c r="F60" s="90"/>
      <c r="G60" s="90"/>
      <c r="H60" s="90"/>
      <c r="I60" s="90"/>
    </row>
    <row r="61" spans="1:9">
      <c r="E61" s="57"/>
      <c r="F61" s="90"/>
      <c r="G61" s="90"/>
      <c r="H61" s="90"/>
      <c r="I61" s="90"/>
    </row>
    <row r="62" spans="1:9">
      <c r="E62" s="57"/>
      <c r="F62" s="90"/>
      <c r="G62" s="90"/>
      <c r="H62" s="90"/>
      <c r="I62" s="90"/>
    </row>
    <row r="63" spans="1:9">
      <c r="E63" s="57"/>
      <c r="F63" s="90"/>
      <c r="G63" s="90"/>
      <c r="H63" s="90"/>
      <c r="I63" s="90"/>
    </row>
    <row r="64" spans="1:9">
      <c r="E64" s="57"/>
      <c r="F64" s="90"/>
      <c r="G64" s="90"/>
      <c r="H64" s="90"/>
      <c r="I64" s="90"/>
    </row>
  </sheetData>
  <pageMargins left="0.76" right="0.12" top="0.25" bottom="0.55000000000000004" header="0.17" footer="0.17"/>
  <pageSetup scale="70" orientation="portrait" r:id="rId1"/>
  <headerFooter>
    <oddFooter>&amp;L&amp;"Times New Roman,Regular"&amp;Z&amp;F&amp;R&amp;A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12"/>
  <sheetViews>
    <sheetView showGridLines="0" tabSelected="1" view="pageBreakPreview" topLeftCell="A71" zoomScale="60" zoomScaleNormal="80" workbookViewId="0">
      <selection activeCell="C105" sqref="C105"/>
    </sheetView>
  </sheetViews>
  <sheetFormatPr defaultColWidth="9.1796875" defaultRowHeight="13"/>
  <cols>
    <col min="1" max="1" width="41.453125" style="3" bestFit="1" customWidth="1"/>
    <col min="2" max="2" width="1.453125" style="3" customWidth="1"/>
    <col min="3" max="3" width="10.26953125" style="3" customWidth="1"/>
    <col min="4" max="4" width="1.1796875" style="3" customWidth="1"/>
    <col min="5" max="5" width="11" style="3" customWidth="1"/>
    <col min="6" max="6" width="0.81640625" style="3" customWidth="1"/>
    <col min="7" max="7" width="11.1796875" style="3" customWidth="1"/>
    <col min="8" max="8" width="1.1796875" style="3" customWidth="1"/>
    <col min="9" max="9" width="11" style="3" customWidth="1"/>
    <col min="10" max="10" width="0.81640625" style="3" customWidth="1"/>
    <col min="11" max="11" width="9.54296875" style="90" customWidth="1"/>
    <col min="12" max="12" width="1.453125" style="3" customWidth="1"/>
    <col min="13" max="13" width="11" style="3" customWidth="1"/>
    <col min="14" max="14" width="0.81640625" style="3" customWidth="1"/>
    <col min="15" max="15" width="10.7265625" style="3" customWidth="1"/>
    <col min="16" max="16" width="12.7265625" style="3" bestFit="1" customWidth="1"/>
    <col min="17" max="17" width="12" style="3" bestFit="1" customWidth="1"/>
    <col min="18" max="18" width="0.81640625" style="3" customWidth="1"/>
    <col min="19" max="19" width="11" style="3" customWidth="1"/>
    <col min="20" max="20" width="0.81640625" style="3" customWidth="1"/>
    <col min="21" max="21" width="9.81640625" style="3" customWidth="1"/>
    <col min="22" max="22" width="1.26953125" style="3" customWidth="1"/>
    <col min="23" max="23" width="12" style="3" bestFit="1" customWidth="1"/>
    <col min="24" max="24" width="1.453125" style="3" customWidth="1"/>
    <col min="25" max="16384" width="9.1796875" style="3"/>
  </cols>
  <sheetData>
    <row r="1" spans="1:13">
      <c r="C1" s="33" t="s">
        <v>389</v>
      </c>
      <c r="D1" s="33"/>
      <c r="E1" s="37"/>
      <c r="F1" s="37" t="s">
        <v>101</v>
      </c>
      <c r="G1" s="37"/>
      <c r="H1" s="33"/>
      <c r="I1" s="33" t="s">
        <v>102</v>
      </c>
    </row>
    <row r="2" spans="1:13">
      <c r="C2" s="37" t="s">
        <v>58</v>
      </c>
      <c r="D2" s="33"/>
      <c r="E2" s="40" t="s">
        <v>71</v>
      </c>
      <c r="F2" s="31"/>
      <c r="G2" s="40" t="s">
        <v>383</v>
      </c>
      <c r="H2" s="33"/>
      <c r="I2" s="41" t="s">
        <v>103</v>
      </c>
    </row>
    <row r="3" spans="1:13">
      <c r="A3" s="36" t="s">
        <v>9</v>
      </c>
      <c r="B3" s="31"/>
      <c r="C3" s="97">
        <v>0</v>
      </c>
      <c r="D3" s="35"/>
      <c r="E3" s="93">
        <v>5814</v>
      </c>
      <c r="F3" s="35"/>
      <c r="G3" s="93">
        <v>852</v>
      </c>
      <c r="H3" s="35"/>
      <c r="I3" s="93">
        <v>5520</v>
      </c>
    </row>
    <row r="4" spans="1:13">
      <c r="A4" s="32" t="s">
        <v>391</v>
      </c>
      <c r="B4" s="33"/>
      <c r="C4" s="93">
        <v>6399</v>
      </c>
      <c r="D4" s="42"/>
      <c r="E4" s="95">
        <v>-2133</v>
      </c>
      <c r="F4" s="42"/>
      <c r="G4" s="95">
        <v>-77</v>
      </c>
      <c r="H4" s="42"/>
      <c r="I4" s="95">
        <f>-SUM(C4:G4)</f>
        <v>-4189</v>
      </c>
    </row>
    <row r="5" spans="1:13">
      <c r="A5" s="32" t="s">
        <v>392</v>
      </c>
      <c r="B5" s="33"/>
      <c r="C5" s="95"/>
      <c r="D5" s="42"/>
      <c r="E5" s="95"/>
      <c r="F5" s="42"/>
      <c r="G5" s="95"/>
      <c r="H5" s="42"/>
      <c r="I5" s="95">
        <v>5335.4</v>
      </c>
    </row>
    <row r="6" spans="1:13">
      <c r="A6" s="32" t="s">
        <v>1253</v>
      </c>
      <c r="B6" s="33"/>
      <c r="C6" s="95">
        <v>1274</v>
      </c>
      <c r="D6" s="42"/>
      <c r="E6" s="95"/>
      <c r="F6" s="42"/>
      <c r="G6" s="95"/>
      <c r="H6" s="42"/>
      <c r="I6" s="95">
        <v>-1275</v>
      </c>
    </row>
    <row r="7" spans="1:13">
      <c r="A7" s="32" t="s">
        <v>393</v>
      </c>
      <c r="B7" s="33"/>
      <c r="C7" s="95"/>
      <c r="D7" s="42"/>
      <c r="E7" s="190"/>
      <c r="F7" s="42"/>
      <c r="G7" s="190"/>
      <c r="H7" s="42"/>
      <c r="I7" s="190">
        <v>8.4</v>
      </c>
    </row>
    <row r="8" spans="1:13" ht="13.5" thickBot="1">
      <c r="A8" s="36" t="s">
        <v>423</v>
      </c>
      <c r="B8" s="31"/>
      <c r="C8" s="96">
        <f>SUM(C3:C7)</f>
        <v>7673</v>
      </c>
      <c r="D8" s="35"/>
      <c r="E8" s="43">
        <f>SUM(E3:E7)</f>
        <v>3681</v>
      </c>
      <c r="F8" s="35"/>
      <c r="G8" s="43">
        <f>SUM(G3:G7)</f>
        <v>775</v>
      </c>
      <c r="H8" s="35"/>
      <c r="I8" s="43">
        <f>SUM(I3:I7)</f>
        <v>5399.7999999999993</v>
      </c>
    </row>
    <row r="9" spans="1:13" ht="13.5" thickTop="1">
      <c r="A9" s="32" t="s">
        <v>391</v>
      </c>
      <c r="B9" s="33"/>
      <c r="C9" s="93">
        <f>'2016 provision'!D65-C11</f>
        <v>-3039.7984441869389</v>
      </c>
      <c r="D9" s="42"/>
      <c r="E9" s="95">
        <f>E39-G39</f>
        <v>-2250.3859597972664</v>
      </c>
      <c r="F9" s="42"/>
      <c r="G9" s="95">
        <f>E42-G42</f>
        <v>-372.23269115733262</v>
      </c>
      <c r="H9" s="42"/>
      <c r="I9" s="95">
        <f>-SUM(C9:G9)</f>
        <v>5662.4170951415381</v>
      </c>
    </row>
    <row r="10" spans="1:13">
      <c r="A10" s="32" t="s">
        <v>392</v>
      </c>
      <c r="B10" s="33"/>
      <c r="C10" s="95"/>
      <c r="D10" s="42"/>
      <c r="E10" s="95"/>
      <c r="F10" s="42"/>
      <c r="G10" s="95"/>
      <c r="H10" s="42"/>
      <c r="I10" s="95">
        <f>-7600+5768</f>
        <v>-1832</v>
      </c>
    </row>
    <row r="11" spans="1:13">
      <c r="A11" s="32" t="s">
        <v>1253</v>
      </c>
      <c r="B11" s="33"/>
      <c r="C11" s="95"/>
      <c r="D11" s="42"/>
      <c r="E11" s="95"/>
      <c r="F11" s="42"/>
      <c r="G11" s="95"/>
      <c r="H11" s="42"/>
      <c r="I11" s="95">
        <f>-C11</f>
        <v>0</v>
      </c>
    </row>
    <row r="12" spans="1:13">
      <c r="A12" s="32" t="s">
        <v>393</v>
      </c>
      <c r="B12" s="33"/>
      <c r="C12" s="95"/>
      <c r="D12" s="42"/>
      <c r="E12" s="95"/>
      <c r="F12" s="42"/>
      <c r="G12" s="95"/>
      <c r="H12" s="42"/>
      <c r="I12" s="42"/>
    </row>
    <row r="13" spans="1:13" ht="13.5" thickBot="1">
      <c r="A13" s="36" t="s">
        <v>1448</v>
      </c>
      <c r="C13" s="96">
        <f>SUM(C9:C12)</f>
        <v>-3039.7984441869389</v>
      </c>
      <c r="E13" s="96">
        <f>SUM(E8:E12)</f>
        <v>1430.6140402027336</v>
      </c>
      <c r="G13" s="96">
        <f>SUM(G8:G12)</f>
        <v>402.76730884266738</v>
      </c>
      <c r="I13" s="96">
        <f>SUM(I8:I12)</f>
        <v>9230.2170951415374</v>
      </c>
      <c r="K13" s="106"/>
      <c r="M13" s="93"/>
    </row>
    <row r="14" spans="1:13" ht="5.25" customHeight="1" thickTop="1"/>
    <row r="15" spans="1:13">
      <c r="C15" s="93"/>
      <c r="E15" s="167"/>
      <c r="G15" s="167"/>
      <c r="I15" s="167"/>
    </row>
    <row r="17" spans="1:13" s="4" customFormat="1">
      <c r="A17" s="5"/>
      <c r="B17" s="82"/>
      <c r="E17" s="85">
        <v>2016</v>
      </c>
      <c r="F17" s="5"/>
      <c r="G17" s="85">
        <v>2015</v>
      </c>
      <c r="H17" s="5"/>
      <c r="I17" s="85">
        <v>2014</v>
      </c>
      <c r="J17" s="84"/>
      <c r="K17" s="57"/>
      <c r="L17" s="84"/>
      <c r="M17" s="57"/>
    </row>
    <row r="18" spans="1:13" s="4" customFormat="1">
      <c r="A18" s="76" t="s">
        <v>476</v>
      </c>
      <c r="B18" s="82"/>
      <c r="E18" s="185">
        <f>-8712+5835</f>
        <v>-2877</v>
      </c>
      <c r="F18" s="5"/>
      <c r="G18" s="185">
        <f>15552-20230</f>
        <v>-4678</v>
      </c>
      <c r="H18" s="185"/>
      <c r="I18" s="185">
        <f>13037-16149</f>
        <v>-3112</v>
      </c>
      <c r="J18" s="84"/>
      <c r="K18" s="57"/>
      <c r="L18" s="84"/>
      <c r="M18" s="57"/>
    </row>
    <row r="19" spans="1:13" s="4" customFormat="1">
      <c r="A19" s="76" t="s">
        <v>477</v>
      </c>
      <c r="B19" s="82"/>
      <c r="E19" s="44">
        <f>-'wa taxable income'!C31</f>
        <v>-9472.931749999887</v>
      </c>
      <c r="F19" s="5"/>
      <c r="G19" s="44">
        <v>20230</v>
      </c>
      <c r="H19" s="39"/>
      <c r="I19" s="44">
        <f>-'wa taxable income'!C23</f>
        <v>16149.423405574413</v>
      </c>
      <c r="J19" s="84"/>
      <c r="K19" s="57"/>
      <c r="L19" s="84"/>
      <c r="M19" s="57"/>
    </row>
    <row r="20" spans="1:13" s="4" customFormat="1">
      <c r="A20" s="3" t="s">
        <v>478</v>
      </c>
      <c r="B20" s="82"/>
      <c r="E20" s="192">
        <f>SUM(E18:E19)</f>
        <v>-12349.931749999887</v>
      </c>
      <c r="F20" s="193"/>
      <c r="G20" s="192">
        <f>SUM(G18:G19)</f>
        <v>15552</v>
      </c>
      <c r="H20" s="193"/>
      <c r="I20" s="192">
        <f>SUM(I18:I19)</f>
        <v>13037.423405574413</v>
      </c>
      <c r="J20" s="84"/>
      <c r="K20" s="15"/>
      <c r="L20" s="86"/>
      <c r="M20" s="15"/>
    </row>
    <row r="21" spans="1:13" s="4" customFormat="1">
      <c r="A21" s="3" t="s">
        <v>178</v>
      </c>
      <c r="B21" s="82"/>
      <c r="E21" s="87">
        <f>-'2016 provision'!D70</f>
        <v>3880.0238290151933</v>
      </c>
      <c r="G21" s="87">
        <f>-'2016 provision'!J70</f>
        <v>-9883</v>
      </c>
      <c r="I21" s="87">
        <v>-7616</v>
      </c>
      <c r="J21" s="84"/>
      <c r="K21" s="163"/>
      <c r="L21" s="86"/>
      <c r="M21" s="163"/>
    </row>
    <row r="22" spans="1:13" s="4" customFormat="1">
      <c r="A22" s="3" t="s">
        <v>179</v>
      </c>
      <c r="B22" s="82"/>
      <c r="E22" s="88">
        <f>-'2016 provision'!D71</f>
        <v>-840.22538482825439</v>
      </c>
      <c r="G22" s="88">
        <f>-'2016 provision'!J71</f>
        <v>2210</v>
      </c>
      <c r="I22" s="88">
        <v>2396</v>
      </c>
      <c r="J22" s="84"/>
      <c r="K22" s="163"/>
      <c r="L22" s="86"/>
      <c r="M22" s="163"/>
    </row>
    <row r="23" spans="1:13" s="4" customFormat="1">
      <c r="A23" s="3" t="s">
        <v>180</v>
      </c>
      <c r="B23" s="82"/>
      <c r="E23" s="87">
        <f>SUM(E21:E22)</f>
        <v>3039.7984441869389</v>
      </c>
      <c r="G23" s="87">
        <f>SUM(G21:G22)</f>
        <v>-7673</v>
      </c>
      <c r="I23" s="87">
        <f>SUM(I21:I22)-1</f>
        <v>-5221</v>
      </c>
      <c r="J23" s="84"/>
      <c r="K23" s="163"/>
      <c r="L23" s="84"/>
      <c r="M23" s="163"/>
    </row>
    <row r="24" spans="1:13" s="4" customFormat="1" ht="13.5" thickBot="1">
      <c r="A24" s="3" t="s">
        <v>5</v>
      </c>
      <c r="B24" s="82"/>
      <c r="C24" s="672" t="s">
        <v>1030</v>
      </c>
      <c r="E24" s="89">
        <f>E20+E23</f>
        <v>-9310.1333058129476</v>
      </c>
      <c r="G24" s="89">
        <f>G20+G23</f>
        <v>7879</v>
      </c>
      <c r="I24" s="89">
        <f>I20+I23</f>
        <v>7816.4234055744128</v>
      </c>
      <c r="J24" s="84"/>
      <c r="K24" s="164"/>
      <c r="L24" s="84"/>
      <c r="M24" s="164"/>
    </row>
    <row r="25" spans="1:13" s="4" customFormat="1" ht="3" customHeight="1" thickTop="1">
      <c r="B25" s="82"/>
      <c r="E25" s="84"/>
      <c r="G25" s="84"/>
      <c r="H25" s="83"/>
      <c r="I25" s="84"/>
      <c r="J25" s="84"/>
      <c r="K25" s="84"/>
      <c r="L25" s="84"/>
      <c r="M25" s="84"/>
    </row>
    <row r="26" spans="1:13" s="4" customFormat="1">
      <c r="A26" s="3" t="s">
        <v>184</v>
      </c>
      <c r="B26" s="82"/>
      <c r="C26" s="91"/>
      <c r="E26" s="348">
        <f>E23/-G20</f>
        <v>-0.19546029090708197</v>
      </c>
      <c r="F26" s="349"/>
      <c r="G26" s="348">
        <f>G23/-G20</f>
        <v>0.49337705761316875</v>
      </c>
      <c r="H26" s="350"/>
      <c r="I26" s="348">
        <f>I23/-I20</f>
        <v>0.40046256362032828</v>
      </c>
      <c r="J26" s="84"/>
      <c r="K26" s="91"/>
      <c r="L26" s="84"/>
      <c r="M26" s="91"/>
    </row>
    <row r="27" spans="1:13" s="4" customFormat="1" ht="5.25" customHeight="1">
      <c r="A27" s="3"/>
      <c r="B27" s="82"/>
      <c r="C27" s="91"/>
      <c r="E27" s="91"/>
      <c r="G27" s="91"/>
      <c r="H27" s="83"/>
      <c r="I27" s="91"/>
      <c r="J27" s="84"/>
      <c r="K27" s="91"/>
      <c r="L27" s="84"/>
      <c r="M27" s="91"/>
    </row>
    <row r="28" spans="1:13" s="4" customFormat="1">
      <c r="A28" s="5"/>
      <c r="B28" s="82"/>
      <c r="E28" s="118"/>
      <c r="F28" s="118"/>
      <c r="G28" s="85" t="s">
        <v>479</v>
      </c>
      <c r="H28" s="118"/>
      <c r="I28" s="118"/>
      <c r="J28" s="84"/>
      <c r="K28" s="84"/>
      <c r="L28" s="84"/>
      <c r="M28" s="84"/>
    </row>
    <row r="29" spans="1:13">
      <c r="A29" s="76" t="s">
        <v>181</v>
      </c>
      <c r="B29" s="76"/>
      <c r="C29" s="57"/>
      <c r="E29" s="85">
        <v>2016</v>
      </c>
      <c r="G29" s="85">
        <v>2015</v>
      </c>
      <c r="I29" s="85">
        <v>2014</v>
      </c>
      <c r="J29" s="87"/>
      <c r="K29" s="57"/>
      <c r="L29" s="90"/>
      <c r="M29" s="57"/>
    </row>
    <row r="30" spans="1:13">
      <c r="A30" s="76" t="s">
        <v>182</v>
      </c>
      <c r="B30" s="76"/>
      <c r="C30" s="673" t="s">
        <v>2272</v>
      </c>
      <c r="E30" s="15">
        <v>1107</v>
      </c>
      <c r="G30" s="15">
        <v>5211</v>
      </c>
      <c r="I30" s="15">
        <v>4086</v>
      </c>
      <c r="J30" s="87"/>
      <c r="K30" s="15"/>
      <c r="L30" s="90"/>
      <c r="M30" s="15"/>
    </row>
    <row r="31" spans="1:13">
      <c r="A31" s="76" t="s">
        <v>183</v>
      </c>
      <c r="B31" s="76"/>
      <c r="C31" s="17"/>
      <c r="E31" s="17">
        <f>'state tax information'!I56/1000</f>
        <v>430.36460999999997</v>
      </c>
      <c r="G31" s="17">
        <v>908</v>
      </c>
      <c r="I31" s="17">
        <v>726</v>
      </c>
      <c r="J31" s="87"/>
      <c r="K31" s="17"/>
      <c r="L31" s="90"/>
      <c r="M31" s="17"/>
    </row>
    <row r="32" spans="1:13" ht="13.5" thickBot="1">
      <c r="A32" s="76"/>
      <c r="B32" s="76"/>
      <c r="C32" s="15"/>
      <c r="E32" s="68">
        <f>SUM(E30:E31)</f>
        <v>1537.3646100000001</v>
      </c>
      <c r="G32" s="68">
        <f>SUM(G30:G31)</f>
        <v>6119</v>
      </c>
      <c r="I32" s="68">
        <f>SUM(I30:I31)</f>
        <v>4812</v>
      </c>
      <c r="J32" s="87"/>
      <c r="K32" s="15"/>
      <c r="L32" s="90"/>
      <c r="M32" s="15"/>
    </row>
    <row r="33" spans="1:15" ht="6" customHeight="1" thickTop="1">
      <c r="C33" s="90"/>
      <c r="M33" s="90"/>
    </row>
    <row r="34" spans="1:15" ht="5.25" customHeight="1"/>
    <row r="35" spans="1:15">
      <c r="C35" s="90"/>
      <c r="D35" s="90"/>
      <c r="E35" s="85"/>
      <c r="F35" s="85"/>
      <c r="G35" s="85" t="s">
        <v>435</v>
      </c>
      <c r="H35" s="118"/>
      <c r="I35" s="118"/>
    </row>
    <row r="36" spans="1:15">
      <c r="A36" s="5" t="s">
        <v>436</v>
      </c>
      <c r="C36" s="90"/>
      <c r="D36" s="90"/>
      <c r="E36" s="85">
        <v>2016</v>
      </c>
      <c r="F36" s="5"/>
      <c r="G36" s="85">
        <v>2015</v>
      </c>
      <c r="H36" s="5"/>
      <c r="I36" s="85">
        <v>2014</v>
      </c>
      <c r="J36" s="84"/>
      <c r="K36" s="57"/>
      <c r="L36" s="84"/>
      <c r="M36" s="57"/>
      <c r="N36" s="90"/>
    </row>
    <row r="37" spans="1:15">
      <c r="A37" s="8" t="s">
        <v>119</v>
      </c>
      <c r="B37" s="7"/>
      <c r="C37" s="90"/>
      <c r="D37" s="90"/>
      <c r="E37" s="38">
        <f>C93</f>
        <v>3462.8440357828536</v>
      </c>
      <c r="F37" s="7"/>
      <c r="G37" s="38">
        <f>E87</f>
        <v>2356</v>
      </c>
      <c r="H37" s="7"/>
      <c r="I37" s="38">
        <v>4478</v>
      </c>
      <c r="J37" s="90"/>
      <c r="K37" s="19"/>
      <c r="L37" s="90"/>
      <c r="M37" s="19"/>
      <c r="N37" s="90"/>
    </row>
    <row r="38" spans="1:15">
      <c r="A38" s="8" t="s">
        <v>6</v>
      </c>
      <c r="B38" s="7"/>
      <c r="C38" s="90"/>
      <c r="D38" s="90"/>
      <c r="E38" s="38">
        <f>C90-C93</f>
        <v>-2032.22999558012</v>
      </c>
      <c r="F38" s="7"/>
      <c r="G38" s="38">
        <f>E90-E87</f>
        <v>1325</v>
      </c>
      <c r="H38" s="7"/>
      <c r="I38" s="38">
        <v>1336</v>
      </c>
      <c r="J38" s="90"/>
      <c r="K38" s="19"/>
      <c r="L38" s="90"/>
      <c r="M38" s="19"/>
      <c r="N38" s="90"/>
      <c r="O38" s="95"/>
    </row>
    <row r="39" spans="1:15">
      <c r="A39" s="8" t="s">
        <v>437</v>
      </c>
      <c r="B39" s="7"/>
      <c r="C39" s="90"/>
      <c r="D39" s="90"/>
      <c r="E39" s="81">
        <f>SUM(E37:E38)</f>
        <v>1430.6140402027336</v>
      </c>
      <c r="F39" s="7"/>
      <c r="G39" s="81">
        <f>SUM(G37:G38)</f>
        <v>3681</v>
      </c>
      <c r="H39" s="7"/>
      <c r="I39" s="81">
        <f>SUM(I37:I38)</f>
        <v>5814</v>
      </c>
      <c r="J39" s="90"/>
      <c r="K39" s="69"/>
      <c r="L39" s="90"/>
      <c r="M39" s="69"/>
      <c r="N39" s="90"/>
      <c r="O39" s="69"/>
    </row>
    <row r="40" spans="1:15">
      <c r="A40" s="8" t="s">
        <v>118</v>
      </c>
      <c r="B40" s="7"/>
      <c r="C40" s="90"/>
      <c r="D40" s="90"/>
      <c r="E40" s="38">
        <f>C94</f>
        <v>396.78810884266738</v>
      </c>
      <c r="F40" s="7"/>
      <c r="G40" s="38">
        <f>E94</f>
        <v>766</v>
      </c>
      <c r="H40" s="7"/>
      <c r="I40" s="38">
        <v>840</v>
      </c>
      <c r="J40" s="90"/>
      <c r="K40" s="69"/>
      <c r="L40" s="90"/>
      <c r="M40" s="69"/>
      <c r="N40" s="90"/>
    </row>
    <row r="41" spans="1:15">
      <c r="A41" s="8" t="s">
        <v>6</v>
      </c>
      <c r="B41" s="7"/>
      <c r="C41" s="90"/>
      <c r="D41" s="90"/>
      <c r="E41" s="70">
        <f>C95</f>
        <v>5.9791999999999961</v>
      </c>
      <c r="F41" s="7"/>
      <c r="G41" s="70">
        <f>E95</f>
        <v>9</v>
      </c>
      <c r="H41" s="7"/>
      <c r="I41" s="70">
        <v>12</v>
      </c>
      <c r="J41" s="90"/>
      <c r="K41" s="69"/>
      <c r="L41" s="90"/>
      <c r="M41" s="69"/>
      <c r="N41" s="90"/>
    </row>
    <row r="42" spans="1:15">
      <c r="A42" s="8" t="s">
        <v>438</v>
      </c>
      <c r="B42" s="7"/>
      <c r="C42" s="90"/>
      <c r="D42" s="90"/>
      <c r="E42" s="70">
        <f>SUM(E40:E41)</f>
        <v>402.76730884266738</v>
      </c>
      <c r="F42" s="7"/>
      <c r="G42" s="70">
        <f>SUM(G40:G41)</f>
        <v>775</v>
      </c>
      <c r="H42" s="7"/>
      <c r="I42" s="70">
        <f>SUM(I40:I41)</f>
        <v>852</v>
      </c>
      <c r="J42" s="90"/>
      <c r="K42" s="69"/>
      <c r="L42" s="90"/>
      <c r="M42" s="69"/>
      <c r="N42" s="90"/>
    </row>
    <row r="43" spans="1:15" ht="13.5" thickBot="1">
      <c r="A43" s="8" t="s">
        <v>439</v>
      </c>
      <c r="B43" s="7"/>
      <c r="C43" s="90"/>
      <c r="D43" s="90"/>
      <c r="E43" s="28">
        <f>E39+E42</f>
        <v>1833.3813490454008</v>
      </c>
      <c r="F43" s="7"/>
      <c r="G43" s="28">
        <f>G39+G42</f>
        <v>4456</v>
      </c>
      <c r="H43" s="7"/>
      <c r="I43" s="28">
        <f>I39+I42</f>
        <v>6666</v>
      </c>
      <c r="J43" s="90"/>
      <c r="K43" s="27"/>
      <c r="L43" s="90"/>
      <c r="M43" s="27"/>
      <c r="N43" s="90"/>
      <c r="O43" s="93"/>
    </row>
    <row r="44" spans="1:15" ht="6.75" customHeight="1" thickTop="1">
      <c r="C44" s="90"/>
      <c r="D44" s="90"/>
      <c r="J44" s="90"/>
      <c r="L44" s="90"/>
      <c r="M44" s="90"/>
      <c r="N44" s="90"/>
    </row>
    <row r="45" spans="1:15" ht="11.25" customHeight="1">
      <c r="C45" s="90"/>
      <c r="D45" s="90"/>
      <c r="J45" s="90"/>
      <c r="L45" s="90"/>
      <c r="M45" s="90"/>
      <c r="N45" s="90"/>
    </row>
    <row r="46" spans="1:15">
      <c r="C46" s="90"/>
      <c r="D46" s="90"/>
      <c r="E46" s="85"/>
      <c r="F46" s="118"/>
      <c r="G46" s="85" t="s">
        <v>435</v>
      </c>
      <c r="H46" s="118"/>
      <c r="I46" s="118"/>
      <c r="J46" s="90"/>
      <c r="L46" s="90"/>
      <c r="M46" s="90"/>
      <c r="N46" s="90"/>
    </row>
    <row r="47" spans="1:15">
      <c r="A47" s="3" t="s">
        <v>948</v>
      </c>
      <c r="C47" s="90"/>
      <c r="D47" s="90"/>
      <c r="E47" s="85">
        <v>2016</v>
      </c>
      <c r="F47" s="5"/>
      <c r="G47" s="85">
        <v>2015</v>
      </c>
      <c r="H47" s="5"/>
      <c r="I47" s="85">
        <v>2014</v>
      </c>
      <c r="J47" s="90"/>
      <c r="L47" s="90"/>
      <c r="M47" s="90"/>
      <c r="N47" s="90"/>
    </row>
    <row r="48" spans="1:15">
      <c r="A48" s="3" t="s">
        <v>947</v>
      </c>
      <c r="C48" s="90"/>
      <c r="D48" s="90"/>
      <c r="E48" s="185">
        <f>5768-3248</f>
        <v>2520</v>
      </c>
      <c r="F48" s="191"/>
      <c r="G48" s="185">
        <v>2151</v>
      </c>
      <c r="H48" s="191"/>
      <c r="I48" s="185">
        <v>1060</v>
      </c>
      <c r="J48" s="90"/>
      <c r="L48" s="90"/>
      <c r="M48" s="90"/>
      <c r="N48" s="90"/>
    </row>
    <row r="49" spans="1:16">
      <c r="A49" s="3" t="s">
        <v>962</v>
      </c>
      <c r="C49" s="90"/>
      <c r="D49" s="90"/>
      <c r="E49" s="45">
        <f>-'tax ac''s summary'!D66</f>
        <v>2082.7429999999999</v>
      </c>
      <c r="F49" s="39"/>
      <c r="G49" s="45">
        <v>2083</v>
      </c>
      <c r="H49" s="39"/>
      <c r="I49" s="45">
        <v>3000</v>
      </c>
      <c r="J49" s="90"/>
      <c r="L49" s="90"/>
      <c r="M49" s="106"/>
      <c r="N49" s="90"/>
    </row>
    <row r="50" spans="1:16">
      <c r="A50" s="3" t="s">
        <v>949</v>
      </c>
      <c r="C50" s="90"/>
      <c r="D50" s="90"/>
      <c r="E50" s="45">
        <f>-'tax ac''s summary'!D67</f>
        <v>1102.6990000000001</v>
      </c>
      <c r="F50" s="39"/>
      <c r="G50" s="45">
        <v>1103</v>
      </c>
      <c r="H50" s="39"/>
      <c r="I50" s="45">
        <v>860</v>
      </c>
      <c r="J50" s="90"/>
      <c r="L50" s="90"/>
      <c r="M50" s="106"/>
      <c r="N50" s="90"/>
    </row>
    <row r="51" spans="1:16">
      <c r="A51" s="3" t="s">
        <v>950</v>
      </c>
      <c r="C51" s="90"/>
      <c r="D51" s="90"/>
      <c r="E51" s="127">
        <v>63</v>
      </c>
      <c r="F51" s="39"/>
      <c r="G51" s="45">
        <v>63</v>
      </c>
      <c r="H51" s="39"/>
      <c r="I51" s="45">
        <v>600</v>
      </c>
      <c r="J51" s="90"/>
      <c r="L51" s="90"/>
      <c r="M51" s="106"/>
      <c r="N51" s="90"/>
    </row>
    <row r="52" spans="1:16" ht="13.5" thickBot="1">
      <c r="A52" s="8" t="s">
        <v>439</v>
      </c>
      <c r="C52" s="90"/>
      <c r="D52" s="90"/>
      <c r="E52" s="165">
        <f>SUM(E48:E51)</f>
        <v>5768.4420000000009</v>
      </c>
      <c r="G52" s="165">
        <f>SUM(G48:G51)</f>
        <v>5400</v>
      </c>
      <c r="I52" s="165">
        <f>SUM(I48:I51)</f>
        <v>5520</v>
      </c>
      <c r="J52" s="90"/>
      <c r="L52" s="90"/>
      <c r="M52" s="290"/>
      <c r="N52" s="90"/>
    </row>
    <row r="53" spans="1:16" ht="5.25" customHeight="1" thickTop="1">
      <c r="C53" s="90"/>
      <c r="D53" s="90"/>
      <c r="I53" s="90"/>
      <c r="J53" s="90"/>
      <c r="L53" s="90"/>
      <c r="M53" s="90"/>
      <c r="N53" s="90"/>
    </row>
    <row r="54" spans="1:16" ht="15" customHeight="1">
      <c r="C54" s="90" t="s">
        <v>1792</v>
      </c>
      <c r="D54" s="90"/>
      <c r="E54" s="569">
        <f>'ac 248000 activity '!E63/1000</f>
        <v>5767.9232700000002</v>
      </c>
      <c r="G54" s="569">
        <f>'ac 248000 activity -2015'!E138/1000</f>
        <v>5399.6253799999986</v>
      </c>
      <c r="I54" s="90"/>
      <c r="J54" s="90"/>
      <c r="L54" s="90"/>
      <c r="M54" s="90"/>
      <c r="N54" s="90"/>
    </row>
    <row r="55" spans="1:16" ht="12.75" customHeight="1">
      <c r="C55" s="90"/>
      <c r="D55" s="90"/>
      <c r="G55" s="95"/>
      <c r="I55" s="90"/>
      <c r="J55" s="90"/>
      <c r="L55" s="90"/>
      <c r="M55" s="90"/>
      <c r="N55" s="90"/>
    </row>
    <row r="56" spans="1:16">
      <c r="C56" s="90"/>
      <c r="D56" s="90"/>
      <c r="I56" s="90"/>
      <c r="J56" s="90"/>
      <c r="L56" s="90"/>
      <c r="M56" s="90"/>
      <c r="N56" s="90"/>
    </row>
    <row r="57" spans="1:16">
      <c r="A57" s="8" t="s">
        <v>1449</v>
      </c>
      <c r="B57" s="7"/>
      <c r="C57" s="94"/>
      <c r="D57" s="7"/>
      <c r="E57" s="127"/>
      <c r="F57" s="57"/>
      <c r="G57" s="104"/>
      <c r="H57" s="90"/>
      <c r="I57" s="104"/>
      <c r="J57" s="90"/>
    </row>
    <row r="58" spans="1:16">
      <c r="A58" s="8" t="s">
        <v>385</v>
      </c>
      <c r="B58" s="7"/>
      <c r="C58" s="174">
        <f>'tax ac''s summary'!D54</f>
        <v>0</v>
      </c>
      <c r="D58" s="7"/>
      <c r="E58" s="69"/>
      <c r="F58" s="90"/>
      <c r="G58" s="19"/>
      <c r="H58" s="90"/>
      <c r="I58" s="90"/>
      <c r="J58" s="90"/>
      <c r="P58" s="93"/>
    </row>
    <row r="59" spans="1:16">
      <c r="A59" s="8" t="s">
        <v>386</v>
      </c>
      <c r="B59" s="7"/>
      <c r="C59" s="38">
        <v>0</v>
      </c>
      <c r="D59" s="7"/>
      <c r="E59" s="38"/>
      <c r="G59" s="24"/>
      <c r="P59" s="95"/>
    </row>
    <row r="60" spans="1:16" ht="13.5" thickBot="1">
      <c r="A60" s="8"/>
      <c r="B60" s="7"/>
      <c r="C60" s="160">
        <f>SUM(C58:C59)</f>
        <v>0</v>
      </c>
      <c r="D60" s="7"/>
      <c r="E60" s="38"/>
      <c r="G60" s="24"/>
      <c r="P60" s="95"/>
    </row>
    <row r="61" spans="1:16" ht="13.5" thickTop="1">
      <c r="A61" s="8"/>
      <c r="B61" s="7"/>
      <c r="C61" s="125"/>
      <c r="D61" s="7"/>
      <c r="E61" s="38"/>
      <c r="G61" s="24"/>
      <c r="P61" s="95"/>
    </row>
    <row r="62" spans="1:16">
      <c r="A62" s="8"/>
      <c r="B62" s="7"/>
      <c r="C62" s="50" t="s">
        <v>104</v>
      </c>
      <c r="D62" s="5"/>
      <c r="E62" s="126" t="s">
        <v>388</v>
      </c>
      <c r="G62" s="126" t="s">
        <v>60</v>
      </c>
      <c r="P62" s="95"/>
    </row>
    <row r="63" spans="1:16">
      <c r="A63" s="8" t="s">
        <v>387</v>
      </c>
      <c r="B63" s="7"/>
      <c r="C63" s="93">
        <f>C60*0.35</f>
        <v>0</v>
      </c>
      <c r="E63" s="93">
        <f>C60*0.05</f>
        <v>0</v>
      </c>
      <c r="G63" s="93">
        <f t="shared" ref="G63:G70" si="0">SUM(C63:E63)</f>
        <v>0</v>
      </c>
      <c r="P63" s="95"/>
    </row>
    <row r="64" spans="1:16">
      <c r="A64" s="8" t="s">
        <v>973</v>
      </c>
      <c r="B64" s="7"/>
      <c r="C64" s="69">
        <f>-E49</f>
        <v>-2082.7429999999999</v>
      </c>
      <c r="E64" s="24">
        <v>0</v>
      </c>
      <c r="G64" s="95">
        <f>SUM(C64:E64)</f>
        <v>-2082.7429999999999</v>
      </c>
      <c r="P64" s="95"/>
    </row>
    <row r="65" spans="1:19">
      <c r="A65" s="132" t="s">
        <v>970</v>
      </c>
      <c r="B65" s="7"/>
      <c r="C65" s="38">
        <f>-E50</f>
        <v>-1102.6990000000001</v>
      </c>
      <c r="E65" s="38">
        <f>-E51</f>
        <v>-63</v>
      </c>
      <c r="G65" s="95">
        <f>SUM(C65:E65)</f>
        <v>-1165.6990000000001</v>
      </c>
      <c r="P65" s="95"/>
    </row>
    <row r="66" spans="1:19">
      <c r="A66" s="8" t="s">
        <v>966</v>
      </c>
      <c r="B66" s="7"/>
      <c r="C66" s="93"/>
      <c r="E66" s="93"/>
      <c r="G66" s="93"/>
      <c r="P66" s="95"/>
    </row>
    <row r="67" spans="1:19">
      <c r="A67" s="8" t="s">
        <v>967</v>
      </c>
      <c r="B67" s="7"/>
      <c r="C67" s="69"/>
      <c r="E67" s="69">
        <f>'state tax information'!AG56/-1000</f>
        <v>-363.44600000000003</v>
      </c>
      <c r="G67" s="95">
        <f t="shared" si="0"/>
        <v>-363.44600000000003</v>
      </c>
      <c r="P67" s="95"/>
    </row>
    <row r="68" spans="1:19">
      <c r="A68" s="8" t="s">
        <v>968</v>
      </c>
      <c r="B68" s="7"/>
      <c r="C68" s="69">
        <v>-2144</v>
      </c>
      <c r="E68" s="69">
        <f>'tax ac''s summary'!H62</f>
        <v>-229.75800000000001</v>
      </c>
      <c r="G68" s="95">
        <f t="shared" si="0"/>
        <v>-2373.7579999999998</v>
      </c>
      <c r="P68" s="95"/>
    </row>
    <row r="69" spans="1:19">
      <c r="A69" s="8" t="s">
        <v>969</v>
      </c>
      <c r="B69" s="7"/>
      <c r="C69" s="69">
        <f>-'tax ac''s summary'!J29</f>
        <v>-753.14981</v>
      </c>
      <c r="E69" s="69">
        <f>'tax ac''s summary'!H63</f>
        <v>-177.70599999999999</v>
      </c>
      <c r="G69" s="95">
        <f t="shared" si="0"/>
        <v>-930.85581000000002</v>
      </c>
      <c r="P69" s="95"/>
    </row>
    <row r="70" spans="1:19">
      <c r="A70" s="8" t="s">
        <v>396</v>
      </c>
      <c r="B70" s="7"/>
      <c r="C70" s="69">
        <v>-381</v>
      </c>
      <c r="E70" s="24">
        <v>-140</v>
      </c>
      <c r="G70" s="95">
        <f t="shared" si="0"/>
        <v>-521</v>
      </c>
      <c r="P70" s="95"/>
    </row>
    <row r="71" spans="1:19" ht="13.5" thickBot="1">
      <c r="A71" s="8"/>
      <c r="B71" s="7"/>
      <c r="C71" s="28">
        <f>SUM(C63:C70)</f>
        <v>-6463.5918099999999</v>
      </c>
      <c r="E71" s="28">
        <f>SUM(E63:E70)</f>
        <v>-973.91000000000008</v>
      </c>
      <c r="G71" s="28">
        <f>SUM(G63:G70)</f>
        <v>-7437.5018099999998</v>
      </c>
      <c r="P71" s="95"/>
    </row>
    <row r="72" spans="1:19" ht="6.75" customHeight="1" thickTop="1">
      <c r="C72" s="90"/>
      <c r="P72" s="93"/>
    </row>
    <row r="73" spans="1:19" ht="13.5" thickBot="1">
      <c r="A73" s="210"/>
      <c r="B73" s="210"/>
      <c r="C73" s="210"/>
      <c r="D73" s="210"/>
      <c r="E73" s="210"/>
      <c r="F73" s="210"/>
      <c r="G73" s="210"/>
      <c r="H73" s="210"/>
      <c r="I73" s="210"/>
    </row>
    <row r="74" spans="1:19" ht="13.5">
      <c r="A74" s="90"/>
      <c r="B74" s="211" t="s">
        <v>975</v>
      </c>
      <c r="C74" s="90"/>
      <c r="D74" s="90"/>
      <c r="E74" s="90"/>
      <c r="F74" s="90"/>
      <c r="G74" s="90"/>
      <c r="H74" s="90"/>
      <c r="I74" s="90"/>
    </row>
    <row r="75" spans="1:19">
      <c r="A75" s="90"/>
      <c r="B75" s="90"/>
      <c r="C75" s="90"/>
      <c r="D75" s="90"/>
      <c r="E75" s="90"/>
      <c r="F75" s="90"/>
      <c r="G75" s="90"/>
      <c r="H75" s="90"/>
      <c r="I75" s="90"/>
    </row>
    <row r="77" spans="1:19">
      <c r="C77" s="85">
        <v>2016</v>
      </c>
      <c r="D77" s="5"/>
      <c r="E77" s="85">
        <v>2015</v>
      </c>
    </row>
    <row r="78" spans="1:19">
      <c r="A78" s="3" t="s">
        <v>48</v>
      </c>
      <c r="C78" s="185">
        <f>'2016 provision'!D70</f>
        <v>-3880.0238290151933</v>
      </c>
      <c r="D78" s="191"/>
      <c r="E78" s="185">
        <v>9885</v>
      </c>
      <c r="F78" s="95"/>
      <c r="G78" s="128"/>
      <c r="I78" s="213" t="s">
        <v>984</v>
      </c>
      <c r="J78" s="95"/>
      <c r="K78" s="128"/>
      <c r="L78" s="95"/>
      <c r="M78" s="128"/>
      <c r="O78" s="128"/>
      <c r="P78" s="95"/>
      <c r="Q78" s="128"/>
      <c r="R78" s="95"/>
      <c r="S78" s="128"/>
    </row>
    <row r="79" spans="1:19">
      <c r="A79" s="3" t="s">
        <v>49</v>
      </c>
      <c r="C79" s="185">
        <f>'2016 provision'!D71</f>
        <v>840.22538482825439</v>
      </c>
      <c r="D79" s="39"/>
      <c r="E79" s="45">
        <v>-2210</v>
      </c>
      <c r="F79" s="95"/>
      <c r="G79" s="128"/>
      <c r="I79" s="213"/>
      <c r="J79" s="95"/>
      <c r="K79" s="128"/>
      <c r="L79" s="95"/>
      <c r="M79" s="128"/>
      <c r="O79" s="128"/>
      <c r="P79" s="95"/>
      <c r="Q79" s="128"/>
      <c r="R79" s="95"/>
      <c r="S79" s="128"/>
    </row>
    <row r="80" spans="1:19" ht="15.75" customHeight="1" thickBot="1">
      <c r="A80" s="3" t="s">
        <v>974</v>
      </c>
      <c r="C80" s="165">
        <f>SUM(C78:C79)</f>
        <v>-3039.7984441869389</v>
      </c>
      <c r="E80" s="165">
        <f>SUM(E78:E79)</f>
        <v>7675</v>
      </c>
      <c r="I80" s="214"/>
    </row>
    <row r="81" spans="1:13" ht="5.25" customHeight="1" thickTop="1">
      <c r="I81" s="214"/>
    </row>
    <row r="82" spans="1:13">
      <c r="I82" s="214"/>
      <c r="J82" s="35"/>
      <c r="K82" s="34"/>
      <c r="L82" s="35"/>
      <c r="M82" s="90"/>
    </row>
    <row r="84" spans="1:13">
      <c r="A84" s="3" t="s">
        <v>976</v>
      </c>
      <c r="I84" s="214" t="s">
        <v>410</v>
      </c>
      <c r="J84" s="42"/>
      <c r="K84" s="42"/>
      <c r="L84" s="42"/>
      <c r="M84" s="90"/>
    </row>
    <row r="85" spans="1:13">
      <c r="A85" s="3" t="s">
        <v>977</v>
      </c>
      <c r="C85" s="168">
        <f>'2016 def tax'!AC78</f>
        <v>31.412343999999976</v>
      </c>
      <c r="E85" s="168">
        <v>125</v>
      </c>
      <c r="J85" s="42"/>
      <c r="K85" s="42"/>
      <c r="L85" s="42"/>
      <c r="M85" s="90"/>
    </row>
    <row r="86" spans="1:13">
      <c r="A86" s="3" t="s">
        <v>978</v>
      </c>
      <c r="C86" s="168">
        <f>'2016 def tax'!AC79</f>
        <v>586.30791574784257</v>
      </c>
      <c r="E86" s="43">
        <v>413</v>
      </c>
      <c r="J86" s="42"/>
      <c r="K86" s="42"/>
      <c r="L86" s="42"/>
      <c r="M86" s="90"/>
    </row>
    <row r="87" spans="1:13">
      <c r="A87" s="3" t="s">
        <v>979</v>
      </c>
      <c r="E87" s="43">
        <v>2356</v>
      </c>
      <c r="J87" s="42"/>
      <c r="K87" s="42"/>
      <c r="L87" s="42"/>
      <c r="M87" s="90"/>
    </row>
    <row r="88" spans="1:13">
      <c r="A88" s="3" t="s">
        <v>980</v>
      </c>
      <c r="C88" s="168">
        <f>'2016 def tax'!AC81</f>
        <v>677.26520445489086</v>
      </c>
      <c r="E88" s="43">
        <v>566</v>
      </c>
      <c r="J88" s="42"/>
      <c r="K88" s="42"/>
      <c r="L88" s="42"/>
      <c r="M88" s="90"/>
    </row>
    <row r="89" spans="1:13">
      <c r="A89" s="8" t="s">
        <v>981</v>
      </c>
      <c r="B89" s="7"/>
      <c r="C89" s="168">
        <f>'2016 def tax'!AC82</f>
        <v>135.62857600000001</v>
      </c>
      <c r="D89" s="7"/>
      <c r="E89" s="38">
        <v>221</v>
      </c>
    </row>
    <row r="90" spans="1:13" ht="13.5" thickBot="1">
      <c r="A90" s="8" t="s">
        <v>982</v>
      </c>
      <c r="B90" s="7"/>
      <c r="C90" s="212">
        <f>SUM(C85:C89)</f>
        <v>1430.6140402027336</v>
      </c>
      <c r="D90" s="7"/>
      <c r="E90" s="212">
        <f>SUM(E85:E89)</f>
        <v>3681</v>
      </c>
    </row>
    <row r="91" spans="1:13" ht="6" customHeight="1" thickTop="1"/>
    <row r="92" spans="1:13">
      <c r="A92" s="3" t="s">
        <v>983</v>
      </c>
    </row>
    <row r="93" spans="1:13">
      <c r="A93" s="3" t="s">
        <v>2289</v>
      </c>
      <c r="C93" s="168">
        <f>'2016 def tax'!AC85</f>
        <v>3462.8440357828536</v>
      </c>
    </row>
    <row r="94" spans="1:13">
      <c r="A94" s="3" t="s">
        <v>1214</v>
      </c>
      <c r="C94" s="168">
        <f>'2016 def tax'!AC84</f>
        <v>396.78810884266738</v>
      </c>
      <c r="E94" s="168">
        <v>766</v>
      </c>
    </row>
    <row r="95" spans="1:13">
      <c r="A95" s="8" t="s">
        <v>981</v>
      </c>
      <c r="B95" s="7"/>
      <c r="C95" s="168">
        <f>'2016 def tax'!AC86</f>
        <v>5.9791999999999961</v>
      </c>
      <c r="D95" s="7"/>
      <c r="E95" s="38">
        <v>9</v>
      </c>
    </row>
    <row r="96" spans="1:13" ht="13.5" thickBot="1">
      <c r="A96" s="8" t="s">
        <v>982</v>
      </c>
      <c r="B96" s="7"/>
      <c r="C96" s="212">
        <f>SUM(C93:C95)</f>
        <v>3865.6113446255213</v>
      </c>
      <c r="D96" s="7"/>
      <c r="E96" s="212">
        <f>SUM(E94:E95)</f>
        <v>775</v>
      </c>
      <c r="I96" s="93"/>
    </row>
    <row r="97" spans="1:11" ht="6.75" customHeight="1" thickTop="1"/>
    <row r="104" spans="1:11">
      <c r="A104" s="3" t="s">
        <v>1254</v>
      </c>
    </row>
    <row r="105" spans="1:11">
      <c r="A105" s="3" t="s">
        <v>2290</v>
      </c>
      <c r="C105" s="168">
        <f>C93</f>
        <v>3462.8440357828536</v>
      </c>
    </row>
    <row r="106" spans="1:11">
      <c r="A106" s="3" t="s">
        <v>979</v>
      </c>
      <c r="E106" s="168">
        <f>E87</f>
        <v>2356</v>
      </c>
      <c r="G106" s="8"/>
    </row>
    <row r="107" spans="1:11">
      <c r="A107" s="3" t="s">
        <v>978</v>
      </c>
      <c r="C107" s="43">
        <f>C86</f>
        <v>586.30791574784257</v>
      </c>
      <c r="E107" s="43">
        <f>E86</f>
        <v>413</v>
      </c>
      <c r="G107" s="76"/>
    </row>
    <row r="108" spans="1:11">
      <c r="A108" s="3" t="s">
        <v>1214</v>
      </c>
      <c r="C108" s="43">
        <f>C94</f>
        <v>396.78810884266738</v>
      </c>
      <c r="E108" s="43">
        <f>E94</f>
        <v>766</v>
      </c>
      <c r="G108" s="76"/>
    </row>
    <row r="109" spans="1:11">
      <c r="A109" s="3" t="s">
        <v>980</v>
      </c>
      <c r="C109" s="43">
        <f>C88</f>
        <v>677.26520445489086</v>
      </c>
      <c r="E109" s="43">
        <f>E88</f>
        <v>566</v>
      </c>
      <c r="G109" s="76"/>
    </row>
    <row r="110" spans="1:11">
      <c r="A110" s="8" t="s">
        <v>981</v>
      </c>
      <c r="B110" s="7"/>
      <c r="C110" s="43">
        <f>C89+C95+C85</f>
        <v>173.02011999999996</v>
      </c>
      <c r="D110" s="7"/>
      <c r="E110" s="43">
        <f>E89+E95+E85</f>
        <v>355</v>
      </c>
      <c r="F110" s="35"/>
      <c r="G110" s="76"/>
    </row>
    <row r="111" spans="1:11" ht="13.5" thickBot="1">
      <c r="A111" s="8" t="s">
        <v>1255</v>
      </c>
      <c r="B111" s="7"/>
      <c r="C111" s="212">
        <f>SUM(C105:C110)</f>
        <v>5296.2253848282553</v>
      </c>
      <c r="D111" s="7"/>
      <c r="E111" s="212">
        <f>SUM(E106:E110)</f>
        <v>4456</v>
      </c>
      <c r="F111" s="35"/>
      <c r="G111" s="8"/>
      <c r="I111" s="93">
        <f>E111-C111</f>
        <v>-840.2253848282553</v>
      </c>
      <c r="K111" s="90" t="s">
        <v>2262</v>
      </c>
    </row>
    <row r="112" spans="1:11" ht="6.75" customHeight="1" thickTop="1"/>
  </sheetData>
  <printOptions headings="1" gridLines="1"/>
  <pageMargins left="0.7" right="0.7" top="0.17" bottom="0.17" header="0.17" footer="0.17"/>
  <pageSetup scale="78" fitToHeight="2" orientation="portrait" r:id="rId1"/>
  <headerFooter>
    <oddFooter>&amp;L
&amp;Z&amp;F
&amp;P of&amp;N
&amp;R
&amp;A</oddFooter>
  </headerFooter>
  <rowBreaks count="1" manualBreakCount="1">
    <brk id="72" max="12" man="1"/>
  </rowBreaks>
  <ignoredErrors>
    <ignoredError sqref="J23 L23 E32:I32 E39:F39 G52 E52 C80:E80 H39" formulaRange="1"/>
    <ignoredError sqref="C108 E108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0000"/>
    <pageSetUpPr fitToPage="1"/>
  </sheetPr>
  <dimension ref="A1:AE93"/>
  <sheetViews>
    <sheetView topLeftCell="A56" zoomScale="75" zoomScaleNormal="75" workbookViewId="0">
      <selection activeCell="D85" sqref="D85"/>
    </sheetView>
  </sheetViews>
  <sheetFormatPr defaultColWidth="8.81640625" defaultRowHeight="13"/>
  <cols>
    <col min="1" max="1" width="59.453125" style="7" bestFit="1" customWidth="1"/>
    <col min="2" max="2" width="31.81640625" style="362" hidden="1" customWidth="1"/>
    <col min="3" max="3" width="8" style="11" bestFit="1" customWidth="1"/>
    <col min="4" max="4" width="13" style="8" bestFit="1" customWidth="1"/>
    <col min="5" max="5" width="1.1796875" style="8" customWidth="1"/>
    <col min="6" max="6" width="15.7265625" style="8" customWidth="1"/>
    <col min="7" max="7" width="19.453125" style="8" customWidth="1"/>
    <col min="8" max="8" width="16.26953125" style="7" customWidth="1"/>
    <col min="9" max="9" width="8.453125" style="7" customWidth="1"/>
    <col min="10" max="10" width="13" style="7" bestFit="1" customWidth="1"/>
    <col min="11" max="11" width="0.81640625" style="7" customWidth="1"/>
    <col min="12" max="12" width="12.81640625" style="8" customWidth="1"/>
    <col min="13" max="13" width="0.7265625" style="7" customWidth="1"/>
    <col min="14" max="14" width="8.453125" style="14" customWidth="1"/>
    <col min="15" max="15" width="0.81640625" style="8" customWidth="1"/>
    <col min="16" max="16" width="5.7265625" style="8" bestFit="1" customWidth="1"/>
    <col min="17" max="17" width="13" style="8" bestFit="1" customWidth="1"/>
    <col min="18" max="18" width="3.7265625" style="8" bestFit="1" customWidth="1"/>
    <col min="19" max="19" width="12.7265625" style="135" customWidth="1"/>
    <col min="20" max="20" width="1" style="13" customWidth="1"/>
    <col min="21" max="21" width="15.7265625" style="13" bestFit="1" customWidth="1"/>
    <col min="22" max="22" width="1.54296875" style="8" customWidth="1"/>
    <col min="23" max="23" width="14.26953125" style="8" bestFit="1" customWidth="1"/>
    <col min="24" max="24" width="0.81640625" style="8" customWidth="1"/>
    <col min="25" max="25" width="9" style="8" customWidth="1"/>
    <col min="26" max="26" width="2.1796875" style="8" customWidth="1"/>
    <col min="27" max="27" width="8.453125" style="8" customWidth="1"/>
    <col min="28" max="28" width="1.54296875" style="8" customWidth="1"/>
    <col min="29" max="30" width="8.81640625" style="8"/>
    <col min="31" max="31" width="33.54296875" style="8" bestFit="1" customWidth="1"/>
    <col min="32" max="16384" width="8.81640625" style="8"/>
  </cols>
  <sheetData>
    <row r="1" spans="1:31">
      <c r="C1" s="270"/>
      <c r="D1" s="133"/>
      <c r="E1" s="133"/>
      <c r="F1" s="133"/>
      <c r="G1" s="10" t="s">
        <v>12</v>
      </c>
      <c r="H1" s="9"/>
      <c r="I1" s="9"/>
      <c r="J1" s="9"/>
      <c r="K1" s="9"/>
      <c r="L1" s="133"/>
      <c r="M1" s="9"/>
      <c r="P1" s="10"/>
      <c r="Q1" s="10"/>
    </row>
    <row r="2" spans="1:31">
      <c r="A2" s="137"/>
      <c r="B2" s="363"/>
      <c r="C2" s="270"/>
      <c r="D2" s="133"/>
      <c r="E2" s="133"/>
      <c r="F2" s="133"/>
      <c r="G2" s="10" t="s">
        <v>14</v>
      </c>
      <c r="H2" s="9"/>
      <c r="I2" s="9"/>
      <c r="J2" s="9"/>
      <c r="K2" s="9"/>
      <c r="L2" s="133"/>
      <c r="M2" s="9"/>
      <c r="P2" s="10"/>
      <c r="Q2" s="10"/>
    </row>
    <row r="3" spans="1:31">
      <c r="A3" s="137"/>
      <c r="B3" s="363"/>
      <c r="C3" s="270"/>
      <c r="D3" s="133"/>
      <c r="E3" s="133"/>
      <c r="F3" s="133"/>
      <c r="G3" s="13" t="s">
        <v>1269</v>
      </c>
      <c r="H3" s="9"/>
      <c r="I3" s="9"/>
      <c r="J3" s="9"/>
      <c r="K3" s="9"/>
      <c r="L3" s="133"/>
      <c r="M3" s="9"/>
      <c r="P3" s="10"/>
      <c r="Q3" s="10"/>
    </row>
    <row r="4" spans="1:31">
      <c r="A4" s="137"/>
      <c r="B4" s="363"/>
      <c r="C4" s="270"/>
      <c r="D4" s="133"/>
      <c r="E4" s="133"/>
      <c r="F4" s="133"/>
      <c r="G4" s="13" t="s">
        <v>370</v>
      </c>
      <c r="H4" s="137"/>
      <c r="I4" s="137"/>
      <c r="J4" s="137"/>
      <c r="K4" s="137"/>
      <c r="L4" s="133"/>
      <c r="M4" s="137"/>
      <c r="P4" s="10"/>
      <c r="Q4" s="10"/>
    </row>
    <row r="5" spans="1:31">
      <c r="A5" s="137"/>
      <c r="B5" s="363"/>
      <c r="C5" s="270"/>
      <c r="D5" s="141"/>
      <c r="E5" s="133"/>
      <c r="F5" s="133"/>
      <c r="G5" s="13"/>
      <c r="H5" s="137"/>
      <c r="I5" s="137"/>
      <c r="J5" s="137"/>
      <c r="K5" s="137"/>
      <c r="L5" s="133"/>
      <c r="M5" s="137"/>
      <c r="P5" s="10"/>
      <c r="Q5" s="10"/>
    </row>
    <row r="6" spans="1:31">
      <c r="A6" s="9"/>
      <c r="B6" s="364"/>
      <c r="C6" s="270"/>
      <c r="D6" s="141"/>
      <c r="E6" s="133"/>
      <c r="F6" s="13" t="s">
        <v>368</v>
      </c>
      <c r="G6" s="133"/>
      <c r="H6" s="12" t="s">
        <v>372</v>
      </c>
      <c r="I6" s="137"/>
      <c r="J6" s="25"/>
      <c r="K6" s="142" t="s">
        <v>397</v>
      </c>
      <c r="L6" s="13"/>
      <c r="M6" s="25"/>
    </row>
    <row r="7" spans="1:31">
      <c r="C7" s="270"/>
      <c r="D7" s="29" t="s">
        <v>58</v>
      </c>
      <c r="E7" s="13"/>
      <c r="F7" s="29" t="s">
        <v>369</v>
      </c>
      <c r="G7" s="13"/>
      <c r="H7" s="29" t="s">
        <v>371</v>
      </c>
      <c r="I7" s="137"/>
      <c r="J7" s="134">
        <v>2015</v>
      </c>
      <c r="K7" s="10"/>
      <c r="L7" s="29"/>
      <c r="M7" s="8"/>
    </row>
    <row r="8" spans="1:31">
      <c r="C8" s="14"/>
      <c r="D8" s="12"/>
      <c r="E8" s="12"/>
      <c r="F8" s="12"/>
      <c r="G8" s="12"/>
      <c r="H8" s="12"/>
      <c r="J8" s="140"/>
      <c r="K8" s="12"/>
      <c r="L8" s="12"/>
      <c r="M8" s="12"/>
      <c r="Z8" s="144"/>
    </row>
    <row r="9" spans="1:31">
      <c r="A9" s="7" t="s">
        <v>15</v>
      </c>
      <c r="C9" s="14" t="s">
        <v>1030</v>
      </c>
      <c r="D9" s="489">
        <f>cpl!K29</f>
        <v>-9491.2698109944922</v>
      </c>
      <c r="E9" s="16"/>
      <c r="G9" s="7"/>
      <c r="J9" s="16">
        <v>8949.4071964441082</v>
      </c>
      <c r="K9" s="16"/>
      <c r="L9" s="22"/>
      <c r="M9" s="8"/>
    </row>
    <row r="10" spans="1:31">
      <c r="A10" s="7" t="s">
        <v>16</v>
      </c>
      <c r="C10" s="14" t="s">
        <v>1030</v>
      </c>
      <c r="D10" s="490">
        <f>cpl!K23</f>
        <v>779.08316000000002</v>
      </c>
      <c r="E10" s="26"/>
      <c r="G10" s="7"/>
      <c r="J10" s="375">
        <v>6602.5142300000007</v>
      </c>
      <c r="K10" s="382"/>
      <c r="L10" s="22"/>
      <c r="M10" s="8"/>
      <c r="Z10" s="22"/>
    </row>
    <row r="11" spans="1:31">
      <c r="A11" s="7" t="s">
        <v>4</v>
      </c>
      <c r="C11" s="14"/>
      <c r="D11" s="17">
        <f>SUM(D9:D10)</f>
        <v>-8712.1866509944921</v>
      </c>
      <c r="E11" s="17"/>
      <c r="F11" s="17"/>
      <c r="G11" s="7"/>
      <c r="J11" s="383">
        <v>15551.921426444109</v>
      </c>
      <c r="K11" s="383"/>
      <c r="L11" s="383"/>
      <c r="M11" s="146"/>
      <c r="AA11" s="7"/>
      <c r="AB11" s="7"/>
      <c r="AC11" s="7"/>
      <c r="AD11" s="7"/>
      <c r="AE11" s="7"/>
    </row>
    <row r="12" spans="1:31">
      <c r="A12" s="147" t="s">
        <v>17</v>
      </c>
      <c r="B12" s="365"/>
      <c r="C12" s="14" t="s">
        <v>1181</v>
      </c>
      <c r="D12" s="18">
        <f>-'ct pl'!F138</f>
        <v>21.296485000000001</v>
      </c>
      <c r="E12" s="18"/>
      <c r="F12" s="18"/>
      <c r="G12" s="147"/>
      <c r="H12" s="147"/>
      <c r="I12" s="147"/>
      <c r="J12" s="384">
        <v>34.181644999999996</v>
      </c>
      <c r="K12" s="384"/>
      <c r="L12" s="384"/>
      <c r="M12" s="146"/>
      <c r="AA12" s="7"/>
      <c r="AB12" s="7"/>
      <c r="AC12" s="7"/>
      <c r="AD12" s="7"/>
      <c r="AE12" s="140"/>
    </row>
    <row r="13" spans="1:31">
      <c r="A13" s="147" t="s">
        <v>18</v>
      </c>
      <c r="B13" s="365"/>
      <c r="C13" s="14" t="s">
        <v>1056</v>
      </c>
      <c r="D13" s="18">
        <f>sbc!O43/-1000</f>
        <v>0</v>
      </c>
      <c r="E13" s="377"/>
      <c r="F13" s="18"/>
      <c r="G13" s="378"/>
      <c r="H13" s="378"/>
      <c r="I13" s="378"/>
      <c r="J13" s="384">
        <v>18.552</v>
      </c>
      <c r="K13" s="384"/>
      <c r="L13" s="384"/>
      <c r="M13" s="146"/>
      <c r="AA13" s="7"/>
      <c r="AB13" s="7"/>
      <c r="AC13" s="7"/>
      <c r="AD13" s="140"/>
      <c r="AE13" s="17"/>
    </row>
    <row r="14" spans="1:31">
      <c r="A14" s="147" t="s">
        <v>942</v>
      </c>
      <c r="B14" s="365"/>
      <c r="C14" s="14" t="s">
        <v>1056</v>
      </c>
      <c r="D14" s="69">
        <f>sbc!I43/-1000</f>
        <v>0</v>
      </c>
      <c r="E14" s="379"/>
      <c r="F14" s="24"/>
      <c r="G14" s="378"/>
      <c r="H14" s="378"/>
      <c r="I14" s="378"/>
      <c r="J14" s="373">
        <v>77.891999999999996</v>
      </c>
      <c r="K14" s="385"/>
      <c r="L14" s="22"/>
      <c r="M14" s="11"/>
      <c r="AA14" s="7"/>
      <c r="AB14" s="7"/>
      <c r="AC14" s="7"/>
      <c r="AD14" s="140"/>
      <c r="AE14" s="17"/>
    </row>
    <row r="15" spans="1:31">
      <c r="A15" s="147" t="s">
        <v>943</v>
      </c>
      <c r="B15" s="365"/>
      <c r="C15" s="14" t="s">
        <v>1056</v>
      </c>
      <c r="D15" s="69">
        <f>-sbc!O23/1000</f>
        <v>0</v>
      </c>
      <c r="E15" s="379"/>
      <c r="F15" s="17">
        <f>SUM(D14:D15)</f>
        <v>0</v>
      </c>
      <c r="G15" s="378"/>
      <c r="H15" s="378"/>
      <c r="I15" s="378"/>
      <c r="J15" s="373">
        <v>-73</v>
      </c>
      <c r="K15" s="385"/>
      <c r="L15" s="383">
        <v>4.8899999999999997</v>
      </c>
      <c r="M15" s="11"/>
      <c r="AA15" s="7"/>
      <c r="AB15" s="7"/>
      <c r="AC15" s="7"/>
      <c r="AD15" s="140"/>
      <c r="AE15" s="17"/>
    </row>
    <row r="16" spans="1:31">
      <c r="A16" s="147" t="s">
        <v>94</v>
      </c>
      <c r="B16" s="559" t="s">
        <v>1766</v>
      </c>
      <c r="C16" s="14" t="s">
        <v>1030</v>
      </c>
      <c r="D16" s="17">
        <f>-cpl!E20/1000</f>
        <v>3911.5144809944022</v>
      </c>
      <c r="E16" s="367"/>
      <c r="F16" s="17"/>
      <c r="G16" s="378"/>
      <c r="H16" s="378"/>
      <c r="I16" s="378"/>
      <c r="J16" s="383">
        <v>-18442.169976444213</v>
      </c>
      <c r="K16" s="383"/>
      <c r="L16" s="383"/>
      <c r="M16" s="146"/>
      <c r="AA16" s="7"/>
      <c r="AB16" s="7"/>
      <c r="AC16" s="7"/>
      <c r="AD16" s="7"/>
      <c r="AE16" s="17"/>
    </row>
    <row r="17" spans="1:31">
      <c r="A17" s="147" t="s">
        <v>944</v>
      </c>
      <c r="B17" s="365"/>
      <c r="C17" s="14" t="s">
        <v>1196</v>
      </c>
      <c r="D17" s="17">
        <f>'wa taxable income'!O28</f>
        <v>-3759.1756882610453</v>
      </c>
      <c r="E17" s="367"/>
      <c r="F17" s="17">
        <f>SUM(D16:D17)</f>
        <v>152.33879273335697</v>
      </c>
      <c r="G17" s="378"/>
      <c r="H17" s="378"/>
      <c r="I17" s="378"/>
      <c r="J17" s="383">
        <v>22274.609123825434</v>
      </c>
      <c r="K17" s="383"/>
      <c r="L17" s="383">
        <v>3832.4391473812211</v>
      </c>
      <c r="M17" s="11"/>
      <c r="AA17" s="7"/>
      <c r="AB17" s="7"/>
      <c r="AC17" s="7"/>
      <c r="AD17" s="7"/>
      <c r="AE17" s="7"/>
    </row>
    <row r="18" spans="1:31">
      <c r="A18" s="147" t="s">
        <v>940</v>
      </c>
      <c r="B18" s="365"/>
      <c r="C18" s="12" t="s">
        <v>1182</v>
      </c>
      <c r="D18" s="17">
        <v>0</v>
      </c>
      <c r="E18" s="367"/>
      <c r="F18" s="17"/>
      <c r="G18" s="378"/>
      <c r="H18" s="378"/>
      <c r="I18" s="378"/>
      <c r="J18" s="383">
        <v>0</v>
      </c>
      <c r="K18" s="383"/>
      <c r="L18" s="383"/>
      <c r="M18" s="11"/>
      <c r="V18" s="18"/>
      <c r="W18" s="18"/>
      <c r="Y18" s="148"/>
      <c r="AA18" s="7"/>
      <c r="AB18" s="7"/>
      <c r="AC18" s="7"/>
      <c r="AD18" s="7"/>
      <c r="AE18" s="7"/>
    </row>
    <row r="19" spans="1:31">
      <c r="A19" s="147" t="s">
        <v>941</v>
      </c>
      <c r="B19" s="365"/>
      <c r="C19" s="14" t="s">
        <v>1180</v>
      </c>
      <c r="D19" s="17">
        <f>'ct bs'!H114</f>
        <v>344.30165999999997</v>
      </c>
      <c r="E19" s="367"/>
      <c r="F19" s="17"/>
      <c r="G19" s="378"/>
      <c r="H19" s="378"/>
      <c r="I19" s="378"/>
      <c r="J19" s="383">
        <v>319.21163000000001</v>
      </c>
      <c r="K19" s="383"/>
      <c r="L19" s="383"/>
      <c r="M19" s="11"/>
      <c r="V19" s="18"/>
      <c r="W19" s="18"/>
      <c r="Y19" s="148"/>
      <c r="AA19" s="7"/>
      <c r="AB19" s="7"/>
      <c r="AC19" s="7"/>
      <c r="AD19" s="7"/>
      <c r="AE19" s="7"/>
    </row>
    <row r="20" spans="1:31">
      <c r="A20" s="147" t="s">
        <v>362</v>
      </c>
      <c r="B20" s="366" t="s">
        <v>694</v>
      </c>
      <c r="C20" s="12" t="s">
        <v>1182</v>
      </c>
      <c r="D20" s="17">
        <f>-VLOOKUP(B20,'ct bs'!B9:F132,3,FALSE)/1000</f>
        <v>-132.91772</v>
      </c>
      <c r="E20" s="367"/>
      <c r="F20" s="17"/>
      <c r="G20" s="378"/>
      <c r="H20" s="378"/>
      <c r="I20" s="378"/>
      <c r="J20" s="383">
        <v>-30</v>
      </c>
      <c r="K20" s="383"/>
      <c r="L20" s="383"/>
      <c r="M20" s="11"/>
      <c r="V20" s="18"/>
      <c r="W20" s="18"/>
      <c r="Y20" s="148"/>
      <c r="AA20" s="7"/>
      <c r="AB20" s="7"/>
      <c r="AC20" s="7"/>
      <c r="AD20" s="7"/>
      <c r="AE20" s="7"/>
    </row>
    <row r="21" spans="1:31">
      <c r="A21" s="147" t="s">
        <v>363</v>
      </c>
      <c r="B21" s="366" t="s">
        <v>694</v>
      </c>
      <c r="C21" s="14" t="s">
        <v>1180</v>
      </c>
      <c r="D21" s="17">
        <f>VLOOKUP(B21,'ct bs'!B10:F133,5,FALSE)/1000</f>
        <v>233.05663000000001</v>
      </c>
      <c r="E21" s="367"/>
      <c r="F21" s="17">
        <f>SUM(D20:D21)</f>
        <v>100.13891000000001</v>
      </c>
      <c r="G21" s="378"/>
      <c r="H21" s="378">
        <f>D21</f>
        <v>233.05663000000001</v>
      </c>
      <c r="I21" s="378"/>
      <c r="J21" s="383">
        <v>132.91772</v>
      </c>
      <c r="K21" s="383"/>
      <c r="L21" s="383">
        <v>102.92</v>
      </c>
      <c r="M21" s="11"/>
      <c r="V21" s="18"/>
      <c r="W21" s="18"/>
      <c r="Y21" s="148"/>
      <c r="AA21" s="7"/>
      <c r="AB21" s="7"/>
      <c r="AC21" s="7"/>
      <c r="AD21" s="7"/>
      <c r="AE21" s="7"/>
    </row>
    <row r="22" spans="1:31">
      <c r="A22" s="147" t="s">
        <v>22</v>
      </c>
      <c r="B22" s="366" t="s">
        <v>677</v>
      </c>
      <c r="C22" s="12" t="s">
        <v>1182</v>
      </c>
      <c r="D22" s="17">
        <f>-VLOOKUP(B22,'ct bs'!B11:F134,3,FALSE)/1000</f>
        <v>17.049769999999999</v>
      </c>
      <c r="E22" s="367"/>
      <c r="F22" s="17"/>
      <c r="G22" s="378"/>
      <c r="H22" s="378"/>
      <c r="I22" s="378"/>
      <c r="J22" s="383">
        <v>-164</v>
      </c>
      <c r="K22" s="383"/>
      <c r="L22" s="383"/>
      <c r="M22" s="146"/>
      <c r="V22" s="18"/>
      <c r="W22" s="18"/>
      <c r="Y22" s="148"/>
    </row>
    <row r="23" spans="1:31">
      <c r="A23" s="147" t="s">
        <v>22</v>
      </c>
      <c r="B23" s="366" t="s">
        <v>695</v>
      </c>
      <c r="C23" s="12" t="s">
        <v>1182</v>
      </c>
      <c r="D23" s="17">
        <f>-VLOOKUP(B23,'ct bs'!B12:F135,3,FALSE)/1000</f>
        <v>-246.84314000000001</v>
      </c>
      <c r="E23" s="367"/>
      <c r="F23" s="17"/>
      <c r="G23" s="378"/>
      <c r="H23" s="378"/>
      <c r="I23" s="378"/>
      <c r="J23" s="383">
        <v>-346</v>
      </c>
      <c r="K23" s="383"/>
      <c r="L23" s="383"/>
      <c r="M23" s="146"/>
      <c r="V23" s="18"/>
      <c r="W23" s="18"/>
      <c r="Y23" s="148"/>
    </row>
    <row r="24" spans="1:31">
      <c r="A24" s="147" t="s">
        <v>23</v>
      </c>
      <c r="B24" s="366" t="s">
        <v>677</v>
      </c>
      <c r="C24" s="14" t="s">
        <v>1180</v>
      </c>
      <c r="D24" s="17">
        <f>VLOOKUP(B24,'ct bs'!B13:F136,5,FALSE)/1000</f>
        <v>-16.87791</v>
      </c>
      <c r="E24" s="367"/>
      <c r="F24" s="24"/>
      <c r="G24" s="378"/>
      <c r="H24" s="380">
        <f>D24</f>
        <v>-16.87791</v>
      </c>
      <c r="I24" s="378"/>
      <c r="J24" s="383">
        <v>104.47031</v>
      </c>
      <c r="K24" s="383"/>
      <c r="L24" s="22"/>
      <c r="M24" s="11"/>
      <c r="V24" s="18"/>
      <c r="W24" s="18"/>
      <c r="Y24" s="148"/>
    </row>
    <row r="25" spans="1:31">
      <c r="A25" s="147" t="s">
        <v>23</v>
      </c>
      <c r="B25" s="366" t="s">
        <v>695</v>
      </c>
      <c r="C25" s="14" t="s">
        <v>1180</v>
      </c>
      <c r="D25" s="17">
        <f>VLOOKUP(B25,'ct bs'!B14:F137,5,FALSE)/1000</f>
        <v>302.97534000000002</v>
      </c>
      <c r="E25" s="367"/>
      <c r="F25" s="17">
        <f>SUM(D22:D25)</f>
        <v>56.304059999999993</v>
      </c>
      <c r="G25" s="378"/>
      <c r="H25" s="381">
        <f>D25</f>
        <v>302.97534000000002</v>
      </c>
      <c r="I25" s="378"/>
      <c r="J25" s="383">
        <v>246.84314000000001</v>
      </c>
      <c r="K25" s="383"/>
      <c r="L25" s="383">
        <v>-158.69</v>
      </c>
      <c r="M25" s="11"/>
      <c r="V25" s="18"/>
      <c r="W25" s="18"/>
      <c r="Y25" s="148"/>
    </row>
    <row r="26" spans="1:31">
      <c r="A26" s="147" t="s">
        <v>24</v>
      </c>
      <c r="B26" s="366" t="s">
        <v>683</v>
      </c>
      <c r="C26" s="12" t="s">
        <v>1182</v>
      </c>
      <c r="D26" s="17">
        <f>-VLOOKUP(B26,'ct bs'!B15:F138,3,FALSE)/1000*0.9003</f>
        <v>0</v>
      </c>
      <c r="E26" s="367"/>
      <c r="F26" s="17"/>
      <c r="G26" s="378"/>
      <c r="H26" s="378"/>
      <c r="I26" s="378"/>
      <c r="J26" s="383">
        <v>-984</v>
      </c>
      <c r="K26" s="383"/>
      <c r="L26" s="383"/>
      <c r="M26" s="146"/>
      <c r="V26" s="18"/>
      <c r="W26" s="18"/>
      <c r="Y26" s="148"/>
    </row>
    <row r="27" spans="1:31">
      <c r="A27" s="147" t="s">
        <v>25</v>
      </c>
      <c r="B27" s="366" t="s">
        <v>683</v>
      </c>
      <c r="C27" s="14" t="s">
        <v>1180</v>
      </c>
      <c r="D27" s="17">
        <f>VLOOKUP(B27,'ct bs'!B16:F139,5,FALSE)/1000*0.9003</f>
        <v>-32.829052371000003</v>
      </c>
      <c r="E27" s="367"/>
      <c r="F27" s="17">
        <f>SUM(D26:D27)</f>
        <v>-32.829052371000003</v>
      </c>
      <c r="G27" s="378"/>
      <c r="H27" s="378">
        <f>D27</f>
        <v>-32.829052371000003</v>
      </c>
      <c r="I27" s="378"/>
      <c r="J27" s="383">
        <v>929.07</v>
      </c>
      <c r="K27" s="383"/>
      <c r="L27" s="383">
        <v>-54.927275990999874</v>
      </c>
      <c r="M27" s="11"/>
      <c r="V27" s="18"/>
      <c r="W27" s="18"/>
      <c r="Y27" s="148"/>
    </row>
    <row r="28" spans="1:31">
      <c r="A28" s="147" t="s">
        <v>26</v>
      </c>
      <c r="B28" s="366" t="s">
        <v>606</v>
      </c>
      <c r="C28" s="12" t="s">
        <v>1182</v>
      </c>
      <c r="D28" s="17">
        <v>-985.36</v>
      </c>
      <c r="E28" s="367"/>
      <c r="F28" s="17"/>
      <c r="G28" s="378"/>
      <c r="H28" s="378"/>
      <c r="I28" s="378"/>
      <c r="J28" s="383">
        <v>-956</v>
      </c>
      <c r="K28" s="383"/>
      <c r="L28" s="383"/>
      <c r="M28" s="146"/>
      <c r="V28" s="18"/>
    </row>
    <row r="29" spans="1:31">
      <c r="A29" s="147" t="s">
        <v>27</v>
      </c>
      <c r="B29" s="366" t="s">
        <v>606</v>
      </c>
      <c r="C29" s="14" t="s">
        <v>1180</v>
      </c>
      <c r="D29" s="17">
        <f>VLOOKUP(B29,'ct bs'!B17:F141,5,FALSE)*0.0545/1000</f>
        <v>1000.0348961749999</v>
      </c>
      <c r="E29" s="367"/>
      <c r="F29" s="17">
        <f>SUM(D28:D29)</f>
        <v>14.674896174999844</v>
      </c>
      <c r="G29" s="378"/>
      <c r="H29" s="378">
        <f>D29</f>
        <v>1000.0348961749999</v>
      </c>
      <c r="I29" s="378"/>
      <c r="J29" s="383">
        <v>985.3577922049999</v>
      </c>
      <c r="K29" s="383"/>
      <c r="L29" s="383">
        <v>29.36</v>
      </c>
      <c r="M29" s="11"/>
    </row>
    <row r="30" spans="1:31">
      <c r="A30" s="147" t="s">
        <v>28</v>
      </c>
      <c r="B30" s="366" t="s">
        <v>607</v>
      </c>
      <c r="C30" s="12" t="s">
        <v>1182</v>
      </c>
      <c r="D30" s="17">
        <f>VLOOKUP(B30,'ct bs'!B18:F142,3,FALSE)/1000</f>
        <v>-40.079709999999999</v>
      </c>
      <c r="E30" s="367"/>
      <c r="F30" s="17"/>
      <c r="G30" s="378"/>
      <c r="H30" s="378"/>
      <c r="I30" s="378"/>
      <c r="J30" s="383">
        <v>-37</v>
      </c>
      <c r="K30" s="383"/>
      <c r="L30" s="383"/>
      <c r="M30" s="146"/>
      <c r="V30" s="18"/>
    </row>
    <row r="31" spans="1:31">
      <c r="A31" s="147" t="s">
        <v>29</v>
      </c>
      <c r="B31" s="366" t="s">
        <v>607</v>
      </c>
      <c r="C31" s="14" t="s">
        <v>1180</v>
      </c>
      <c r="D31" s="17">
        <f>-VLOOKUP(B31,'ct bs'!B19:F143,5,FALSE)/1000</f>
        <v>457.72851000000003</v>
      </c>
      <c r="E31" s="367"/>
      <c r="F31" s="17">
        <f>SUM(D30:D31)</f>
        <v>417.64880000000005</v>
      </c>
      <c r="G31" s="378"/>
      <c r="H31" s="378">
        <f>D31</f>
        <v>457.72851000000003</v>
      </c>
      <c r="I31" s="378"/>
      <c r="J31" s="383">
        <v>40.079709999999999</v>
      </c>
      <c r="K31" s="383"/>
      <c r="L31" s="383">
        <v>3.08</v>
      </c>
      <c r="M31" s="11"/>
      <c r="V31" s="18"/>
    </row>
    <row r="32" spans="1:31">
      <c r="A32" s="147" t="s">
        <v>30</v>
      </c>
      <c r="B32" s="366" t="s">
        <v>601</v>
      </c>
      <c r="C32" s="12" t="s">
        <v>1182</v>
      </c>
      <c r="D32" s="17">
        <f>VLOOKUP(B32,'ct bs'!B20:F144,3,FALSE)/1000</f>
        <v>-181.98086999999998</v>
      </c>
      <c r="E32" s="367"/>
      <c r="F32" s="17"/>
      <c r="G32" s="378"/>
      <c r="H32" s="378"/>
      <c r="I32" s="378"/>
      <c r="J32" s="383">
        <v>0</v>
      </c>
      <c r="K32" s="383"/>
      <c r="L32" s="383"/>
      <c r="M32" s="146"/>
      <c r="V32" s="18"/>
    </row>
    <row r="33" spans="1:22">
      <c r="A33" s="147" t="s">
        <v>31</v>
      </c>
      <c r="B33" s="366" t="s">
        <v>601</v>
      </c>
      <c r="C33" s="14" t="s">
        <v>1180</v>
      </c>
      <c r="D33" s="17">
        <f>-VLOOKUP(B33,'ct bs'!B21:F145,5,FALSE)/1000</f>
        <v>78.358910000000009</v>
      </c>
      <c r="E33" s="367"/>
      <c r="F33" s="17">
        <f>SUM(D32:D33)</f>
        <v>-103.62195999999997</v>
      </c>
      <c r="G33" s="378"/>
      <c r="H33" s="378">
        <f>D33</f>
        <v>78.358910000000009</v>
      </c>
      <c r="I33" s="378"/>
      <c r="J33" s="383">
        <v>181.98086999999998</v>
      </c>
      <c r="K33" s="383"/>
      <c r="L33" s="383">
        <v>181.98086999999998</v>
      </c>
      <c r="M33" s="11"/>
      <c r="V33" s="18"/>
    </row>
    <row r="34" spans="1:22">
      <c r="A34" s="147" t="s">
        <v>34</v>
      </c>
      <c r="B34" s="366" t="s">
        <v>600</v>
      </c>
      <c r="C34" s="12" t="s">
        <v>1182</v>
      </c>
      <c r="D34" s="17">
        <f>VLOOKUP(B34,'ct bs'!B23:F146,3,FALSE)/1000</f>
        <v>-129.70457000000002</v>
      </c>
      <c r="E34" s="367"/>
      <c r="F34" s="17"/>
      <c r="G34" s="378"/>
      <c r="H34" s="378"/>
      <c r="I34" s="378"/>
      <c r="J34" s="383">
        <v>-217</v>
      </c>
      <c r="K34" s="383"/>
      <c r="L34" s="383"/>
      <c r="M34" s="11"/>
      <c r="V34" s="18"/>
    </row>
    <row r="35" spans="1:22">
      <c r="A35" s="147" t="s">
        <v>35</v>
      </c>
      <c r="B35" s="366" t="s">
        <v>600</v>
      </c>
      <c r="C35" s="14" t="s">
        <v>1180</v>
      </c>
      <c r="D35" s="17">
        <f>-VLOOKUP(B35,'ct bs'!B24:F147,5,FALSE)/1000</f>
        <v>0</v>
      </c>
      <c r="E35" s="367"/>
      <c r="F35" s="17">
        <f>SUM(D34:D35)</f>
        <v>-129.70457000000002</v>
      </c>
      <c r="G35" s="378"/>
      <c r="H35" s="378">
        <f>D35</f>
        <v>0</v>
      </c>
      <c r="I35" s="378"/>
      <c r="J35" s="383">
        <v>129.70457000000002</v>
      </c>
      <c r="K35" s="383"/>
      <c r="L35" s="383">
        <v>-87.3</v>
      </c>
      <c r="M35" s="11"/>
      <c r="V35" s="18"/>
    </row>
    <row r="36" spans="1:22">
      <c r="A36" s="147" t="s">
        <v>36</v>
      </c>
      <c r="B36" s="366" t="s">
        <v>613</v>
      </c>
      <c r="C36" s="12" t="s">
        <v>1182</v>
      </c>
      <c r="D36" s="17">
        <f>VLOOKUP(B36,'ct bs'!B25:F148,3,FALSE)/1000</f>
        <v>50.020180000000003</v>
      </c>
      <c r="E36" s="367"/>
      <c r="F36" s="17"/>
      <c r="G36" s="378"/>
      <c r="H36" s="378"/>
      <c r="I36" s="378"/>
      <c r="J36" s="383">
        <v>5</v>
      </c>
      <c r="K36" s="383"/>
      <c r="L36" s="383"/>
      <c r="M36" s="146"/>
      <c r="V36" s="18"/>
    </row>
    <row r="37" spans="1:22">
      <c r="A37" s="147" t="s">
        <v>37</v>
      </c>
      <c r="B37" s="366" t="s">
        <v>613</v>
      </c>
      <c r="C37" s="14" t="s">
        <v>1180</v>
      </c>
      <c r="D37" s="17">
        <f>-VLOOKUP(B37,'ct bs'!B27:F149,5,FALSE)/1000</f>
        <v>-264.74834999999996</v>
      </c>
      <c r="E37" s="367"/>
      <c r="F37" s="17">
        <f>SUM(D36:D37)</f>
        <v>-214.72816999999995</v>
      </c>
      <c r="G37" s="378"/>
      <c r="H37" s="378">
        <f>D37</f>
        <v>-264.74834999999996</v>
      </c>
      <c r="I37" s="378"/>
      <c r="J37" s="383">
        <v>-50.02</v>
      </c>
      <c r="K37" s="383"/>
      <c r="L37" s="383">
        <v>-45.020180000000003</v>
      </c>
      <c r="M37" s="11"/>
      <c r="V37" s="18"/>
    </row>
    <row r="38" spans="1:22">
      <c r="A38" s="147" t="s">
        <v>95</v>
      </c>
      <c r="B38" s="368" t="s">
        <v>932</v>
      </c>
      <c r="C38" s="14" t="s">
        <v>1181</v>
      </c>
      <c r="D38" s="17">
        <f>-VLOOKUP(B38,'ct pl'!B256:D275,3,FALSE)/1000</f>
        <v>1536.0446899999999</v>
      </c>
      <c r="E38" s="367"/>
      <c r="F38" s="17"/>
      <c r="G38" s="378"/>
      <c r="H38" s="378"/>
      <c r="I38" s="378"/>
      <c r="J38" s="383">
        <v>1282.35383</v>
      </c>
      <c r="K38" s="383"/>
      <c r="L38" s="383"/>
      <c r="M38" s="18"/>
      <c r="V38" s="18"/>
    </row>
    <row r="39" spans="1:22">
      <c r="A39" s="147" t="s">
        <v>38</v>
      </c>
      <c r="B39" s="147"/>
      <c r="C39" s="12" t="s">
        <v>1184</v>
      </c>
      <c r="D39" s="17">
        <v>-1067</v>
      </c>
      <c r="E39" s="367"/>
      <c r="F39" s="17">
        <f>SUM(D38:D39)</f>
        <v>469.04468999999995</v>
      </c>
      <c r="G39" s="378"/>
      <c r="H39" s="378"/>
      <c r="I39" s="378"/>
      <c r="J39" s="383">
        <v>-1067</v>
      </c>
      <c r="K39" s="383"/>
      <c r="L39" s="383">
        <v>215.35383000000002</v>
      </c>
      <c r="M39" s="11"/>
      <c r="V39" s="18"/>
    </row>
    <row r="40" spans="1:22">
      <c r="A40" s="147" t="s">
        <v>39</v>
      </c>
      <c r="B40" s="147"/>
      <c r="C40" s="12" t="s">
        <v>1182</v>
      </c>
      <c r="D40" s="17">
        <v>90.62</v>
      </c>
      <c r="E40" s="367"/>
      <c r="F40" s="17"/>
      <c r="G40" s="378"/>
      <c r="H40" s="378"/>
      <c r="I40" s="378"/>
      <c r="J40" s="383">
        <v>110</v>
      </c>
      <c r="K40" s="383"/>
      <c r="L40" s="383"/>
      <c r="M40" s="150"/>
      <c r="O40" s="56"/>
      <c r="P40" s="56"/>
      <c r="Q40" s="7"/>
      <c r="R40" s="12"/>
      <c r="S40" s="7"/>
      <c r="T40" s="7"/>
      <c r="U40" s="7"/>
      <c r="V40" s="18"/>
    </row>
    <row r="41" spans="1:22">
      <c r="A41" s="147" t="s">
        <v>40</v>
      </c>
      <c r="B41" s="147"/>
      <c r="C41" s="14" t="s">
        <v>1180</v>
      </c>
      <c r="D41" s="17">
        <f>-'ct bs'!H65</f>
        <v>-1172.5090499999997</v>
      </c>
      <c r="E41" s="367"/>
      <c r="F41" s="17"/>
      <c r="G41" s="378"/>
      <c r="H41" s="378"/>
      <c r="I41" s="378"/>
      <c r="J41" s="383">
        <v>-90.619979999999941</v>
      </c>
      <c r="K41" s="383"/>
      <c r="L41" s="383"/>
      <c r="M41" s="150"/>
      <c r="O41" s="30"/>
      <c r="P41" s="30"/>
      <c r="V41" s="18"/>
    </row>
    <row r="42" spans="1:22">
      <c r="A42" s="147" t="s">
        <v>41</v>
      </c>
      <c r="B42" s="147"/>
      <c r="C42" s="12" t="s">
        <v>1182</v>
      </c>
      <c r="D42" s="17">
        <v>0</v>
      </c>
      <c r="E42" s="367"/>
      <c r="F42" s="17"/>
      <c r="G42" s="378"/>
      <c r="H42" s="378"/>
      <c r="I42" s="378"/>
      <c r="J42" s="383">
        <v>-18</v>
      </c>
      <c r="K42" s="383"/>
      <c r="L42" s="383"/>
      <c r="M42" s="150"/>
      <c r="O42" s="30"/>
      <c r="P42" s="30"/>
      <c r="V42" s="18"/>
    </row>
    <row r="43" spans="1:22">
      <c r="A43" s="147" t="s">
        <v>42</v>
      </c>
      <c r="B43" s="147"/>
      <c r="C43" s="14" t="s">
        <v>1180</v>
      </c>
      <c r="D43" s="17">
        <v>0</v>
      </c>
      <c r="E43" s="367"/>
      <c r="F43" s="17"/>
      <c r="G43" s="378"/>
      <c r="H43" s="378"/>
      <c r="I43" s="378"/>
      <c r="J43" s="383">
        <v>0</v>
      </c>
      <c r="K43" s="383"/>
      <c r="L43" s="383"/>
      <c r="M43" s="150"/>
      <c r="O43" s="30"/>
      <c r="P43" s="30"/>
    </row>
    <row r="44" spans="1:22">
      <c r="A44" s="147" t="s">
        <v>43</v>
      </c>
      <c r="B44" s="147"/>
      <c r="C44" s="14" t="s">
        <v>1181</v>
      </c>
      <c r="D44" s="17">
        <f>-'ct pl'!F263</f>
        <v>49.575069999999997</v>
      </c>
      <c r="E44" s="367"/>
      <c r="F44" s="17">
        <f>SUM(D40:D44)</f>
        <v>-1032.3139799999997</v>
      </c>
      <c r="G44" s="378"/>
      <c r="H44" s="378"/>
      <c r="I44" s="378"/>
      <c r="J44" s="383">
        <v>0.45354</v>
      </c>
      <c r="K44" s="383"/>
      <c r="L44" s="383">
        <v>1.8335600000000587</v>
      </c>
      <c r="M44" s="11"/>
      <c r="O44" s="30"/>
      <c r="P44" s="30"/>
    </row>
    <row r="45" spans="1:22">
      <c r="A45" s="147" t="s">
        <v>44</v>
      </c>
      <c r="B45" s="147"/>
      <c r="C45" s="12" t="s">
        <v>1182</v>
      </c>
      <c r="D45" s="17">
        <v>-7.4740000000000002</v>
      </c>
      <c r="E45" s="367"/>
      <c r="F45" s="17">
        <f>D45</f>
        <v>-7.4740000000000002</v>
      </c>
      <c r="G45" s="378"/>
      <c r="H45" s="378"/>
      <c r="I45" s="378"/>
      <c r="J45" s="383">
        <v>-7.47</v>
      </c>
      <c r="K45" s="383"/>
      <c r="L45" s="383">
        <v>-7.4740000000000002</v>
      </c>
      <c r="M45" s="11"/>
      <c r="O45" s="30"/>
      <c r="P45" s="30"/>
    </row>
    <row r="46" spans="1:22">
      <c r="A46" s="147" t="s">
        <v>20</v>
      </c>
      <c r="B46" s="147"/>
      <c r="C46" s="12" t="s">
        <v>11</v>
      </c>
      <c r="D46" s="17">
        <v>0</v>
      </c>
      <c r="E46" s="367"/>
      <c r="F46" s="17"/>
      <c r="G46" s="378"/>
      <c r="H46" s="378"/>
      <c r="I46" s="378"/>
      <c r="J46" s="383">
        <v>0</v>
      </c>
      <c r="K46" s="383"/>
      <c r="L46" s="383"/>
      <c r="M46" s="11"/>
      <c r="O46" s="30"/>
      <c r="P46" s="30"/>
    </row>
    <row r="47" spans="1:22">
      <c r="A47" s="147" t="s">
        <v>21</v>
      </c>
      <c r="B47" s="147"/>
      <c r="C47" s="12" t="s">
        <v>11</v>
      </c>
      <c r="D47" s="17">
        <v>0</v>
      </c>
      <c r="E47" s="367"/>
      <c r="F47" s="17">
        <f>SUM(D46:D47)</f>
        <v>0</v>
      </c>
      <c r="G47" s="378"/>
      <c r="H47" s="378">
        <f>D47</f>
        <v>0</v>
      </c>
      <c r="I47" s="378"/>
      <c r="J47" s="383">
        <v>0</v>
      </c>
      <c r="K47" s="383"/>
      <c r="L47" s="383">
        <f>SUM(J46:J47)</f>
        <v>0</v>
      </c>
      <c r="M47" s="11"/>
      <c r="O47" s="30"/>
      <c r="P47" s="30"/>
    </row>
    <row r="48" spans="1:22">
      <c r="A48" s="147" t="s">
        <v>32</v>
      </c>
      <c r="B48" s="147"/>
      <c r="C48" s="12" t="s">
        <v>11</v>
      </c>
      <c r="D48" s="17">
        <v>0</v>
      </c>
      <c r="E48" s="367"/>
      <c r="F48" s="17"/>
      <c r="G48" s="378"/>
      <c r="H48" s="378"/>
      <c r="I48" s="378"/>
      <c r="J48" s="383">
        <v>0</v>
      </c>
      <c r="K48" s="383"/>
      <c r="L48" s="383"/>
      <c r="M48" s="11"/>
      <c r="O48" s="30"/>
      <c r="P48" s="30"/>
    </row>
    <row r="49" spans="1:25">
      <c r="A49" s="147" t="s">
        <v>33</v>
      </c>
      <c r="B49" s="147"/>
      <c r="C49" s="12" t="s">
        <v>11</v>
      </c>
      <c r="D49" s="17">
        <v>0</v>
      </c>
      <c r="E49" s="17"/>
      <c r="F49" s="17">
        <f>SUM(D48:D49)</f>
        <v>0</v>
      </c>
      <c r="G49" s="147"/>
      <c r="H49" s="149">
        <f>D49</f>
        <v>0</v>
      </c>
      <c r="I49" s="147"/>
      <c r="J49" s="383">
        <v>0</v>
      </c>
      <c r="K49" s="383"/>
      <c r="L49" s="383">
        <f>SUM(J48:J49)</f>
        <v>0</v>
      </c>
      <c r="M49" s="11"/>
      <c r="O49" s="30"/>
      <c r="P49" s="30"/>
    </row>
    <row r="50" spans="1:25">
      <c r="A50" s="147"/>
      <c r="B50" s="147"/>
      <c r="C50" s="12"/>
      <c r="D50" s="367"/>
      <c r="E50" s="17"/>
      <c r="F50" s="17"/>
      <c r="G50" s="147"/>
      <c r="H50" s="149"/>
      <c r="I50" s="147"/>
      <c r="J50" s="383"/>
      <c r="K50" s="383"/>
      <c r="L50" s="383"/>
      <c r="M50" s="11"/>
      <c r="O50" s="30"/>
      <c r="P50" s="30"/>
    </row>
    <row r="51" spans="1:25">
      <c r="B51" s="7"/>
      <c r="C51" s="14"/>
      <c r="D51" s="20"/>
      <c r="E51" s="17"/>
      <c r="F51" s="20"/>
      <c r="G51" s="7"/>
      <c r="J51" s="375"/>
      <c r="K51" s="383"/>
      <c r="L51" s="375"/>
      <c r="M51" s="17"/>
      <c r="N51" s="7"/>
      <c r="O51" s="12"/>
      <c r="P51" s="30"/>
    </row>
    <row r="52" spans="1:25" ht="13.5" thickBot="1">
      <c r="A52" s="7" t="s">
        <v>45</v>
      </c>
      <c r="B52" s="7"/>
      <c r="C52" s="14"/>
      <c r="D52" s="21">
        <f>SUM(D11:D51)</f>
        <v>-8657.1100894571337</v>
      </c>
      <c r="E52" s="15"/>
      <c r="F52" s="21">
        <f>SUM(F11:F51)</f>
        <v>-310.5215834626427</v>
      </c>
      <c r="G52" s="7"/>
      <c r="H52" s="27"/>
      <c r="I52" s="27"/>
      <c r="J52" s="21">
        <f>SUM(J11:J51)</f>
        <v>19942.319351030335</v>
      </c>
      <c r="K52" s="15"/>
      <c r="L52" s="21">
        <f>SUM(L11:L51)</f>
        <v>4018.4459513902207</v>
      </c>
      <c r="M52" s="15"/>
      <c r="N52" s="7"/>
      <c r="O52" s="7"/>
      <c r="P52" s="30"/>
    </row>
    <row r="53" spans="1:25" ht="13.5" thickTop="1">
      <c r="A53" s="140"/>
      <c r="B53" s="140"/>
      <c r="C53" s="14"/>
      <c r="D53" s="15"/>
      <c r="E53" s="15"/>
      <c r="F53" s="15"/>
      <c r="G53" s="7"/>
      <c r="L53" s="15"/>
      <c r="N53" s="30"/>
      <c r="O53" s="30"/>
      <c r="P53" s="30"/>
    </row>
    <row r="54" spans="1:25">
      <c r="A54" s="140"/>
      <c r="B54" s="140"/>
      <c r="C54" s="14"/>
      <c r="D54" s="15"/>
      <c r="E54" s="15"/>
      <c r="F54" s="15"/>
      <c r="G54" s="7"/>
      <c r="L54" s="15"/>
      <c r="N54" s="7"/>
      <c r="O54" s="124"/>
      <c r="P54" s="15"/>
      <c r="Q54" s="15"/>
      <c r="R54" s="15"/>
      <c r="S54" s="145"/>
      <c r="T54" s="143"/>
    </row>
    <row r="55" spans="1:25">
      <c r="A55" s="7" t="s">
        <v>1211</v>
      </c>
      <c r="B55" s="7"/>
      <c r="C55" s="14"/>
      <c r="D55" s="15">
        <f>D52-D17</f>
        <v>-4897.9344011960884</v>
      </c>
      <c r="E55" s="15"/>
      <c r="F55" s="15"/>
      <c r="G55" s="7"/>
      <c r="J55" s="15">
        <f>J52-J17</f>
        <v>-2332.2897727950985</v>
      </c>
      <c r="L55" s="15"/>
      <c r="N55" s="30"/>
      <c r="O55" s="124"/>
      <c r="P55" s="15"/>
      <c r="Q55" s="15"/>
      <c r="R55" s="15"/>
      <c r="S55" s="145"/>
      <c r="T55" s="143"/>
    </row>
    <row r="56" spans="1:25">
      <c r="B56" s="7"/>
      <c r="C56" s="14"/>
      <c r="D56" s="15"/>
      <c r="E56" s="15"/>
      <c r="F56" s="19"/>
      <c r="G56" s="12"/>
      <c r="L56" s="19"/>
      <c r="N56" s="7"/>
      <c r="O56" s="123"/>
      <c r="P56" s="15"/>
      <c r="Q56" s="19"/>
      <c r="R56" s="18"/>
      <c r="S56" s="145"/>
      <c r="T56" s="143"/>
      <c r="W56" s="22"/>
    </row>
    <row r="57" spans="1:25">
      <c r="A57" s="7" t="s">
        <v>46</v>
      </c>
      <c r="B57" s="7"/>
      <c r="C57" s="14" t="s">
        <v>1249</v>
      </c>
      <c r="D57" s="175">
        <f>D52*0.35</f>
        <v>-3029.9885313099967</v>
      </c>
      <c r="E57" s="369">
        <v>5.3026995603506978E-4</v>
      </c>
      <c r="F57" s="370"/>
      <c r="G57" s="130"/>
      <c r="H57" s="370"/>
      <c r="I57" s="130"/>
      <c r="J57" s="175">
        <f>J52*0.35</f>
        <v>6979.8117728606167</v>
      </c>
      <c r="L57" s="69"/>
      <c r="N57" s="7"/>
      <c r="O57" s="7"/>
      <c r="P57" s="7"/>
      <c r="U57" s="143"/>
      <c r="W57" s="22"/>
      <c r="Y57" s="148"/>
    </row>
    <row r="58" spans="1:25">
      <c r="A58" s="7" t="s">
        <v>1787</v>
      </c>
      <c r="B58" s="7"/>
      <c r="C58" s="14" t="s">
        <v>1030</v>
      </c>
      <c r="D58" s="27">
        <f>D52*0.07</f>
        <v>-605.99770626199938</v>
      </c>
      <c r="E58" s="369">
        <v>7.5752850862152845E-5</v>
      </c>
      <c r="F58" s="130"/>
      <c r="G58" s="130"/>
      <c r="H58" s="130"/>
      <c r="I58" s="130"/>
      <c r="J58" s="27">
        <f>J52*0.05</f>
        <v>997.11596755151686</v>
      </c>
      <c r="L58" s="7"/>
      <c r="N58" s="54"/>
      <c r="O58" s="15"/>
      <c r="P58" s="7"/>
      <c r="S58" s="151"/>
      <c r="T58" s="23"/>
      <c r="U58" s="12"/>
      <c r="V58" s="7"/>
      <c r="W58" s="27"/>
    </row>
    <row r="59" spans="1:25">
      <c r="A59" s="30" t="s">
        <v>367</v>
      </c>
      <c r="B59" s="30"/>
      <c r="C59" s="14" t="s">
        <v>1030</v>
      </c>
      <c r="D59" s="27">
        <f>F52*-0.4</f>
        <v>124.20863338505708</v>
      </c>
      <c r="E59" s="369">
        <f>F52*-0.4</f>
        <v>124.20863338505708</v>
      </c>
      <c r="F59" s="130"/>
      <c r="G59" s="371"/>
      <c r="H59" s="130"/>
      <c r="I59" s="130"/>
      <c r="J59" s="27">
        <f>L52*-0.4</f>
        <v>-1607.3783805560884</v>
      </c>
      <c r="L59" s="7"/>
      <c r="O59" s="7"/>
      <c r="P59" s="7"/>
      <c r="S59" s="140"/>
      <c r="T59" s="12"/>
      <c r="U59" s="12"/>
      <c r="V59" s="7"/>
      <c r="W59" s="27"/>
    </row>
    <row r="60" spans="1:25">
      <c r="A60" s="7" t="s">
        <v>1788</v>
      </c>
      <c r="B60" s="7"/>
      <c r="C60" s="14" t="s">
        <v>1250</v>
      </c>
      <c r="D60" s="27"/>
      <c r="E60" s="369"/>
      <c r="F60" s="130"/>
      <c r="G60" s="130"/>
      <c r="H60" s="130"/>
      <c r="I60" s="130"/>
      <c r="J60" s="27">
        <v>-194.04</v>
      </c>
      <c r="L60" s="19"/>
      <c r="O60" s="7"/>
      <c r="P60" s="7"/>
      <c r="S60" s="140"/>
      <c r="T60" s="12"/>
      <c r="U60" s="12"/>
      <c r="V60" s="7"/>
      <c r="W60" s="27"/>
    </row>
    <row r="61" spans="1:25">
      <c r="A61" s="30" t="s">
        <v>1791</v>
      </c>
      <c r="B61" s="30"/>
      <c r="C61" s="14"/>
      <c r="D61" s="374"/>
      <c r="E61" s="369">
        <v>7.4821761398445976E-4</v>
      </c>
      <c r="F61" s="130"/>
      <c r="G61" s="371"/>
      <c r="H61" s="130"/>
      <c r="I61" s="130"/>
      <c r="J61" s="374">
        <f>J60*0.75</f>
        <v>-145.53</v>
      </c>
      <c r="L61" s="19"/>
      <c r="O61" s="7"/>
      <c r="P61" s="7"/>
      <c r="S61" s="30"/>
      <c r="T61" s="12"/>
      <c r="U61" s="23"/>
      <c r="V61" s="7"/>
      <c r="W61" s="27"/>
    </row>
    <row r="62" spans="1:25">
      <c r="A62" s="30" t="s">
        <v>395</v>
      </c>
      <c r="B62" s="30"/>
      <c r="C62" s="14" t="s">
        <v>1030</v>
      </c>
      <c r="D62" s="374">
        <f>cpl!C23/1000</f>
        <v>384.97916000000004</v>
      </c>
      <c r="E62" s="369"/>
      <c r="F62" s="130"/>
      <c r="G62" s="371"/>
      <c r="H62" s="130"/>
      <c r="I62" s="130"/>
      <c r="J62" s="374">
        <v>114.87</v>
      </c>
      <c r="L62" s="19"/>
      <c r="O62" s="7"/>
      <c r="P62" s="7"/>
      <c r="S62" s="30"/>
      <c r="T62" s="12"/>
      <c r="U62" s="23"/>
      <c r="V62" s="7"/>
      <c r="W62" s="27"/>
    </row>
    <row r="63" spans="1:25">
      <c r="A63" s="30" t="s">
        <v>1248</v>
      </c>
      <c r="B63" s="30"/>
      <c r="C63" s="14"/>
      <c r="D63" s="374"/>
      <c r="E63" s="369"/>
      <c r="F63" s="130"/>
      <c r="G63" s="371"/>
      <c r="H63" s="130"/>
      <c r="I63" s="130"/>
      <c r="J63" s="374">
        <v>1274.56</v>
      </c>
      <c r="L63" s="19"/>
      <c r="O63" s="7"/>
      <c r="P63" s="7"/>
      <c r="S63" s="30"/>
      <c r="T63" s="12"/>
      <c r="U63" s="23"/>
      <c r="V63" s="7"/>
      <c r="W63" s="27"/>
    </row>
    <row r="64" spans="1:25">
      <c r="A64" s="30" t="s">
        <v>79</v>
      </c>
      <c r="B64" s="30"/>
      <c r="C64" s="14"/>
      <c r="D64" s="374">
        <v>87</v>
      </c>
      <c r="E64" s="130"/>
      <c r="F64" s="370"/>
      <c r="G64" s="130"/>
      <c r="H64" s="370"/>
      <c r="I64" s="130"/>
      <c r="J64" s="375">
        <v>254</v>
      </c>
      <c r="L64" s="69"/>
      <c r="N64" s="79"/>
      <c r="S64" s="30"/>
      <c r="T64" s="12"/>
      <c r="U64" s="12"/>
      <c r="V64" s="7"/>
      <c r="W64" s="7"/>
      <c r="X64" s="7"/>
      <c r="Y64" s="7"/>
    </row>
    <row r="65" spans="1:25" ht="13.5" thickBot="1">
      <c r="A65" s="7" t="s">
        <v>51</v>
      </c>
      <c r="B65" s="7"/>
      <c r="C65" s="14"/>
      <c r="D65" s="376">
        <f>SUM(D57:D64)</f>
        <v>-3039.7984441869389</v>
      </c>
      <c r="E65" s="369">
        <v>5.1282623279830209E-4</v>
      </c>
      <c r="F65" s="372"/>
      <c r="G65" s="130"/>
      <c r="H65" s="372"/>
      <c r="I65" s="130"/>
      <c r="J65" s="376">
        <f>SUM(J57:J64)</f>
        <v>7673.4093598560448</v>
      </c>
      <c r="L65" s="123"/>
      <c r="Q65" s="152"/>
      <c r="S65" s="30"/>
      <c r="T65" s="12"/>
      <c r="U65" s="12"/>
      <c r="V65" s="7"/>
      <c r="W65" s="26"/>
      <c r="X65" s="7"/>
      <c r="Y65" s="17"/>
    </row>
    <row r="66" spans="1:25" ht="13.5" thickTop="1">
      <c r="B66" s="7"/>
      <c r="C66" s="14"/>
      <c r="D66" s="123"/>
      <c r="E66" s="26"/>
      <c r="F66" s="123"/>
      <c r="G66" s="7"/>
      <c r="H66" s="123"/>
      <c r="J66" s="123"/>
      <c r="L66" s="123"/>
      <c r="Q66" s="152"/>
      <c r="S66" s="30"/>
      <c r="T66" s="12"/>
      <c r="U66" s="12"/>
      <c r="V66" s="7"/>
      <c r="W66" s="26"/>
      <c r="X66" s="7"/>
      <c r="Y66" s="17"/>
    </row>
    <row r="67" spans="1:25">
      <c r="B67" s="7"/>
      <c r="C67" s="14"/>
      <c r="D67" s="123"/>
      <c r="E67" s="26"/>
      <c r="F67" s="123"/>
      <c r="G67" s="7"/>
      <c r="H67" s="123"/>
      <c r="J67" s="123"/>
      <c r="L67" s="123"/>
      <c r="Q67" s="152"/>
      <c r="S67" s="30"/>
      <c r="T67" s="12"/>
      <c r="U67" s="12"/>
      <c r="V67" s="7"/>
      <c r="W67" s="26"/>
      <c r="X67" s="7"/>
      <c r="Y67" s="17"/>
    </row>
    <row r="68" spans="1:25">
      <c r="B68" s="7"/>
      <c r="C68" s="14" t="s">
        <v>1030</v>
      </c>
      <c r="D68" s="123">
        <f>cpl!K23</f>
        <v>779.08316000000002</v>
      </c>
      <c r="E68" s="26"/>
      <c r="F68" s="78"/>
      <c r="G68" s="7"/>
      <c r="J68" s="123">
        <v>6603</v>
      </c>
      <c r="L68" s="78"/>
      <c r="Q68" s="152"/>
      <c r="S68" s="30"/>
      <c r="T68" s="12"/>
      <c r="U68" s="12"/>
      <c r="V68" s="7"/>
      <c r="W68" s="26"/>
      <c r="X68" s="7"/>
      <c r="Y68" s="17"/>
    </row>
    <row r="69" spans="1:25">
      <c r="A69" s="278" t="s">
        <v>47</v>
      </c>
      <c r="B69" s="278"/>
      <c r="C69" s="271"/>
      <c r="D69" s="17"/>
      <c r="E69" s="17"/>
      <c r="F69" s="7"/>
      <c r="G69" s="54"/>
      <c r="H69" s="54"/>
      <c r="I69" s="54"/>
      <c r="L69" s="7"/>
      <c r="O69" s="17"/>
      <c r="P69" s="17"/>
      <c r="S69" s="17"/>
      <c r="T69" s="12"/>
      <c r="U69" s="8"/>
      <c r="V69" s="7"/>
      <c r="W69" s="27"/>
      <c r="X69" s="7"/>
      <c r="Y69" s="17"/>
    </row>
    <row r="70" spans="1:25">
      <c r="A70" s="140" t="s">
        <v>48</v>
      </c>
      <c r="B70" s="140"/>
      <c r="C70" s="14"/>
      <c r="D70" s="15">
        <f>D65-D71</f>
        <v>-3880.0238290151933</v>
      </c>
      <c r="E70" s="17"/>
      <c r="F70" s="27"/>
      <c r="G70" s="7"/>
      <c r="J70" s="15">
        <v>9883</v>
      </c>
      <c r="L70" s="7"/>
      <c r="N70" s="7"/>
      <c r="P70" s="17"/>
      <c r="R70" s="17"/>
      <c r="S70" s="8"/>
      <c r="T70" s="8"/>
      <c r="U70" s="8"/>
      <c r="V70" s="7"/>
      <c r="W70" s="27"/>
      <c r="X70" s="7"/>
      <c r="Y70" s="17"/>
    </row>
    <row r="71" spans="1:25">
      <c r="A71" s="140" t="s">
        <v>49</v>
      </c>
      <c r="B71" s="140"/>
      <c r="C71" s="14"/>
      <c r="D71" s="23">
        <f>'2016 def tax'!AE90</f>
        <v>840.22538482825439</v>
      </c>
      <c r="E71" s="17"/>
      <c r="F71" s="7"/>
      <c r="G71" s="7"/>
      <c r="J71" s="23">
        <v>-2210</v>
      </c>
      <c r="L71" s="7"/>
      <c r="N71" s="7"/>
      <c r="P71" s="17"/>
      <c r="R71" s="17"/>
      <c r="S71" s="8"/>
      <c r="T71" s="8"/>
      <c r="U71" s="8"/>
      <c r="V71" s="7"/>
      <c r="W71" s="27"/>
      <c r="X71" s="7"/>
      <c r="Y71" s="17"/>
    </row>
    <row r="72" spans="1:25" ht="13.5" thickBot="1">
      <c r="A72" s="140" t="s">
        <v>8</v>
      </c>
      <c r="B72" s="140"/>
      <c r="C72" s="14"/>
      <c r="D72" s="80">
        <f>D70+D71</f>
        <v>-3039.7984441869389</v>
      </c>
      <c r="E72" s="17"/>
      <c r="F72" s="7"/>
      <c r="G72" s="7"/>
      <c r="J72" s="80">
        <f>SUM(J70:J71)</f>
        <v>7673</v>
      </c>
      <c r="L72" s="7"/>
      <c r="N72" s="7"/>
      <c r="P72" s="17"/>
      <c r="R72" s="17"/>
      <c r="S72" s="8"/>
      <c r="T72" s="8"/>
      <c r="U72" s="8"/>
      <c r="V72" s="7"/>
      <c r="W72" s="27"/>
      <c r="X72" s="7"/>
      <c r="Y72" s="17"/>
    </row>
    <row r="73" spans="1:25" ht="14" thickTop="1">
      <c r="A73" s="153" t="s">
        <v>52</v>
      </c>
      <c r="B73" s="153"/>
      <c r="C73" s="272"/>
      <c r="D73" s="7"/>
      <c r="E73" s="7"/>
      <c r="F73" s="7"/>
      <c r="G73" s="55"/>
      <c r="H73" s="55"/>
      <c r="I73" s="55"/>
      <c r="J73" s="55"/>
      <c r="K73" s="55"/>
      <c r="L73" s="7"/>
      <c r="M73" s="55"/>
      <c r="N73" s="153"/>
      <c r="O73" s="7"/>
      <c r="P73" s="7"/>
      <c r="Q73" s="7"/>
    </row>
    <row r="74" spans="1:25" ht="13.5" thickBot="1">
      <c r="A74" s="30" t="s">
        <v>53</v>
      </c>
      <c r="B74" s="30"/>
      <c r="C74" s="14"/>
      <c r="D74" s="21">
        <f>D11</f>
        <v>-8712.1866509944921</v>
      </c>
      <c r="E74" s="7"/>
      <c r="F74" s="7"/>
      <c r="G74" s="30"/>
      <c r="J74" s="21">
        <f>J11</f>
        <v>15551.921426444109</v>
      </c>
      <c r="L74" s="7"/>
      <c r="M74" s="30"/>
      <c r="N74" s="7"/>
      <c r="O74" s="15"/>
      <c r="P74" s="7"/>
      <c r="Q74" s="7"/>
    </row>
    <row r="75" spans="1:25" ht="13.5" thickTop="1">
      <c r="A75" s="56"/>
      <c r="B75" s="56"/>
      <c r="C75" s="273"/>
      <c r="D75" s="15"/>
      <c r="E75" s="7"/>
      <c r="F75" s="29" t="s">
        <v>54</v>
      </c>
      <c r="G75" s="56"/>
      <c r="J75" s="15"/>
      <c r="L75" s="29" t="s">
        <v>54</v>
      </c>
      <c r="N75" s="17"/>
      <c r="O75" s="15"/>
      <c r="P75" s="7"/>
      <c r="Q75" s="12"/>
    </row>
    <row r="76" spans="1:25">
      <c r="A76" s="30" t="s">
        <v>55</v>
      </c>
      <c r="B76" s="30"/>
      <c r="C76" s="14"/>
      <c r="D76" s="15">
        <f>D74*0.35</f>
        <v>-3049.265327848072</v>
      </c>
      <c r="E76" s="7"/>
      <c r="F76" s="79">
        <f>D76/D74</f>
        <v>0.35</v>
      </c>
      <c r="G76" s="30"/>
      <c r="J76" s="15">
        <f>J74*0.35</f>
        <v>5443.1724992554382</v>
      </c>
      <c r="L76" s="79">
        <f>J76/J74</f>
        <v>0.35000000000000003</v>
      </c>
      <c r="N76" s="17"/>
      <c r="O76" s="15"/>
      <c r="P76" s="7"/>
      <c r="Q76" s="79"/>
      <c r="W76" s="2"/>
    </row>
    <row r="77" spans="1:25">
      <c r="A77" s="30" t="s">
        <v>1789</v>
      </c>
      <c r="B77" s="30"/>
      <c r="C77" s="14"/>
      <c r="D77" s="19">
        <f>D74*0.07</f>
        <v>-609.8530655696145</v>
      </c>
      <c r="E77" s="7"/>
      <c r="F77" s="79">
        <f>D77/D74</f>
        <v>7.0000000000000007E-2</v>
      </c>
      <c r="G77" s="30"/>
      <c r="J77" s="27">
        <f>J74*0.05</f>
        <v>777.59607132220549</v>
      </c>
      <c r="L77" s="79">
        <f>J77/J74</f>
        <v>0.05</v>
      </c>
      <c r="N77" s="17"/>
      <c r="O77" s="19"/>
      <c r="P77" s="7"/>
      <c r="Q77" s="79"/>
      <c r="W77" s="2"/>
    </row>
    <row r="78" spans="1:25">
      <c r="A78" s="30" t="s">
        <v>56</v>
      </c>
      <c r="B78" s="30"/>
      <c r="C78" s="14"/>
      <c r="D78" s="19">
        <f>SUM(D12:D14)*0.35</f>
        <v>7.4537697499999993</v>
      </c>
      <c r="E78" s="7"/>
      <c r="F78" s="79">
        <f>D78/D74</f>
        <v>-8.55556710226032E-4</v>
      </c>
      <c r="G78" s="30"/>
      <c r="J78" s="27">
        <v>45.72</v>
      </c>
      <c r="L78" s="79">
        <f>J78/J74</f>
        <v>2.9398296677514602E-3</v>
      </c>
      <c r="N78" s="17"/>
      <c r="O78" s="19"/>
      <c r="P78" s="7"/>
      <c r="Q78" s="79"/>
      <c r="W78" s="2"/>
    </row>
    <row r="79" spans="1:25">
      <c r="A79" s="30" t="s">
        <v>1790</v>
      </c>
      <c r="B79" s="30"/>
      <c r="C79" s="14"/>
      <c r="D79" s="19">
        <f>SUM(D12:D14)*0.07</f>
        <v>1.4907539500000002</v>
      </c>
      <c r="E79" s="7"/>
      <c r="F79" s="79">
        <f>D79/D74</f>
        <v>-1.7111134204520644E-4</v>
      </c>
      <c r="G79" s="30"/>
      <c r="J79" s="27">
        <v>6.53</v>
      </c>
      <c r="L79" s="79">
        <f>J79/J74</f>
        <v>4.1988380862679434E-4</v>
      </c>
      <c r="N79" s="17"/>
      <c r="O79" s="19"/>
      <c r="P79" s="7"/>
      <c r="Q79" s="79"/>
      <c r="W79" s="2"/>
    </row>
    <row r="80" spans="1:25">
      <c r="A80" s="30" t="s">
        <v>50</v>
      </c>
      <c r="B80" s="30"/>
      <c r="C80" s="14"/>
      <c r="D80" s="17"/>
      <c r="E80" s="7"/>
      <c r="F80" s="79">
        <f>D80/D74</f>
        <v>0</v>
      </c>
      <c r="G80" s="30"/>
      <c r="J80" s="383">
        <v>-289.57</v>
      </c>
      <c r="L80" s="79">
        <f>J80/J74</f>
        <v>-1.8619564236456481E-2</v>
      </c>
      <c r="M80" s="30"/>
      <c r="N80" s="17"/>
      <c r="O80" s="17"/>
      <c r="P80" s="7"/>
      <c r="Q80" s="79"/>
      <c r="W80" s="2"/>
    </row>
    <row r="81" spans="1:23">
      <c r="A81" s="30" t="s">
        <v>395</v>
      </c>
      <c r="B81" s="30"/>
      <c r="C81" s="14"/>
      <c r="D81" s="17">
        <f>D62</f>
        <v>384.97916000000004</v>
      </c>
      <c r="E81" s="7"/>
      <c r="F81" s="79">
        <f>D81/D74</f>
        <v>-4.4188580367025866E-2</v>
      </c>
      <c r="G81" s="30"/>
      <c r="J81" s="383">
        <v>114.87</v>
      </c>
      <c r="L81" s="79">
        <f>J81/J74</f>
        <v>7.3862255891209592E-3</v>
      </c>
      <c r="M81" s="30"/>
      <c r="N81" s="17"/>
      <c r="O81" s="17"/>
      <c r="P81" s="7"/>
      <c r="Q81" s="79"/>
      <c r="W81" s="2"/>
    </row>
    <row r="82" spans="1:23">
      <c r="A82" s="30" t="s">
        <v>1248</v>
      </c>
      <c r="B82" s="30"/>
      <c r="C82" s="14"/>
      <c r="D82" s="17">
        <f>D63</f>
        <v>0</v>
      </c>
      <c r="E82" s="7"/>
      <c r="F82" s="79">
        <f>D82/D74</f>
        <v>0</v>
      </c>
      <c r="G82" s="30"/>
      <c r="J82" s="383">
        <v>1274.56</v>
      </c>
      <c r="L82" s="79">
        <v>8.2000000000000003E-2</v>
      </c>
      <c r="M82" s="30"/>
      <c r="N82" s="17"/>
      <c r="O82" s="17"/>
      <c r="P82" s="7"/>
      <c r="Q82" s="79"/>
      <c r="W82" s="2"/>
    </row>
    <row r="83" spans="1:23">
      <c r="A83" s="30" t="s">
        <v>2263</v>
      </c>
      <c r="B83" s="30"/>
      <c r="C83" s="14"/>
      <c r="D83" s="17"/>
      <c r="E83" s="7"/>
      <c r="F83" s="79">
        <f>D83/D74</f>
        <v>0</v>
      </c>
      <c r="G83" s="30"/>
      <c r="J83" s="383"/>
      <c r="L83" s="79"/>
      <c r="M83" s="30"/>
      <c r="N83" s="17"/>
      <c r="O83" s="17"/>
      <c r="P83" s="7"/>
      <c r="Q83" s="79"/>
      <c r="W83" s="2"/>
    </row>
    <row r="84" spans="1:23">
      <c r="A84" s="30" t="s">
        <v>59</v>
      </c>
      <c r="B84" s="30"/>
      <c r="C84" s="14"/>
      <c r="D84" s="17">
        <f>3265-3040</f>
        <v>225</v>
      </c>
      <c r="E84" s="7"/>
      <c r="F84" s="79">
        <f>D84/D74</f>
        <v>-2.5825892971922997E-2</v>
      </c>
      <c r="G84" s="30"/>
      <c r="J84" s="383">
        <v>300</v>
      </c>
      <c r="L84" s="79">
        <f>J84/J74</f>
        <v>1.9290220917004334E-2</v>
      </c>
      <c r="N84" s="17"/>
      <c r="O84" s="17"/>
      <c r="P84" s="7"/>
      <c r="Q84" s="79"/>
    </row>
    <row r="85" spans="1:23" ht="13.5" thickBot="1">
      <c r="A85" s="7" t="s">
        <v>57</v>
      </c>
      <c r="B85" s="7"/>
      <c r="C85" s="14"/>
      <c r="D85" s="28">
        <f>SUM(D76:D84)</f>
        <v>-3040.1947097176867</v>
      </c>
      <c r="E85" s="7"/>
      <c r="F85" s="107">
        <f>SUM(F76:F84)</f>
        <v>0.34895885860877984</v>
      </c>
      <c r="G85" s="7"/>
      <c r="J85" s="28">
        <f>SUM(J76:J84)</f>
        <v>7672.8785705776445</v>
      </c>
      <c r="L85" s="107">
        <f>SUM(L76:L84)</f>
        <v>0.49341659574604707</v>
      </c>
      <c r="N85" s="7"/>
      <c r="O85" s="27"/>
      <c r="P85" s="7"/>
      <c r="Q85" s="79"/>
    </row>
    <row r="86" spans="1:23" ht="13.5" thickTop="1">
      <c r="B86" s="7"/>
      <c r="C86" s="14"/>
      <c r="D86" s="7"/>
      <c r="E86" s="7"/>
      <c r="F86" s="7"/>
      <c r="G86" s="7"/>
      <c r="H86" s="8"/>
      <c r="I86" s="8"/>
      <c r="L86" s="7"/>
      <c r="O86" s="24"/>
      <c r="S86" s="8"/>
      <c r="T86" s="8"/>
      <c r="U86" s="8"/>
    </row>
    <row r="87" spans="1:23">
      <c r="B87" s="7"/>
    </row>
    <row r="88" spans="1:23">
      <c r="B88" s="7"/>
    </row>
    <row r="89" spans="1:23">
      <c r="B89" s="7"/>
    </row>
    <row r="90" spans="1:23">
      <c r="B90" s="7"/>
    </row>
    <row r="91" spans="1:23">
      <c r="B91" s="7"/>
    </row>
    <row r="92" spans="1:23">
      <c r="B92" s="7"/>
    </row>
    <row r="93" spans="1:23">
      <c r="B93" s="7"/>
    </row>
  </sheetData>
  <printOptions gridLines="1"/>
  <pageMargins left="0.37" right="0.26" top="0.24" bottom="0.21" header="0.17" footer="0.17"/>
  <pageSetup scale="65" fitToHeight="2" orientation="portrait" r:id="rId1"/>
  <headerFooter>
    <oddHeader>&amp;Cconfidential and proprietary</oddHeader>
    <oddFooter>&amp;L&amp;"Times New Roman,Regular"&amp;Z&amp;F&amp;C&amp;"Times New Roman,Regular"
&amp;R&amp;A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A94"/>
  <sheetViews>
    <sheetView topLeftCell="A66" zoomScale="75" zoomScaleNormal="75" workbookViewId="0">
      <selection activeCell="Y86" sqref="Y86"/>
    </sheetView>
  </sheetViews>
  <sheetFormatPr defaultRowHeight="13"/>
  <cols>
    <col min="1" max="1" width="43.54296875" style="8" customWidth="1"/>
    <col min="2" max="2" width="1.453125" style="7" hidden="1" customWidth="1"/>
    <col min="3" max="3" width="11.453125" style="8" hidden="1" customWidth="1"/>
    <col min="4" max="4" width="2" style="7" hidden="1" customWidth="1"/>
    <col min="5" max="5" width="11.453125" style="8" hidden="1" customWidth="1"/>
    <col min="6" max="6" width="0.81640625" style="7" hidden="1" customWidth="1"/>
    <col min="7" max="7" width="12.7265625" style="8" hidden="1" customWidth="1"/>
    <col min="8" max="8" width="0.81640625" style="7" customWidth="1"/>
    <col min="9" max="9" width="10.81640625" style="8" customWidth="1"/>
    <col min="10" max="10" width="1.81640625" style="8" customWidth="1"/>
    <col min="11" max="11" width="11.26953125" style="8" customWidth="1"/>
    <col min="12" max="12" width="1.1796875" style="8" customWidth="1"/>
    <col min="13" max="13" width="12" style="8" customWidth="1"/>
    <col min="14" max="14" width="1.453125" style="8" customWidth="1"/>
    <col min="15" max="15" width="10.81640625" style="8" bestFit="1" customWidth="1"/>
    <col min="16" max="16" width="1.81640625" style="8" customWidth="1"/>
    <col min="17" max="17" width="13.26953125" style="8" customWidth="1"/>
    <col min="18" max="18" width="1.7265625" style="8" customWidth="1"/>
    <col min="20" max="20" width="1.1796875" customWidth="1"/>
    <col min="21" max="21" width="11.81640625" customWidth="1"/>
    <col min="22" max="22" width="0.81640625" style="8" customWidth="1"/>
    <col min="23" max="23" width="12.54296875" style="8" customWidth="1"/>
    <col min="24" max="24" width="2.54296875" style="8" customWidth="1"/>
    <col min="25" max="25" width="11" style="8" customWidth="1"/>
    <col min="26" max="26" width="2.1796875" style="8" customWidth="1"/>
    <col min="27" max="27" width="12.453125" style="8" customWidth="1"/>
    <col min="28" max="28" width="2.1796875" style="8" customWidth="1"/>
    <col min="29" max="29" width="10.54296875" customWidth="1"/>
    <col min="30" max="30" width="1.453125" customWidth="1"/>
    <col min="31" max="31" width="13.54296875" style="13" customWidth="1"/>
    <col min="32" max="32" width="2.26953125" style="8" customWidth="1"/>
    <col min="33" max="33" width="9.54296875" style="8" bestFit="1" customWidth="1"/>
    <col min="34" max="34" width="0.54296875" style="8" customWidth="1"/>
    <col min="35" max="35" width="10.54296875" style="8" customWidth="1"/>
    <col min="36" max="36" width="0.81640625" style="8" customWidth="1"/>
    <col min="37" max="37" width="12.7265625" style="8" customWidth="1"/>
    <col min="38" max="38" width="1" style="8" customWidth="1"/>
    <col min="39" max="39" width="9.54296875" style="8" customWidth="1"/>
    <col min="40" max="40" width="1.1796875" style="8" customWidth="1"/>
    <col min="41" max="41" width="10.453125" style="8" customWidth="1"/>
    <col min="42" max="42" width="0.54296875" style="8" customWidth="1"/>
    <col min="43" max="43" width="8.54296875" style="8" bestFit="1" customWidth="1"/>
    <col min="44" max="44" width="0.54296875" style="8" customWidth="1"/>
    <col min="45" max="45" width="9.54296875" style="8" bestFit="1" customWidth="1"/>
    <col min="46" max="46" width="0.54296875" style="8" customWidth="1"/>
    <col min="47" max="47" width="12" style="8" bestFit="1" customWidth="1"/>
    <col min="48" max="48" width="0.54296875" style="8" customWidth="1"/>
    <col min="49" max="49" width="8.54296875" style="8" bestFit="1" customWidth="1"/>
    <col min="50" max="50" width="1.1796875" style="8" customWidth="1"/>
    <col min="51" max="51" width="9.1796875" style="8"/>
    <col min="52" max="52" width="0.7265625" style="8" customWidth="1"/>
    <col min="53" max="53" width="9.1796875" style="8"/>
    <col min="54" max="54" width="1.1796875" style="8" customWidth="1"/>
    <col min="55" max="256" width="9.1796875" style="8"/>
    <col min="257" max="257" width="43.54296875" style="8" customWidth="1"/>
    <col min="258" max="263" width="0" style="8" hidden="1" customWidth="1"/>
    <col min="264" max="264" width="0.81640625" style="8" customWidth="1"/>
    <col min="265" max="265" width="10.81640625" style="8" customWidth="1"/>
    <col min="266" max="266" width="1.81640625" style="8" customWidth="1"/>
    <col min="267" max="267" width="11.26953125" style="8" customWidth="1"/>
    <col min="268" max="268" width="1.1796875" style="8" customWidth="1"/>
    <col min="269" max="269" width="12" style="8" customWidth="1"/>
    <col min="270" max="270" width="1.453125" style="8" customWidth="1"/>
    <col min="271" max="271" width="10.81640625" style="8" bestFit="1" customWidth="1"/>
    <col min="272" max="272" width="1.81640625" style="8" customWidth="1"/>
    <col min="273" max="273" width="13.26953125" style="8" customWidth="1"/>
    <col min="274" max="274" width="1.7265625" style="8" customWidth="1"/>
    <col min="275" max="275" width="9.1796875" style="8"/>
    <col min="276" max="276" width="1.1796875" style="8" customWidth="1"/>
    <col min="277" max="277" width="11.81640625" style="8" customWidth="1"/>
    <col min="278" max="278" width="0.81640625" style="8" customWidth="1"/>
    <col min="279" max="279" width="12.54296875" style="8" customWidth="1"/>
    <col min="280" max="280" width="2.54296875" style="8" customWidth="1"/>
    <col min="281" max="281" width="11" style="8" customWidth="1"/>
    <col min="282" max="282" width="2.1796875" style="8" customWidth="1"/>
    <col min="283" max="283" width="12.453125" style="8" customWidth="1"/>
    <col min="284" max="284" width="2.1796875" style="8" customWidth="1"/>
    <col min="285" max="285" width="10.54296875" style="8" customWidth="1"/>
    <col min="286" max="286" width="1.453125" style="8" customWidth="1"/>
    <col min="287" max="287" width="10.1796875" style="8" customWidth="1"/>
    <col min="288" max="288" width="2.26953125" style="8" customWidth="1"/>
    <col min="289" max="289" width="9.54296875" style="8" bestFit="1" customWidth="1"/>
    <col min="290" max="290" width="0.54296875" style="8" customWidth="1"/>
    <col min="291" max="291" width="10.54296875" style="8" customWidth="1"/>
    <col min="292" max="292" width="0.81640625" style="8" customWidth="1"/>
    <col min="293" max="293" width="12.7265625" style="8" customWidth="1"/>
    <col min="294" max="294" width="1" style="8" customWidth="1"/>
    <col min="295" max="295" width="9.54296875" style="8" customWidth="1"/>
    <col min="296" max="296" width="1.1796875" style="8" customWidth="1"/>
    <col min="297" max="297" width="10.453125" style="8" customWidth="1"/>
    <col min="298" max="298" width="0.54296875" style="8" customWidth="1"/>
    <col min="299" max="299" width="8.54296875" style="8" bestFit="1" customWidth="1"/>
    <col min="300" max="300" width="0.54296875" style="8" customWidth="1"/>
    <col min="301" max="301" width="9.54296875" style="8" bestFit="1" customWidth="1"/>
    <col min="302" max="302" width="0.54296875" style="8" customWidth="1"/>
    <col min="303" max="303" width="12" style="8" bestFit="1" customWidth="1"/>
    <col min="304" max="304" width="0.54296875" style="8" customWidth="1"/>
    <col min="305" max="305" width="8.54296875" style="8" bestFit="1" customWidth="1"/>
    <col min="306" max="306" width="1.1796875" style="8" customWidth="1"/>
    <col min="307" max="307" width="9.1796875" style="8"/>
    <col min="308" max="308" width="0.7265625" style="8" customWidth="1"/>
    <col min="309" max="309" width="9.1796875" style="8"/>
    <col min="310" max="310" width="1.1796875" style="8" customWidth="1"/>
    <col min="311" max="512" width="9.1796875" style="8"/>
    <col min="513" max="513" width="43.54296875" style="8" customWidth="1"/>
    <col min="514" max="519" width="0" style="8" hidden="1" customWidth="1"/>
    <col min="520" max="520" width="0.81640625" style="8" customWidth="1"/>
    <col min="521" max="521" width="10.81640625" style="8" customWidth="1"/>
    <col min="522" max="522" width="1.81640625" style="8" customWidth="1"/>
    <col min="523" max="523" width="11.26953125" style="8" customWidth="1"/>
    <col min="524" max="524" width="1.1796875" style="8" customWidth="1"/>
    <col min="525" max="525" width="12" style="8" customWidth="1"/>
    <col min="526" max="526" width="1.453125" style="8" customWidth="1"/>
    <col min="527" max="527" width="10.81640625" style="8" bestFit="1" customWidth="1"/>
    <col min="528" max="528" width="1.81640625" style="8" customWidth="1"/>
    <col min="529" max="529" width="13.26953125" style="8" customWidth="1"/>
    <col min="530" max="530" width="1.7265625" style="8" customWidth="1"/>
    <col min="531" max="531" width="9.1796875" style="8"/>
    <col min="532" max="532" width="1.1796875" style="8" customWidth="1"/>
    <col min="533" max="533" width="11.81640625" style="8" customWidth="1"/>
    <col min="534" max="534" width="0.81640625" style="8" customWidth="1"/>
    <col min="535" max="535" width="12.54296875" style="8" customWidth="1"/>
    <col min="536" max="536" width="2.54296875" style="8" customWidth="1"/>
    <col min="537" max="537" width="11" style="8" customWidth="1"/>
    <col min="538" max="538" width="2.1796875" style="8" customWidth="1"/>
    <col min="539" max="539" width="12.453125" style="8" customWidth="1"/>
    <col min="540" max="540" width="2.1796875" style="8" customWidth="1"/>
    <col min="541" max="541" width="10.54296875" style="8" customWidth="1"/>
    <col min="542" max="542" width="1.453125" style="8" customWidth="1"/>
    <col min="543" max="543" width="10.1796875" style="8" customWidth="1"/>
    <col min="544" max="544" width="2.26953125" style="8" customWidth="1"/>
    <col min="545" max="545" width="9.54296875" style="8" bestFit="1" customWidth="1"/>
    <col min="546" max="546" width="0.54296875" style="8" customWidth="1"/>
    <col min="547" max="547" width="10.54296875" style="8" customWidth="1"/>
    <col min="548" max="548" width="0.81640625" style="8" customWidth="1"/>
    <col min="549" max="549" width="12.7265625" style="8" customWidth="1"/>
    <col min="550" max="550" width="1" style="8" customWidth="1"/>
    <col min="551" max="551" width="9.54296875" style="8" customWidth="1"/>
    <col min="552" max="552" width="1.1796875" style="8" customWidth="1"/>
    <col min="553" max="553" width="10.453125" style="8" customWidth="1"/>
    <col min="554" max="554" width="0.54296875" style="8" customWidth="1"/>
    <col min="555" max="555" width="8.54296875" style="8" bestFit="1" customWidth="1"/>
    <col min="556" max="556" width="0.54296875" style="8" customWidth="1"/>
    <col min="557" max="557" width="9.54296875" style="8" bestFit="1" customWidth="1"/>
    <col min="558" max="558" width="0.54296875" style="8" customWidth="1"/>
    <col min="559" max="559" width="12" style="8" bestFit="1" customWidth="1"/>
    <col min="560" max="560" width="0.54296875" style="8" customWidth="1"/>
    <col min="561" max="561" width="8.54296875" style="8" bestFit="1" customWidth="1"/>
    <col min="562" max="562" width="1.1796875" style="8" customWidth="1"/>
    <col min="563" max="563" width="9.1796875" style="8"/>
    <col min="564" max="564" width="0.7265625" style="8" customWidth="1"/>
    <col min="565" max="565" width="9.1796875" style="8"/>
    <col min="566" max="566" width="1.1796875" style="8" customWidth="1"/>
    <col min="567" max="768" width="9.1796875" style="8"/>
    <col min="769" max="769" width="43.54296875" style="8" customWidth="1"/>
    <col min="770" max="775" width="0" style="8" hidden="1" customWidth="1"/>
    <col min="776" max="776" width="0.81640625" style="8" customWidth="1"/>
    <col min="777" max="777" width="10.81640625" style="8" customWidth="1"/>
    <col min="778" max="778" width="1.81640625" style="8" customWidth="1"/>
    <col min="779" max="779" width="11.26953125" style="8" customWidth="1"/>
    <col min="780" max="780" width="1.1796875" style="8" customWidth="1"/>
    <col min="781" max="781" width="12" style="8" customWidth="1"/>
    <col min="782" max="782" width="1.453125" style="8" customWidth="1"/>
    <col min="783" max="783" width="10.81640625" style="8" bestFit="1" customWidth="1"/>
    <col min="784" max="784" width="1.81640625" style="8" customWidth="1"/>
    <col min="785" max="785" width="13.26953125" style="8" customWidth="1"/>
    <col min="786" max="786" width="1.7265625" style="8" customWidth="1"/>
    <col min="787" max="787" width="9.1796875" style="8"/>
    <col min="788" max="788" width="1.1796875" style="8" customWidth="1"/>
    <col min="789" max="789" width="11.81640625" style="8" customWidth="1"/>
    <col min="790" max="790" width="0.81640625" style="8" customWidth="1"/>
    <col min="791" max="791" width="12.54296875" style="8" customWidth="1"/>
    <col min="792" max="792" width="2.54296875" style="8" customWidth="1"/>
    <col min="793" max="793" width="11" style="8" customWidth="1"/>
    <col min="794" max="794" width="2.1796875" style="8" customWidth="1"/>
    <col min="795" max="795" width="12.453125" style="8" customWidth="1"/>
    <col min="796" max="796" width="2.1796875" style="8" customWidth="1"/>
    <col min="797" max="797" width="10.54296875" style="8" customWidth="1"/>
    <col min="798" max="798" width="1.453125" style="8" customWidth="1"/>
    <col min="799" max="799" width="10.1796875" style="8" customWidth="1"/>
    <col min="800" max="800" width="2.26953125" style="8" customWidth="1"/>
    <col min="801" max="801" width="9.54296875" style="8" bestFit="1" customWidth="1"/>
    <col min="802" max="802" width="0.54296875" style="8" customWidth="1"/>
    <col min="803" max="803" width="10.54296875" style="8" customWidth="1"/>
    <col min="804" max="804" width="0.81640625" style="8" customWidth="1"/>
    <col min="805" max="805" width="12.7265625" style="8" customWidth="1"/>
    <col min="806" max="806" width="1" style="8" customWidth="1"/>
    <col min="807" max="807" width="9.54296875" style="8" customWidth="1"/>
    <col min="808" max="808" width="1.1796875" style="8" customWidth="1"/>
    <col min="809" max="809" width="10.453125" style="8" customWidth="1"/>
    <col min="810" max="810" width="0.54296875" style="8" customWidth="1"/>
    <col min="811" max="811" width="8.54296875" style="8" bestFit="1" customWidth="1"/>
    <col min="812" max="812" width="0.54296875" style="8" customWidth="1"/>
    <col min="813" max="813" width="9.54296875" style="8" bestFit="1" customWidth="1"/>
    <col min="814" max="814" width="0.54296875" style="8" customWidth="1"/>
    <col min="815" max="815" width="12" style="8" bestFit="1" customWidth="1"/>
    <col min="816" max="816" width="0.54296875" style="8" customWidth="1"/>
    <col min="817" max="817" width="8.54296875" style="8" bestFit="1" customWidth="1"/>
    <col min="818" max="818" width="1.1796875" style="8" customWidth="1"/>
    <col min="819" max="819" width="9.1796875" style="8"/>
    <col min="820" max="820" width="0.7265625" style="8" customWidth="1"/>
    <col min="821" max="821" width="9.1796875" style="8"/>
    <col min="822" max="822" width="1.1796875" style="8" customWidth="1"/>
    <col min="823" max="1024" width="9.1796875" style="8"/>
    <col min="1025" max="1025" width="43.54296875" style="8" customWidth="1"/>
    <col min="1026" max="1031" width="0" style="8" hidden="1" customWidth="1"/>
    <col min="1032" max="1032" width="0.81640625" style="8" customWidth="1"/>
    <col min="1033" max="1033" width="10.81640625" style="8" customWidth="1"/>
    <col min="1034" max="1034" width="1.81640625" style="8" customWidth="1"/>
    <col min="1035" max="1035" width="11.26953125" style="8" customWidth="1"/>
    <col min="1036" max="1036" width="1.1796875" style="8" customWidth="1"/>
    <col min="1037" max="1037" width="12" style="8" customWidth="1"/>
    <col min="1038" max="1038" width="1.453125" style="8" customWidth="1"/>
    <col min="1039" max="1039" width="10.81640625" style="8" bestFit="1" customWidth="1"/>
    <col min="1040" max="1040" width="1.81640625" style="8" customWidth="1"/>
    <col min="1041" max="1041" width="13.26953125" style="8" customWidth="1"/>
    <col min="1042" max="1042" width="1.7265625" style="8" customWidth="1"/>
    <col min="1043" max="1043" width="9.1796875" style="8"/>
    <col min="1044" max="1044" width="1.1796875" style="8" customWidth="1"/>
    <col min="1045" max="1045" width="11.81640625" style="8" customWidth="1"/>
    <col min="1046" max="1046" width="0.81640625" style="8" customWidth="1"/>
    <col min="1047" max="1047" width="12.54296875" style="8" customWidth="1"/>
    <col min="1048" max="1048" width="2.54296875" style="8" customWidth="1"/>
    <col min="1049" max="1049" width="11" style="8" customWidth="1"/>
    <col min="1050" max="1050" width="2.1796875" style="8" customWidth="1"/>
    <col min="1051" max="1051" width="12.453125" style="8" customWidth="1"/>
    <col min="1052" max="1052" width="2.1796875" style="8" customWidth="1"/>
    <col min="1053" max="1053" width="10.54296875" style="8" customWidth="1"/>
    <col min="1054" max="1054" width="1.453125" style="8" customWidth="1"/>
    <col min="1055" max="1055" width="10.1796875" style="8" customWidth="1"/>
    <col min="1056" max="1056" width="2.26953125" style="8" customWidth="1"/>
    <col min="1057" max="1057" width="9.54296875" style="8" bestFit="1" customWidth="1"/>
    <col min="1058" max="1058" width="0.54296875" style="8" customWidth="1"/>
    <col min="1059" max="1059" width="10.54296875" style="8" customWidth="1"/>
    <col min="1060" max="1060" width="0.81640625" style="8" customWidth="1"/>
    <col min="1061" max="1061" width="12.7265625" style="8" customWidth="1"/>
    <col min="1062" max="1062" width="1" style="8" customWidth="1"/>
    <col min="1063" max="1063" width="9.54296875" style="8" customWidth="1"/>
    <col min="1064" max="1064" width="1.1796875" style="8" customWidth="1"/>
    <col min="1065" max="1065" width="10.453125" style="8" customWidth="1"/>
    <col min="1066" max="1066" width="0.54296875" style="8" customWidth="1"/>
    <col min="1067" max="1067" width="8.54296875" style="8" bestFit="1" customWidth="1"/>
    <col min="1068" max="1068" width="0.54296875" style="8" customWidth="1"/>
    <col min="1069" max="1069" width="9.54296875" style="8" bestFit="1" customWidth="1"/>
    <col min="1070" max="1070" width="0.54296875" style="8" customWidth="1"/>
    <col min="1071" max="1071" width="12" style="8" bestFit="1" customWidth="1"/>
    <col min="1072" max="1072" width="0.54296875" style="8" customWidth="1"/>
    <col min="1073" max="1073" width="8.54296875" style="8" bestFit="1" customWidth="1"/>
    <col min="1074" max="1074" width="1.1796875" style="8" customWidth="1"/>
    <col min="1075" max="1075" width="9.1796875" style="8"/>
    <col min="1076" max="1076" width="0.7265625" style="8" customWidth="1"/>
    <col min="1077" max="1077" width="9.1796875" style="8"/>
    <col min="1078" max="1078" width="1.1796875" style="8" customWidth="1"/>
    <col min="1079" max="1280" width="9.1796875" style="8"/>
    <col min="1281" max="1281" width="43.54296875" style="8" customWidth="1"/>
    <col min="1282" max="1287" width="0" style="8" hidden="1" customWidth="1"/>
    <col min="1288" max="1288" width="0.81640625" style="8" customWidth="1"/>
    <col min="1289" max="1289" width="10.81640625" style="8" customWidth="1"/>
    <col min="1290" max="1290" width="1.81640625" style="8" customWidth="1"/>
    <col min="1291" max="1291" width="11.26953125" style="8" customWidth="1"/>
    <col min="1292" max="1292" width="1.1796875" style="8" customWidth="1"/>
    <col min="1293" max="1293" width="12" style="8" customWidth="1"/>
    <col min="1294" max="1294" width="1.453125" style="8" customWidth="1"/>
    <col min="1295" max="1295" width="10.81640625" style="8" bestFit="1" customWidth="1"/>
    <col min="1296" max="1296" width="1.81640625" style="8" customWidth="1"/>
    <col min="1297" max="1297" width="13.26953125" style="8" customWidth="1"/>
    <col min="1298" max="1298" width="1.7265625" style="8" customWidth="1"/>
    <col min="1299" max="1299" width="9.1796875" style="8"/>
    <col min="1300" max="1300" width="1.1796875" style="8" customWidth="1"/>
    <col min="1301" max="1301" width="11.81640625" style="8" customWidth="1"/>
    <col min="1302" max="1302" width="0.81640625" style="8" customWidth="1"/>
    <col min="1303" max="1303" width="12.54296875" style="8" customWidth="1"/>
    <col min="1304" max="1304" width="2.54296875" style="8" customWidth="1"/>
    <col min="1305" max="1305" width="11" style="8" customWidth="1"/>
    <col min="1306" max="1306" width="2.1796875" style="8" customWidth="1"/>
    <col min="1307" max="1307" width="12.453125" style="8" customWidth="1"/>
    <col min="1308" max="1308" width="2.1796875" style="8" customWidth="1"/>
    <col min="1309" max="1309" width="10.54296875" style="8" customWidth="1"/>
    <col min="1310" max="1310" width="1.453125" style="8" customWidth="1"/>
    <col min="1311" max="1311" width="10.1796875" style="8" customWidth="1"/>
    <col min="1312" max="1312" width="2.26953125" style="8" customWidth="1"/>
    <col min="1313" max="1313" width="9.54296875" style="8" bestFit="1" customWidth="1"/>
    <col min="1314" max="1314" width="0.54296875" style="8" customWidth="1"/>
    <col min="1315" max="1315" width="10.54296875" style="8" customWidth="1"/>
    <col min="1316" max="1316" width="0.81640625" style="8" customWidth="1"/>
    <col min="1317" max="1317" width="12.7265625" style="8" customWidth="1"/>
    <col min="1318" max="1318" width="1" style="8" customWidth="1"/>
    <col min="1319" max="1319" width="9.54296875" style="8" customWidth="1"/>
    <col min="1320" max="1320" width="1.1796875" style="8" customWidth="1"/>
    <col min="1321" max="1321" width="10.453125" style="8" customWidth="1"/>
    <col min="1322" max="1322" width="0.54296875" style="8" customWidth="1"/>
    <col min="1323" max="1323" width="8.54296875" style="8" bestFit="1" customWidth="1"/>
    <col min="1324" max="1324" width="0.54296875" style="8" customWidth="1"/>
    <col min="1325" max="1325" width="9.54296875" style="8" bestFit="1" customWidth="1"/>
    <col min="1326" max="1326" width="0.54296875" style="8" customWidth="1"/>
    <col min="1327" max="1327" width="12" style="8" bestFit="1" customWidth="1"/>
    <col min="1328" max="1328" width="0.54296875" style="8" customWidth="1"/>
    <col min="1329" max="1329" width="8.54296875" style="8" bestFit="1" customWidth="1"/>
    <col min="1330" max="1330" width="1.1796875" style="8" customWidth="1"/>
    <col min="1331" max="1331" width="9.1796875" style="8"/>
    <col min="1332" max="1332" width="0.7265625" style="8" customWidth="1"/>
    <col min="1333" max="1333" width="9.1796875" style="8"/>
    <col min="1334" max="1334" width="1.1796875" style="8" customWidth="1"/>
    <col min="1335" max="1536" width="9.1796875" style="8"/>
    <col min="1537" max="1537" width="43.54296875" style="8" customWidth="1"/>
    <col min="1538" max="1543" width="0" style="8" hidden="1" customWidth="1"/>
    <col min="1544" max="1544" width="0.81640625" style="8" customWidth="1"/>
    <col min="1545" max="1545" width="10.81640625" style="8" customWidth="1"/>
    <col min="1546" max="1546" width="1.81640625" style="8" customWidth="1"/>
    <col min="1547" max="1547" width="11.26953125" style="8" customWidth="1"/>
    <col min="1548" max="1548" width="1.1796875" style="8" customWidth="1"/>
    <col min="1549" max="1549" width="12" style="8" customWidth="1"/>
    <col min="1550" max="1550" width="1.453125" style="8" customWidth="1"/>
    <col min="1551" max="1551" width="10.81640625" style="8" bestFit="1" customWidth="1"/>
    <col min="1552" max="1552" width="1.81640625" style="8" customWidth="1"/>
    <col min="1553" max="1553" width="13.26953125" style="8" customWidth="1"/>
    <col min="1554" max="1554" width="1.7265625" style="8" customWidth="1"/>
    <col min="1555" max="1555" width="9.1796875" style="8"/>
    <col min="1556" max="1556" width="1.1796875" style="8" customWidth="1"/>
    <col min="1557" max="1557" width="11.81640625" style="8" customWidth="1"/>
    <col min="1558" max="1558" width="0.81640625" style="8" customWidth="1"/>
    <col min="1559" max="1559" width="12.54296875" style="8" customWidth="1"/>
    <col min="1560" max="1560" width="2.54296875" style="8" customWidth="1"/>
    <col min="1561" max="1561" width="11" style="8" customWidth="1"/>
    <col min="1562" max="1562" width="2.1796875" style="8" customWidth="1"/>
    <col min="1563" max="1563" width="12.453125" style="8" customWidth="1"/>
    <col min="1564" max="1564" width="2.1796875" style="8" customWidth="1"/>
    <col min="1565" max="1565" width="10.54296875" style="8" customWidth="1"/>
    <col min="1566" max="1566" width="1.453125" style="8" customWidth="1"/>
    <col min="1567" max="1567" width="10.1796875" style="8" customWidth="1"/>
    <col min="1568" max="1568" width="2.26953125" style="8" customWidth="1"/>
    <col min="1569" max="1569" width="9.54296875" style="8" bestFit="1" customWidth="1"/>
    <col min="1570" max="1570" width="0.54296875" style="8" customWidth="1"/>
    <col min="1571" max="1571" width="10.54296875" style="8" customWidth="1"/>
    <col min="1572" max="1572" width="0.81640625" style="8" customWidth="1"/>
    <col min="1573" max="1573" width="12.7265625" style="8" customWidth="1"/>
    <col min="1574" max="1574" width="1" style="8" customWidth="1"/>
    <col min="1575" max="1575" width="9.54296875" style="8" customWidth="1"/>
    <col min="1576" max="1576" width="1.1796875" style="8" customWidth="1"/>
    <col min="1577" max="1577" width="10.453125" style="8" customWidth="1"/>
    <col min="1578" max="1578" width="0.54296875" style="8" customWidth="1"/>
    <col min="1579" max="1579" width="8.54296875" style="8" bestFit="1" customWidth="1"/>
    <col min="1580" max="1580" width="0.54296875" style="8" customWidth="1"/>
    <col min="1581" max="1581" width="9.54296875" style="8" bestFit="1" customWidth="1"/>
    <col min="1582" max="1582" width="0.54296875" style="8" customWidth="1"/>
    <col min="1583" max="1583" width="12" style="8" bestFit="1" customWidth="1"/>
    <col min="1584" max="1584" width="0.54296875" style="8" customWidth="1"/>
    <col min="1585" max="1585" width="8.54296875" style="8" bestFit="1" customWidth="1"/>
    <col min="1586" max="1586" width="1.1796875" style="8" customWidth="1"/>
    <col min="1587" max="1587" width="9.1796875" style="8"/>
    <col min="1588" max="1588" width="0.7265625" style="8" customWidth="1"/>
    <col min="1589" max="1589" width="9.1796875" style="8"/>
    <col min="1590" max="1590" width="1.1796875" style="8" customWidth="1"/>
    <col min="1591" max="1792" width="9.1796875" style="8"/>
    <col min="1793" max="1793" width="43.54296875" style="8" customWidth="1"/>
    <col min="1794" max="1799" width="0" style="8" hidden="1" customWidth="1"/>
    <col min="1800" max="1800" width="0.81640625" style="8" customWidth="1"/>
    <col min="1801" max="1801" width="10.81640625" style="8" customWidth="1"/>
    <col min="1802" max="1802" width="1.81640625" style="8" customWidth="1"/>
    <col min="1803" max="1803" width="11.26953125" style="8" customWidth="1"/>
    <col min="1804" max="1804" width="1.1796875" style="8" customWidth="1"/>
    <col min="1805" max="1805" width="12" style="8" customWidth="1"/>
    <col min="1806" max="1806" width="1.453125" style="8" customWidth="1"/>
    <col min="1807" max="1807" width="10.81640625" style="8" bestFit="1" customWidth="1"/>
    <col min="1808" max="1808" width="1.81640625" style="8" customWidth="1"/>
    <col min="1809" max="1809" width="13.26953125" style="8" customWidth="1"/>
    <col min="1810" max="1810" width="1.7265625" style="8" customWidth="1"/>
    <col min="1811" max="1811" width="9.1796875" style="8"/>
    <col min="1812" max="1812" width="1.1796875" style="8" customWidth="1"/>
    <col min="1813" max="1813" width="11.81640625" style="8" customWidth="1"/>
    <col min="1814" max="1814" width="0.81640625" style="8" customWidth="1"/>
    <col min="1815" max="1815" width="12.54296875" style="8" customWidth="1"/>
    <col min="1816" max="1816" width="2.54296875" style="8" customWidth="1"/>
    <col min="1817" max="1817" width="11" style="8" customWidth="1"/>
    <col min="1818" max="1818" width="2.1796875" style="8" customWidth="1"/>
    <col min="1819" max="1819" width="12.453125" style="8" customWidth="1"/>
    <col min="1820" max="1820" width="2.1796875" style="8" customWidth="1"/>
    <col min="1821" max="1821" width="10.54296875" style="8" customWidth="1"/>
    <col min="1822" max="1822" width="1.453125" style="8" customWidth="1"/>
    <col min="1823" max="1823" width="10.1796875" style="8" customWidth="1"/>
    <col min="1824" max="1824" width="2.26953125" style="8" customWidth="1"/>
    <col min="1825" max="1825" width="9.54296875" style="8" bestFit="1" customWidth="1"/>
    <col min="1826" max="1826" width="0.54296875" style="8" customWidth="1"/>
    <col min="1827" max="1827" width="10.54296875" style="8" customWidth="1"/>
    <col min="1828" max="1828" width="0.81640625" style="8" customWidth="1"/>
    <col min="1829" max="1829" width="12.7265625" style="8" customWidth="1"/>
    <col min="1830" max="1830" width="1" style="8" customWidth="1"/>
    <col min="1831" max="1831" width="9.54296875" style="8" customWidth="1"/>
    <col min="1832" max="1832" width="1.1796875" style="8" customWidth="1"/>
    <col min="1833" max="1833" width="10.453125" style="8" customWidth="1"/>
    <col min="1834" max="1834" width="0.54296875" style="8" customWidth="1"/>
    <col min="1835" max="1835" width="8.54296875" style="8" bestFit="1" customWidth="1"/>
    <col min="1836" max="1836" width="0.54296875" style="8" customWidth="1"/>
    <col min="1837" max="1837" width="9.54296875" style="8" bestFit="1" customWidth="1"/>
    <col min="1838" max="1838" width="0.54296875" style="8" customWidth="1"/>
    <col min="1839" max="1839" width="12" style="8" bestFit="1" customWidth="1"/>
    <col min="1840" max="1840" width="0.54296875" style="8" customWidth="1"/>
    <col min="1841" max="1841" width="8.54296875" style="8" bestFit="1" customWidth="1"/>
    <col min="1842" max="1842" width="1.1796875" style="8" customWidth="1"/>
    <col min="1843" max="1843" width="9.1796875" style="8"/>
    <col min="1844" max="1844" width="0.7265625" style="8" customWidth="1"/>
    <col min="1845" max="1845" width="9.1796875" style="8"/>
    <col min="1846" max="1846" width="1.1796875" style="8" customWidth="1"/>
    <col min="1847" max="2048" width="9.1796875" style="8"/>
    <col min="2049" max="2049" width="43.54296875" style="8" customWidth="1"/>
    <col min="2050" max="2055" width="0" style="8" hidden="1" customWidth="1"/>
    <col min="2056" max="2056" width="0.81640625" style="8" customWidth="1"/>
    <col min="2057" max="2057" width="10.81640625" style="8" customWidth="1"/>
    <col min="2058" max="2058" width="1.81640625" style="8" customWidth="1"/>
    <col min="2059" max="2059" width="11.26953125" style="8" customWidth="1"/>
    <col min="2060" max="2060" width="1.1796875" style="8" customWidth="1"/>
    <col min="2061" max="2061" width="12" style="8" customWidth="1"/>
    <col min="2062" max="2062" width="1.453125" style="8" customWidth="1"/>
    <col min="2063" max="2063" width="10.81640625" style="8" bestFit="1" customWidth="1"/>
    <col min="2064" max="2064" width="1.81640625" style="8" customWidth="1"/>
    <col min="2065" max="2065" width="13.26953125" style="8" customWidth="1"/>
    <col min="2066" max="2066" width="1.7265625" style="8" customWidth="1"/>
    <col min="2067" max="2067" width="9.1796875" style="8"/>
    <col min="2068" max="2068" width="1.1796875" style="8" customWidth="1"/>
    <col min="2069" max="2069" width="11.81640625" style="8" customWidth="1"/>
    <col min="2070" max="2070" width="0.81640625" style="8" customWidth="1"/>
    <col min="2071" max="2071" width="12.54296875" style="8" customWidth="1"/>
    <col min="2072" max="2072" width="2.54296875" style="8" customWidth="1"/>
    <col min="2073" max="2073" width="11" style="8" customWidth="1"/>
    <col min="2074" max="2074" width="2.1796875" style="8" customWidth="1"/>
    <col min="2075" max="2075" width="12.453125" style="8" customWidth="1"/>
    <col min="2076" max="2076" width="2.1796875" style="8" customWidth="1"/>
    <col min="2077" max="2077" width="10.54296875" style="8" customWidth="1"/>
    <col min="2078" max="2078" width="1.453125" style="8" customWidth="1"/>
    <col min="2079" max="2079" width="10.1796875" style="8" customWidth="1"/>
    <col min="2080" max="2080" width="2.26953125" style="8" customWidth="1"/>
    <col min="2081" max="2081" width="9.54296875" style="8" bestFit="1" customWidth="1"/>
    <col min="2082" max="2082" width="0.54296875" style="8" customWidth="1"/>
    <col min="2083" max="2083" width="10.54296875" style="8" customWidth="1"/>
    <col min="2084" max="2084" width="0.81640625" style="8" customWidth="1"/>
    <col min="2085" max="2085" width="12.7265625" style="8" customWidth="1"/>
    <col min="2086" max="2086" width="1" style="8" customWidth="1"/>
    <col min="2087" max="2087" width="9.54296875" style="8" customWidth="1"/>
    <col min="2088" max="2088" width="1.1796875" style="8" customWidth="1"/>
    <col min="2089" max="2089" width="10.453125" style="8" customWidth="1"/>
    <col min="2090" max="2090" width="0.54296875" style="8" customWidth="1"/>
    <col min="2091" max="2091" width="8.54296875" style="8" bestFit="1" customWidth="1"/>
    <col min="2092" max="2092" width="0.54296875" style="8" customWidth="1"/>
    <col min="2093" max="2093" width="9.54296875" style="8" bestFit="1" customWidth="1"/>
    <col min="2094" max="2094" width="0.54296875" style="8" customWidth="1"/>
    <col min="2095" max="2095" width="12" style="8" bestFit="1" customWidth="1"/>
    <col min="2096" max="2096" width="0.54296875" style="8" customWidth="1"/>
    <col min="2097" max="2097" width="8.54296875" style="8" bestFit="1" customWidth="1"/>
    <col min="2098" max="2098" width="1.1796875" style="8" customWidth="1"/>
    <col min="2099" max="2099" width="9.1796875" style="8"/>
    <col min="2100" max="2100" width="0.7265625" style="8" customWidth="1"/>
    <col min="2101" max="2101" width="9.1796875" style="8"/>
    <col min="2102" max="2102" width="1.1796875" style="8" customWidth="1"/>
    <col min="2103" max="2304" width="9.1796875" style="8"/>
    <col min="2305" max="2305" width="43.54296875" style="8" customWidth="1"/>
    <col min="2306" max="2311" width="0" style="8" hidden="1" customWidth="1"/>
    <col min="2312" max="2312" width="0.81640625" style="8" customWidth="1"/>
    <col min="2313" max="2313" width="10.81640625" style="8" customWidth="1"/>
    <col min="2314" max="2314" width="1.81640625" style="8" customWidth="1"/>
    <col min="2315" max="2315" width="11.26953125" style="8" customWidth="1"/>
    <col min="2316" max="2316" width="1.1796875" style="8" customWidth="1"/>
    <col min="2317" max="2317" width="12" style="8" customWidth="1"/>
    <col min="2318" max="2318" width="1.453125" style="8" customWidth="1"/>
    <col min="2319" max="2319" width="10.81640625" style="8" bestFit="1" customWidth="1"/>
    <col min="2320" max="2320" width="1.81640625" style="8" customWidth="1"/>
    <col min="2321" max="2321" width="13.26953125" style="8" customWidth="1"/>
    <col min="2322" max="2322" width="1.7265625" style="8" customWidth="1"/>
    <col min="2323" max="2323" width="9.1796875" style="8"/>
    <col min="2324" max="2324" width="1.1796875" style="8" customWidth="1"/>
    <col min="2325" max="2325" width="11.81640625" style="8" customWidth="1"/>
    <col min="2326" max="2326" width="0.81640625" style="8" customWidth="1"/>
    <col min="2327" max="2327" width="12.54296875" style="8" customWidth="1"/>
    <col min="2328" max="2328" width="2.54296875" style="8" customWidth="1"/>
    <col min="2329" max="2329" width="11" style="8" customWidth="1"/>
    <col min="2330" max="2330" width="2.1796875" style="8" customWidth="1"/>
    <col min="2331" max="2331" width="12.453125" style="8" customWidth="1"/>
    <col min="2332" max="2332" width="2.1796875" style="8" customWidth="1"/>
    <col min="2333" max="2333" width="10.54296875" style="8" customWidth="1"/>
    <col min="2334" max="2334" width="1.453125" style="8" customWidth="1"/>
    <col min="2335" max="2335" width="10.1796875" style="8" customWidth="1"/>
    <col min="2336" max="2336" width="2.26953125" style="8" customWidth="1"/>
    <col min="2337" max="2337" width="9.54296875" style="8" bestFit="1" customWidth="1"/>
    <col min="2338" max="2338" width="0.54296875" style="8" customWidth="1"/>
    <col min="2339" max="2339" width="10.54296875" style="8" customWidth="1"/>
    <col min="2340" max="2340" width="0.81640625" style="8" customWidth="1"/>
    <col min="2341" max="2341" width="12.7265625" style="8" customWidth="1"/>
    <col min="2342" max="2342" width="1" style="8" customWidth="1"/>
    <col min="2343" max="2343" width="9.54296875" style="8" customWidth="1"/>
    <col min="2344" max="2344" width="1.1796875" style="8" customWidth="1"/>
    <col min="2345" max="2345" width="10.453125" style="8" customWidth="1"/>
    <col min="2346" max="2346" width="0.54296875" style="8" customWidth="1"/>
    <col min="2347" max="2347" width="8.54296875" style="8" bestFit="1" customWidth="1"/>
    <col min="2348" max="2348" width="0.54296875" style="8" customWidth="1"/>
    <col min="2349" max="2349" width="9.54296875" style="8" bestFit="1" customWidth="1"/>
    <col min="2350" max="2350" width="0.54296875" style="8" customWidth="1"/>
    <col min="2351" max="2351" width="12" style="8" bestFit="1" customWidth="1"/>
    <col min="2352" max="2352" width="0.54296875" style="8" customWidth="1"/>
    <col min="2353" max="2353" width="8.54296875" style="8" bestFit="1" customWidth="1"/>
    <col min="2354" max="2354" width="1.1796875" style="8" customWidth="1"/>
    <col min="2355" max="2355" width="9.1796875" style="8"/>
    <col min="2356" max="2356" width="0.7265625" style="8" customWidth="1"/>
    <col min="2357" max="2357" width="9.1796875" style="8"/>
    <col min="2358" max="2358" width="1.1796875" style="8" customWidth="1"/>
    <col min="2359" max="2560" width="9.1796875" style="8"/>
    <col min="2561" max="2561" width="43.54296875" style="8" customWidth="1"/>
    <col min="2562" max="2567" width="0" style="8" hidden="1" customWidth="1"/>
    <col min="2568" max="2568" width="0.81640625" style="8" customWidth="1"/>
    <col min="2569" max="2569" width="10.81640625" style="8" customWidth="1"/>
    <col min="2570" max="2570" width="1.81640625" style="8" customWidth="1"/>
    <col min="2571" max="2571" width="11.26953125" style="8" customWidth="1"/>
    <col min="2572" max="2572" width="1.1796875" style="8" customWidth="1"/>
    <col min="2573" max="2573" width="12" style="8" customWidth="1"/>
    <col min="2574" max="2574" width="1.453125" style="8" customWidth="1"/>
    <col min="2575" max="2575" width="10.81640625" style="8" bestFit="1" customWidth="1"/>
    <col min="2576" max="2576" width="1.81640625" style="8" customWidth="1"/>
    <col min="2577" max="2577" width="13.26953125" style="8" customWidth="1"/>
    <col min="2578" max="2578" width="1.7265625" style="8" customWidth="1"/>
    <col min="2579" max="2579" width="9.1796875" style="8"/>
    <col min="2580" max="2580" width="1.1796875" style="8" customWidth="1"/>
    <col min="2581" max="2581" width="11.81640625" style="8" customWidth="1"/>
    <col min="2582" max="2582" width="0.81640625" style="8" customWidth="1"/>
    <col min="2583" max="2583" width="12.54296875" style="8" customWidth="1"/>
    <col min="2584" max="2584" width="2.54296875" style="8" customWidth="1"/>
    <col min="2585" max="2585" width="11" style="8" customWidth="1"/>
    <col min="2586" max="2586" width="2.1796875" style="8" customWidth="1"/>
    <col min="2587" max="2587" width="12.453125" style="8" customWidth="1"/>
    <col min="2588" max="2588" width="2.1796875" style="8" customWidth="1"/>
    <col min="2589" max="2589" width="10.54296875" style="8" customWidth="1"/>
    <col min="2590" max="2590" width="1.453125" style="8" customWidth="1"/>
    <col min="2591" max="2591" width="10.1796875" style="8" customWidth="1"/>
    <col min="2592" max="2592" width="2.26953125" style="8" customWidth="1"/>
    <col min="2593" max="2593" width="9.54296875" style="8" bestFit="1" customWidth="1"/>
    <col min="2594" max="2594" width="0.54296875" style="8" customWidth="1"/>
    <col min="2595" max="2595" width="10.54296875" style="8" customWidth="1"/>
    <col min="2596" max="2596" width="0.81640625" style="8" customWidth="1"/>
    <col min="2597" max="2597" width="12.7265625" style="8" customWidth="1"/>
    <col min="2598" max="2598" width="1" style="8" customWidth="1"/>
    <col min="2599" max="2599" width="9.54296875" style="8" customWidth="1"/>
    <col min="2600" max="2600" width="1.1796875" style="8" customWidth="1"/>
    <col min="2601" max="2601" width="10.453125" style="8" customWidth="1"/>
    <col min="2602" max="2602" width="0.54296875" style="8" customWidth="1"/>
    <col min="2603" max="2603" width="8.54296875" style="8" bestFit="1" customWidth="1"/>
    <col min="2604" max="2604" width="0.54296875" style="8" customWidth="1"/>
    <col min="2605" max="2605" width="9.54296875" style="8" bestFit="1" customWidth="1"/>
    <col min="2606" max="2606" width="0.54296875" style="8" customWidth="1"/>
    <col min="2607" max="2607" width="12" style="8" bestFit="1" customWidth="1"/>
    <col min="2608" max="2608" width="0.54296875" style="8" customWidth="1"/>
    <col min="2609" max="2609" width="8.54296875" style="8" bestFit="1" customWidth="1"/>
    <col min="2610" max="2610" width="1.1796875" style="8" customWidth="1"/>
    <col min="2611" max="2611" width="9.1796875" style="8"/>
    <col min="2612" max="2612" width="0.7265625" style="8" customWidth="1"/>
    <col min="2613" max="2613" width="9.1796875" style="8"/>
    <col min="2614" max="2614" width="1.1796875" style="8" customWidth="1"/>
    <col min="2615" max="2816" width="9.1796875" style="8"/>
    <col min="2817" max="2817" width="43.54296875" style="8" customWidth="1"/>
    <col min="2818" max="2823" width="0" style="8" hidden="1" customWidth="1"/>
    <col min="2824" max="2824" width="0.81640625" style="8" customWidth="1"/>
    <col min="2825" max="2825" width="10.81640625" style="8" customWidth="1"/>
    <col min="2826" max="2826" width="1.81640625" style="8" customWidth="1"/>
    <col min="2827" max="2827" width="11.26953125" style="8" customWidth="1"/>
    <col min="2828" max="2828" width="1.1796875" style="8" customWidth="1"/>
    <col min="2829" max="2829" width="12" style="8" customWidth="1"/>
    <col min="2830" max="2830" width="1.453125" style="8" customWidth="1"/>
    <col min="2831" max="2831" width="10.81640625" style="8" bestFit="1" customWidth="1"/>
    <col min="2832" max="2832" width="1.81640625" style="8" customWidth="1"/>
    <col min="2833" max="2833" width="13.26953125" style="8" customWidth="1"/>
    <col min="2834" max="2834" width="1.7265625" style="8" customWidth="1"/>
    <col min="2835" max="2835" width="9.1796875" style="8"/>
    <col min="2836" max="2836" width="1.1796875" style="8" customWidth="1"/>
    <col min="2837" max="2837" width="11.81640625" style="8" customWidth="1"/>
    <col min="2838" max="2838" width="0.81640625" style="8" customWidth="1"/>
    <col min="2839" max="2839" width="12.54296875" style="8" customWidth="1"/>
    <col min="2840" max="2840" width="2.54296875" style="8" customWidth="1"/>
    <col min="2841" max="2841" width="11" style="8" customWidth="1"/>
    <col min="2842" max="2842" width="2.1796875" style="8" customWidth="1"/>
    <col min="2843" max="2843" width="12.453125" style="8" customWidth="1"/>
    <col min="2844" max="2844" width="2.1796875" style="8" customWidth="1"/>
    <col min="2845" max="2845" width="10.54296875" style="8" customWidth="1"/>
    <col min="2846" max="2846" width="1.453125" style="8" customWidth="1"/>
    <col min="2847" max="2847" width="10.1796875" style="8" customWidth="1"/>
    <col min="2848" max="2848" width="2.26953125" style="8" customWidth="1"/>
    <col min="2849" max="2849" width="9.54296875" style="8" bestFit="1" customWidth="1"/>
    <col min="2850" max="2850" width="0.54296875" style="8" customWidth="1"/>
    <col min="2851" max="2851" width="10.54296875" style="8" customWidth="1"/>
    <col min="2852" max="2852" width="0.81640625" style="8" customWidth="1"/>
    <col min="2853" max="2853" width="12.7265625" style="8" customWidth="1"/>
    <col min="2854" max="2854" width="1" style="8" customWidth="1"/>
    <col min="2855" max="2855" width="9.54296875" style="8" customWidth="1"/>
    <col min="2856" max="2856" width="1.1796875" style="8" customWidth="1"/>
    <col min="2857" max="2857" width="10.453125" style="8" customWidth="1"/>
    <col min="2858" max="2858" width="0.54296875" style="8" customWidth="1"/>
    <col min="2859" max="2859" width="8.54296875" style="8" bestFit="1" customWidth="1"/>
    <col min="2860" max="2860" width="0.54296875" style="8" customWidth="1"/>
    <col min="2861" max="2861" width="9.54296875" style="8" bestFit="1" customWidth="1"/>
    <col min="2862" max="2862" width="0.54296875" style="8" customWidth="1"/>
    <col min="2863" max="2863" width="12" style="8" bestFit="1" customWidth="1"/>
    <col min="2864" max="2864" width="0.54296875" style="8" customWidth="1"/>
    <col min="2865" max="2865" width="8.54296875" style="8" bestFit="1" customWidth="1"/>
    <col min="2866" max="2866" width="1.1796875" style="8" customWidth="1"/>
    <col min="2867" max="2867" width="9.1796875" style="8"/>
    <col min="2868" max="2868" width="0.7265625" style="8" customWidth="1"/>
    <col min="2869" max="2869" width="9.1796875" style="8"/>
    <col min="2870" max="2870" width="1.1796875" style="8" customWidth="1"/>
    <col min="2871" max="3072" width="9.1796875" style="8"/>
    <col min="3073" max="3073" width="43.54296875" style="8" customWidth="1"/>
    <col min="3074" max="3079" width="0" style="8" hidden="1" customWidth="1"/>
    <col min="3080" max="3080" width="0.81640625" style="8" customWidth="1"/>
    <col min="3081" max="3081" width="10.81640625" style="8" customWidth="1"/>
    <col min="3082" max="3082" width="1.81640625" style="8" customWidth="1"/>
    <col min="3083" max="3083" width="11.26953125" style="8" customWidth="1"/>
    <col min="3084" max="3084" width="1.1796875" style="8" customWidth="1"/>
    <col min="3085" max="3085" width="12" style="8" customWidth="1"/>
    <col min="3086" max="3086" width="1.453125" style="8" customWidth="1"/>
    <col min="3087" max="3087" width="10.81640625" style="8" bestFit="1" customWidth="1"/>
    <col min="3088" max="3088" width="1.81640625" style="8" customWidth="1"/>
    <col min="3089" max="3089" width="13.26953125" style="8" customWidth="1"/>
    <col min="3090" max="3090" width="1.7265625" style="8" customWidth="1"/>
    <col min="3091" max="3091" width="9.1796875" style="8"/>
    <col min="3092" max="3092" width="1.1796875" style="8" customWidth="1"/>
    <col min="3093" max="3093" width="11.81640625" style="8" customWidth="1"/>
    <col min="3094" max="3094" width="0.81640625" style="8" customWidth="1"/>
    <col min="3095" max="3095" width="12.54296875" style="8" customWidth="1"/>
    <col min="3096" max="3096" width="2.54296875" style="8" customWidth="1"/>
    <col min="3097" max="3097" width="11" style="8" customWidth="1"/>
    <col min="3098" max="3098" width="2.1796875" style="8" customWidth="1"/>
    <col min="3099" max="3099" width="12.453125" style="8" customWidth="1"/>
    <col min="3100" max="3100" width="2.1796875" style="8" customWidth="1"/>
    <col min="3101" max="3101" width="10.54296875" style="8" customWidth="1"/>
    <col min="3102" max="3102" width="1.453125" style="8" customWidth="1"/>
    <col min="3103" max="3103" width="10.1796875" style="8" customWidth="1"/>
    <col min="3104" max="3104" width="2.26953125" style="8" customWidth="1"/>
    <col min="3105" max="3105" width="9.54296875" style="8" bestFit="1" customWidth="1"/>
    <col min="3106" max="3106" width="0.54296875" style="8" customWidth="1"/>
    <col min="3107" max="3107" width="10.54296875" style="8" customWidth="1"/>
    <col min="3108" max="3108" width="0.81640625" style="8" customWidth="1"/>
    <col min="3109" max="3109" width="12.7265625" style="8" customWidth="1"/>
    <col min="3110" max="3110" width="1" style="8" customWidth="1"/>
    <col min="3111" max="3111" width="9.54296875" style="8" customWidth="1"/>
    <col min="3112" max="3112" width="1.1796875" style="8" customWidth="1"/>
    <col min="3113" max="3113" width="10.453125" style="8" customWidth="1"/>
    <col min="3114" max="3114" width="0.54296875" style="8" customWidth="1"/>
    <col min="3115" max="3115" width="8.54296875" style="8" bestFit="1" customWidth="1"/>
    <col min="3116" max="3116" width="0.54296875" style="8" customWidth="1"/>
    <col min="3117" max="3117" width="9.54296875" style="8" bestFit="1" customWidth="1"/>
    <col min="3118" max="3118" width="0.54296875" style="8" customWidth="1"/>
    <col min="3119" max="3119" width="12" style="8" bestFit="1" customWidth="1"/>
    <col min="3120" max="3120" width="0.54296875" style="8" customWidth="1"/>
    <col min="3121" max="3121" width="8.54296875" style="8" bestFit="1" customWidth="1"/>
    <col min="3122" max="3122" width="1.1796875" style="8" customWidth="1"/>
    <col min="3123" max="3123" width="9.1796875" style="8"/>
    <col min="3124" max="3124" width="0.7265625" style="8" customWidth="1"/>
    <col min="3125" max="3125" width="9.1796875" style="8"/>
    <col min="3126" max="3126" width="1.1796875" style="8" customWidth="1"/>
    <col min="3127" max="3328" width="9.1796875" style="8"/>
    <col min="3329" max="3329" width="43.54296875" style="8" customWidth="1"/>
    <col min="3330" max="3335" width="0" style="8" hidden="1" customWidth="1"/>
    <col min="3336" max="3336" width="0.81640625" style="8" customWidth="1"/>
    <col min="3337" max="3337" width="10.81640625" style="8" customWidth="1"/>
    <col min="3338" max="3338" width="1.81640625" style="8" customWidth="1"/>
    <col min="3339" max="3339" width="11.26953125" style="8" customWidth="1"/>
    <col min="3340" max="3340" width="1.1796875" style="8" customWidth="1"/>
    <col min="3341" max="3341" width="12" style="8" customWidth="1"/>
    <col min="3342" max="3342" width="1.453125" style="8" customWidth="1"/>
    <col min="3343" max="3343" width="10.81640625" style="8" bestFit="1" customWidth="1"/>
    <col min="3344" max="3344" width="1.81640625" style="8" customWidth="1"/>
    <col min="3345" max="3345" width="13.26953125" style="8" customWidth="1"/>
    <col min="3346" max="3346" width="1.7265625" style="8" customWidth="1"/>
    <col min="3347" max="3347" width="9.1796875" style="8"/>
    <col min="3348" max="3348" width="1.1796875" style="8" customWidth="1"/>
    <col min="3349" max="3349" width="11.81640625" style="8" customWidth="1"/>
    <col min="3350" max="3350" width="0.81640625" style="8" customWidth="1"/>
    <col min="3351" max="3351" width="12.54296875" style="8" customWidth="1"/>
    <col min="3352" max="3352" width="2.54296875" style="8" customWidth="1"/>
    <col min="3353" max="3353" width="11" style="8" customWidth="1"/>
    <col min="3354" max="3354" width="2.1796875" style="8" customWidth="1"/>
    <col min="3355" max="3355" width="12.453125" style="8" customWidth="1"/>
    <col min="3356" max="3356" width="2.1796875" style="8" customWidth="1"/>
    <col min="3357" max="3357" width="10.54296875" style="8" customWidth="1"/>
    <col min="3358" max="3358" width="1.453125" style="8" customWidth="1"/>
    <col min="3359" max="3359" width="10.1796875" style="8" customWidth="1"/>
    <col min="3360" max="3360" width="2.26953125" style="8" customWidth="1"/>
    <col min="3361" max="3361" width="9.54296875" style="8" bestFit="1" customWidth="1"/>
    <col min="3362" max="3362" width="0.54296875" style="8" customWidth="1"/>
    <col min="3363" max="3363" width="10.54296875" style="8" customWidth="1"/>
    <col min="3364" max="3364" width="0.81640625" style="8" customWidth="1"/>
    <col min="3365" max="3365" width="12.7265625" style="8" customWidth="1"/>
    <col min="3366" max="3366" width="1" style="8" customWidth="1"/>
    <col min="3367" max="3367" width="9.54296875" style="8" customWidth="1"/>
    <col min="3368" max="3368" width="1.1796875" style="8" customWidth="1"/>
    <col min="3369" max="3369" width="10.453125" style="8" customWidth="1"/>
    <col min="3370" max="3370" width="0.54296875" style="8" customWidth="1"/>
    <col min="3371" max="3371" width="8.54296875" style="8" bestFit="1" customWidth="1"/>
    <col min="3372" max="3372" width="0.54296875" style="8" customWidth="1"/>
    <col min="3373" max="3373" width="9.54296875" style="8" bestFit="1" customWidth="1"/>
    <col min="3374" max="3374" width="0.54296875" style="8" customWidth="1"/>
    <col min="3375" max="3375" width="12" style="8" bestFit="1" customWidth="1"/>
    <col min="3376" max="3376" width="0.54296875" style="8" customWidth="1"/>
    <col min="3377" max="3377" width="8.54296875" style="8" bestFit="1" customWidth="1"/>
    <col min="3378" max="3378" width="1.1796875" style="8" customWidth="1"/>
    <col min="3379" max="3379" width="9.1796875" style="8"/>
    <col min="3380" max="3380" width="0.7265625" style="8" customWidth="1"/>
    <col min="3381" max="3381" width="9.1796875" style="8"/>
    <col min="3382" max="3382" width="1.1796875" style="8" customWidth="1"/>
    <col min="3383" max="3584" width="9.1796875" style="8"/>
    <col min="3585" max="3585" width="43.54296875" style="8" customWidth="1"/>
    <col min="3586" max="3591" width="0" style="8" hidden="1" customWidth="1"/>
    <col min="3592" max="3592" width="0.81640625" style="8" customWidth="1"/>
    <col min="3593" max="3593" width="10.81640625" style="8" customWidth="1"/>
    <col min="3594" max="3594" width="1.81640625" style="8" customWidth="1"/>
    <col min="3595" max="3595" width="11.26953125" style="8" customWidth="1"/>
    <col min="3596" max="3596" width="1.1796875" style="8" customWidth="1"/>
    <col min="3597" max="3597" width="12" style="8" customWidth="1"/>
    <col min="3598" max="3598" width="1.453125" style="8" customWidth="1"/>
    <col min="3599" max="3599" width="10.81640625" style="8" bestFit="1" customWidth="1"/>
    <col min="3600" max="3600" width="1.81640625" style="8" customWidth="1"/>
    <col min="3601" max="3601" width="13.26953125" style="8" customWidth="1"/>
    <col min="3602" max="3602" width="1.7265625" style="8" customWidth="1"/>
    <col min="3603" max="3603" width="9.1796875" style="8"/>
    <col min="3604" max="3604" width="1.1796875" style="8" customWidth="1"/>
    <col min="3605" max="3605" width="11.81640625" style="8" customWidth="1"/>
    <col min="3606" max="3606" width="0.81640625" style="8" customWidth="1"/>
    <col min="3607" max="3607" width="12.54296875" style="8" customWidth="1"/>
    <col min="3608" max="3608" width="2.54296875" style="8" customWidth="1"/>
    <col min="3609" max="3609" width="11" style="8" customWidth="1"/>
    <col min="3610" max="3610" width="2.1796875" style="8" customWidth="1"/>
    <col min="3611" max="3611" width="12.453125" style="8" customWidth="1"/>
    <col min="3612" max="3612" width="2.1796875" style="8" customWidth="1"/>
    <col min="3613" max="3613" width="10.54296875" style="8" customWidth="1"/>
    <col min="3614" max="3614" width="1.453125" style="8" customWidth="1"/>
    <col min="3615" max="3615" width="10.1796875" style="8" customWidth="1"/>
    <col min="3616" max="3616" width="2.26953125" style="8" customWidth="1"/>
    <col min="3617" max="3617" width="9.54296875" style="8" bestFit="1" customWidth="1"/>
    <col min="3618" max="3618" width="0.54296875" style="8" customWidth="1"/>
    <col min="3619" max="3619" width="10.54296875" style="8" customWidth="1"/>
    <col min="3620" max="3620" width="0.81640625" style="8" customWidth="1"/>
    <col min="3621" max="3621" width="12.7265625" style="8" customWidth="1"/>
    <col min="3622" max="3622" width="1" style="8" customWidth="1"/>
    <col min="3623" max="3623" width="9.54296875" style="8" customWidth="1"/>
    <col min="3624" max="3624" width="1.1796875" style="8" customWidth="1"/>
    <col min="3625" max="3625" width="10.453125" style="8" customWidth="1"/>
    <col min="3626" max="3626" width="0.54296875" style="8" customWidth="1"/>
    <col min="3627" max="3627" width="8.54296875" style="8" bestFit="1" customWidth="1"/>
    <col min="3628" max="3628" width="0.54296875" style="8" customWidth="1"/>
    <col min="3629" max="3629" width="9.54296875" style="8" bestFit="1" customWidth="1"/>
    <col min="3630" max="3630" width="0.54296875" style="8" customWidth="1"/>
    <col min="3631" max="3631" width="12" style="8" bestFit="1" customWidth="1"/>
    <col min="3632" max="3632" width="0.54296875" style="8" customWidth="1"/>
    <col min="3633" max="3633" width="8.54296875" style="8" bestFit="1" customWidth="1"/>
    <col min="3634" max="3634" width="1.1796875" style="8" customWidth="1"/>
    <col min="3635" max="3635" width="9.1796875" style="8"/>
    <col min="3636" max="3636" width="0.7265625" style="8" customWidth="1"/>
    <col min="3637" max="3637" width="9.1796875" style="8"/>
    <col min="3638" max="3638" width="1.1796875" style="8" customWidth="1"/>
    <col min="3639" max="3840" width="9.1796875" style="8"/>
    <col min="3841" max="3841" width="43.54296875" style="8" customWidth="1"/>
    <col min="3842" max="3847" width="0" style="8" hidden="1" customWidth="1"/>
    <col min="3848" max="3848" width="0.81640625" style="8" customWidth="1"/>
    <col min="3849" max="3849" width="10.81640625" style="8" customWidth="1"/>
    <col min="3850" max="3850" width="1.81640625" style="8" customWidth="1"/>
    <col min="3851" max="3851" width="11.26953125" style="8" customWidth="1"/>
    <col min="3852" max="3852" width="1.1796875" style="8" customWidth="1"/>
    <col min="3853" max="3853" width="12" style="8" customWidth="1"/>
    <col min="3854" max="3854" width="1.453125" style="8" customWidth="1"/>
    <col min="3855" max="3855" width="10.81640625" style="8" bestFit="1" customWidth="1"/>
    <col min="3856" max="3856" width="1.81640625" style="8" customWidth="1"/>
    <col min="3857" max="3857" width="13.26953125" style="8" customWidth="1"/>
    <col min="3858" max="3858" width="1.7265625" style="8" customWidth="1"/>
    <col min="3859" max="3859" width="9.1796875" style="8"/>
    <col min="3860" max="3860" width="1.1796875" style="8" customWidth="1"/>
    <col min="3861" max="3861" width="11.81640625" style="8" customWidth="1"/>
    <col min="3862" max="3862" width="0.81640625" style="8" customWidth="1"/>
    <col min="3863" max="3863" width="12.54296875" style="8" customWidth="1"/>
    <col min="3864" max="3864" width="2.54296875" style="8" customWidth="1"/>
    <col min="3865" max="3865" width="11" style="8" customWidth="1"/>
    <col min="3866" max="3866" width="2.1796875" style="8" customWidth="1"/>
    <col min="3867" max="3867" width="12.453125" style="8" customWidth="1"/>
    <col min="3868" max="3868" width="2.1796875" style="8" customWidth="1"/>
    <col min="3869" max="3869" width="10.54296875" style="8" customWidth="1"/>
    <col min="3870" max="3870" width="1.453125" style="8" customWidth="1"/>
    <col min="3871" max="3871" width="10.1796875" style="8" customWidth="1"/>
    <col min="3872" max="3872" width="2.26953125" style="8" customWidth="1"/>
    <col min="3873" max="3873" width="9.54296875" style="8" bestFit="1" customWidth="1"/>
    <col min="3874" max="3874" width="0.54296875" style="8" customWidth="1"/>
    <col min="3875" max="3875" width="10.54296875" style="8" customWidth="1"/>
    <col min="3876" max="3876" width="0.81640625" style="8" customWidth="1"/>
    <col min="3877" max="3877" width="12.7265625" style="8" customWidth="1"/>
    <col min="3878" max="3878" width="1" style="8" customWidth="1"/>
    <col min="3879" max="3879" width="9.54296875" style="8" customWidth="1"/>
    <col min="3880" max="3880" width="1.1796875" style="8" customWidth="1"/>
    <col min="3881" max="3881" width="10.453125" style="8" customWidth="1"/>
    <col min="3882" max="3882" width="0.54296875" style="8" customWidth="1"/>
    <col min="3883" max="3883" width="8.54296875" style="8" bestFit="1" customWidth="1"/>
    <col min="3884" max="3884" width="0.54296875" style="8" customWidth="1"/>
    <col min="3885" max="3885" width="9.54296875" style="8" bestFit="1" customWidth="1"/>
    <col min="3886" max="3886" width="0.54296875" style="8" customWidth="1"/>
    <col min="3887" max="3887" width="12" style="8" bestFit="1" customWidth="1"/>
    <col min="3888" max="3888" width="0.54296875" style="8" customWidth="1"/>
    <col min="3889" max="3889" width="8.54296875" style="8" bestFit="1" customWidth="1"/>
    <col min="3890" max="3890" width="1.1796875" style="8" customWidth="1"/>
    <col min="3891" max="3891" width="9.1796875" style="8"/>
    <col min="3892" max="3892" width="0.7265625" style="8" customWidth="1"/>
    <col min="3893" max="3893" width="9.1796875" style="8"/>
    <col min="3894" max="3894" width="1.1796875" style="8" customWidth="1"/>
    <col min="3895" max="4096" width="9.1796875" style="8"/>
    <col min="4097" max="4097" width="43.54296875" style="8" customWidth="1"/>
    <col min="4098" max="4103" width="0" style="8" hidden="1" customWidth="1"/>
    <col min="4104" max="4104" width="0.81640625" style="8" customWidth="1"/>
    <col min="4105" max="4105" width="10.81640625" style="8" customWidth="1"/>
    <col min="4106" max="4106" width="1.81640625" style="8" customWidth="1"/>
    <col min="4107" max="4107" width="11.26953125" style="8" customWidth="1"/>
    <col min="4108" max="4108" width="1.1796875" style="8" customWidth="1"/>
    <col min="4109" max="4109" width="12" style="8" customWidth="1"/>
    <col min="4110" max="4110" width="1.453125" style="8" customWidth="1"/>
    <col min="4111" max="4111" width="10.81640625" style="8" bestFit="1" customWidth="1"/>
    <col min="4112" max="4112" width="1.81640625" style="8" customWidth="1"/>
    <col min="4113" max="4113" width="13.26953125" style="8" customWidth="1"/>
    <col min="4114" max="4114" width="1.7265625" style="8" customWidth="1"/>
    <col min="4115" max="4115" width="9.1796875" style="8"/>
    <col min="4116" max="4116" width="1.1796875" style="8" customWidth="1"/>
    <col min="4117" max="4117" width="11.81640625" style="8" customWidth="1"/>
    <col min="4118" max="4118" width="0.81640625" style="8" customWidth="1"/>
    <col min="4119" max="4119" width="12.54296875" style="8" customWidth="1"/>
    <col min="4120" max="4120" width="2.54296875" style="8" customWidth="1"/>
    <col min="4121" max="4121" width="11" style="8" customWidth="1"/>
    <col min="4122" max="4122" width="2.1796875" style="8" customWidth="1"/>
    <col min="4123" max="4123" width="12.453125" style="8" customWidth="1"/>
    <col min="4124" max="4124" width="2.1796875" style="8" customWidth="1"/>
    <col min="4125" max="4125" width="10.54296875" style="8" customWidth="1"/>
    <col min="4126" max="4126" width="1.453125" style="8" customWidth="1"/>
    <col min="4127" max="4127" width="10.1796875" style="8" customWidth="1"/>
    <col min="4128" max="4128" width="2.26953125" style="8" customWidth="1"/>
    <col min="4129" max="4129" width="9.54296875" style="8" bestFit="1" customWidth="1"/>
    <col min="4130" max="4130" width="0.54296875" style="8" customWidth="1"/>
    <col min="4131" max="4131" width="10.54296875" style="8" customWidth="1"/>
    <col min="4132" max="4132" width="0.81640625" style="8" customWidth="1"/>
    <col min="4133" max="4133" width="12.7265625" style="8" customWidth="1"/>
    <col min="4134" max="4134" width="1" style="8" customWidth="1"/>
    <col min="4135" max="4135" width="9.54296875" style="8" customWidth="1"/>
    <col min="4136" max="4136" width="1.1796875" style="8" customWidth="1"/>
    <col min="4137" max="4137" width="10.453125" style="8" customWidth="1"/>
    <col min="4138" max="4138" width="0.54296875" style="8" customWidth="1"/>
    <col min="4139" max="4139" width="8.54296875" style="8" bestFit="1" customWidth="1"/>
    <col min="4140" max="4140" width="0.54296875" style="8" customWidth="1"/>
    <col min="4141" max="4141" width="9.54296875" style="8" bestFit="1" customWidth="1"/>
    <col min="4142" max="4142" width="0.54296875" style="8" customWidth="1"/>
    <col min="4143" max="4143" width="12" style="8" bestFit="1" customWidth="1"/>
    <col min="4144" max="4144" width="0.54296875" style="8" customWidth="1"/>
    <col min="4145" max="4145" width="8.54296875" style="8" bestFit="1" customWidth="1"/>
    <col min="4146" max="4146" width="1.1796875" style="8" customWidth="1"/>
    <col min="4147" max="4147" width="9.1796875" style="8"/>
    <col min="4148" max="4148" width="0.7265625" style="8" customWidth="1"/>
    <col min="4149" max="4149" width="9.1796875" style="8"/>
    <col min="4150" max="4150" width="1.1796875" style="8" customWidth="1"/>
    <col min="4151" max="4352" width="9.1796875" style="8"/>
    <col min="4353" max="4353" width="43.54296875" style="8" customWidth="1"/>
    <col min="4354" max="4359" width="0" style="8" hidden="1" customWidth="1"/>
    <col min="4360" max="4360" width="0.81640625" style="8" customWidth="1"/>
    <col min="4361" max="4361" width="10.81640625" style="8" customWidth="1"/>
    <col min="4362" max="4362" width="1.81640625" style="8" customWidth="1"/>
    <col min="4363" max="4363" width="11.26953125" style="8" customWidth="1"/>
    <col min="4364" max="4364" width="1.1796875" style="8" customWidth="1"/>
    <col min="4365" max="4365" width="12" style="8" customWidth="1"/>
    <col min="4366" max="4366" width="1.453125" style="8" customWidth="1"/>
    <col min="4367" max="4367" width="10.81640625" style="8" bestFit="1" customWidth="1"/>
    <col min="4368" max="4368" width="1.81640625" style="8" customWidth="1"/>
    <col min="4369" max="4369" width="13.26953125" style="8" customWidth="1"/>
    <col min="4370" max="4370" width="1.7265625" style="8" customWidth="1"/>
    <col min="4371" max="4371" width="9.1796875" style="8"/>
    <col min="4372" max="4372" width="1.1796875" style="8" customWidth="1"/>
    <col min="4373" max="4373" width="11.81640625" style="8" customWidth="1"/>
    <col min="4374" max="4374" width="0.81640625" style="8" customWidth="1"/>
    <col min="4375" max="4375" width="12.54296875" style="8" customWidth="1"/>
    <col min="4376" max="4376" width="2.54296875" style="8" customWidth="1"/>
    <col min="4377" max="4377" width="11" style="8" customWidth="1"/>
    <col min="4378" max="4378" width="2.1796875" style="8" customWidth="1"/>
    <col min="4379" max="4379" width="12.453125" style="8" customWidth="1"/>
    <col min="4380" max="4380" width="2.1796875" style="8" customWidth="1"/>
    <col min="4381" max="4381" width="10.54296875" style="8" customWidth="1"/>
    <col min="4382" max="4382" width="1.453125" style="8" customWidth="1"/>
    <col min="4383" max="4383" width="10.1796875" style="8" customWidth="1"/>
    <col min="4384" max="4384" width="2.26953125" style="8" customWidth="1"/>
    <col min="4385" max="4385" width="9.54296875" style="8" bestFit="1" customWidth="1"/>
    <col min="4386" max="4386" width="0.54296875" style="8" customWidth="1"/>
    <col min="4387" max="4387" width="10.54296875" style="8" customWidth="1"/>
    <col min="4388" max="4388" width="0.81640625" style="8" customWidth="1"/>
    <col min="4389" max="4389" width="12.7265625" style="8" customWidth="1"/>
    <col min="4390" max="4390" width="1" style="8" customWidth="1"/>
    <col min="4391" max="4391" width="9.54296875" style="8" customWidth="1"/>
    <col min="4392" max="4392" width="1.1796875" style="8" customWidth="1"/>
    <col min="4393" max="4393" width="10.453125" style="8" customWidth="1"/>
    <col min="4394" max="4394" width="0.54296875" style="8" customWidth="1"/>
    <col min="4395" max="4395" width="8.54296875" style="8" bestFit="1" customWidth="1"/>
    <col min="4396" max="4396" width="0.54296875" style="8" customWidth="1"/>
    <col min="4397" max="4397" width="9.54296875" style="8" bestFit="1" customWidth="1"/>
    <col min="4398" max="4398" width="0.54296875" style="8" customWidth="1"/>
    <col min="4399" max="4399" width="12" style="8" bestFit="1" customWidth="1"/>
    <col min="4400" max="4400" width="0.54296875" style="8" customWidth="1"/>
    <col min="4401" max="4401" width="8.54296875" style="8" bestFit="1" customWidth="1"/>
    <col min="4402" max="4402" width="1.1796875" style="8" customWidth="1"/>
    <col min="4403" max="4403" width="9.1796875" style="8"/>
    <col min="4404" max="4404" width="0.7265625" style="8" customWidth="1"/>
    <col min="4405" max="4405" width="9.1796875" style="8"/>
    <col min="4406" max="4406" width="1.1796875" style="8" customWidth="1"/>
    <col min="4407" max="4608" width="9.1796875" style="8"/>
    <col min="4609" max="4609" width="43.54296875" style="8" customWidth="1"/>
    <col min="4610" max="4615" width="0" style="8" hidden="1" customWidth="1"/>
    <col min="4616" max="4616" width="0.81640625" style="8" customWidth="1"/>
    <col min="4617" max="4617" width="10.81640625" style="8" customWidth="1"/>
    <col min="4618" max="4618" width="1.81640625" style="8" customWidth="1"/>
    <col min="4619" max="4619" width="11.26953125" style="8" customWidth="1"/>
    <col min="4620" max="4620" width="1.1796875" style="8" customWidth="1"/>
    <col min="4621" max="4621" width="12" style="8" customWidth="1"/>
    <col min="4622" max="4622" width="1.453125" style="8" customWidth="1"/>
    <col min="4623" max="4623" width="10.81640625" style="8" bestFit="1" customWidth="1"/>
    <col min="4624" max="4624" width="1.81640625" style="8" customWidth="1"/>
    <col min="4625" max="4625" width="13.26953125" style="8" customWidth="1"/>
    <col min="4626" max="4626" width="1.7265625" style="8" customWidth="1"/>
    <col min="4627" max="4627" width="9.1796875" style="8"/>
    <col min="4628" max="4628" width="1.1796875" style="8" customWidth="1"/>
    <col min="4629" max="4629" width="11.81640625" style="8" customWidth="1"/>
    <col min="4630" max="4630" width="0.81640625" style="8" customWidth="1"/>
    <col min="4631" max="4631" width="12.54296875" style="8" customWidth="1"/>
    <col min="4632" max="4632" width="2.54296875" style="8" customWidth="1"/>
    <col min="4633" max="4633" width="11" style="8" customWidth="1"/>
    <col min="4634" max="4634" width="2.1796875" style="8" customWidth="1"/>
    <col min="4635" max="4635" width="12.453125" style="8" customWidth="1"/>
    <col min="4636" max="4636" width="2.1796875" style="8" customWidth="1"/>
    <col min="4637" max="4637" width="10.54296875" style="8" customWidth="1"/>
    <col min="4638" max="4638" width="1.453125" style="8" customWidth="1"/>
    <col min="4639" max="4639" width="10.1796875" style="8" customWidth="1"/>
    <col min="4640" max="4640" width="2.26953125" style="8" customWidth="1"/>
    <col min="4641" max="4641" width="9.54296875" style="8" bestFit="1" customWidth="1"/>
    <col min="4642" max="4642" width="0.54296875" style="8" customWidth="1"/>
    <col min="4643" max="4643" width="10.54296875" style="8" customWidth="1"/>
    <col min="4644" max="4644" width="0.81640625" style="8" customWidth="1"/>
    <col min="4645" max="4645" width="12.7265625" style="8" customWidth="1"/>
    <col min="4646" max="4646" width="1" style="8" customWidth="1"/>
    <col min="4647" max="4647" width="9.54296875" style="8" customWidth="1"/>
    <col min="4648" max="4648" width="1.1796875" style="8" customWidth="1"/>
    <col min="4649" max="4649" width="10.453125" style="8" customWidth="1"/>
    <col min="4650" max="4650" width="0.54296875" style="8" customWidth="1"/>
    <col min="4651" max="4651" width="8.54296875" style="8" bestFit="1" customWidth="1"/>
    <col min="4652" max="4652" width="0.54296875" style="8" customWidth="1"/>
    <col min="4653" max="4653" width="9.54296875" style="8" bestFit="1" customWidth="1"/>
    <col min="4654" max="4654" width="0.54296875" style="8" customWidth="1"/>
    <col min="4655" max="4655" width="12" style="8" bestFit="1" customWidth="1"/>
    <col min="4656" max="4656" width="0.54296875" style="8" customWidth="1"/>
    <col min="4657" max="4657" width="8.54296875" style="8" bestFit="1" customWidth="1"/>
    <col min="4658" max="4658" width="1.1796875" style="8" customWidth="1"/>
    <col min="4659" max="4659" width="9.1796875" style="8"/>
    <col min="4660" max="4660" width="0.7265625" style="8" customWidth="1"/>
    <col min="4661" max="4661" width="9.1796875" style="8"/>
    <col min="4662" max="4662" width="1.1796875" style="8" customWidth="1"/>
    <col min="4663" max="4864" width="9.1796875" style="8"/>
    <col min="4865" max="4865" width="43.54296875" style="8" customWidth="1"/>
    <col min="4866" max="4871" width="0" style="8" hidden="1" customWidth="1"/>
    <col min="4872" max="4872" width="0.81640625" style="8" customWidth="1"/>
    <col min="4873" max="4873" width="10.81640625" style="8" customWidth="1"/>
    <col min="4874" max="4874" width="1.81640625" style="8" customWidth="1"/>
    <col min="4875" max="4875" width="11.26953125" style="8" customWidth="1"/>
    <col min="4876" max="4876" width="1.1796875" style="8" customWidth="1"/>
    <col min="4877" max="4877" width="12" style="8" customWidth="1"/>
    <col min="4878" max="4878" width="1.453125" style="8" customWidth="1"/>
    <col min="4879" max="4879" width="10.81640625" style="8" bestFit="1" customWidth="1"/>
    <col min="4880" max="4880" width="1.81640625" style="8" customWidth="1"/>
    <col min="4881" max="4881" width="13.26953125" style="8" customWidth="1"/>
    <col min="4882" max="4882" width="1.7265625" style="8" customWidth="1"/>
    <col min="4883" max="4883" width="9.1796875" style="8"/>
    <col min="4884" max="4884" width="1.1796875" style="8" customWidth="1"/>
    <col min="4885" max="4885" width="11.81640625" style="8" customWidth="1"/>
    <col min="4886" max="4886" width="0.81640625" style="8" customWidth="1"/>
    <col min="4887" max="4887" width="12.54296875" style="8" customWidth="1"/>
    <col min="4888" max="4888" width="2.54296875" style="8" customWidth="1"/>
    <col min="4889" max="4889" width="11" style="8" customWidth="1"/>
    <col min="4890" max="4890" width="2.1796875" style="8" customWidth="1"/>
    <col min="4891" max="4891" width="12.453125" style="8" customWidth="1"/>
    <col min="4892" max="4892" width="2.1796875" style="8" customWidth="1"/>
    <col min="4893" max="4893" width="10.54296875" style="8" customWidth="1"/>
    <col min="4894" max="4894" width="1.453125" style="8" customWidth="1"/>
    <col min="4895" max="4895" width="10.1796875" style="8" customWidth="1"/>
    <col min="4896" max="4896" width="2.26953125" style="8" customWidth="1"/>
    <col min="4897" max="4897" width="9.54296875" style="8" bestFit="1" customWidth="1"/>
    <col min="4898" max="4898" width="0.54296875" style="8" customWidth="1"/>
    <col min="4899" max="4899" width="10.54296875" style="8" customWidth="1"/>
    <col min="4900" max="4900" width="0.81640625" style="8" customWidth="1"/>
    <col min="4901" max="4901" width="12.7265625" style="8" customWidth="1"/>
    <col min="4902" max="4902" width="1" style="8" customWidth="1"/>
    <col min="4903" max="4903" width="9.54296875" style="8" customWidth="1"/>
    <col min="4904" max="4904" width="1.1796875" style="8" customWidth="1"/>
    <col min="4905" max="4905" width="10.453125" style="8" customWidth="1"/>
    <col min="4906" max="4906" width="0.54296875" style="8" customWidth="1"/>
    <col min="4907" max="4907" width="8.54296875" style="8" bestFit="1" customWidth="1"/>
    <col min="4908" max="4908" width="0.54296875" style="8" customWidth="1"/>
    <col min="4909" max="4909" width="9.54296875" style="8" bestFit="1" customWidth="1"/>
    <col min="4910" max="4910" width="0.54296875" style="8" customWidth="1"/>
    <col min="4911" max="4911" width="12" style="8" bestFit="1" customWidth="1"/>
    <col min="4912" max="4912" width="0.54296875" style="8" customWidth="1"/>
    <col min="4913" max="4913" width="8.54296875" style="8" bestFit="1" customWidth="1"/>
    <col min="4914" max="4914" width="1.1796875" style="8" customWidth="1"/>
    <col min="4915" max="4915" width="9.1796875" style="8"/>
    <col min="4916" max="4916" width="0.7265625" style="8" customWidth="1"/>
    <col min="4917" max="4917" width="9.1796875" style="8"/>
    <col min="4918" max="4918" width="1.1796875" style="8" customWidth="1"/>
    <col min="4919" max="5120" width="9.1796875" style="8"/>
    <col min="5121" max="5121" width="43.54296875" style="8" customWidth="1"/>
    <col min="5122" max="5127" width="0" style="8" hidden="1" customWidth="1"/>
    <col min="5128" max="5128" width="0.81640625" style="8" customWidth="1"/>
    <col min="5129" max="5129" width="10.81640625" style="8" customWidth="1"/>
    <col min="5130" max="5130" width="1.81640625" style="8" customWidth="1"/>
    <col min="5131" max="5131" width="11.26953125" style="8" customWidth="1"/>
    <col min="5132" max="5132" width="1.1796875" style="8" customWidth="1"/>
    <col min="5133" max="5133" width="12" style="8" customWidth="1"/>
    <col min="5134" max="5134" width="1.453125" style="8" customWidth="1"/>
    <col min="5135" max="5135" width="10.81640625" style="8" bestFit="1" customWidth="1"/>
    <col min="5136" max="5136" width="1.81640625" style="8" customWidth="1"/>
    <col min="5137" max="5137" width="13.26953125" style="8" customWidth="1"/>
    <col min="5138" max="5138" width="1.7265625" style="8" customWidth="1"/>
    <col min="5139" max="5139" width="9.1796875" style="8"/>
    <col min="5140" max="5140" width="1.1796875" style="8" customWidth="1"/>
    <col min="5141" max="5141" width="11.81640625" style="8" customWidth="1"/>
    <col min="5142" max="5142" width="0.81640625" style="8" customWidth="1"/>
    <col min="5143" max="5143" width="12.54296875" style="8" customWidth="1"/>
    <col min="5144" max="5144" width="2.54296875" style="8" customWidth="1"/>
    <col min="5145" max="5145" width="11" style="8" customWidth="1"/>
    <col min="5146" max="5146" width="2.1796875" style="8" customWidth="1"/>
    <col min="5147" max="5147" width="12.453125" style="8" customWidth="1"/>
    <col min="5148" max="5148" width="2.1796875" style="8" customWidth="1"/>
    <col min="5149" max="5149" width="10.54296875" style="8" customWidth="1"/>
    <col min="5150" max="5150" width="1.453125" style="8" customWidth="1"/>
    <col min="5151" max="5151" width="10.1796875" style="8" customWidth="1"/>
    <col min="5152" max="5152" width="2.26953125" style="8" customWidth="1"/>
    <col min="5153" max="5153" width="9.54296875" style="8" bestFit="1" customWidth="1"/>
    <col min="5154" max="5154" width="0.54296875" style="8" customWidth="1"/>
    <col min="5155" max="5155" width="10.54296875" style="8" customWidth="1"/>
    <col min="5156" max="5156" width="0.81640625" style="8" customWidth="1"/>
    <col min="5157" max="5157" width="12.7265625" style="8" customWidth="1"/>
    <col min="5158" max="5158" width="1" style="8" customWidth="1"/>
    <col min="5159" max="5159" width="9.54296875" style="8" customWidth="1"/>
    <col min="5160" max="5160" width="1.1796875" style="8" customWidth="1"/>
    <col min="5161" max="5161" width="10.453125" style="8" customWidth="1"/>
    <col min="5162" max="5162" width="0.54296875" style="8" customWidth="1"/>
    <col min="5163" max="5163" width="8.54296875" style="8" bestFit="1" customWidth="1"/>
    <col min="5164" max="5164" width="0.54296875" style="8" customWidth="1"/>
    <col min="5165" max="5165" width="9.54296875" style="8" bestFit="1" customWidth="1"/>
    <col min="5166" max="5166" width="0.54296875" style="8" customWidth="1"/>
    <col min="5167" max="5167" width="12" style="8" bestFit="1" customWidth="1"/>
    <col min="5168" max="5168" width="0.54296875" style="8" customWidth="1"/>
    <col min="5169" max="5169" width="8.54296875" style="8" bestFit="1" customWidth="1"/>
    <col min="5170" max="5170" width="1.1796875" style="8" customWidth="1"/>
    <col min="5171" max="5171" width="9.1796875" style="8"/>
    <col min="5172" max="5172" width="0.7265625" style="8" customWidth="1"/>
    <col min="5173" max="5173" width="9.1796875" style="8"/>
    <col min="5174" max="5174" width="1.1796875" style="8" customWidth="1"/>
    <col min="5175" max="5376" width="9.1796875" style="8"/>
    <col min="5377" max="5377" width="43.54296875" style="8" customWidth="1"/>
    <col min="5378" max="5383" width="0" style="8" hidden="1" customWidth="1"/>
    <col min="5384" max="5384" width="0.81640625" style="8" customWidth="1"/>
    <col min="5385" max="5385" width="10.81640625" style="8" customWidth="1"/>
    <col min="5386" max="5386" width="1.81640625" style="8" customWidth="1"/>
    <col min="5387" max="5387" width="11.26953125" style="8" customWidth="1"/>
    <col min="5388" max="5388" width="1.1796875" style="8" customWidth="1"/>
    <col min="5389" max="5389" width="12" style="8" customWidth="1"/>
    <col min="5390" max="5390" width="1.453125" style="8" customWidth="1"/>
    <col min="5391" max="5391" width="10.81640625" style="8" bestFit="1" customWidth="1"/>
    <col min="5392" max="5392" width="1.81640625" style="8" customWidth="1"/>
    <col min="5393" max="5393" width="13.26953125" style="8" customWidth="1"/>
    <col min="5394" max="5394" width="1.7265625" style="8" customWidth="1"/>
    <col min="5395" max="5395" width="9.1796875" style="8"/>
    <col min="5396" max="5396" width="1.1796875" style="8" customWidth="1"/>
    <col min="5397" max="5397" width="11.81640625" style="8" customWidth="1"/>
    <col min="5398" max="5398" width="0.81640625" style="8" customWidth="1"/>
    <col min="5399" max="5399" width="12.54296875" style="8" customWidth="1"/>
    <col min="5400" max="5400" width="2.54296875" style="8" customWidth="1"/>
    <col min="5401" max="5401" width="11" style="8" customWidth="1"/>
    <col min="5402" max="5402" width="2.1796875" style="8" customWidth="1"/>
    <col min="5403" max="5403" width="12.453125" style="8" customWidth="1"/>
    <col min="5404" max="5404" width="2.1796875" style="8" customWidth="1"/>
    <col min="5405" max="5405" width="10.54296875" style="8" customWidth="1"/>
    <col min="5406" max="5406" width="1.453125" style="8" customWidth="1"/>
    <col min="5407" max="5407" width="10.1796875" style="8" customWidth="1"/>
    <col min="5408" max="5408" width="2.26953125" style="8" customWidth="1"/>
    <col min="5409" max="5409" width="9.54296875" style="8" bestFit="1" customWidth="1"/>
    <col min="5410" max="5410" width="0.54296875" style="8" customWidth="1"/>
    <col min="5411" max="5411" width="10.54296875" style="8" customWidth="1"/>
    <col min="5412" max="5412" width="0.81640625" style="8" customWidth="1"/>
    <col min="5413" max="5413" width="12.7265625" style="8" customWidth="1"/>
    <col min="5414" max="5414" width="1" style="8" customWidth="1"/>
    <col min="5415" max="5415" width="9.54296875" style="8" customWidth="1"/>
    <col min="5416" max="5416" width="1.1796875" style="8" customWidth="1"/>
    <col min="5417" max="5417" width="10.453125" style="8" customWidth="1"/>
    <col min="5418" max="5418" width="0.54296875" style="8" customWidth="1"/>
    <col min="5419" max="5419" width="8.54296875" style="8" bestFit="1" customWidth="1"/>
    <col min="5420" max="5420" width="0.54296875" style="8" customWidth="1"/>
    <col min="5421" max="5421" width="9.54296875" style="8" bestFit="1" customWidth="1"/>
    <col min="5422" max="5422" width="0.54296875" style="8" customWidth="1"/>
    <col min="5423" max="5423" width="12" style="8" bestFit="1" customWidth="1"/>
    <col min="5424" max="5424" width="0.54296875" style="8" customWidth="1"/>
    <col min="5425" max="5425" width="8.54296875" style="8" bestFit="1" customWidth="1"/>
    <col min="5426" max="5426" width="1.1796875" style="8" customWidth="1"/>
    <col min="5427" max="5427" width="9.1796875" style="8"/>
    <col min="5428" max="5428" width="0.7265625" style="8" customWidth="1"/>
    <col min="5429" max="5429" width="9.1796875" style="8"/>
    <col min="5430" max="5430" width="1.1796875" style="8" customWidth="1"/>
    <col min="5431" max="5632" width="9.1796875" style="8"/>
    <col min="5633" max="5633" width="43.54296875" style="8" customWidth="1"/>
    <col min="5634" max="5639" width="0" style="8" hidden="1" customWidth="1"/>
    <col min="5640" max="5640" width="0.81640625" style="8" customWidth="1"/>
    <col min="5641" max="5641" width="10.81640625" style="8" customWidth="1"/>
    <col min="5642" max="5642" width="1.81640625" style="8" customWidth="1"/>
    <col min="5643" max="5643" width="11.26953125" style="8" customWidth="1"/>
    <col min="5644" max="5644" width="1.1796875" style="8" customWidth="1"/>
    <col min="5645" max="5645" width="12" style="8" customWidth="1"/>
    <col min="5646" max="5646" width="1.453125" style="8" customWidth="1"/>
    <col min="5647" max="5647" width="10.81640625" style="8" bestFit="1" customWidth="1"/>
    <col min="5648" max="5648" width="1.81640625" style="8" customWidth="1"/>
    <col min="5649" max="5649" width="13.26953125" style="8" customWidth="1"/>
    <col min="5650" max="5650" width="1.7265625" style="8" customWidth="1"/>
    <col min="5651" max="5651" width="9.1796875" style="8"/>
    <col min="5652" max="5652" width="1.1796875" style="8" customWidth="1"/>
    <col min="5653" max="5653" width="11.81640625" style="8" customWidth="1"/>
    <col min="5654" max="5654" width="0.81640625" style="8" customWidth="1"/>
    <col min="5655" max="5655" width="12.54296875" style="8" customWidth="1"/>
    <col min="5656" max="5656" width="2.54296875" style="8" customWidth="1"/>
    <col min="5657" max="5657" width="11" style="8" customWidth="1"/>
    <col min="5658" max="5658" width="2.1796875" style="8" customWidth="1"/>
    <col min="5659" max="5659" width="12.453125" style="8" customWidth="1"/>
    <col min="5660" max="5660" width="2.1796875" style="8" customWidth="1"/>
    <col min="5661" max="5661" width="10.54296875" style="8" customWidth="1"/>
    <col min="5662" max="5662" width="1.453125" style="8" customWidth="1"/>
    <col min="5663" max="5663" width="10.1796875" style="8" customWidth="1"/>
    <col min="5664" max="5664" width="2.26953125" style="8" customWidth="1"/>
    <col min="5665" max="5665" width="9.54296875" style="8" bestFit="1" customWidth="1"/>
    <col min="5666" max="5666" width="0.54296875" style="8" customWidth="1"/>
    <col min="5667" max="5667" width="10.54296875" style="8" customWidth="1"/>
    <col min="5668" max="5668" width="0.81640625" style="8" customWidth="1"/>
    <col min="5669" max="5669" width="12.7265625" style="8" customWidth="1"/>
    <col min="5670" max="5670" width="1" style="8" customWidth="1"/>
    <col min="5671" max="5671" width="9.54296875" style="8" customWidth="1"/>
    <col min="5672" max="5672" width="1.1796875" style="8" customWidth="1"/>
    <col min="5673" max="5673" width="10.453125" style="8" customWidth="1"/>
    <col min="5674" max="5674" width="0.54296875" style="8" customWidth="1"/>
    <col min="5675" max="5675" width="8.54296875" style="8" bestFit="1" customWidth="1"/>
    <col min="5676" max="5676" width="0.54296875" style="8" customWidth="1"/>
    <col min="5677" max="5677" width="9.54296875" style="8" bestFit="1" customWidth="1"/>
    <col min="5678" max="5678" width="0.54296875" style="8" customWidth="1"/>
    <col min="5679" max="5679" width="12" style="8" bestFit="1" customWidth="1"/>
    <col min="5680" max="5680" width="0.54296875" style="8" customWidth="1"/>
    <col min="5681" max="5681" width="8.54296875" style="8" bestFit="1" customWidth="1"/>
    <col min="5682" max="5682" width="1.1796875" style="8" customWidth="1"/>
    <col min="5683" max="5683" width="9.1796875" style="8"/>
    <col min="5684" max="5684" width="0.7265625" style="8" customWidth="1"/>
    <col min="5685" max="5685" width="9.1796875" style="8"/>
    <col min="5686" max="5686" width="1.1796875" style="8" customWidth="1"/>
    <col min="5687" max="5888" width="9.1796875" style="8"/>
    <col min="5889" max="5889" width="43.54296875" style="8" customWidth="1"/>
    <col min="5890" max="5895" width="0" style="8" hidden="1" customWidth="1"/>
    <col min="5896" max="5896" width="0.81640625" style="8" customWidth="1"/>
    <col min="5897" max="5897" width="10.81640625" style="8" customWidth="1"/>
    <col min="5898" max="5898" width="1.81640625" style="8" customWidth="1"/>
    <col min="5899" max="5899" width="11.26953125" style="8" customWidth="1"/>
    <col min="5900" max="5900" width="1.1796875" style="8" customWidth="1"/>
    <col min="5901" max="5901" width="12" style="8" customWidth="1"/>
    <col min="5902" max="5902" width="1.453125" style="8" customWidth="1"/>
    <col min="5903" max="5903" width="10.81640625" style="8" bestFit="1" customWidth="1"/>
    <col min="5904" max="5904" width="1.81640625" style="8" customWidth="1"/>
    <col min="5905" max="5905" width="13.26953125" style="8" customWidth="1"/>
    <col min="5906" max="5906" width="1.7265625" style="8" customWidth="1"/>
    <col min="5907" max="5907" width="9.1796875" style="8"/>
    <col min="5908" max="5908" width="1.1796875" style="8" customWidth="1"/>
    <col min="5909" max="5909" width="11.81640625" style="8" customWidth="1"/>
    <col min="5910" max="5910" width="0.81640625" style="8" customWidth="1"/>
    <col min="5911" max="5911" width="12.54296875" style="8" customWidth="1"/>
    <col min="5912" max="5912" width="2.54296875" style="8" customWidth="1"/>
    <col min="5913" max="5913" width="11" style="8" customWidth="1"/>
    <col min="5914" max="5914" width="2.1796875" style="8" customWidth="1"/>
    <col min="5915" max="5915" width="12.453125" style="8" customWidth="1"/>
    <col min="5916" max="5916" width="2.1796875" style="8" customWidth="1"/>
    <col min="5917" max="5917" width="10.54296875" style="8" customWidth="1"/>
    <col min="5918" max="5918" width="1.453125" style="8" customWidth="1"/>
    <col min="5919" max="5919" width="10.1796875" style="8" customWidth="1"/>
    <col min="5920" max="5920" width="2.26953125" style="8" customWidth="1"/>
    <col min="5921" max="5921" width="9.54296875" style="8" bestFit="1" customWidth="1"/>
    <col min="5922" max="5922" width="0.54296875" style="8" customWidth="1"/>
    <col min="5923" max="5923" width="10.54296875" style="8" customWidth="1"/>
    <col min="5924" max="5924" width="0.81640625" style="8" customWidth="1"/>
    <col min="5925" max="5925" width="12.7265625" style="8" customWidth="1"/>
    <col min="5926" max="5926" width="1" style="8" customWidth="1"/>
    <col min="5927" max="5927" width="9.54296875" style="8" customWidth="1"/>
    <col min="5928" max="5928" width="1.1796875" style="8" customWidth="1"/>
    <col min="5929" max="5929" width="10.453125" style="8" customWidth="1"/>
    <col min="5930" max="5930" width="0.54296875" style="8" customWidth="1"/>
    <col min="5931" max="5931" width="8.54296875" style="8" bestFit="1" customWidth="1"/>
    <col min="5932" max="5932" width="0.54296875" style="8" customWidth="1"/>
    <col min="5933" max="5933" width="9.54296875" style="8" bestFit="1" customWidth="1"/>
    <col min="5934" max="5934" width="0.54296875" style="8" customWidth="1"/>
    <col min="5935" max="5935" width="12" style="8" bestFit="1" customWidth="1"/>
    <col min="5936" max="5936" width="0.54296875" style="8" customWidth="1"/>
    <col min="5937" max="5937" width="8.54296875" style="8" bestFit="1" customWidth="1"/>
    <col min="5938" max="5938" width="1.1796875" style="8" customWidth="1"/>
    <col min="5939" max="5939" width="9.1796875" style="8"/>
    <col min="5940" max="5940" width="0.7265625" style="8" customWidth="1"/>
    <col min="5941" max="5941" width="9.1796875" style="8"/>
    <col min="5942" max="5942" width="1.1796875" style="8" customWidth="1"/>
    <col min="5943" max="6144" width="9.1796875" style="8"/>
    <col min="6145" max="6145" width="43.54296875" style="8" customWidth="1"/>
    <col min="6146" max="6151" width="0" style="8" hidden="1" customWidth="1"/>
    <col min="6152" max="6152" width="0.81640625" style="8" customWidth="1"/>
    <col min="6153" max="6153" width="10.81640625" style="8" customWidth="1"/>
    <col min="6154" max="6154" width="1.81640625" style="8" customWidth="1"/>
    <col min="6155" max="6155" width="11.26953125" style="8" customWidth="1"/>
    <col min="6156" max="6156" width="1.1796875" style="8" customWidth="1"/>
    <col min="6157" max="6157" width="12" style="8" customWidth="1"/>
    <col min="6158" max="6158" width="1.453125" style="8" customWidth="1"/>
    <col min="6159" max="6159" width="10.81640625" style="8" bestFit="1" customWidth="1"/>
    <col min="6160" max="6160" width="1.81640625" style="8" customWidth="1"/>
    <col min="6161" max="6161" width="13.26953125" style="8" customWidth="1"/>
    <col min="6162" max="6162" width="1.7265625" style="8" customWidth="1"/>
    <col min="6163" max="6163" width="9.1796875" style="8"/>
    <col min="6164" max="6164" width="1.1796875" style="8" customWidth="1"/>
    <col min="6165" max="6165" width="11.81640625" style="8" customWidth="1"/>
    <col min="6166" max="6166" width="0.81640625" style="8" customWidth="1"/>
    <col min="6167" max="6167" width="12.54296875" style="8" customWidth="1"/>
    <col min="6168" max="6168" width="2.54296875" style="8" customWidth="1"/>
    <col min="6169" max="6169" width="11" style="8" customWidth="1"/>
    <col min="6170" max="6170" width="2.1796875" style="8" customWidth="1"/>
    <col min="6171" max="6171" width="12.453125" style="8" customWidth="1"/>
    <col min="6172" max="6172" width="2.1796875" style="8" customWidth="1"/>
    <col min="6173" max="6173" width="10.54296875" style="8" customWidth="1"/>
    <col min="6174" max="6174" width="1.453125" style="8" customWidth="1"/>
    <col min="6175" max="6175" width="10.1796875" style="8" customWidth="1"/>
    <col min="6176" max="6176" width="2.26953125" style="8" customWidth="1"/>
    <col min="6177" max="6177" width="9.54296875" style="8" bestFit="1" customWidth="1"/>
    <col min="6178" max="6178" width="0.54296875" style="8" customWidth="1"/>
    <col min="6179" max="6179" width="10.54296875" style="8" customWidth="1"/>
    <col min="6180" max="6180" width="0.81640625" style="8" customWidth="1"/>
    <col min="6181" max="6181" width="12.7265625" style="8" customWidth="1"/>
    <col min="6182" max="6182" width="1" style="8" customWidth="1"/>
    <col min="6183" max="6183" width="9.54296875" style="8" customWidth="1"/>
    <col min="6184" max="6184" width="1.1796875" style="8" customWidth="1"/>
    <col min="6185" max="6185" width="10.453125" style="8" customWidth="1"/>
    <col min="6186" max="6186" width="0.54296875" style="8" customWidth="1"/>
    <col min="6187" max="6187" width="8.54296875" style="8" bestFit="1" customWidth="1"/>
    <col min="6188" max="6188" width="0.54296875" style="8" customWidth="1"/>
    <col min="6189" max="6189" width="9.54296875" style="8" bestFit="1" customWidth="1"/>
    <col min="6190" max="6190" width="0.54296875" style="8" customWidth="1"/>
    <col min="6191" max="6191" width="12" style="8" bestFit="1" customWidth="1"/>
    <col min="6192" max="6192" width="0.54296875" style="8" customWidth="1"/>
    <col min="6193" max="6193" width="8.54296875" style="8" bestFit="1" customWidth="1"/>
    <col min="6194" max="6194" width="1.1796875" style="8" customWidth="1"/>
    <col min="6195" max="6195" width="9.1796875" style="8"/>
    <col min="6196" max="6196" width="0.7265625" style="8" customWidth="1"/>
    <col min="6197" max="6197" width="9.1796875" style="8"/>
    <col min="6198" max="6198" width="1.1796875" style="8" customWidth="1"/>
    <col min="6199" max="6400" width="9.1796875" style="8"/>
    <col min="6401" max="6401" width="43.54296875" style="8" customWidth="1"/>
    <col min="6402" max="6407" width="0" style="8" hidden="1" customWidth="1"/>
    <col min="6408" max="6408" width="0.81640625" style="8" customWidth="1"/>
    <col min="6409" max="6409" width="10.81640625" style="8" customWidth="1"/>
    <col min="6410" max="6410" width="1.81640625" style="8" customWidth="1"/>
    <col min="6411" max="6411" width="11.26953125" style="8" customWidth="1"/>
    <col min="6412" max="6412" width="1.1796875" style="8" customWidth="1"/>
    <col min="6413" max="6413" width="12" style="8" customWidth="1"/>
    <col min="6414" max="6414" width="1.453125" style="8" customWidth="1"/>
    <col min="6415" max="6415" width="10.81640625" style="8" bestFit="1" customWidth="1"/>
    <col min="6416" max="6416" width="1.81640625" style="8" customWidth="1"/>
    <col min="6417" max="6417" width="13.26953125" style="8" customWidth="1"/>
    <col min="6418" max="6418" width="1.7265625" style="8" customWidth="1"/>
    <col min="6419" max="6419" width="9.1796875" style="8"/>
    <col min="6420" max="6420" width="1.1796875" style="8" customWidth="1"/>
    <col min="6421" max="6421" width="11.81640625" style="8" customWidth="1"/>
    <col min="6422" max="6422" width="0.81640625" style="8" customWidth="1"/>
    <col min="6423" max="6423" width="12.54296875" style="8" customWidth="1"/>
    <col min="6424" max="6424" width="2.54296875" style="8" customWidth="1"/>
    <col min="6425" max="6425" width="11" style="8" customWidth="1"/>
    <col min="6426" max="6426" width="2.1796875" style="8" customWidth="1"/>
    <col min="6427" max="6427" width="12.453125" style="8" customWidth="1"/>
    <col min="6428" max="6428" width="2.1796875" style="8" customWidth="1"/>
    <col min="6429" max="6429" width="10.54296875" style="8" customWidth="1"/>
    <col min="6430" max="6430" width="1.453125" style="8" customWidth="1"/>
    <col min="6431" max="6431" width="10.1796875" style="8" customWidth="1"/>
    <col min="6432" max="6432" width="2.26953125" style="8" customWidth="1"/>
    <col min="6433" max="6433" width="9.54296875" style="8" bestFit="1" customWidth="1"/>
    <col min="6434" max="6434" width="0.54296875" style="8" customWidth="1"/>
    <col min="6435" max="6435" width="10.54296875" style="8" customWidth="1"/>
    <col min="6436" max="6436" width="0.81640625" style="8" customWidth="1"/>
    <col min="6437" max="6437" width="12.7265625" style="8" customWidth="1"/>
    <col min="6438" max="6438" width="1" style="8" customWidth="1"/>
    <col min="6439" max="6439" width="9.54296875" style="8" customWidth="1"/>
    <col min="6440" max="6440" width="1.1796875" style="8" customWidth="1"/>
    <col min="6441" max="6441" width="10.453125" style="8" customWidth="1"/>
    <col min="6442" max="6442" width="0.54296875" style="8" customWidth="1"/>
    <col min="6443" max="6443" width="8.54296875" style="8" bestFit="1" customWidth="1"/>
    <col min="6444" max="6444" width="0.54296875" style="8" customWidth="1"/>
    <col min="6445" max="6445" width="9.54296875" style="8" bestFit="1" customWidth="1"/>
    <col min="6446" max="6446" width="0.54296875" style="8" customWidth="1"/>
    <col min="6447" max="6447" width="12" style="8" bestFit="1" customWidth="1"/>
    <col min="6448" max="6448" width="0.54296875" style="8" customWidth="1"/>
    <col min="6449" max="6449" width="8.54296875" style="8" bestFit="1" customWidth="1"/>
    <col min="6450" max="6450" width="1.1796875" style="8" customWidth="1"/>
    <col min="6451" max="6451" width="9.1796875" style="8"/>
    <col min="6452" max="6452" width="0.7265625" style="8" customWidth="1"/>
    <col min="6453" max="6453" width="9.1796875" style="8"/>
    <col min="6454" max="6454" width="1.1796875" style="8" customWidth="1"/>
    <col min="6455" max="6656" width="9.1796875" style="8"/>
    <col min="6657" max="6657" width="43.54296875" style="8" customWidth="1"/>
    <col min="6658" max="6663" width="0" style="8" hidden="1" customWidth="1"/>
    <col min="6664" max="6664" width="0.81640625" style="8" customWidth="1"/>
    <col min="6665" max="6665" width="10.81640625" style="8" customWidth="1"/>
    <col min="6666" max="6666" width="1.81640625" style="8" customWidth="1"/>
    <col min="6667" max="6667" width="11.26953125" style="8" customWidth="1"/>
    <col min="6668" max="6668" width="1.1796875" style="8" customWidth="1"/>
    <col min="6669" max="6669" width="12" style="8" customWidth="1"/>
    <col min="6670" max="6670" width="1.453125" style="8" customWidth="1"/>
    <col min="6671" max="6671" width="10.81640625" style="8" bestFit="1" customWidth="1"/>
    <col min="6672" max="6672" width="1.81640625" style="8" customWidth="1"/>
    <col min="6673" max="6673" width="13.26953125" style="8" customWidth="1"/>
    <col min="6674" max="6674" width="1.7265625" style="8" customWidth="1"/>
    <col min="6675" max="6675" width="9.1796875" style="8"/>
    <col min="6676" max="6676" width="1.1796875" style="8" customWidth="1"/>
    <col min="6677" max="6677" width="11.81640625" style="8" customWidth="1"/>
    <col min="6678" max="6678" width="0.81640625" style="8" customWidth="1"/>
    <col min="6679" max="6679" width="12.54296875" style="8" customWidth="1"/>
    <col min="6680" max="6680" width="2.54296875" style="8" customWidth="1"/>
    <col min="6681" max="6681" width="11" style="8" customWidth="1"/>
    <col min="6682" max="6682" width="2.1796875" style="8" customWidth="1"/>
    <col min="6683" max="6683" width="12.453125" style="8" customWidth="1"/>
    <col min="6684" max="6684" width="2.1796875" style="8" customWidth="1"/>
    <col min="6685" max="6685" width="10.54296875" style="8" customWidth="1"/>
    <col min="6686" max="6686" width="1.453125" style="8" customWidth="1"/>
    <col min="6687" max="6687" width="10.1796875" style="8" customWidth="1"/>
    <col min="6688" max="6688" width="2.26953125" style="8" customWidth="1"/>
    <col min="6689" max="6689" width="9.54296875" style="8" bestFit="1" customWidth="1"/>
    <col min="6690" max="6690" width="0.54296875" style="8" customWidth="1"/>
    <col min="6691" max="6691" width="10.54296875" style="8" customWidth="1"/>
    <col min="6692" max="6692" width="0.81640625" style="8" customWidth="1"/>
    <col min="6693" max="6693" width="12.7265625" style="8" customWidth="1"/>
    <col min="6694" max="6694" width="1" style="8" customWidth="1"/>
    <col min="6695" max="6695" width="9.54296875" style="8" customWidth="1"/>
    <col min="6696" max="6696" width="1.1796875" style="8" customWidth="1"/>
    <col min="6697" max="6697" width="10.453125" style="8" customWidth="1"/>
    <col min="6698" max="6698" width="0.54296875" style="8" customWidth="1"/>
    <col min="6699" max="6699" width="8.54296875" style="8" bestFit="1" customWidth="1"/>
    <col min="6700" max="6700" width="0.54296875" style="8" customWidth="1"/>
    <col min="6701" max="6701" width="9.54296875" style="8" bestFit="1" customWidth="1"/>
    <col min="6702" max="6702" width="0.54296875" style="8" customWidth="1"/>
    <col min="6703" max="6703" width="12" style="8" bestFit="1" customWidth="1"/>
    <col min="6704" max="6704" width="0.54296875" style="8" customWidth="1"/>
    <col min="6705" max="6705" width="8.54296875" style="8" bestFit="1" customWidth="1"/>
    <col min="6706" max="6706" width="1.1796875" style="8" customWidth="1"/>
    <col min="6707" max="6707" width="9.1796875" style="8"/>
    <col min="6708" max="6708" width="0.7265625" style="8" customWidth="1"/>
    <col min="6709" max="6709" width="9.1796875" style="8"/>
    <col min="6710" max="6710" width="1.1796875" style="8" customWidth="1"/>
    <col min="6711" max="6912" width="9.1796875" style="8"/>
    <col min="6913" max="6913" width="43.54296875" style="8" customWidth="1"/>
    <col min="6914" max="6919" width="0" style="8" hidden="1" customWidth="1"/>
    <col min="6920" max="6920" width="0.81640625" style="8" customWidth="1"/>
    <col min="6921" max="6921" width="10.81640625" style="8" customWidth="1"/>
    <col min="6922" max="6922" width="1.81640625" style="8" customWidth="1"/>
    <col min="6923" max="6923" width="11.26953125" style="8" customWidth="1"/>
    <col min="6924" max="6924" width="1.1796875" style="8" customWidth="1"/>
    <col min="6925" max="6925" width="12" style="8" customWidth="1"/>
    <col min="6926" max="6926" width="1.453125" style="8" customWidth="1"/>
    <col min="6927" max="6927" width="10.81640625" style="8" bestFit="1" customWidth="1"/>
    <col min="6928" max="6928" width="1.81640625" style="8" customWidth="1"/>
    <col min="6929" max="6929" width="13.26953125" style="8" customWidth="1"/>
    <col min="6930" max="6930" width="1.7265625" style="8" customWidth="1"/>
    <col min="6931" max="6931" width="9.1796875" style="8"/>
    <col min="6932" max="6932" width="1.1796875" style="8" customWidth="1"/>
    <col min="6933" max="6933" width="11.81640625" style="8" customWidth="1"/>
    <col min="6934" max="6934" width="0.81640625" style="8" customWidth="1"/>
    <col min="6935" max="6935" width="12.54296875" style="8" customWidth="1"/>
    <col min="6936" max="6936" width="2.54296875" style="8" customWidth="1"/>
    <col min="6937" max="6937" width="11" style="8" customWidth="1"/>
    <col min="6938" max="6938" width="2.1796875" style="8" customWidth="1"/>
    <col min="6939" max="6939" width="12.453125" style="8" customWidth="1"/>
    <col min="6940" max="6940" width="2.1796875" style="8" customWidth="1"/>
    <col min="6941" max="6941" width="10.54296875" style="8" customWidth="1"/>
    <col min="6942" max="6942" width="1.453125" style="8" customWidth="1"/>
    <col min="6943" max="6943" width="10.1796875" style="8" customWidth="1"/>
    <col min="6944" max="6944" width="2.26953125" style="8" customWidth="1"/>
    <col min="6945" max="6945" width="9.54296875" style="8" bestFit="1" customWidth="1"/>
    <col min="6946" max="6946" width="0.54296875" style="8" customWidth="1"/>
    <col min="6947" max="6947" width="10.54296875" style="8" customWidth="1"/>
    <col min="6948" max="6948" width="0.81640625" style="8" customWidth="1"/>
    <col min="6949" max="6949" width="12.7265625" style="8" customWidth="1"/>
    <col min="6950" max="6950" width="1" style="8" customWidth="1"/>
    <col min="6951" max="6951" width="9.54296875" style="8" customWidth="1"/>
    <col min="6952" max="6952" width="1.1796875" style="8" customWidth="1"/>
    <col min="6953" max="6953" width="10.453125" style="8" customWidth="1"/>
    <col min="6954" max="6954" width="0.54296875" style="8" customWidth="1"/>
    <col min="6955" max="6955" width="8.54296875" style="8" bestFit="1" customWidth="1"/>
    <col min="6956" max="6956" width="0.54296875" style="8" customWidth="1"/>
    <col min="6957" max="6957" width="9.54296875" style="8" bestFit="1" customWidth="1"/>
    <col min="6958" max="6958" width="0.54296875" style="8" customWidth="1"/>
    <col min="6959" max="6959" width="12" style="8" bestFit="1" customWidth="1"/>
    <col min="6960" max="6960" width="0.54296875" style="8" customWidth="1"/>
    <col min="6961" max="6961" width="8.54296875" style="8" bestFit="1" customWidth="1"/>
    <col min="6962" max="6962" width="1.1796875" style="8" customWidth="1"/>
    <col min="6963" max="6963" width="9.1796875" style="8"/>
    <col min="6964" max="6964" width="0.7265625" style="8" customWidth="1"/>
    <col min="6965" max="6965" width="9.1796875" style="8"/>
    <col min="6966" max="6966" width="1.1796875" style="8" customWidth="1"/>
    <col min="6967" max="7168" width="9.1796875" style="8"/>
    <col min="7169" max="7169" width="43.54296875" style="8" customWidth="1"/>
    <col min="7170" max="7175" width="0" style="8" hidden="1" customWidth="1"/>
    <col min="7176" max="7176" width="0.81640625" style="8" customWidth="1"/>
    <col min="7177" max="7177" width="10.81640625" style="8" customWidth="1"/>
    <col min="7178" max="7178" width="1.81640625" style="8" customWidth="1"/>
    <col min="7179" max="7179" width="11.26953125" style="8" customWidth="1"/>
    <col min="7180" max="7180" width="1.1796875" style="8" customWidth="1"/>
    <col min="7181" max="7181" width="12" style="8" customWidth="1"/>
    <col min="7182" max="7182" width="1.453125" style="8" customWidth="1"/>
    <col min="7183" max="7183" width="10.81640625" style="8" bestFit="1" customWidth="1"/>
    <col min="7184" max="7184" width="1.81640625" style="8" customWidth="1"/>
    <col min="7185" max="7185" width="13.26953125" style="8" customWidth="1"/>
    <col min="7186" max="7186" width="1.7265625" style="8" customWidth="1"/>
    <col min="7187" max="7187" width="9.1796875" style="8"/>
    <col min="7188" max="7188" width="1.1796875" style="8" customWidth="1"/>
    <col min="7189" max="7189" width="11.81640625" style="8" customWidth="1"/>
    <col min="7190" max="7190" width="0.81640625" style="8" customWidth="1"/>
    <col min="7191" max="7191" width="12.54296875" style="8" customWidth="1"/>
    <col min="7192" max="7192" width="2.54296875" style="8" customWidth="1"/>
    <col min="7193" max="7193" width="11" style="8" customWidth="1"/>
    <col min="7194" max="7194" width="2.1796875" style="8" customWidth="1"/>
    <col min="7195" max="7195" width="12.453125" style="8" customWidth="1"/>
    <col min="7196" max="7196" width="2.1796875" style="8" customWidth="1"/>
    <col min="7197" max="7197" width="10.54296875" style="8" customWidth="1"/>
    <col min="7198" max="7198" width="1.453125" style="8" customWidth="1"/>
    <col min="7199" max="7199" width="10.1796875" style="8" customWidth="1"/>
    <col min="7200" max="7200" width="2.26953125" style="8" customWidth="1"/>
    <col min="7201" max="7201" width="9.54296875" style="8" bestFit="1" customWidth="1"/>
    <col min="7202" max="7202" width="0.54296875" style="8" customWidth="1"/>
    <col min="7203" max="7203" width="10.54296875" style="8" customWidth="1"/>
    <col min="7204" max="7204" width="0.81640625" style="8" customWidth="1"/>
    <col min="7205" max="7205" width="12.7265625" style="8" customWidth="1"/>
    <col min="7206" max="7206" width="1" style="8" customWidth="1"/>
    <col min="7207" max="7207" width="9.54296875" style="8" customWidth="1"/>
    <col min="7208" max="7208" width="1.1796875" style="8" customWidth="1"/>
    <col min="7209" max="7209" width="10.453125" style="8" customWidth="1"/>
    <col min="7210" max="7210" width="0.54296875" style="8" customWidth="1"/>
    <col min="7211" max="7211" width="8.54296875" style="8" bestFit="1" customWidth="1"/>
    <col min="7212" max="7212" width="0.54296875" style="8" customWidth="1"/>
    <col min="7213" max="7213" width="9.54296875" style="8" bestFit="1" customWidth="1"/>
    <col min="7214" max="7214" width="0.54296875" style="8" customWidth="1"/>
    <col min="7215" max="7215" width="12" style="8" bestFit="1" customWidth="1"/>
    <col min="7216" max="7216" width="0.54296875" style="8" customWidth="1"/>
    <col min="7217" max="7217" width="8.54296875" style="8" bestFit="1" customWidth="1"/>
    <col min="7218" max="7218" width="1.1796875" style="8" customWidth="1"/>
    <col min="7219" max="7219" width="9.1796875" style="8"/>
    <col min="7220" max="7220" width="0.7265625" style="8" customWidth="1"/>
    <col min="7221" max="7221" width="9.1796875" style="8"/>
    <col min="7222" max="7222" width="1.1796875" style="8" customWidth="1"/>
    <col min="7223" max="7424" width="9.1796875" style="8"/>
    <col min="7425" max="7425" width="43.54296875" style="8" customWidth="1"/>
    <col min="7426" max="7431" width="0" style="8" hidden="1" customWidth="1"/>
    <col min="7432" max="7432" width="0.81640625" style="8" customWidth="1"/>
    <col min="7433" max="7433" width="10.81640625" style="8" customWidth="1"/>
    <col min="7434" max="7434" width="1.81640625" style="8" customWidth="1"/>
    <col min="7435" max="7435" width="11.26953125" style="8" customWidth="1"/>
    <col min="7436" max="7436" width="1.1796875" style="8" customWidth="1"/>
    <col min="7437" max="7437" width="12" style="8" customWidth="1"/>
    <col min="7438" max="7438" width="1.453125" style="8" customWidth="1"/>
    <col min="7439" max="7439" width="10.81640625" style="8" bestFit="1" customWidth="1"/>
    <col min="7440" max="7440" width="1.81640625" style="8" customWidth="1"/>
    <col min="7441" max="7441" width="13.26953125" style="8" customWidth="1"/>
    <col min="7442" max="7442" width="1.7265625" style="8" customWidth="1"/>
    <col min="7443" max="7443" width="9.1796875" style="8"/>
    <col min="7444" max="7444" width="1.1796875" style="8" customWidth="1"/>
    <col min="7445" max="7445" width="11.81640625" style="8" customWidth="1"/>
    <col min="7446" max="7446" width="0.81640625" style="8" customWidth="1"/>
    <col min="7447" max="7447" width="12.54296875" style="8" customWidth="1"/>
    <col min="7448" max="7448" width="2.54296875" style="8" customWidth="1"/>
    <col min="7449" max="7449" width="11" style="8" customWidth="1"/>
    <col min="7450" max="7450" width="2.1796875" style="8" customWidth="1"/>
    <col min="7451" max="7451" width="12.453125" style="8" customWidth="1"/>
    <col min="7452" max="7452" width="2.1796875" style="8" customWidth="1"/>
    <col min="7453" max="7453" width="10.54296875" style="8" customWidth="1"/>
    <col min="7454" max="7454" width="1.453125" style="8" customWidth="1"/>
    <col min="7455" max="7455" width="10.1796875" style="8" customWidth="1"/>
    <col min="7456" max="7456" width="2.26953125" style="8" customWidth="1"/>
    <col min="7457" max="7457" width="9.54296875" style="8" bestFit="1" customWidth="1"/>
    <col min="7458" max="7458" width="0.54296875" style="8" customWidth="1"/>
    <col min="7459" max="7459" width="10.54296875" style="8" customWidth="1"/>
    <col min="7460" max="7460" width="0.81640625" style="8" customWidth="1"/>
    <col min="7461" max="7461" width="12.7265625" style="8" customWidth="1"/>
    <col min="7462" max="7462" width="1" style="8" customWidth="1"/>
    <col min="7463" max="7463" width="9.54296875" style="8" customWidth="1"/>
    <col min="7464" max="7464" width="1.1796875" style="8" customWidth="1"/>
    <col min="7465" max="7465" width="10.453125" style="8" customWidth="1"/>
    <col min="7466" max="7466" width="0.54296875" style="8" customWidth="1"/>
    <col min="7467" max="7467" width="8.54296875" style="8" bestFit="1" customWidth="1"/>
    <col min="7468" max="7468" width="0.54296875" style="8" customWidth="1"/>
    <col min="7469" max="7469" width="9.54296875" style="8" bestFit="1" customWidth="1"/>
    <col min="7470" max="7470" width="0.54296875" style="8" customWidth="1"/>
    <col min="7471" max="7471" width="12" style="8" bestFit="1" customWidth="1"/>
    <col min="7472" max="7472" width="0.54296875" style="8" customWidth="1"/>
    <col min="7473" max="7473" width="8.54296875" style="8" bestFit="1" customWidth="1"/>
    <col min="7474" max="7474" width="1.1796875" style="8" customWidth="1"/>
    <col min="7475" max="7475" width="9.1796875" style="8"/>
    <col min="7476" max="7476" width="0.7265625" style="8" customWidth="1"/>
    <col min="7477" max="7477" width="9.1796875" style="8"/>
    <col min="7478" max="7478" width="1.1796875" style="8" customWidth="1"/>
    <col min="7479" max="7680" width="9.1796875" style="8"/>
    <col min="7681" max="7681" width="43.54296875" style="8" customWidth="1"/>
    <col min="7682" max="7687" width="0" style="8" hidden="1" customWidth="1"/>
    <col min="7688" max="7688" width="0.81640625" style="8" customWidth="1"/>
    <col min="7689" max="7689" width="10.81640625" style="8" customWidth="1"/>
    <col min="7690" max="7690" width="1.81640625" style="8" customWidth="1"/>
    <col min="7691" max="7691" width="11.26953125" style="8" customWidth="1"/>
    <col min="7692" max="7692" width="1.1796875" style="8" customWidth="1"/>
    <col min="7693" max="7693" width="12" style="8" customWidth="1"/>
    <col min="7694" max="7694" width="1.453125" style="8" customWidth="1"/>
    <col min="7695" max="7695" width="10.81640625" style="8" bestFit="1" customWidth="1"/>
    <col min="7696" max="7696" width="1.81640625" style="8" customWidth="1"/>
    <col min="7697" max="7697" width="13.26953125" style="8" customWidth="1"/>
    <col min="7698" max="7698" width="1.7265625" style="8" customWidth="1"/>
    <col min="7699" max="7699" width="9.1796875" style="8"/>
    <col min="7700" max="7700" width="1.1796875" style="8" customWidth="1"/>
    <col min="7701" max="7701" width="11.81640625" style="8" customWidth="1"/>
    <col min="7702" max="7702" width="0.81640625" style="8" customWidth="1"/>
    <col min="7703" max="7703" width="12.54296875" style="8" customWidth="1"/>
    <col min="7704" max="7704" width="2.54296875" style="8" customWidth="1"/>
    <col min="7705" max="7705" width="11" style="8" customWidth="1"/>
    <col min="7706" max="7706" width="2.1796875" style="8" customWidth="1"/>
    <col min="7707" max="7707" width="12.453125" style="8" customWidth="1"/>
    <col min="7708" max="7708" width="2.1796875" style="8" customWidth="1"/>
    <col min="7709" max="7709" width="10.54296875" style="8" customWidth="1"/>
    <col min="7710" max="7710" width="1.453125" style="8" customWidth="1"/>
    <col min="7711" max="7711" width="10.1796875" style="8" customWidth="1"/>
    <col min="7712" max="7712" width="2.26953125" style="8" customWidth="1"/>
    <col min="7713" max="7713" width="9.54296875" style="8" bestFit="1" customWidth="1"/>
    <col min="7714" max="7714" width="0.54296875" style="8" customWidth="1"/>
    <col min="7715" max="7715" width="10.54296875" style="8" customWidth="1"/>
    <col min="7716" max="7716" width="0.81640625" style="8" customWidth="1"/>
    <col min="7717" max="7717" width="12.7265625" style="8" customWidth="1"/>
    <col min="7718" max="7718" width="1" style="8" customWidth="1"/>
    <col min="7719" max="7719" width="9.54296875" style="8" customWidth="1"/>
    <col min="7720" max="7720" width="1.1796875" style="8" customWidth="1"/>
    <col min="7721" max="7721" width="10.453125" style="8" customWidth="1"/>
    <col min="7722" max="7722" width="0.54296875" style="8" customWidth="1"/>
    <col min="7723" max="7723" width="8.54296875" style="8" bestFit="1" customWidth="1"/>
    <col min="7724" max="7724" width="0.54296875" style="8" customWidth="1"/>
    <col min="7725" max="7725" width="9.54296875" style="8" bestFit="1" customWidth="1"/>
    <col min="7726" max="7726" width="0.54296875" style="8" customWidth="1"/>
    <col min="7727" max="7727" width="12" style="8" bestFit="1" customWidth="1"/>
    <col min="7728" max="7728" width="0.54296875" style="8" customWidth="1"/>
    <col min="7729" max="7729" width="8.54296875" style="8" bestFit="1" customWidth="1"/>
    <col min="7730" max="7730" width="1.1796875" style="8" customWidth="1"/>
    <col min="7731" max="7731" width="9.1796875" style="8"/>
    <col min="7732" max="7732" width="0.7265625" style="8" customWidth="1"/>
    <col min="7733" max="7733" width="9.1796875" style="8"/>
    <col min="7734" max="7734" width="1.1796875" style="8" customWidth="1"/>
    <col min="7735" max="7936" width="9.1796875" style="8"/>
    <col min="7937" max="7937" width="43.54296875" style="8" customWidth="1"/>
    <col min="7938" max="7943" width="0" style="8" hidden="1" customWidth="1"/>
    <col min="7944" max="7944" width="0.81640625" style="8" customWidth="1"/>
    <col min="7945" max="7945" width="10.81640625" style="8" customWidth="1"/>
    <col min="7946" max="7946" width="1.81640625" style="8" customWidth="1"/>
    <col min="7947" max="7947" width="11.26953125" style="8" customWidth="1"/>
    <col min="7948" max="7948" width="1.1796875" style="8" customWidth="1"/>
    <col min="7949" max="7949" width="12" style="8" customWidth="1"/>
    <col min="7950" max="7950" width="1.453125" style="8" customWidth="1"/>
    <col min="7951" max="7951" width="10.81640625" style="8" bestFit="1" customWidth="1"/>
    <col min="7952" max="7952" width="1.81640625" style="8" customWidth="1"/>
    <col min="7953" max="7953" width="13.26953125" style="8" customWidth="1"/>
    <col min="7954" max="7954" width="1.7265625" style="8" customWidth="1"/>
    <col min="7955" max="7955" width="9.1796875" style="8"/>
    <col min="7956" max="7956" width="1.1796875" style="8" customWidth="1"/>
    <col min="7957" max="7957" width="11.81640625" style="8" customWidth="1"/>
    <col min="7958" max="7958" width="0.81640625" style="8" customWidth="1"/>
    <col min="7959" max="7959" width="12.54296875" style="8" customWidth="1"/>
    <col min="7960" max="7960" width="2.54296875" style="8" customWidth="1"/>
    <col min="7961" max="7961" width="11" style="8" customWidth="1"/>
    <col min="7962" max="7962" width="2.1796875" style="8" customWidth="1"/>
    <col min="7963" max="7963" width="12.453125" style="8" customWidth="1"/>
    <col min="7964" max="7964" width="2.1796875" style="8" customWidth="1"/>
    <col min="7965" max="7965" width="10.54296875" style="8" customWidth="1"/>
    <col min="7966" max="7966" width="1.453125" style="8" customWidth="1"/>
    <col min="7967" max="7967" width="10.1796875" style="8" customWidth="1"/>
    <col min="7968" max="7968" width="2.26953125" style="8" customWidth="1"/>
    <col min="7969" max="7969" width="9.54296875" style="8" bestFit="1" customWidth="1"/>
    <col min="7970" max="7970" width="0.54296875" style="8" customWidth="1"/>
    <col min="7971" max="7971" width="10.54296875" style="8" customWidth="1"/>
    <col min="7972" max="7972" width="0.81640625" style="8" customWidth="1"/>
    <col min="7973" max="7973" width="12.7265625" style="8" customWidth="1"/>
    <col min="7974" max="7974" width="1" style="8" customWidth="1"/>
    <col min="7975" max="7975" width="9.54296875" style="8" customWidth="1"/>
    <col min="7976" max="7976" width="1.1796875" style="8" customWidth="1"/>
    <col min="7977" max="7977" width="10.453125" style="8" customWidth="1"/>
    <col min="7978" max="7978" width="0.54296875" style="8" customWidth="1"/>
    <col min="7979" max="7979" width="8.54296875" style="8" bestFit="1" customWidth="1"/>
    <col min="7980" max="7980" width="0.54296875" style="8" customWidth="1"/>
    <col min="7981" max="7981" width="9.54296875" style="8" bestFit="1" customWidth="1"/>
    <col min="7982" max="7982" width="0.54296875" style="8" customWidth="1"/>
    <col min="7983" max="7983" width="12" style="8" bestFit="1" customWidth="1"/>
    <col min="7984" max="7984" width="0.54296875" style="8" customWidth="1"/>
    <col min="7985" max="7985" width="8.54296875" style="8" bestFit="1" customWidth="1"/>
    <col min="7986" max="7986" width="1.1796875" style="8" customWidth="1"/>
    <col min="7987" max="7987" width="9.1796875" style="8"/>
    <col min="7988" max="7988" width="0.7265625" style="8" customWidth="1"/>
    <col min="7989" max="7989" width="9.1796875" style="8"/>
    <col min="7990" max="7990" width="1.1796875" style="8" customWidth="1"/>
    <col min="7991" max="8192" width="9.1796875" style="8"/>
    <col min="8193" max="8193" width="43.54296875" style="8" customWidth="1"/>
    <col min="8194" max="8199" width="0" style="8" hidden="1" customWidth="1"/>
    <col min="8200" max="8200" width="0.81640625" style="8" customWidth="1"/>
    <col min="8201" max="8201" width="10.81640625" style="8" customWidth="1"/>
    <col min="8202" max="8202" width="1.81640625" style="8" customWidth="1"/>
    <col min="8203" max="8203" width="11.26953125" style="8" customWidth="1"/>
    <col min="8204" max="8204" width="1.1796875" style="8" customWidth="1"/>
    <col min="8205" max="8205" width="12" style="8" customWidth="1"/>
    <col min="8206" max="8206" width="1.453125" style="8" customWidth="1"/>
    <col min="8207" max="8207" width="10.81640625" style="8" bestFit="1" customWidth="1"/>
    <col min="8208" max="8208" width="1.81640625" style="8" customWidth="1"/>
    <col min="8209" max="8209" width="13.26953125" style="8" customWidth="1"/>
    <col min="8210" max="8210" width="1.7265625" style="8" customWidth="1"/>
    <col min="8211" max="8211" width="9.1796875" style="8"/>
    <col min="8212" max="8212" width="1.1796875" style="8" customWidth="1"/>
    <col min="8213" max="8213" width="11.81640625" style="8" customWidth="1"/>
    <col min="8214" max="8214" width="0.81640625" style="8" customWidth="1"/>
    <col min="8215" max="8215" width="12.54296875" style="8" customWidth="1"/>
    <col min="8216" max="8216" width="2.54296875" style="8" customWidth="1"/>
    <col min="8217" max="8217" width="11" style="8" customWidth="1"/>
    <col min="8218" max="8218" width="2.1796875" style="8" customWidth="1"/>
    <col min="8219" max="8219" width="12.453125" style="8" customWidth="1"/>
    <col min="8220" max="8220" width="2.1796875" style="8" customWidth="1"/>
    <col min="8221" max="8221" width="10.54296875" style="8" customWidth="1"/>
    <col min="8222" max="8222" width="1.453125" style="8" customWidth="1"/>
    <col min="8223" max="8223" width="10.1796875" style="8" customWidth="1"/>
    <col min="8224" max="8224" width="2.26953125" style="8" customWidth="1"/>
    <col min="8225" max="8225" width="9.54296875" style="8" bestFit="1" customWidth="1"/>
    <col min="8226" max="8226" width="0.54296875" style="8" customWidth="1"/>
    <col min="8227" max="8227" width="10.54296875" style="8" customWidth="1"/>
    <col min="8228" max="8228" width="0.81640625" style="8" customWidth="1"/>
    <col min="8229" max="8229" width="12.7265625" style="8" customWidth="1"/>
    <col min="8230" max="8230" width="1" style="8" customWidth="1"/>
    <col min="8231" max="8231" width="9.54296875" style="8" customWidth="1"/>
    <col min="8232" max="8232" width="1.1796875" style="8" customWidth="1"/>
    <col min="8233" max="8233" width="10.453125" style="8" customWidth="1"/>
    <col min="8234" max="8234" width="0.54296875" style="8" customWidth="1"/>
    <col min="8235" max="8235" width="8.54296875" style="8" bestFit="1" customWidth="1"/>
    <col min="8236" max="8236" width="0.54296875" style="8" customWidth="1"/>
    <col min="8237" max="8237" width="9.54296875" style="8" bestFit="1" customWidth="1"/>
    <col min="8238" max="8238" width="0.54296875" style="8" customWidth="1"/>
    <col min="8239" max="8239" width="12" style="8" bestFit="1" customWidth="1"/>
    <col min="8240" max="8240" width="0.54296875" style="8" customWidth="1"/>
    <col min="8241" max="8241" width="8.54296875" style="8" bestFit="1" customWidth="1"/>
    <col min="8242" max="8242" width="1.1796875" style="8" customWidth="1"/>
    <col min="8243" max="8243" width="9.1796875" style="8"/>
    <col min="8244" max="8244" width="0.7265625" style="8" customWidth="1"/>
    <col min="8245" max="8245" width="9.1796875" style="8"/>
    <col min="8246" max="8246" width="1.1796875" style="8" customWidth="1"/>
    <col min="8247" max="8448" width="9.1796875" style="8"/>
    <col min="8449" max="8449" width="43.54296875" style="8" customWidth="1"/>
    <col min="8450" max="8455" width="0" style="8" hidden="1" customWidth="1"/>
    <col min="8456" max="8456" width="0.81640625" style="8" customWidth="1"/>
    <col min="8457" max="8457" width="10.81640625" style="8" customWidth="1"/>
    <col min="8458" max="8458" width="1.81640625" style="8" customWidth="1"/>
    <col min="8459" max="8459" width="11.26953125" style="8" customWidth="1"/>
    <col min="8460" max="8460" width="1.1796875" style="8" customWidth="1"/>
    <col min="8461" max="8461" width="12" style="8" customWidth="1"/>
    <col min="8462" max="8462" width="1.453125" style="8" customWidth="1"/>
    <col min="8463" max="8463" width="10.81640625" style="8" bestFit="1" customWidth="1"/>
    <col min="8464" max="8464" width="1.81640625" style="8" customWidth="1"/>
    <col min="8465" max="8465" width="13.26953125" style="8" customWidth="1"/>
    <col min="8466" max="8466" width="1.7265625" style="8" customWidth="1"/>
    <col min="8467" max="8467" width="9.1796875" style="8"/>
    <col min="8468" max="8468" width="1.1796875" style="8" customWidth="1"/>
    <col min="8469" max="8469" width="11.81640625" style="8" customWidth="1"/>
    <col min="8470" max="8470" width="0.81640625" style="8" customWidth="1"/>
    <col min="8471" max="8471" width="12.54296875" style="8" customWidth="1"/>
    <col min="8472" max="8472" width="2.54296875" style="8" customWidth="1"/>
    <col min="8473" max="8473" width="11" style="8" customWidth="1"/>
    <col min="8474" max="8474" width="2.1796875" style="8" customWidth="1"/>
    <col min="8475" max="8475" width="12.453125" style="8" customWidth="1"/>
    <col min="8476" max="8476" width="2.1796875" style="8" customWidth="1"/>
    <col min="8477" max="8477" width="10.54296875" style="8" customWidth="1"/>
    <col min="8478" max="8478" width="1.453125" style="8" customWidth="1"/>
    <col min="8479" max="8479" width="10.1796875" style="8" customWidth="1"/>
    <col min="8480" max="8480" width="2.26953125" style="8" customWidth="1"/>
    <col min="8481" max="8481" width="9.54296875" style="8" bestFit="1" customWidth="1"/>
    <col min="8482" max="8482" width="0.54296875" style="8" customWidth="1"/>
    <col min="8483" max="8483" width="10.54296875" style="8" customWidth="1"/>
    <col min="8484" max="8484" width="0.81640625" style="8" customWidth="1"/>
    <col min="8485" max="8485" width="12.7265625" style="8" customWidth="1"/>
    <col min="8486" max="8486" width="1" style="8" customWidth="1"/>
    <col min="8487" max="8487" width="9.54296875" style="8" customWidth="1"/>
    <col min="8488" max="8488" width="1.1796875" style="8" customWidth="1"/>
    <col min="8489" max="8489" width="10.453125" style="8" customWidth="1"/>
    <col min="8490" max="8490" width="0.54296875" style="8" customWidth="1"/>
    <col min="8491" max="8491" width="8.54296875" style="8" bestFit="1" customWidth="1"/>
    <col min="8492" max="8492" width="0.54296875" style="8" customWidth="1"/>
    <col min="8493" max="8493" width="9.54296875" style="8" bestFit="1" customWidth="1"/>
    <col min="8494" max="8494" width="0.54296875" style="8" customWidth="1"/>
    <col min="8495" max="8495" width="12" style="8" bestFit="1" customWidth="1"/>
    <col min="8496" max="8496" width="0.54296875" style="8" customWidth="1"/>
    <col min="8497" max="8497" width="8.54296875" style="8" bestFit="1" customWidth="1"/>
    <col min="8498" max="8498" width="1.1796875" style="8" customWidth="1"/>
    <col min="8499" max="8499" width="9.1796875" style="8"/>
    <col min="8500" max="8500" width="0.7265625" style="8" customWidth="1"/>
    <col min="8501" max="8501" width="9.1796875" style="8"/>
    <col min="8502" max="8502" width="1.1796875" style="8" customWidth="1"/>
    <col min="8503" max="8704" width="9.1796875" style="8"/>
    <col min="8705" max="8705" width="43.54296875" style="8" customWidth="1"/>
    <col min="8706" max="8711" width="0" style="8" hidden="1" customWidth="1"/>
    <col min="8712" max="8712" width="0.81640625" style="8" customWidth="1"/>
    <col min="8713" max="8713" width="10.81640625" style="8" customWidth="1"/>
    <col min="8714" max="8714" width="1.81640625" style="8" customWidth="1"/>
    <col min="8715" max="8715" width="11.26953125" style="8" customWidth="1"/>
    <col min="8716" max="8716" width="1.1796875" style="8" customWidth="1"/>
    <col min="8717" max="8717" width="12" style="8" customWidth="1"/>
    <col min="8718" max="8718" width="1.453125" style="8" customWidth="1"/>
    <col min="8719" max="8719" width="10.81640625" style="8" bestFit="1" customWidth="1"/>
    <col min="8720" max="8720" width="1.81640625" style="8" customWidth="1"/>
    <col min="8721" max="8721" width="13.26953125" style="8" customWidth="1"/>
    <col min="8722" max="8722" width="1.7265625" style="8" customWidth="1"/>
    <col min="8723" max="8723" width="9.1796875" style="8"/>
    <col min="8724" max="8724" width="1.1796875" style="8" customWidth="1"/>
    <col min="8725" max="8725" width="11.81640625" style="8" customWidth="1"/>
    <col min="8726" max="8726" width="0.81640625" style="8" customWidth="1"/>
    <col min="8727" max="8727" width="12.54296875" style="8" customWidth="1"/>
    <col min="8728" max="8728" width="2.54296875" style="8" customWidth="1"/>
    <col min="8729" max="8729" width="11" style="8" customWidth="1"/>
    <col min="8730" max="8730" width="2.1796875" style="8" customWidth="1"/>
    <col min="8731" max="8731" width="12.453125" style="8" customWidth="1"/>
    <col min="8732" max="8732" width="2.1796875" style="8" customWidth="1"/>
    <col min="8733" max="8733" width="10.54296875" style="8" customWidth="1"/>
    <col min="8734" max="8734" width="1.453125" style="8" customWidth="1"/>
    <col min="8735" max="8735" width="10.1796875" style="8" customWidth="1"/>
    <col min="8736" max="8736" width="2.26953125" style="8" customWidth="1"/>
    <col min="8737" max="8737" width="9.54296875" style="8" bestFit="1" customWidth="1"/>
    <col min="8738" max="8738" width="0.54296875" style="8" customWidth="1"/>
    <col min="8739" max="8739" width="10.54296875" style="8" customWidth="1"/>
    <col min="8740" max="8740" width="0.81640625" style="8" customWidth="1"/>
    <col min="8741" max="8741" width="12.7265625" style="8" customWidth="1"/>
    <col min="8742" max="8742" width="1" style="8" customWidth="1"/>
    <col min="8743" max="8743" width="9.54296875" style="8" customWidth="1"/>
    <col min="8744" max="8744" width="1.1796875" style="8" customWidth="1"/>
    <col min="8745" max="8745" width="10.453125" style="8" customWidth="1"/>
    <col min="8746" max="8746" width="0.54296875" style="8" customWidth="1"/>
    <col min="8747" max="8747" width="8.54296875" style="8" bestFit="1" customWidth="1"/>
    <col min="8748" max="8748" width="0.54296875" style="8" customWidth="1"/>
    <col min="8749" max="8749" width="9.54296875" style="8" bestFit="1" customWidth="1"/>
    <col min="8750" max="8750" width="0.54296875" style="8" customWidth="1"/>
    <col min="8751" max="8751" width="12" style="8" bestFit="1" customWidth="1"/>
    <col min="8752" max="8752" width="0.54296875" style="8" customWidth="1"/>
    <col min="8753" max="8753" width="8.54296875" style="8" bestFit="1" customWidth="1"/>
    <col min="8754" max="8754" width="1.1796875" style="8" customWidth="1"/>
    <col min="8755" max="8755" width="9.1796875" style="8"/>
    <col min="8756" max="8756" width="0.7265625" style="8" customWidth="1"/>
    <col min="8757" max="8757" width="9.1796875" style="8"/>
    <col min="8758" max="8758" width="1.1796875" style="8" customWidth="1"/>
    <col min="8759" max="8960" width="9.1796875" style="8"/>
    <col min="8961" max="8961" width="43.54296875" style="8" customWidth="1"/>
    <col min="8962" max="8967" width="0" style="8" hidden="1" customWidth="1"/>
    <col min="8968" max="8968" width="0.81640625" style="8" customWidth="1"/>
    <col min="8969" max="8969" width="10.81640625" style="8" customWidth="1"/>
    <col min="8970" max="8970" width="1.81640625" style="8" customWidth="1"/>
    <col min="8971" max="8971" width="11.26953125" style="8" customWidth="1"/>
    <col min="8972" max="8972" width="1.1796875" style="8" customWidth="1"/>
    <col min="8973" max="8973" width="12" style="8" customWidth="1"/>
    <col min="8974" max="8974" width="1.453125" style="8" customWidth="1"/>
    <col min="8975" max="8975" width="10.81640625" style="8" bestFit="1" customWidth="1"/>
    <col min="8976" max="8976" width="1.81640625" style="8" customWidth="1"/>
    <col min="8977" max="8977" width="13.26953125" style="8" customWidth="1"/>
    <col min="8978" max="8978" width="1.7265625" style="8" customWidth="1"/>
    <col min="8979" max="8979" width="9.1796875" style="8"/>
    <col min="8980" max="8980" width="1.1796875" style="8" customWidth="1"/>
    <col min="8981" max="8981" width="11.81640625" style="8" customWidth="1"/>
    <col min="8982" max="8982" width="0.81640625" style="8" customWidth="1"/>
    <col min="8983" max="8983" width="12.54296875" style="8" customWidth="1"/>
    <col min="8984" max="8984" width="2.54296875" style="8" customWidth="1"/>
    <col min="8985" max="8985" width="11" style="8" customWidth="1"/>
    <col min="8986" max="8986" width="2.1796875" style="8" customWidth="1"/>
    <col min="8987" max="8987" width="12.453125" style="8" customWidth="1"/>
    <col min="8988" max="8988" width="2.1796875" style="8" customWidth="1"/>
    <col min="8989" max="8989" width="10.54296875" style="8" customWidth="1"/>
    <col min="8990" max="8990" width="1.453125" style="8" customWidth="1"/>
    <col min="8991" max="8991" width="10.1796875" style="8" customWidth="1"/>
    <col min="8992" max="8992" width="2.26953125" style="8" customWidth="1"/>
    <col min="8993" max="8993" width="9.54296875" style="8" bestFit="1" customWidth="1"/>
    <col min="8994" max="8994" width="0.54296875" style="8" customWidth="1"/>
    <col min="8995" max="8995" width="10.54296875" style="8" customWidth="1"/>
    <col min="8996" max="8996" width="0.81640625" style="8" customWidth="1"/>
    <col min="8997" max="8997" width="12.7265625" style="8" customWidth="1"/>
    <col min="8998" max="8998" width="1" style="8" customWidth="1"/>
    <col min="8999" max="8999" width="9.54296875" style="8" customWidth="1"/>
    <col min="9000" max="9000" width="1.1796875" style="8" customWidth="1"/>
    <col min="9001" max="9001" width="10.453125" style="8" customWidth="1"/>
    <col min="9002" max="9002" width="0.54296875" style="8" customWidth="1"/>
    <col min="9003" max="9003" width="8.54296875" style="8" bestFit="1" customWidth="1"/>
    <col min="9004" max="9004" width="0.54296875" style="8" customWidth="1"/>
    <col min="9005" max="9005" width="9.54296875" style="8" bestFit="1" customWidth="1"/>
    <col min="9006" max="9006" width="0.54296875" style="8" customWidth="1"/>
    <col min="9007" max="9007" width="12" style="8" bestFit="1" customWidth="1"/>
    <col min="9008" max="9008" width="0.54296875" style="8" customWidth="1"/>
    <col min="9009" max="9009" width="8.54296875" style="8" bestFit="1" customWidth="1"/>
    <col min="9010" max="9010" width="1.1796875" style="8" customWidth="1"/>
    <col min="9011" max="9011" width="9.1796875" style="8"/>
    <col min="9012" max="9012" width="0.7265625" style="8" customWidth="1"/>
    <col min="9013" max="9013" width="9.1796875" style="8"/>
    <col min="9014" max="9014" width="1.1796875" style="8" customWidth="1"/>
    <col min="9015" max="9216" width="9.1796875" style="8"/>
    <col min="9217" max="9217" width="43.54296875" style="8" customWidth="1"/>
    <col min="9218" max="9223" width="0" style="8" hidden="1" customWidth="1"/>
    <col min="9224" max="9224" width="0.81640625" style="8" customWidth="1"/>
    <col min="9225" max="9225" width="10.81640625" style="8" customWidth="1"/>
    <col min="9226" max="9226" width="1.81640625" style="8" customWidth="1"/>
    <col min="9227" max="9227" width="11.26953125" style="8" customWidth="1"/>
    <col min="9228" max="9228" width="1.1796875" style="8" customWidth="1"/>
    <col min="9229" max="9229" width="12" style="8" customWidth="1"/>
    <col min="9230" max="9230" width="1.453125" style="8" customWidth="1"/>
    <col min="9231" max="9231" width="10.81640625" style="8" bestFit="1" customWidth="1"/>
    <col min="9232" max="9232" width="1.81640625" style="8" customWidth="1"/>
    <col min="9233" max="9233" width="13.26953125" style="8" customWidth="1"/>
    <col min="9234" max="9234" width="1.7265625" style="8" customWidth="1"/>
    <col min="9235" max="9235" width="9.1796875" style="8"/>
    <col min="9236" max="9236" width="1.1796875" style="8" customWidth="1"/>
    <col min="9237" max="9237" width="11.81640625" style="8" customWidth="1"/>
    <col min="9238" max="9238" width="0.81640625" style="8" customWidth="1"/>
    <col min="9239" max="9239" width="12.54296875" style="8" customWidth="1"/>
    <col min="9240" max="9240" width="2.54296875" style="8" customWidth="1"/>
    <col min="9241" max="9241" width="11" style="8" customWidth="1"/>
    <col min="9242" max="9242" width="2.1796875" style="8" customWidth="1"/>
    <col min="9243" max="9243" width="12.453125" style="8" customWidth="1"/>
    <col min="9244" max="9244" width="2.1796875" style="8" customWidth="1"/>
    <col min="9245" max="9245" width="10.54296875" style="8" customWidth="1"/>
    <col min="9246" max="9246" width="1.453125" style="8" customWidth="1"/>
    <col min="9247" max="9247" width="10.1796875" style="8" customWidth="1"/>
    <col min="9248" max="9248" width="2.26953125" style="8" customWidth="1"/>
    <col min="9249" max="9249" width="9.54296875" style="8" bestFit="1" customWidth="1"/>
    <col min="9250" max="9250" width="0.54296875" style="8" customWidth="1"/>
    <col min="9251" max="9251" width="10.54296875" style="8" customWidth="1"/>
    <col min="9252" max="9252" width="0.81640625" style="8" customWidth="1"/>
    <col min="9253" max="9253" width="12.7265625" style="8" customWidth="1"/>
    <col min="9254" max="9254" width="1" style="8" customWidth="1"/>
    <col min="9255" max="9255" width="9.54296875" style="8" customWidth="1"/>
    <col min="9256" max="9256" width="1.1796875" style="8" customWidth="1"/>
    <col min="9257" max="9257" width="10.453125" style="8" customWidth="1"/>
    <col min="9258" max="9258" width="0.54296875" style="8" customWidth="1"/>
    <col min="9259" max="9259" width="8.54296875" style="8" bestFit="1" customWidth="1"/>
    <col min="9260" max="9260" width="0.54296875" style="8" customWidth="1"/>
    <col min="9261" max="9261" width="9.54296875" style="8" bestFit="1" customWidth="1"/>
    <col min="9262" max="9262" width="0.54296875" style="8" customWidth="1"/>
    <col min="9263" max="9263" width="12" style="8" bestFit="1" customWidth="1"/>
    <col min="9264" max="9264" width="0.54296875" style="8" customWidth="1"/>
    <col min="9265" max="9265" width="8.54296875" style="8" bestFit="1" customWidth="1"/>
    <col min="9266" max="9266" width="1.1796875" style="8" customWidth="1"/>
    <col min="9267" max="9267" width="9.1796875" style="8"/>
    <col min="9268" max="9268" width="0.7265625" style="8" customWidth="1"/>
    <col min="9269" max="9269" width="9.1796875" style="8"/>
    <col min="9270" max="9270" width="1.1796875" style="8" customWidth="1"/>
    <col min="9271" max="9472" width="9.1796875" style="8"/>
    <col min="9473" max="9473" width="43.54296875" style="8" customWidth="1"/>
    <col min="9474" max="9479" width="0" style="8" hidden="1" customWidth="1"/>
    <col min="9480" max="9480" width="0.81640625" style="8" customWidth="1"/>
    <col min="9481" max="9481" width="10.81640625" style="8" customWidth="1"/>
    <col min="9482" max="9482" width="1.81640625" style="8" customWidth="1"/>
    <col min="9483" max="9483" width="11.26953125" style="8" customWidth="1"/>
    <col min="9484" max="9484" width="1.1796875" style="8" customWidth="1"/>
    <col min="9485" max="9485" width="12" style="8" customWidth="1"/>
    <col min="9486" max="9486" width="1.453125" style="8" customWidth="1"/>
    <col min="9487" max="9487" width="10.81640625" style="8" bestFit="1" customWidth="1"/>
    <col min="9488" max="9488" width="1.81640625" style="8" customWidth="1"/>
    <col min="9489" max="9489" width="13.26953125" style="8" customWidth="1"/>
    <col min="9490" max="9490" width="1.7265625" style="8" customWidth="1"/>
    <col min="9491" max="9491" width="9.1796875" style="8"/>
    <col min="9492" max="9492" width="1.1796875" style="8" customWidth="1"/>
    <col min="9493" max="9493" width="11.81640625" style="8" customWidth="1"/>
    <col min="9494" max="9494" width="0.81640625" style="8" customWidth="1"/>
    <col min="9495" max="9495" width="12.54296875" style="8" customWidth="1"/>
    <col min="9496" max="9496" width="2.54296875" style="8" customWidth="1"/>
    <col min="9497" max="9497" width="11" style="8" customWidth="1"/>
    <col min="9498" max="9498" width="2.1796875" style="8" customWidth="1"/>
    <col min="9499" max="9499" width="12.453125" style="8" customWidth="1"/>
    <col min="9500" max="9500" width="2.1796875" style="8" customWidth="1"/>
    <col min="9501" max="9501" width="10.54296875" style="8" customWidth="1"/>
    <col min="9502" max="9502" width="1.453125" style="8" customWidth="1"/>
    <col min="9503" max="9503" width="10.1796875" style="8" customWidth="1"/>
    <col min="9504" max="9504" width="2.26953125" style="8" customWidth="1"/>
    <col min="9505" max="9505" width="9.54296875" style="8" bestFit="1" customWidth="1"/>
    <col min="9506" max="9506" width="0.54296875" style="8" customWidth="1"/>
    <col min="9507" max="9507" width="10.54296875" style="8" customWidth="1"/>
    <col min="9508" max="9508" width="0.81640625" style="8" customWidth="1"/>
    <col min="9509" max="9509" width="12.7265625" style="8" customWidth="1"/>
    <col min="9510" max="9510" width="1" style="8" customWidth="1"/>
    <col min="9511" max="9511" width="9.54296875" style="8" customWidth="1"/>
    <col min="9512" max="9512" width="1.1796875" style="8" customWidth="1"/>
    <col min="9513" max="9513" width="10.453125" style="8" customWidth="1"/>
    <col min="9514" max="9514" width="0.54296875" style="8" customWidth="1"/>
    <col min="9515" max="9515" width="8.54296875" style="8" bestFit="1" customWidth="1"/>
    <col min="9516" max="9516" width="0.54296875" style="8" customWidth="1"/>
    <col min="9517" max="9517" width="9.54296875" style="8" bestFit="1" customWidth="1"/>
    <col min="9518" max="9518" width="0.54296875" style="8" customWidth="1"/>
    <col min="9519" max="9519" width="12" style="8" bestFit="1" customWidth="1"/>
    <col min="9520" max="9520" width="0.54296875" style="8" customWidth="1"/>
    <col min="9521" max="9521" width="8.54296875" style="8" bestFit="1" customWidth="1"/>
    <col min="9522" max="9522" width="1.1796875" style="8" customWidth="1"/>
    <col min="9523" max="9523" width="9.1796875" style="8"/>
    <col min="9524" max="9524" width="0.7265625" style="8" customWidth="1"/>
    <col min="9525" max="9525" width="9.1796875" style="8"/>
    <col min="9526" max="9526" width="1.1796875" style="8" customWidth="1"/>
    <col min="9527" max="9728" width="9.1796875" style="8"/>
    <col min="9729" max="9729" width="43.54296875" style="8" customWidth="1"/>
    <col min="9730" max="9735" width="0" style="8" hidden="1" customWidth="1"/>
    <col min="9736" max="9736" width="0.81640625" style="8" customWidth="1"/>
    <col min="9737" max="9737" width="10.81640625" style="8" customWidth="1"/>
    <col min="9738" max="9738" width="1.81640625" style="8" customWidth="1"/>
    <col min="9739" max="9739" width="11.26953125" style="8" customWidth="1"/>
    <col min="9740" max="9740" width="1.1796875" style="8" customWidth="1"/>
    <col min="9741" max="9741" width="12" style="8" customWidth="1"/>
    <col min="9742" max="9742" width="1.453125" style="8" customWidth="1"/>
    <col min="9743" max="9743" width="10.81640625" style="8" bestFit="1" customWidth="1"/>
    <col min="9744" max="9744" width="1.81640625" style="8" customWidth="1"/>
    <col min="9745" max="9745" width="13.26953125" style="8" customWidth="1"/>
    <col min="9746" max="9746" width="1.7265625" style="8" customWidth="1"/>
    <col min="9747" max="9747" width="9.1796875" style="8"/>
    <col min="9748" max="9748" width="1.1796875" style="8" customWidth="1"/>
    <col min="9749" max="9749" width="11.81640625" style="8" customWidth="1"/>
    <col min="9750" max="9750" width="0.81640625" style="8" customWidth="1"/>
    <col min="9751" max="9751" width="12.54296875" style="8" customWidth="1"/>
    <col min="9752" max="9752" width="2.54296875" style="8" customWidth="1"/>
    <col min="9753" max="9753" width="11" style="8" customWidth="1"/>
    <col min="9754" max="9754" width="2.1796875" style="8" customWidth="1"/>
    <col min="9755" max="9755" width="12.453125" style="8" customWidth="1"/>
    <col min="9756" max="9756" width="2.1796875" style="8" customWidth="1"/>
    <col min="9757" max="9757" width="10.54296875" style="8" customWidth="1"/>
    <col min="9758" max="9758" width="1.453125" style="8" customWidth="1"/>
    <col min="9759" max="9759" width="10.1796875" style="8" customWidth="1"/>
    <col min="9760" max="9760" width="2.26953125" style="8" customWidth="1"/>
    <col min="9761" max="9761" width="9.54296875" style="8" bestFit="1" customWidth="1"/>
    <col min="9762" max="9762" width="0.54296875" style="8" customWidth="1"/>
    <col min="9763" max="9763" width="10.54296875" style="8" customWidth="1"/>
    <col min="9764" max="9764" width="0.81640625" style="8" customWidth="1"/>
    <col min="9765" max="9765" width="12.7265625" style="8" customWidth="1"/>
    <col min="9766" max="9766" width="1" style="8" customWidth="1"/>
    <col min="9767" max="9767" width="9.54296875" style="8" customWidth="1"/>
    <col min="9768" max="9768" width="1.1796875" style="8" customWidth="1"/>
    <col min="9769" max="9769" width="10.453125" style="8" customWidth="1"/>
    <col min="9770" max="9770" width="0.54296875" style="8" customWidth="1"/>
    <col min="9771" max="9771" width="8.54296875" style="8" bestFit="1" customWidth="1"/>
    <col min="9772" max="9772" width="0.54296875" style="8" customWidth="1"/>
    <col min="9773" max="9773" width="9.54296875" style="8" bestFit="1" customWidth="1"/>
    <col min="9774" max="9774" width="0.54296875" style="8" customWidth="1"/>
    <col min="9775" max="9775" width="12" style="8" bestFit="1" customWidth="1"/>
    <col min="9776" max="9776" width="0.54296875" style="8" customWidth="1"/>
    <col min="9777" max="9777" width="8.54296875" style="8" bestFit="1" customWidth="1"/>
    <col min="9778" max="9778" width="1.1796875" style="8" customWidth="1"/>
    <col min="9779" max="9779" width="9.1796875" style="8"/>
    <col min="9780" max="9780" width="0.7265625" style="8" customWidth="1"/>
    <col min="9781" max="9781" width="9.1796875" style="8"/>
    <col min="9782" max="9782" width="1.1796875" style="8" customWidth="1"/>
    <col min="9783" max="9984" width="9.1796875" style="8"/>
    <col min="9985" max="9985" width="43.54296875" style="8" customWidth="1"/>
    <col min="9986" max="9991" width="0" style="8" hidden="1" customWidth="1"/>
    <col min="9992" max="9992" width="0.81640625" style="8" customWidth="1"/>
    <col min="9993" max="9993" width="10.81640625" style="8" customWidth="1"/>
    <col min="9994" max="9994" width="1.81640625" style="8" customWidth="1"/>
    <col min="9995" max="9995" width="11.26953125" style="8" customWidth="1"/>
    <col min="9996" max="9996" width="1.1796875" style="8" customWidth="1"/>
    <col min="9997" max="9997" width="12" style="8" customWidth="1"/>
    <col min="9998" max="9998" width="1.453125" style="8" customWidth="1"/>
    <col min="9999" max="9999" width="10.81640625" style="8" bestFit="1" customWidth="1"/>
    <col min="10000" max="10000" width="1.81640625" style="8" customWidth="1"/>
    <col min="10001" max="10001" width="13.26953125" style="8" customWidth="1"/>
    <col min="10002" max="10002" width="1.7265625" style="8" customWidth="1"/>
    <col min="10003" max="10003" width="9.1796875" style="8"/>
    <col min="10004" max="10004" width="1.1796875" style="8" customWidth="1"/>
    <col min="10005" max="10005" width="11.81640625" style="8" customWidth="1"/>
    <col min="10006" max="10006" width="0.81640625" style="8" customWidth="1"/>
    <col min="10007" max="10007" width="12.54296875" style="8" customWidth="1"/>
    <col min="10008" max="10008" width="2.54296875" style="8" customWidth="1"/>
    <col min="10009" max="10009" width="11" style="8" customWidth="1"/>
    <col min="10010" max="10010" width="2.1796875" style="8" customWidth="1"/>
    <col min="10011" max="10011" width="12.453125" style="8" customWidth="1"/>
    <col min="10012" max="10012" width="2.1796875" style="8" customWidth="1"/>
    <col min="10013" max="10013" width="10.54296875" style="8" customWidth="1"/>
    <col min="10014" max="10014" width="1.453125" style="8" customWidth="1"/>
    <col min="10015" max="10015" width="10.1796875" style="8" customWidth="1"/>
    <col min="10016" max="10016" width="2.26953125" style="8" customWidth="1"/>
    <col min="10017" max="10017" width="9.54296875" style="8" bestFit="1" customWidth="1"/>
    <col min="10018" max="10018" width="0.54296875" style="8" customWidth="1"/>
    <col min="10019" max="10019" width="10.54296875" style="8" customWidth="1"/>
    <col min="10020" max="10020" width="0.81640625" style="8" customWidth="1"/>
    <col min="10021" max="10021" width="12.7265625" style="8" customWidth="1"/>
    <col min="10022" max="10022" width="1" style="8" customWidth="1"/>
    <col min="10023" max="10023" width="9.54296875" style="8" customWidth="1"/>
    <col min="10024" max="10024" width="1.1796875" style="8" customWidth="1"/>
    <col min="10025" max="10025" width="10.453125" style="8" customWidth="1"/>
    <col min="10026" max="10026" width="0.54296875" style="8" customWidth="1"/>
    <col min="10027" max="10027" width="8.54296875" style="8" bestFit="1" customWidth="1"/>
    <col min="10028" max="10028" width="0.54296875" style="8" customWidth="1"/>
    <col min="10029" max="10029" width="9.54296875" style="8" bestFit="1" customWidth="1"/>
    <col min="10030" max="10030" width="0.54296875" style="8" customWidth="1"/>
    <col min="10031" max="10031" width="12" style="8" bestFit="1" customWidth="1"/>
    <col min="10032" max="10032" width="0.54296875" style="8" customWidth="1"/>
    <col min="10033" max="10033" width="8.54296875" style="8" bestFit="1" customWidth="1"/>
    <col min="10034" max="10034" width="1.1796875" style="8" customWidth="1"/>
    <col min="10035" max="10035" width="9.1796875" style="8"/>
    <col min="10036" max="10036" width="0.7265625" style="8" customWidth="1"/>
    <col min="10037" max="10037" width="9.1796875" style="8"/>
    <col min="10038" max="10038" width="1.1796875" style="8" customWidth="1"/>
    <col min="10039" max="10240" width="9.1796875" style="8"/>
    <col min="10241" max="10241" width="43.54296875" style="8" customWidth="1"/>
    <col min="10242" max="10247" width="0" style="8" hidden="1" customWidth="1"/>
    <col min="10248" max="10248" width="0.81640625" style="8" customWidth="1"/>
    <col min="10249" max="10249" width="10.81640625" style="8" customWidth="1"/>
    <col min="10250" max="10250" width="1.81640625" style="8" customWidth="1"/>
    <col min="10251" max="10251" width="11.26953125" style="8" customWidth="1"/>
    <col min="10252" max="10252" width="1.1796875" style="8" customWidth="1"/>
    <col min="10253" max="10253" width="12" style="8" customWidth="1"/>
    <col min="10254" max="10254" width="1.453125" style="8" customWidth="1"/>
    <col min="10255" max="10255" width="10.81640625" style="8" bestFit="1" customWidth="1"/>
    <col min="10256" max="10256" width="1.81640625" style="8" customWidth="1"/>
    <col min="10257" max="10257" width="13.26953125" style="8" customWidth="1"/>
    <col min="10258" max="10258" width="1.7265625" style="8" customWidth="1"/>
    <col min="10259" max="10259" width="9.1796875" style="8"/>
    <col min="10260" max="10260" width="1.1796875" style="8" customWidth="1"/>
    <col min="10261" max="10261" width="11.81640625" style="8" customWidth="1"/>
    <col min="10262" max="10262" width="0.81640625" style="8" customWidth="1"/>
    <col min="10263" max="10263" width="12.54296875" style="8" customWidth="1"/>
    <col min="10264" max="10264" width="2.54296875" style="8" customWidth="1"/>
    <col min="10265" max="10265" width="11" style="8" customWidth="1"/>
    <col min="10266" max="10266" width="2.1796875" style="8" customWidth="1"/>
    <col min="10267" max="10267" width="12.453125" style="8" customWidth="1"/>
    <col min="10268" max="10268" width="2.1796875" style="8" customWidth="1"/>
    <col min="10269" max="10269" width="10.54296875" style="8" customWidth="1"/>
    <col min="10270" max="10270" width="1.453125" style="8" customWidth="1"/>
    <col min="10271" max="10271" width="10.1796875" style="8" customWidth="1"/>
    <col min="10272" max="10272" width="2.26953125" style="8" customWidth="1"/>
    <col min="10273" max="10273" width="9.54296875" style="8" bestFit="1" customWidth="1"/>
    <col min="10274" max="10274" width="0.54296875" style="8" customWidth="1"/>
    <col min="10275" max="10275" width="10.54296875" style="8" customWidth="1"/>
    <col min="10276" max="10276" width="0.81640625" style="8" customWidth="1"/>
    <col min="10277" max="10277" width="12.7265625" style="8" customWidth="1"/>
    <col min="10278" max="10278" width="1" style="8" customWidth="1"/>
    <col min="10279" max="10279" width="9.54296875" style="8" customWidth="1"/>
    <col min="10280" max="10280" width="1.1796875" style="8" customWidth="1"/>
    <col min="10281" max="10281" width="10.453125" style="8" customWidth="1"/>
    <col min="10282" max="10282" width="0.54296875" style="8" customWidth="1"/>
    <col min="10283" max="10283" width="8.54296875" style="8" bestFit="1" customWidth="1"/>
    <col min="10284" max="10284" width="0.54296875" style="8" customWidth="1"/>
    <col min="10285" max="10285" width="9.54296875" style="8" bestFit="1" customWidth="1"/>
    <col min="10286" max="10286" width="0.54296875" style="8" customWidth="1"/>
    <col min="10287" max="10287" width="12" style="8" bestFit="1" customWidth="1"/>
    <col min="10288" max="10288" width="0.54296875" style="8" customWidth="1"/>
    <col min="10289" max="10289" width="8.54296875" style="8" bestFit="1" customWidth="1"/>
    <col min="10290" max="10290" width="1.1796875" style="8" customWidth="1"/>
    <col min="10291" max="10291" width="9.1796875" style="8"/>
    <col min="10292" max="10292" width="0.7265625" style="8" customWidth="1"/>
    <col min="10293" max="10293" width="9.1796875" style="8"/>
    <col min="10294" max="10294" width="1.1796875" style="8" customWidth="1"/>
    <col min="10295" max="10496" width="9.1796875" style="8"/>
    <col min="10497" max="10497" width="43.54296875" style="8" customWidth="1"/>
    <col min="10498" max="10503" width="0" style="8" hidden="1" customWidth="1"/>
    <col min="10504" max="10504" width="0.81640625" style="8" customWidth="1"/>
    <col min="10505" max="10505" width="10.81640625" style="8" customWidth="1"/>
    <col min="10506" max="10506" width="1.81640625" style="8" customWidth="1"/>
    <col min="10507" max="10507" width="11.26953125" style="8" customWidth="1"/>
    <col min="10508" max="10508" width="1.1796875" style="8" customWidth="1"/>
    <col min="10509" max="10509" width="12" style="8" customWidth="1"/>
    <col min="10510" max="10510" width="1.453125" style="8" customWidth="1"/>
    <col min="10511" max="10511" width="10.81640625" style="8" bestFit="1" customWidth="1"/>
    <col min="10512" max="10512" width="1.81640625" style="8" customWidth="1"/>
    <col min="10513" max="10513" width="13.26953125" style="8" customWidth="1"/>
    <col min="10514" max="10514" width="1.7265625" style="8" customWidth="1"/>
    <col min="10515" max="10515" width="9.1796875" style="8"/>
    <col min="10516" max="10516" width="1.1796875" style="8" customWidth="1"/>
    <col min="10517" max="10517" width="11.81640625" style="8" customWidth="1"/>
    <col min="10518" max="10518" width="0.81640625" style="8" customWidth="1"/>
    <col min="10519" max="10519" width="12.54296875" style="8" customWidth="1"/>
    <col min="10520" max="10520" width="2.54296875" style="8" customWidth="1"/>
    <col min="10521" max="10521" width="11" style="8" customWidth="1"/>
    <col min="10522" max="10522" width="2.1796875" style="8" customWidth="1"/>
    <col min="10523" max="10523" width="12.453125" style="8" customWidth="1"/>
    <col min="10524" max="10524" width="2.1796875" style="8" customWidth="1"/>
    <col min="10525" max="10525" width="10.54296875" style="8" customWidth="1"/>
    <col min="10526" max="10526" width="1.453125" style="8" customWidth="1"/>
    <col min="10527" max="10527" width="10.1796875" style="8" customWidth="1"/>
    <col min="10528" max="10528" width="2.26953125" style="8" customWidth="1"/>
    <col min="10529" max="10529" width="9.54296875" style="8" bestFit="1" customWidth="1"/>
    <col min="10530" max="10530" width="0.54296875" style="8" customWidth="1"/>
    <col min="10531" max="10531" width="10.54296875" style="8" customWidth="1"/>
    <col min="10532" max="10532" width="0.81640625" style="8" customWidth="1"/>
    <col min="10533" max="10533" width="12.7265625" style="8" customWidth="1"/>
    <col min="10534" max="10534" width="1" style="8" customWidth="1"/>
    <col min="10535" max="10535" width="9.54296875" style="8" customWidth="1"/>
    <col min="10536" max="10536" width="1.1796875" style="8" customWidth="1"/>
    <col min="10537" max="10537" width="10.453125" style="8" customWidth="1"/>
    <col min="10538" max="10538" width="0.54296875" style="8" customWidth="1"/>
    <col min="10539" max="10539" width="8.54296875" style="8" bestFit="1" customWidth="1"/>
    <col min="10540" max="10540" width="0.54296875" style="8" customWidth="1"/>
    <col min="10541" max="10541" width="9.54296875" style="8" bestFit="1" customWidth="1"/>
    <col min="10542" max="10542" width="0.54296875" style="8" customWidth="1"/>
    <col min="10543" max="10543" width="12" style="8" bestFit="1" customWidth="1"/>
    <col min="10544" max="10544" width="0.54296875" style="8" customWidth="1"/>
    <col min="10545" max="10545" width="8.54296875" style="8" bestFit="1" customWidth="1"/>
    <col min="10546" max="10546" width="1.1796875" style="8" customWidth="1"/>
    <col min="10547" max="10547" width="9.1796875" style="8"/>
    <col min="10548" max="10548" width="0.7265625" style="8" customWidth="1"/>
    <col min="10549" max="10549" width="9.1796875" style="8"/>
    <col min="10550" max="10550" width="1.1796875" style="8" customWidth="1"/>
    <col min="10551" max="10752" width="9.1796875" style="8"/>
    <col min="10753" max="10753" width="43.54296875" style="8" customWidth="1"/>
    <col min="10754" max="10759" width="0" style="8" hidden="1" customWidth="1"/>
    <col min="10760" max="10760" width="0.81640625" style="8" customWidth="1"/>
    <col min="10761" max="10761" width="10.81640625" style="8" customWidth="1"/>
    <col min="10762" max="10762" width="1.81640625" style="8" customWidth="1"/>
    <col min="10763" max="10763" width="11.26953125" style="8" customWidth="1"/>
    <col min="10764" max="10764" width="1.1796875" style="8" customWidth="1"/>
    <col min="10765" max="10765" width="12" style="8" customWidth="1"/>
    <col min="10766" max="10766" width="1.453125" style="8" customWidth="1"/>
    <col min="10767" max="10767" width="10.81640625" style="8" bestFit="1" customWidth="1"/>
    <col min="10768" max="10768" width="1.81640625" style="8" customWidth="1"/>
    <col min="10769" max="10769" width="13.26953125" style="8" customWidth="1"/>
    <col min="10770" max="10770" width="1.7265625" style="8" customWidth="1"/>
    <col min="10771" max="10771" width="9.1796875" style="8"/>
    <col min="10772" max="10772" width="1.1796875" style="8" customWidth="1"/>
    <col min="10773" max="10773" width="11.81640625" style="8" customWidth="1"/>
    <col min="10774" max="10774" width="0.81640625" style="8" customWidth="1"/>
    <col min="10775" max="10775" width="12.54296875" style="8" customWidth="1"/>
    <col min="10776" max="10776" width="2.54296875" style="8" customWidth="1"/>
    <col min="10777" max="10777" width="11" style="8" customWidth="1"/>
    <col min="10778" max="10778" width="2.1796875" style="8" customWidth="1"/>
    <col min="10779" max="10779" width="12.453125" style="8" customWidth="1"/>
    <col min="10780" max="10780" width="2.1796875" style="8" customWidth="1"/>
    <col min="10781" max="10781" width="10.54296875" style="8" customWidth="1"/>
    <col min="10782" max="10782" width="1.453125" style="8" customWidth="1"/>
    <col min="10783" max="10783" width="10.1796875" style="8" customWidth="1"/>
    <col min="10784" max="10784" width="2.26953125" style="8" customWidth="1"/>
    <col min="10785" max="10785" width="9.54296875" style="8" bestFit="1" customWidth="1"/>
    <col min="10786" max="10786" width="0.54296875" style="8" customWidth="1"/>
    <col min="10787" max="10787" width="10.54296875" style="8" customWidth="1"/>
    <col min="10788" max="10788" width="0.81640625" style="8" customWidth="1"/>
    <col min="10789" max="10789" width="12.7265625" style="8" customWidth="1"/>
    <col min="10790" max="10790" width="1" style="8" customWidth="1"/>
    <col min="10791" max="10791" width="9.54296875" style="8" customWidth="1"/>
    <col min="10792" max="10792" width="1.1796875" style="8" customWidth="1"/>
    <col min="10793" max="10793" width="10.453125" style="8" customWidth="1"/>
    <col min="10794" max="10794" width="0.54296875" style="8" customWidth="1"/>
    <col min="10795" max="10795" width="8.54296875" style="8" bestFit="1" customWidth="1"/>
    <col min="10796" max="10796" width="0.54296875" style="8" customWidth="1"/>
    <col min="10797" max="10797" width="9.54296875" style="8" bestFit="1" customWidth="1"/>
    <col min="10798" max="10798" width="0.54296875" style="8" customWidth="1"/>
    <col min="10799" max="10799" width="12" style="8" bestFit="1" customWidth="1"/>
    <col min="10800" max="10800" width="0.54296875" style="8" customWidth="1"/>
    <col min="10801" max="10801" width="8.54296875" style="8" bestFit="1" customWidth="1"/>
    <col min="10802" max="10802" width="1.1796875" style="8" customWidth="1"/>
    <col min="10803" max="10803" width="9.1796875" style="8"/>
    <col min="10804" max="10804" width="0.7265625" style="8" customWidth="1"/>
    <col min="10805" max="10805" width="9.1796875" style="8"/>
    <col min="10806" max="10806" width="1.1796875" style="8" customWidth="1"/>
    <col min="10807" max="11008" width="9.1796875" style="8"/>
    <col min="11009" max="11009" width="43.54296875" style="8" customWidth="1"/>
    <col min="11010" max="11015" width="0" style="8" hidden="1" customWidth="1"/>
    <col min="11016" max="11016" width="0.81640625" style="8" customWidth="1"/>
    <col min="11017" max="11017" width="10.81640625" style="8" customWidth="1"/>
    <col min="11018" max="11018" width="1.81640625" style="8" customWidth="1"/>
    <col min="11019" max="11019" width="11.26953125" style="8" customWidth="1"/>
    <col min="11020" max="11020" width="1.1796875" style="8" customWidth="1"/>
    <col min="11021" max="11021" width="12" style="8" customWidth="1"/>
    <col min="11022" max="11022" width="1.453125" style="8" customWidth="1"/>
    <col min="11023" max="11023" width="10.81640625" style="8" bestFit="1" customWidth="1"/>
    <col min="11024" max="11024" width="1.81640625" style="8" customWidth="1"/>
    <col min="11025" max="11025" width="13.26953125" style="8" customWidth="1"/>
    <col min="11026" max="11026" width="1.7265625" style="8" customWidth="1"/>
    <col min="11027" max="11027" width="9.1796875" style="8"/>
    <col min="11028" max="11028" width="1.1796875" style="8" customWidth="1"/>
    <col min="11029" max="11029" width="11.81640625" style="8" customWidth="1"/>
    <col min="11030" max="11030" width="0.81640625" style="8" customWidth="1"/>
    <col min="11031" max="11031" width="12.54296875" style="8" customWidth="1"/>
    <col min="11032" max="11032" width="2.54296875" style="8" customWidth="1"/>
    <col min="11033" max="11033" width="11" style="8" customWidth="1"/>
    <col min="11034" max="11034" width="2.1796875" style="8" customWidth="1"/>
    <col min="11035" max="11035" width="12.453125" style="8" customWidth="1"/>
    <col min="11036" max="11036" width="2.1796875" style="8" customWidth="1"/>
    <col min="11037" max="11037" width="10.54296875" style="8" customWidth="1"/>
    <col min="11038" max="11038" width="1.453125" style="8" customWidth="1"/>
    <col min="11039" max="11039" width="10.1796875" style="8" customWidth="1"/>
    <col min="11040" max="11040" width="2.26953125" style="8" customWidth="1"/>
    <col min="11041" max="11041" width="9.54296875" style="8" bestFit="1" customWidth="1"/>
    <col min="11042" max="11042" width="0.54296875" style="8" customWidth="1"/>
    <col min="11043" max="11043" width="10.54296875" style="8" customWidth="1"/>
    <col min="11044" max="11044" width="0.81640625" style="8" customWidth="1"/>
    <col min="11045" max="11045" width="12.7265625" style="8" customWidth="1"/>
    <col min="11046" max="11046" width="1" style="8" customWidth="1"/>
    <col min="11047" max="11047" width="9.54296875" style="8" customWidth="1"/>
    <col min="11048" max="11048" width="1.1796875" style="8" customWidth="1"/>
    <col min="11049" max="11049" width="10.453125" style="8" customWidth="1"/>
    <col min="11050" max="11050" width="0.54296875" style="8" customWidth="1"/>
    <col min="11051" max="11051" width="8.54296875" style="8" bestFit="1" customWidth="1"/>
    <col min="11052" max="11052" width="0.54296875" style="8" customWidth="1"/>
    <col min="11053" max="11053" width="9.54296875" style="8" bestFit="1" customWidth="1"/>
    <col min="11054" max="11054" width="0.54296875" style="8" customWidth="1"/>
    <col min="11055" max="11055" width="12" style="8" bestFit="1" customWidth="1"/>
    <col min="11056" max="11056" width="0.54296875" style="8" customWidth="1"/>
    <col min="11057" max="11057" width="8.54296875" style="8" bestFit="1" customWidth="1"/>
    <col min="11058" max="11058" width="1.1796875" style="8" customWidth="1"/>
    <col min="11059" max="11059" width="9.1796875" style="8"/>
    <col min="11060" max="11060" width="0.7265625" style="8" customWidth="1"/>
    <col min="11061" max="11061" width="9.1796875" style="8"/>
    <col min="11062" max="11062" width="1.1796875" style="8" customWidth="1"/>
    <col min="11063" max="11264" width="9.1796875" style="8"/>
    <col min="11265" max="11265" width="43.54296875" style="8" customWidth="1"/>
    <col min="11266" max="11271" width="0" style="8" hidden="1" customWidth="1"/>
    <col min="11272" max="11272" width="0.81640625" style="8" customWidth="1"/>
    <col min="11273" max="11273" width="10.81640625" style="8" customWidth="1"/>
    <col min="11274" max="11274" width="1.81640625" style="8" customWidth="1"/>
    <col min="11275" max="11275" width="11.26953125" style="8" customWidth="1"/>
    <col min="11276" max="11276" width="1.1796875" style="8" customWidth="1"/>
    <col min="11277" max="11277" width="12" style="8" customWidth="1"/>
    <col min="11278" max="11278" width="1.453125" style="8" customWidth="1"/>
    <col min="11279" max="11279" width="10.81640625" style="8" bestFit="1" customWidth="1"/>
    <col min="11280" max="11280" width="1.81640625" style="8" customWidth="1"/>
    <col min="11281" max="11281" width="13.26953125" style="8" customWidth="1"/>
    <col min="11282" max="11282" width="1.7265625" style="8" customWidth="1"/>
    <col min="11283" max="11283" width="9.1796875" style="8"/>
    <col min="11284" max="11284" width="1.1796875" style="8" customWidth="1"/>
    <col min="11285" max="11285" width="11.81640625" style="8" customWidth="1"/>
    <col min="11286" max="11286" width="0.81640625" style="8" customWidth="1"/>
    <col min="11287" max="11287" width="12.54296875" style="8" customWidth="1"/>
    <col min="11288" max="11288" width="2.54296875" style="8" customWidth="1"/>
    <col min="11289" max="11289" width="11" style="8" customWidth="1"/>
    <col min="11290" max="11290" width="2.1796875" style="8" customWidth="1"/>
    <col min="11291" max="11291" width="12.453125" style="8" customWidth="1"/>
    <col min="11292" max="11292" width="2.1796875" style="8" customWidth="1"/>
    <col min="11293" max="11293" width="10.54296875" style="8" customWidth="1"/>
    <col min="11294" max="11294" width="1.453125" style="8" customWidth="1"/>
    <col min="11295" max="11295" width="10.1796875" style="8" customWidth="1"/>
    <col min="11296" max="11296" width="2.26953125" style="8" customWidth="1"/>
    <col min="11297" max="11297" width="9.54296875" style="8" bestFit="1" customWidth="1"/>
    <col min="11298" max="11298" width="0.54296875" style="8" customWidth="1"/>
    <col min="11299" max="11299" width="10.54296875" style="8" customWidth="1"/>
    <col min="11300" max="11300" width="0.81640625" style="8" customWidth="1"/>
    <col min="11301" max="11301" width="12.7265625" style="8" customWidth="1"/>
    <col min="11302" max="11302" width="1" style="8" customWidth="1"/>
    <col min="11303" max="11303" width="9.54296875" style="8" customWidth="1"/>
    <col min="11304" max="11304" width="1.1796875" style="8" customWidth="1"/>
    <col min="11305" max="11305" width="10.453125" style="8" customWidth="1"/>
    <col min="11306" max="11306" width="0.54296875" style="8" customWidth="1"/>
    <col min="11307" max="11307" width="8.54296875" style="8" bestFit="1" customWidth="1"/>
    <col min="11308" max="11308" width="0.54296875" style="8" customWidth="1"/>
    <col min="11309" max="11309" width="9.54296875" style="8" bestFit="1" customWidth="1"/>
    <col min="11310" max="11310" width="0.54296875" style="8" customWidth="1"/>
    <col min="11311" max="11311" width="12" style="8" bestFit="1" customWidth="1"/>
    <col min="11312" max="11312" width="0.54296875" style="8" customWidth="1"/>
    <col min="11313" max="11313" width="8.54296875" style="8" bestFit="1" customWidth="1"/>
    <col min="11314" max="11314" width="1.1796875" style="8" customWidth="1"/>
    <col min="11315" max="11315" width="9.1796875" style="8"/>
    <col min="11316" max="11316" width="0.7265625" style="8" customWidth="1"/>
    <col min="11317" max="11317" width="9.1796875" style="8"/>
    <col min="11318" max="11318" width="1.1796875" style="8" customWidth="1"/>
    <col min="11319" max="11520" width="9.1796875" style="8"/>
    <col min="11521" max="11521" width="43.54296875" style="8" customWidth="1"/>
    <col min="11522" max="11527" width="0" style="8" hidden="1" customWidth="1"/>
    <col min="11528" max="11528" width="0.81640625" style="8" customWidth="1"/>
    <col min="11529" max="11529" width="10.81640625" style="8" customWidth="1"/>
    <col min="11530" max="11530" width="1.81640625" style="8" customWidth="1"/>
    <col min="11531" max="11531" width="11.26953125" style="8" customWidth="1"/>
    <col min="11532" max="11532" width="1.1796875" style="8" customWidth="1"/>
    <col min="11533" max="11533" width="12" style="8" customWidth="1"/>
    <col min="11534" max="11534" width="1.453125" style="8" customWidth="1"/>
    <col min="11535" max="11535" width="10.81640625" style="8" bestFit="1" customWidth="1"/>
    <col min="11536" max="11536" width="1.81640625" style="8" customWidth="1"/>
    <col min="11537" max="11537" width="13.26953125" style="8" customWidth="1"/>
    <col min="11538" max="11538" width="1.7265625" style="8" customWidth="1"/>
    <col min="11539" max="11539" width="9.1796875" style="8"/>
    <col min="11540" max="11540" width="1.1796875" style="8" customWidth="1"/>
    <col min="11541" max="11541" width="11.81640625" style="8" customWidth="1"/>
    <col min="11542" max="11542" width="0.81640625" style="8" customWidth="1"/>
    <col min="11543" max="11543" width="12.54296875" style="8" customWidth="1"/>
    <col min="11544" max="11544" width="2.54296875" style="8" customWidth="1"/>
    <col min="11545" max="11545" width="11" style="8" customWidth="1"/>
    <col min="11546" max="11546" width="2.1796875" style="8" customWidth="1"/>
    <col min="11547" max="11547" width="12.453125" style="8" customWidth="1"/>
    <col min="11548" max="11548" width="2.1796875" style="8" customWidth="1"/>
    <col min="11549" max="11549" width="10.54296875" style="8" customWidth="1"/>
    <col min="11550" max="11550" width="1.453125" style="8" customWidth="1"/>
    <col min="11551" max="11551" width="10.1796875" style="8" customWidth="1"/>
    <col min="11552" max="11552" width="2.26953125" style="8" customWidth="1"/>
    <col min="11553" max="11553" width="9.54296875" style="8" bestFit="1" customWidth="1"/>
    <col min="11554" max="11554" width="0.54296875" style="8" customWidth="1"/>
    <col min="11555" max="11555" width="10.54296875" style="8" customWidth="1"/>
    <col min="11556" max="11556" width="0.81640625" style="8" customWidth="1"/>
    <col min="11557" max="11557" width="12.7265625" style="8" customWidth="1"/>
    <col min="11558" max="11558" width="1" style="8" customWidth="1"/>
    <col min="11559" max="11559" width="9.54296875" style="8" customWidth="1"/>
    <col min="11560" max="11560" width="1.1796875" style="8" customWidth="1"/>
    <col min="11561" max="11561" width="10.453125" style="8" customWidth="1"/>
    <col min="11562" max="11562" width="0.54296875" style="8" customWidth="1"/>
    <col min="11563" max="11563" width="8.54296875" style="8" bestFit="1" customWidth="1"/>
    <col min="11564" max="11564" width="0.54296875" style="8" customWidth="1"/>
    <col min="11565" max="11565" width="9.54296875" style="8" bestFit="1" customWidth="1"/>
    <col min="11566" max="11566" width="0.54296875" style="8" customWidth="1"/>
    <col min="11567" max="11567" width="12" style="8" bestFit="1" customWidth="1"/>
    <col min="11568" max="11568" width="0.54296875" style="8" customWidth="1"/>
    <col min="11569" max="11569" width="8.54296875" style="8" bestFit="1" customWidth="1"/>
    <col min="11570" max="11570" width="1.1796875" style="8" customWidth="1"/>
    <col min="11571" max="11571" width="9.1796875" style="8"/>
    <col min="11572" max="11572" width="0.7265625" style="8" customWidth="1"/>
    <col min="11573" max="11573" width="9.1796875" style="8"/>
    <col min="11574" max="11574" width="1.1796875" style="8" customWidth="1"/>
    <col min="11575" max="11776" width="9.1796875" style="8"/>
    <col min="11777" max="11777" width="43.54296875" style="8" customWidth="1"/>
    <col min="11778" max="11783" width="0" style="8" hidden="1" customWidth="1"/>
    <col min="11784" max="11784" width="0.81640625" style="8" customWidth="1"/>
    <col min="11785" max="11785" width="10.81640625" style="8" customWidth="1"/>
    <col min="11786" max="11786" width="1.81640625" style="8" customWidth="1"/>
    <col min="11787" max="11787" width="11.26953125" style="8" customWidth="1"/>
    <col min="11788" max="11788" width="1.1796875" style="8" customWidth="1"/>
    <col min="11789" max="11789" width="12" style="8" customWidth="1"/>
    <col min="11790" max="11790" width="1.453125" style="8" customWidth="1"/>
    <col min="11791" max="11791" width="10.81640625" style="8" bestFit="1" customWidth="1"/>
    <col min="11792" max="11792" width="1.81640625" style="8" customWidth="1"/>
    <col min="11793" max="11793" width="13.26953125" style="8" customWidth="1"/>
    <col min="11794" max="11794" width="1.7265625" style="8" customWidth="1"/>
    <col min="11795" max="11795" width="9.1796875" style="8"/>
    <col min="11796" max="11796" width="1.1796875" style="8" customWidth="1"/>
    <col min="11797" max="11797" width="11.81640625" style="8" customWidth="1"/>
    <col min="11798" max="11798" width="0.81640625" style="8" customWidth="1"/>
    <col min="11799" max="11799" width="12.54296875" style="8" customWidth="1"/>
    <col min="11800" max="11800" width="2.54296875" style="8" customWidth="1"/>
    <col min="11801" max="11801" width="11" style="8" customWidth="1"/>
    <col min="11802" max="11802" width="2.1796875" style="8" customWidth="1"/>
    <col min="11803" max="11803" width="12.453125" style="8" customWidth="1"/>
    <col min="11804" max="11804" width="2.1796875" style="8" customWidth="1"/>
    <col min="11805" max="11805" width="10.54296875" style="8" customWidth="1"/>
    <col min="11806" max="11806" width="1.453125" style="8" customWidth="1"/>
    <col min="11807" max="11807" width="10.1796875" style="8" customWidth="1"/>
    <col min="11808" max="11808" width="2.26953125" style="8" customWidth="1"/>
    <col min="11809" max="11809" width="9.54296875" style="8" bestFit="1" customWidth="1"/>
    <col min="11810" max="11810" width="0.54296875" style="8" customWidth="1"/>
    <col min="11811" max="11811" width="10.54296875" style="8" customWidth="1"/>
    <col min="11812" max="11812" width="0.81640625" style="8" customWidth="1"/>
    <col min="11813" max="11813" width="12.7265625" style="8" customWidth="1"/>
    <col min="11814" max="11814" width="1" style="8" customWidth="1"/>
    <col min="11815" max="11815" width="9.54296875" style="8" customWidth="1"/>
    <col min="11816" max="11816" width="1.1796875" style="8" customWidth="1"/>
    <col min="11817" max="11817" width="10.453125" style="8" customWidth="1"/>
    <col min="11818" max="11818" width="0.54296875" style="8" customWidth="1"/>
    <col min="11819" max="11819" width="8.54296875" style="8" bestFit="1" customWidth="1"/>
    <col min="11820" max="11820" width="0.54296875" style="8" customWidth="1"/>
    <col min="11821" max="11821" width="9.54296875" style="8" bestFit="1" customWidth="1"/>
    <col min="11822" max="11822" width="0.54296875" style="8" customWidth="1"/>
    <col min="11823" max="11823" width="12" style="8" bestFit="1" customWidth="1"/>
    <col min="11824" max="11824" width="0.54296875" style="8" customWidth="1"/>
    <col min="11825" max="11825" width="8.54296875" style="8" bestFit="1" customWidth="1"/>
    <col min="11826" max="11826" width="1.1796875" style="8" customWidth="1"/>
    <col min="11827" max="11827" width="9.1796875" style="8"/>
    <col min="11828" max="11828" width="0.7265625" style="8" customWidth="1"/>
    <col min="11829" max="11829" width="9.1796875" style="8"/>
    <col min="11830" max="11830" width="1.1796875" style="8" customWidth="1"/>
    <col min="11831" max="12032" width="9.1796875" style="8"/>
    <col min="12033" max="12033" width="43.54296875" style="8" customWidth="1"/>
    <col min="12034" max="12039" width="0" style="8" hidden="1" customWidth="1"/>
    <col min="12040" max="12040" width="0.81640625" style="8" customWidth="1"/>
    <col min="12041" max="12041" width="10.81640625" style="8" customWidth="1"/>
    <col min="12042" max="12042" width="1.81640625" style="8" customWidth="1"/>
    <col min="12043" max="12043" width="11.26953125" style="8" customWidth="1"/>
    <col min="12044" max="12044" width="1.1796875" style="8" customWidth="1"/>
    <col min="12045" max="12045" width="12" style="8" customWidth="1"/>
    <col min="12046" max="12046" width="1.453125" style="8" customWidth="1"/>
    <col min="12047" max="12047" width="10.81640625" style="8" bestFit="1" customWidth="1"/>
    <col min="12048" max="12048" width="1.81640625" style="8" customWidth="1"/>
    <col min="12049" max="12049" width="13.26953125" style="8" customWidth="1"/>
    <col min="12050" max="12050" width="1.7265625" style="8" customWidth="1"/>
    <col min="12051" max="12051" width="9.1796875" style="8"/>
    <col min="12052" max="12052" width="1.1796875" style="8" customWidth="1"/>
    <col min="12053" max="12053" width="11.81640625" style="8" customWidth="1"/>
    <col min="12054" max="12054" width="0.81640625" style="8" customWidth="1"/>
    <col min="12055" max="12055" width="12.54296875" style="8" customWidth="1"/>
    <col min="12056" max="12056" width="2.54296875" style="8" customWidth="1"/>
    <col min="12057" max="12057" width="11" style="8" customWidth="1"/>
    <col min="12058" max="12058" width="2.1796875" style="8" customWidth="1"/>
    <col min="12059" max="12059" width="12.453125" style="8" customWidth="1"/>
    <col min="12060" max="12060" width="2.1796875" style="8" customWidth="1"/>
    <col min="12061" max="12061" width="10.54296875" style="8" customWidth="1"/>
    <col min="12062" max="12062" width="1.453125" style="8" customWidth="1"/>
    <col min="12063" max="12063" width="10.1796875" style="8" customWidth="1"/>
    <col min="12064" max="12064" width="2.26953125" style="8" customWidth="1"/>
    <col min="12065" max="12065" width="9.54296875" style="8" bestFit="1" customWidth="1"/>
    <col min="12066" max="12066" width="0.54296875" style="8" customWidth="1"/>
    <col min="12067" max="12067" width="10.54296875" style="8" customWidth="1"/>
    <col min="12068" max="12068" width="0.81640625" style="8" customWidth="1"/>
    <col min="12069" max="12069" width="12.7265625" style="8" customWidth="1"/>
    <col min="12070" max="12070" width="1" style="8" customWidth="1"/>
    <col min="12071" max="12071" width="9.54296875" style="8" customWidth="1"/>
    <col min="12072" max="12072" width="1.1796875" style="8" customWidth="1"/>
    <col min="12073" max="12073" width="10.453125" style="8" customWidth="1"/>
    <col min="12074" max="12074" width="0.54296875" style="8" customWidth="1"/>
    <col min="12075" max="12075" width="8.54296875" style="8" bestFit="1" customWidth="1"/>
    <col min="12076" max="12076" width="0.54296875" style="8" customWidth="1"/>
    <col min="12077" max="12077" width="9.54296875" style="8" bestFit="1" customWidth="1"/>
    <col min="12078" max="12078" width="0.54296875" style="8" customWidth="1"/>
    <col min="12079" max="12079" width="12" style="8" bestFit="1" customWidth="1"/>
    <col min="12080" max="12080" width="0.54296875" style="8" customWidth="1"/>
    <col min="12081" max="12081" width="8.54296875" style="8" bestFit="1" customWidth="1"/>
    <col min="12082" max="12082" width="1.1796875" style="8" customWidth="1"/>
    <col min="12083" max="12083" width="9.1796875" style="8"/>
    <col min="12084" max="12084" width="0.7265625" style="8" customWidth="1"/>
    <col min="12085" max="12085" width="9.1796875" style="8"/>
    <col min="12086" max="12086" width="1.1796875" style="8" customWidth="1"/>
    <col min="12087" max="12288" width="9.1796875" style="8"/>
    <col min="12289" max="12289" width="43.54296875" style="8" customWidth="1"/>
    <col min="12290" max="12295" width="0" style="8" hidden="1" customWidth="1"/>
    <col min="12296" max="12296" width="0.81640625" style="8" customWidth="1"/>
    <col min="12297" max="12297" width="10.81640625" style="8" customWidth="1"/>
    <col min="12298" max="12298" width="1.81640625" style="8" customWidth="1"/>
    <col min="12299" max="12299" width="11.26953125" style="8" customWidth="1"/>
    <col min="12300" max="12300" width="1.1796875" style="8" customWidth="1"/>
    <col min="12301" max="12301" width="12" style="8" customWidth="1"/>
    <col min="12302" max="12302" width="1.453125" style="8" customWidth="1"/>
    <col min="12303" max="12303" width="10.81640625" style="8" bestFit="1" customWidth="1"/>
    <col min="12304" max="12304" width="1.81640625" style="8" customWidth="1"/>
    <col min="12305" max="12305" width="13.26953125" style="8" customWidth="1"/>
    <col min="12306" max="12306" width="1.7265625" style="8" customWidth="1"/>
    <col min="12307" max="12307" width="9.1796875" style="8"/>
    <col min="12308" max="12308" width="1.1796875" style="8" customWidth="1"/>
    <col min="12309" max="12309" width="11.81640625" style="8" customWidth="1"/>
    <col min="12310" max="12310" width="0.81640625" style="8" customWidth="1"/>
    <col min="12311" max="12311" width="12.54296875" style="8" customWidth="1"/>
    <col min="12312" max="12312" width="2.54296875" style="8" customWidth="1"/>
    <col min="12313" max="12313" width="11" style="8" customWidth="1"/>
    <col min="12314" max="12314" width="2.1796875" style="8" customWidth="1"/>
    <col min="12315" max="12315" width="12.453125" style="8" customWidth="1"/>
    <col min="12316" max="12316" width="2.1796875" style="8" customWidth="1"/>
    <col min="12317" max="12317" width="10.54296875" style="8" customWidth="1"/>
    <col min="12318" max="12318" width="1.453125" style="8" customWidth="1"/>
    <col min="12319" max="12319" width="10.1796875" style="8" customWidth="1"/>
    <col min="12320" max="12320" width="2.26953125" style="8" customWidth="1"/>
    <col min="12321" max="12321" width="9.54296875" style="8" bestFit="1" customWidth="1"/>
    <col min="12322" max="12322" width="0.54296875" style="8" customWidth="1"/>
    <col min="12323" max="12323" width="10.54296875" style="8" customWidth="1"/>
    <col min="12324" max="12324" width="0.81640625" style="8" customWidth="1"/>
    <col min="12325" max="12325" width="12.7265625" style="8" customWidth="1"/>
    <col min="12326" max="12326" width="1" style="8" customWidth="1"/>
    <col min="12327" max="12327" width="9.54296875" style="8" customWidth="1"/>
    <col min="12328" max="12328" width="1.1796875" style="8" customWidth="1"/>
    <col min="12329" max="12329" width="10.453125" style="8" customWidth="1"/>
    <col min="12330" max="12330" width="0.54296875" style="8" customWidth="1"/>
    <col min="12331" max="12331" width="8.54296875" style="8" bestFit="1" customWidth="1"/>
    <col min="12332" max="12332" width="0.54296875" style="8" customWidth="1"/>
    <col min="12333" max="12333" width="9.54296875" style="8" bestFit="1" customWidth="1"/>
    <col min="12334" max="12334" width="0.54296875" style="8" customWidth="1"/>
    <col min="12335" max="12335" width="12" style="8" bestFit="1" customWidth="1"/>
    <col min="12336" max="12336" width="0.54296875" style="8" customWidth="1"/>
    <col min="12337" max="12337" width="8.54296875" style="8" bestFit="1" customWidth="1"/>
    <col min="12338" max="12338" width="1.1796875" style="8" customWidth="1"/>
    <col min="12339" max="12339" width="9.1796875" style="8"/>
    <col min="12340" max="12340" width="0.7265625" style="8" customWidth="1"/>
    <col min="12341" max="12341" width="9.1796875" style="8"/>
    <col min="12342" max="12342" width="1.1796875" style="8" customWidth="1"/>
    <col min="12343" max="12544" width="9.1796875" style="8"/>
    <col min="12545" max="12545" width="43.54296875" style="8" customWidth="1"/>
    <col min="12546" max="12551" width="0" style="8" hidden="1" customWidth="1"/>
    <col min="12552" max="12552" width="0.81640625" style="8" customWidth="1"/>
    <col min="12553" max="12553" width="10.81640625" style="8" customWidth="1"/>
    <col min="12554" max="12554" width="1.81640625" style="8" customWidth="1"/>
    <col min="12555" max="12555" width="11.26953125" style="8" customWidth="1"/>
    <col min="12556" max="12556" width="1.1796875" style="8" customWidth="1"/>
    <col min="12557" max="12557" width="12" style="8" customWidth="1"/>
    <col min="12558" max="12558" width="1.453125" style="8" customWidth="1"/>
    <col min="12559" max="12559" width="10.81640625" style="8" bestFit="1" customWidth="1"/>
    <col min="12560" max="12560" width="1.81640625" style="8" customWidth="1"/>
    <col min="12561" max="12561" width="13.26953125" style="8" customWidth="1"/>
    <col min="12562" max="12562" width="1.7265625" style="8" customWidth="1"/>
    <col min="12563" max="12563" width="9.1796875" style="8"/>
    <col min="12564" max="12564" width="1.1796875" style="8" customWidth="1"/>
    <col min="12565" max="12565" width="11.81640625" style="8" customWidth="1"/>
    <col min="12566" max="12566" width="0.81640625" style="8" customWidth="1"/>
    <col min="12567" max="12567" width="12.54296875" style="8" customWidth="1"/>
    <col min="12568" max="12568" width="2.54296875" style="8" customWidth="1"/>
    <col min="12569" max="12569" width="11" style="8" customWidth="1"/>
    <col min="12570" max="12570" width="2.1796875" style="8" customWidth="1"/>
    <col min="12571" max="12571" width="12.453125" style="8" customWidth="1"/>
    <col min="12572" max="12572" width="2.1796875" style="8" customWidth="1"/>
    <col min="12573" max="12573" width="10.54296875" style="8" customWidth="1"/>
    <col min="12574" max="12574" width="1.453125" style="8" customWidth="1"/>
    <col min="12575" max="12575" width="10.1796875" style="8" customWidth="1"/>
    <col min="12576" max="12576" width="2.26953125" style="8" customWidth="1"/>
    <col min="12577" max="12577" width="9.54296875" style="8" bestFit="1" customWidth="1"/>
    <col min="12578" max="12578" width="0.54296875" style="8" customWidth="1"/>
    <col min="12579" max="12579" width="10.54296875" style="8" customWidth="1"/>
    <col min="12580" max="12580" width="0.81640625" style="8" customWidth="1"/>
    <col min="12581" max="12581" width="12.7265625" style="8" customWidth="1"/>
    <col min="12582" max="12582" width="1" style="8" customWidth="1"/>
    <col min="12583" max="12583" width="9.54296875" style="8" customWidth="1"/>
    <col min="12584" max="12584" width="1.1796875" style="8" customWidth="1"/>
    <col min="12585" max="12585" width="10.453125" style="8" customWidth="1"/>
    <col min="12586" max="12586" width="0.54296875" style="8" customWidth="1"/>
    <col min="12587" max="12587" width="8.54296875" style="8" bestFit="1" customWidth="1"/>
    <col min="12588" max="12588" width="0.54296875" style="8" customWidth="1"/>
    <col min="12589" max="12589" width="9.54296875" style="8" bestFit="1" customWidth="1"/>
    <col min="12590" max="12590" width="0.54296875" style="8" customWidth="1"/>
    <col min="12591" max="12591" width="12" style="8" bestFit="1" customWidth="1"/>
    <col min="12592" max="12592" width="0.54296875" style="8" customWidth="1"/>
    <col min="12593" max="12593" width="8.54296875" style="8" bestFit="1" customWidth="1"/>
    <col min="12594" max="12594" width="1.1796875" style="8" customWidth="1"/>
    <col min="12595" max="12595" width="9.1796875" style="8"/>
    <col min="12596" max="12596" width="0.7265625" style="8" customWidth="1"/>
    <col min="12597" max="12597" width="9.1796875" style="8"/>
    <col min="12598" max="12598" width="1.1796875" style="8" customWidth="1"/>
    <col min="12599" max="12800" width="9.1796875" style="8"/>
    <col min="12801" max="12801" width="43.54296875" style="8" customWidth="1"/>
    <col min="12802" max="12807" width="0" style="8" hidden="1" customWidth="1"/>
    <col min="12808" max="12808" width="0.81640625" style="8" customWidth="1"/>
    <col min="12809" max="12809" width="10.81640625" style="8" customWidth="1"/>
    <col min="12810" max="12810" width="1.81640625" style="8" customWidth="1"/>
    <col min="12811" max="12811" width="11.26953125" style="8" customWidth="1"/>
    <col min="12812" max="12812" width="1.1796875" style="8" customWidth="1"/>
    <col min="12813" max="12813" width="12" style="8" customWidth="1"/>
    <col min="12814" max="12814" width="1.453125" style="8" customWidth="1"/>
    <col min="12815" max="12815" width="10.81640625" style="8" bestFit="1" customWidth="1"/>
    <col min="12816" max="12816" width="1.81640625" style="8" customWidth="1"/>
    <col min="12817" max="12817" width="13.26953125" style="8" customWidth="1"/>
    <col min="12818" max="12818" width="1.7265625" style="8" customWidth="1"/>
    <col min="12819" max="12819" width="9.1796875" style="8"/>
    <col min="12820" max="12820" width="1.1796875" style="8" customWidth="1"/>
    <col min="12821" max="12821" width="11.81640625" style="8" customWidth="1"/>
    <col min="12822" max="12822" width="0.81640625" style="8" customWidth="1"/>
    <col min="12823" max="12823" width="12.54296875" style="8" customWidth="1"/>
    <col min="12824" max="12824" width="2.54296875" style="8" customWidth="1"/>
    <col min="12825" max="12825" width="11" style="8" customWidth="1"/>
    <col min="12826" max="12826" width="2.1796875" style="8" customWidth="1"/>
    <col min="12827" max="12827" width="12.453125" style="8" customWidth="1"/>
    <col min="12828" max="12828" width="2.1796875" style="8" customWidth="1"/>
    <col min="12829" max="12829" width="10.54296875" style="8" customWidth="1"/>
    <col min="12830" max="12830" width="1.453125" style="8" customWidth="1"/>
    <col min="12831" max="12831" width="10.1796875" style="8" customWidth="1"/>
    <col min="12832" max="12832" width="2.26953125" style="8" customWidth="1"/>
    <col min="12833" max="12833" width="9.54296875" style="8" bestFit="1" customWidth="1"/>
    <col min="12834" max="12834" width="0.54296875" style="8" customWidth="1"/>
    <col min="12835" max="12835" width="10.54296875" style="8" customWidth="1"/>
    <col min="12836" max="12836" width="0.81640625" style="8" customWidth="1"/>
    <col min="12837" max="12837" width="12.7265625" style="8" customWidth="1"/>
    <col min="12838" max="12838" width="1" style="8" customWidth="1"/>
    <col min="12839" max="12839" width="9.54296875" style="8" customWidth="1"/>
    <col min="12840" max="12840" width="1.1796875" style="8" customWidth="1"/>
    <col min="12841" max="12841" width="10.453125" style="8" customWidth="1"/>
    <col min="12842" max="12842" width="0.54296875" style="8" customWidth="1"/>
    <col min="12843" max="12843" width="8.54296875" style="8" bestFit="1" customWidth="1"/>
    <col min="12844" max="12844" width="0.54296875" style="8" customWidth="1"/>
    <col min="12845" max="12845" width="9.54296875" style="8" bestFit="1" customWidth="1"/>
    <col min="12846" max="12846" width="0.54296875" style="8" customWidth="1"/>
    <col min="12847" max="12847" width="12" style="8" bestFit="1" customWidth="1"/>
    <col min="12848" max="12848" width="0.54296875" style="8" customWidth="1"/>
    <col min="12849" max="12849" width="8.54296875" style="8" bestFit="1" customWidth="1"/>
    <col min="12850" max="12850" width="1.1796875" style="8" customWidth="1"/>
    <col min="12851" max="12851" width="9.1796875" style="8"/>
    <col min="12852" max="12852" width="0.7265625" style="8" customWidth="1"/>
    <col min="12853" max="12853" width="9.1796875" style="8"/>
    <col min="12854" max="12854" width="1.1796875" style="8" customWidth="1"/>
    <col min="12855" max="13056" width="9.1796875" style="8"/>
    <col min="13057" max="13057" width="43.54296875" style="8" customWidth="1"/>
    <col min="13058" max="13063" width="0" style="8" hidden="1" customWidth="1"/>
    <col min="13064" max="13064" width="0.81640625" style="8" customWidth="1"/>
    <col min="13065" max="13065" width="10.81640625" style="8" customWidth="1"/>
    <col min="13066" max="13066" width="1.81640625" style="8" customWidth="1"/>
    <col min="13067" max="13067" width="11.26953125" style="8" customWidth="1"/>
    <col min="13068" max="13068" width="1.1796875" style="8" customWidth="1"/>
    <col min="13069" max="13069" width="12" style="8" customWidth="1"/>
    <col min="13070" max="13070" width="1.453125" style="8" customWidth="1"/>
    <col min="13071" max="13071" width="10.81640625" style="8" bestFit="1" customWidth="1"/>
    <col min="13072" max="13072" width="1.81640625" style="8" customWidth="1"/>
    <col min="13073" max="13073" width="13.26953125" style="8" customWidth="1"/>
    <col min="13074" max="13074" width="1.7265625" style="8" customWidth="1"/>
    <col min="13075" max="13075" width="9.1796875" style="8"/>
    <col min="13076" max="13076" width="1.1796875" style="8" customWidth="1"/>
    <col min="13077" max="13077" width="11.81640625" style="8" customWidth="1"/>
    <col min="13078" max="13078" width="0.81640625" style="8" customWidth="1"/>
    <col min="13079" max="13079" width="12.54296875" style="8" customWidth="1"/>
    <col min="13080" max="13080" width="2.54296875" style="8" customWidth="1"/>
    <col min="13081" max="13081" width="11" style="8" customWidth="1"/>
    <col min="13082" max="13082" width="2.1796875" style="8" customWidth="1"/>
    <col min="13083" max="13083" width="12.453125" style="8" customWidth="1"/>
    <col min="13084" max="13084" width="2.1796875" style="8" customWidth="1"/>
    <col min="13085" max="13085" width="10.54296875" style="8" customWidth="1"/>
    <col min="13086" max="13086" width="1.453125" style="8" customWidth="1"/>
    <col min="13087" max="13087" width="10.1796875" style="8" customWidth="1"/>
    <col min="13088" max="13088" width="2.26953125" style="8" customWidth="1"/>
    <col min="13089" max="13089" width="9.54296875" style="8" bestFit="1" customWidth="1"/>
    <col min="13090" max="13090" width="0.54296875" style="8" customWidth="1"/>
    <col min="13091" max="13091" width="10.54296875" style="8" customWidth="1"/>
    <col min="13092" max="13092" width="0.81640625" style="8" customWidth="1"/>
    <col min="13093" max="13093" width="12.7265625" style="8" customWidth="1"/>
    <col min="13094" max="13094" width="1" style="8" customWidth="1"/>
    <col min="13095" max="13095" width="9.54296875" style="8" customWidth="1"/>
    <col min="13096" max="13096" width="1.1796875" style="8" customWidth="1"/>
    <col min="13097" max="13097" width="10.453125" style="8" customWidth="1"/>
    <col min="13098" max="13098" width="0.54296875" style="8" customWidth="1"/>
    <col min="13099" max="13099" width="8.54296875" style="8" bestFit="1" customWidth="1"/>
    <col min="13100" max="13100" width="0.54296875" style="8" customWidth="1"/>
    <col min="13101" max="13101" width="9.54296875" style="8" bestFit="1" customWidth="1"/>
    <col min="13102" max="13102" width="0.54296875" style="8" customWidth="1"/>
    <col min="13103" max="13103" width="12" style="8" bestFit="1" customWidth="1"/>
    <col min="13104" max="13104" width="0.54296875" style="8" customWidth="1"/>
    <col min="13105" max="13105" width="8.54296875" style="8" bestFit="1" customWidth="1"/>
    <col min="13106" max="13106" width="1.1796875" style="8" customWidth="1"/>
    <col min="13107" max="13107" width="9.1796875" style="8"/>
    <col min="13108" max="13108" width="0.7265625" style="8" customWidth="1"/>
    <col min="13109" max="13109" width="9.1796875" style="8"/>
    <col min="13110" max="13110" width="1.1796875" style="8" customWidth="1"/>
    <col min="13111" max="13312" width="9.1796875" style="8"/>
    <col min="13313" max="13313" width="43.54296875" style="8" customWidth="1"/>
    <col min="13314" max="13319" width="0" style="8" hidden="1" customWidth="1"/>
    <col min="13320" max="13320" width="0.81640625" style="8" customWidth="1"/>
    <col min="13321" max="13321" width="10.81640625" style="8" customWidth="1"/>
    <col min="13322" max="13322" width="1.81640625" style="8" customWidth="1"/>
    <col min="13323" max="13323" width="11.26953125" style="8" customWidth="1"/>
    <col min="13324" max="13324" width="1.1796875" style="8" customWidth="1"/>
    <col min="13325" max="13325" width="12" style="8" customWidth="1"/>
    <col min="13326" max="13326" width="1.453125" style="8" customWidth="1"/>
    <col min="13327" max="13327" width="10.81640625" style="8" bestFit="1" customWidth="1"/>
    <col min="13328" max="13328" width="1.81640625" style="8" customWidth="1"/>
    <col min="13329" max="13329" width="13.26953125" style="8" customWidth="1"/>
    <col min="13330" max="13330" width="1.7265625" style="8" customWidth="1"/>
    <col min="13331" max="13331" width="9.1796875" style="8"/>
    <col min="13332" max="13332" width="1.1796875" style="8" customWidth="1"/>
    <col min="13333" max="13333" width="11.81640625" style="8" customWidth="1"/>
    <col min="13334" max="13334" width="0.81640625" style="8" customWidth="1"/>
    <col min="13335" max="13335" width="12.54296875" style="8" customWidth="1"/>
    <col min="13336" max="13336" width="2.54296875" style="8" customWidth="1"/>
    <col min="13337" max="13337" width="11" style="8" customWidth="1"/>
    <col min="13338" max="13338" width="2.1796875" style="8" customWidth="1"/>
    <col min="13339" max="13339" width="12.453125" style="8" customWidth="1"/>
    <col min="13340" max="13340" width="2.1796875" style="8" customWidth="1"/>
    <col min="13341" max="13341" width="10.54296875" style="8" customWidth="1"/>
    <col min="13342" max="13342" width="1.453125" style="8" customWidth="1"/>
    <col min="13343" max="13343" width="10.1796875" style="8" customWidth="1"/>
    <col min="13344" max="13344" width="2.26953125" style="8" customWidth="1"/>
    <col min="13345" max="13345" width="9.54296875" style="8" bestFit="1" customWidth="1"/>
    <col min="13346" max="13346" width="0.54296875" style="8" customWidth="1"/>
    <col min="13347" max="13347" width="10.54296875" style="8" customWidth="1"/>
    <col min="13348" max="13348" width="0.81640625" style="8" customWidth="1"/>
    <col min="13349" max="13349" width="12.7265625" style="8" customWidth="1"/>
    <col min="13350" max="13350" width="1" style="8" customWidth="1"/>
    <col min="13351" max="13351" width="9.54296875" style="8" customWidth="1"/>
    <col min="13352" max="13352" width="1.1796875" style="8" customWidth="1"/>
    <col min="13353" max="13353" width="10.453125" style="8" customWidth="1"/>
    <col min="13354" max="13354" width="0.54296875" style="8" customWidth="1"/>
    <col min="13355" max="13355" width="8.54296875" style="8" bestFit="1" customWidth="1"/>
    <col min="13356" max="13356" width="0.54296875" style="8" customWidth="1"/>
    <col min="13357" max="13357" width="9.54296875" style="8" bestFit="1" customWidth="1"/>
    <col min="13358" max="13358" width="0.54296875" style="8" customWidth="1"/>
    <col min="13359" max="13359" width="12" style="8" bestFit="1" customWidth="1"/>
    <col min="13360" max="13360" width="0.54296875" style="8" customWidth="1"/>
    <col min="13361" max="13361" width="8.54296875" style="8" bestFit="1" customWidth="1"/>
    <col min="13362" max="13362" width="1.1796875" style="8" customWidth="1"/>
    <col min="13363" max="13363" width="9.1796875" style="8"/>
    <col min="13364" max="13364" width="0.7265625" style="8" customWidth="1"/>
    <col min="13365" max="13365" width="9.1796875" style="8"/>
    <col min="13366" max="13366" width="1.1796875" style="8" customWidth="1"/>
    <col min="13367" max="13568" width="9.1796875" style="8"/>
    <col min="13569" max="13569" width="43.54296875" style="8" customWidth="1"/>
    <col min="13570" max="13575" width="0" style="8" hidden="1" customWidth="1"/>
    <col min="13576" max="13576" width="0.81640625" style="8" customWidth="1"/>
    <col min="13577" max="13577" width="10.81640625" style="8" customWidth="1"/>
    <col min="13578" max="13578" width="1.81640625" style="8" customWidth="1"/>
    <col min="13579" max="13579" width="11.26953125" style="8" customWidth="1"/>
    <col min="13580" max="13580" width="1.1796875" style="8" customWidth="1"/>
    <col min="13581" max="13581" width="12" style="8" customWidth="1"/>
    <col min="13582" max="13582" width="1.453125" style="8" customWidth="1"/>
    <col min="13583" max="13583" width="10.81640625" style="8" bestFit="1" customWidth="1"/>
    <col min="13584" max="13584" width="1.81640625" style="8" customWidth="1"/>
    <col min="13585" max="13585" width="13.26953125" style="8" customWidth="1"/>
    <col min="13586" max="13586" width="1.7265625" style="8" customWidth="1"/>
    <col min="13587" max="13587" width="9.1796875" style="8"/>
    <col min="13588" max="13588" width="1.1796875" style="8" customWidth="1"/>
    <col min="13589" max="13589" width="11.81640625" style="8" customWidth="1"/>
    <col min="13590" max="13590" width="0.81640625" style="8" customWidth="1"/>
    <col min="13591" max="13591" width="12.54296875" style="8" customWidth="1"/>
    <col min="13592" max="13592" width="2.54296875" style="8" customWidth="1"/>
    <col min="13593" max="13593" width="11" style="8" customWidth="1"/>
    <col min="13594" max="13594" width="2.1796875" style="8" customWidth="1"/>
    <col min="13595" max="13595" width="12.453125" style="8" customWidth="1"/>
    <col min="13596" max="13596" width="2.1796875" style="8" customWidth="1"/>
    <col min="13597" max="13597" width="10.54296875" style="8" customWidth="1"/>
    <col min="13598" max="13598" width="1.453125" style="8" customWidth="1"/>
    <col min="13599" max="13599" width="10.1796875" style="8" customWidth="1"/>
    <col min="13600" max="13600" width="2.26953125" style="8" customWidth="1"/>
    <col min="13601" max="13601" width="9.54296875" style="8" bestFit="1" customWidth="1"/>
    <col min="13602" max="13602" width="0.54296875" style="8" customWidth="1"/>
    <col min="13603" max="13603" width="10.54296875" style="8" customWidth="1"/>
    <col min="13604" max="13604" width="0.81640625" style="8" customWidth="1"/>
    <col min="13605" max="13605" width="12.7265625" style="8" customWidth="1"/>
    <col min="13606" max="13606" width="1" style="8" customWidth="1"/>
    <col min="13607" max="13607" width="9.54296875" style="8" customWidth="1"/>
    <col min="13608" max="13608" width="1.1796875" style="8" customWidth="1"/>
    <col min="13609" max="13609" width="10.453125" style="8" customWidth="1"/>
    <col min="13610" max="13610" width="0.54296875" style="8" customWidth="1"/>
    <col min="13611" max="13611" width="8.54296875" style="8" bestFit="1" customWidth="1"/>
    <col min="13612" max="13612" width="0.54296875" style="8" customWidth="1"/>
    <col min="13613" max="13613" width="9.54296875" style="8" bestFit="1" customWidth="1"/>
    <col min="13614" max="13614" width="0.54296875" style="8" customWidth="1"/>
    <col min="13615" max="13615" width="12" style="8" bestFit="1" customWidth="1"/>
    <col min="13616" max="13616" width="0.54296875" style="8" customWidth="1"/>
    <col min="13617" max="13617" width="8.54296875" style="8" bestFit="1" customWidth="1"/>
    <col min="13618" max="13618" width="1.1796875" style="8" customWidth="1"/>
    <col min="13619" max="13619" width="9.1796875" style="8"/>
    <col min="13620" max="13620" width="0.7265625" style="8" customWidth="1"/>
    <col min="13621" max="13621" width="9.1796875" style="8"/>
    <col min="13622" max="13622" width="1.1796875" style="8" customWidth="1"/>
    <col min="13623" max="13824" width="9.1796875" style="8"/>
    <col min="13825" max="13825" width="43.54296875" style="8" customWidth="1"/>
    <col min="13826" max="13831" width="0" style="8" hidden="1" customWidth="1"/>
    <col min="13832" max="13832" width="0.81640625" style="8" customWidth="1"/>
    <col min="13833" max="13833" width="10.81640625" style="8" customWidth="1"/>
    <col min="13834" max="13834" width="1.81640625" style="8" customWidth="1"/>
    <col min="13835" max="13835" width="11.26953125" style="8" customWidth="1"/>
    <col min="13836" max="13836" width="1.1796875" style="8" customWidth="1"/>
    <col min="13837" max="13837" width="12" style="8" customWidth="1"/>
    <col min="13838" max="13838" width="1.453125" style="8" customWidth="1"/>
    <col min="13839" max="13839" width="10.81640625" style="8" bestFit="1" customWidth="1"/>
    <col min="13840" max="13840" width="1.81640625" style="8" customWidth="1"/>
    <col min="13841" max="13841" width="13.26953125" style="8" customWidth="1"/>
    <col min="13842" max="13842" width="1.7265625" style="8" customWidth="1"/>
    <col min="13843" max="13843" width="9.1796875" style="8"/>
    <col min="13844" max="13844" width="1.1796875" style="8" customWidth="1"/>
    <col min="13845" max="13845" width="11.81640625" style="8" customWidth="1"/>
    <col min="13846" max="13846" width="0.81640625" style="8" customWidth="1"/>
    <col min="13847" max="13847" width="12.54296875" style="8" customWidth="1"/>
    <col min="13848" max="13848" width="2.54296875" style="8" customWidth="1"/>
    <col min="13849" max="13849" width="11" style="8" customWidth="1"/>
    <col min="13850" max="13850" width="2.1796875" style="8" customWidth="1"/>
    <col min="13851" max="13851" width="12.453125" style="8" customWidth="1"/>
    <col min="13852" max="13852" width="2.1796875" style="8" customWidth="1"/>
    <col min="13853" max="13853" width="10.54296875" style="8" customWidth="1"/>
    <col min="13854" max="13854" width="1.453125" style="8" customWidth="1"/>
    <col min="13855" max="13855" width="10.1796875" style="8" customWidth="1"/>
    <col min="13856" max="13856" width="2.26953125" style="8" customWidth="1"/>
    <col min="13857" max="13857" width="9.54296875" style="8" bestFit="1" customWidth="1"/>
    <col min="13858" max="13858" width="0.54296875" style="8" customWidth="1"/>
    <col min="13859" max="13859" width="10.54296875" style="8" customWidth="1"/>
    <col min="13860" max="13860" width="0.81640625" style="8" customWidth="1"/>
    <col min="13861" max="13861" width="12.7265625" style="8" customWidth="1"/>
    <col min="13862" max="13862" width="1" style="8" customWidth="1"/>
    <col min="13863" max="13863" width="9.54296875" style="8" customWidth="1"/>
    <col min="13864" max="13864" width="1.1796875" style="8" customWidth="1"/>
    <col min="13865" max="13865" width="10.453125" style="8" customWidth="1"/>
    <col min="13866" max="13866" width="0.54296875" style="8" customWidth="1"/>
    <col min="13867" max="13867" width="8.54296875" style="8" bestFit="1" customWidth="1"/>
    <col min="13868" max="13868" width="0.54296875" style="8" customWidth="1"/>
    <col min="13869" max="13869" width="9.54296875" style="8" bestFit="1" customWidth="1"/>
    <col min="13870" max="13870" width="0.54296875" style="8" customWidth="1"/>
    <col min="13871" max="13871" width="12" style="8" bestFit="1" customWidth="1"/>
    <col min="13872" max="13872" width="0.54296875" style="8" customWidth="1"/>
    <col min="13873" max="13873" width="8.54296875" style="8" bestFit="1" customWidth="1"/>
    <col min="13874" max="13874" width="1.1796875" style="8" customWidth="1"/>
    <col min="13875" max="13875" width="9.1796875" style="8"/>
    <col min="13876" max="13876" width="0.7265625" style="8" customWidth="1"/>
    <col min="13877" max="13877" width="9.1796875" style="8"/>
    <col min="13878" max="13878" width="1.1796875" style="8" customWidth="1"/>
    <col min="13879" max="14080" width="9.1796875" style="8"/>
    <col min="14081" max="14081" width="43.54296875" style="8" customWidth="1"/>
    <col min="14082" max="14087" width="0" style="8" hidden="1" customWidth="1"/>
    <col min="14088" max="14088" width="0.81640625" style="8" customWidth="1"/>
    <col min="14089" max="14089" width="10.81640625" style="8" customWidth="1"/>
    <col min="14090" max="14090" width="1.81640625" style="8" customWidth="1"/>
    <col min="14091" max="14091" width="11.26953125" style="8" customWidth="1"/>
    <col min="14092" max="14092" width="1.1796875" style="8" customWidth="1"/>
    <col min="14093" max="14093" width="12" style="8" customWidth="1"/>
    <col min="14094" max="14094" width="1.453125" style="8" customWidth="1"/>
    <col min="14095" max="14095" width="10.81640625" style="8" bestFit="1" customWidth="1"/>
    <col min="14096" max="14096" width="1.81640625" style="8" customWidth="1"/>
    <col min="14097" max="14097" width="13.26953125" style="8" customWidth="1"/>
    <col min="14098" max="14098" width="1.7265625" style="8" customWidth="1"/>
    <col min="14099" max="14099" width="9.1796875" style="8"/>
    <col min="14100" max="14100" width="1.1796875" style="8" customWidth="1"/>
    <col min="14101" max="14101" width="11.81640625" style="8" customWidth="1"/>
    <col min="14102" max="14102" width="0.81640625" style="8" customWidth="1"/>
    <col min="14103" max="14103" width="12.54296875" style="8" customWidth="1"/>
    <col min="14104" max="14104" width="2.54296875" style="8" customWidth="1"/>
    <col min="14105" max="14105" width="11" style="8" customWidth="1"/>
    <col min="14106" max="14106" width="2.1796875" style="8" customWidth="1"/>
    <col min="14107" max="14107" width="12.453125" style="8" customWidth="1"/>
    <col min="14108" max="14108" width="2.1796875" style="8" customWidth="1"/>
    <col min="14109" max="14109" width="10.54296875" style="8" customWidth="1"/>
    <col min="14110" max="14110" width="1.453125" style="8" customWidth="1"/>
    <col min="14111" max="14111" width="10.1796875" style="8" customWidth="1"/>
    <col min="14112" max="14112" width="2.26953125" style="8" customWidth="1"/>
    <col min="14113" max="14113" width="9.54296875" style="8" bestFit="1" customWidth="1"/>
    <col min="14114" max="14114" width="0.54296875" style="8" customWidth="1"/>
    <col min="14115" max="14115" width="10.54296875" style="8" customWidth="1"/>
    <col min="14116" max="14116" width="0.81640625" style="8" customWidth="1"/>
    <col min="14117" max="14117" width="12.7265625" style="8" customWidth="1"/>
    <col min="14118" max="14118" width="1" style="8" customWidth="1"/>
    <col min="14119" max="14119" width="9.54296875" style="8" customWidth="1"/>
    <col min="14120" max="14120" width="1.1796875" style="8" customWidth="1"/>
    <col min="14121" max="14121" width="10.453125" style="8" customWidth="1"/>
    <col min="14122" max="14122" width="0.54296875" style="8" customWidth="1"/>
    <col min="14123" max="14123" width="8.54296875" style="8" bestFit="1" customWidth="1"/>
    <col min="14124" max="14124" width="0.54296875" style="8" customWidth="1"/>
    <col min="14125" max="14125" width="9.54296875" style="8" bestFit="1" customWidth="1"/>
    <col min="14126" max="14126" width="0.54296875" style="8" customWidth="1"/>
    <col min="14127" max="14127" width="12" style="8" bestFit="1" customWidth="1"/>
    <col min="14128" max="14128" width="0.54296875" style="8" customWidth="1"/>
    <col min="14129" max="14129" width="8.54296875" style="8" bestFit="1" customWidth="1"/>
    <col min="14130" max="14130" width="1.1796875" style="8" customWidth="1"/>
    <col min="14131" max="14131" width="9.1796875" style="8"/>
    <col min="14132" max="14132" width="0.7265625" style="8" customWidth="1"/>
    <col min="14133" max="14133" width="9.1796875" style="8"/>
    <col min="14134" max="14134" width="1.1796875" style="8" customWidth="1"/>
    <col min="14135" max="14336" width="9.1796875" style="8"/>
    <col min="14337" max="14337" width="43.54296875" style="8" customWidth="1"/>
    <col min="14338" max="14343" width="0" style="8" hidden="1" customWidth="1"/>
    <col min="14344" max="14344" width="0.81640625" style="8" customWidth="1"/>
    <col min="14345" max="14345" width="10.81640625" style="8" customWidth="1"/>
    <col min="14346" max="14346" width="1.81640625" style="8" customWidth="1"/>
    <col min="14347" max="14347" width="11.26953125" style="8" customWidth="1"/>
    <col min="14348" max="14348" width="1.1796875" style="8" customWidth="1"/>
    <col min="14349" max="14349" width="12" style="8" customWidth="1"/>
    <col min="14350" max="14350" width="1.453125" style="8" customWidth="1"/>
    <col min="14351" max="14351" width="10.81640625" style="8" bestFit="1" customWidth="1"/>
    <col min="14352" max="14352" width="1.81640625" style="8" customWidth="1"/>
    <col min="14353" max="14353" width="13.26953125" style="8" customWidth="1"/>
    <col min="14354" max="14354" width="1.7265625" style="8" customWidth="1"/>
    <col min="14355" max="14355" width="9.1796875" style="8"/>
    <col min="14356" max="14356" width="1.1796875" style="8" customWidth="1"/>
    <col min="14357" max="14357" width="11.81640625" style="8" customWidth="1"/>
    <col min="14358" max="14358" width="0.81640625" style="8" customWidth="1"/>
    <col min="14359" max="14359" width="12.54296875" style="8" customWidth="1"/>
    <col min="14360" max="14360" width="2.54296875" style="8" customWidth="1"/>
    <col min="14361" max="14361" width="11" style="8" customWidth="1"/>
    <col min="14362" max="14362" width="2.1796875" style="8" customWidth="1"/>
    <col min="14363" max="14363" width="12.453125" style="8" customWidth="1"/>
    <col min="14364" max="14364" width="2.1796875" style="8" customWidth="1"/>
    <col min="14365" max="14365" width="10.54296875" style="8" customWidth="1"/>
    <col min="14366" max="14366" width="1.453125" style="8" customWidth="1"/>
    <col min="14367" max="14367" width="10.1796875" style="8" customWidth="1"/>
    <col min="14368" max="14368" width="2.26953125" style="8" customWidth="1"/>
    <col min="14369" max="14369" width="9.54296875" style="8" bestFit="1" customWidth="1"/>
    <col min="14370" max="14370" width="0.54296875" style="8" customWidth="1"/>
    <col min="14371" max="14371" width="10.54296875" style="8" customWidth="1"/>
    <col min="14372" max="14372" width="0.81640625" style="8" customWidth="1"/>
    <col min="14373" max="14373" width="12.7265625" style="8" customWidth="1"/>
    <col min="14374" max="14374" width="1" style="8" customWidth="1"/>
    <col min="14375" max="14375" width="9.54296875" style="8" customWidth="1"/>
    <col min="14376" max="14376" width="1.1796875" style="8" customWidth="1"/>
    <col min="14377" max="14377" width="10.453125" style="8" customWidth="1"/>
    <col min="14378" max="14378" width="0.54296875" style="8" customWidth="1"/>
    <col min="14379" max="14379" width="8.54296875" style="8" bestFit="1" customWidth="1"/>
    <col min="14380" max="14380" width="0.54296875" style="8" customWidth="1"/>
    <col min="14381" max="14381" width="9.54296875" style="8" bestFit="1" customWidth="1"/>
    <col min="14382" max="14382" width="0.54296875" style="8" customWidth="1"/>
    <col min="14383" max="14383" width="12" style="8" bestFit="1" customWidth="1"/>
    <col min="14384" max="14384" width="0.54296875" style="8" customWidth="1"/>
    <col min="14385" max="14385" width="8.54296875" style="8" bestFit="1" customWidth="1"/>
    <col min="14386" max="14386" width="1.1796875" style="8" customWidth="1"/>
    <col min="14387" max="14387" width="9.1796875" style="8"/>
    <col min="14388" max="14388" width="0.7265625" style="8" customWidth="1"/>
    <col min="14389" max="14389" width="9.1796875" style="8"/>
    <col min="14390" max="14390" width="1.1796875" style="8" customWidth="1"/>
    <col min="14391" max="14592" width="9.1796875" style="8"/>
    <col min="14593" max="14593" width="43.54296875" style="8" customWidth="1"/>
    <col min="14594" max="14599" width="0" style="8" hidden="1" customWidth="1"/>
    <col min="14600" max="14600" width="0.81640625" style="8" customWidth="1"/>
    <col min="14601" max="14601" width="10.81640625" style="8" customWidth="1"/>
    <col min="14602" max="14602" width="1.81640625" style="8" customWidth="1"/>
    <col min="14603" max="14603" width="11.26953125" style="8" customWidth="1"/>
    <col min="14604" max="14604" width="1.1796875" style="8" customWidth="1"/>
    <col min="14605" max="14605" width="12" style="8" customWidth="1"/>
    <col min="14606" max="14606" width="1.453125" style="8" customWidth="1"/>
    <col min="14607" max="14607" width="10.81640625" style="8" bestFit="1" customWidth="1"/>
    <col min="14608" max="14608" width="1.81640625" style="8" customWidth="1"/>
    <col min="14609" max="14609" width="13.26953125" style="8" customWidth="1"/>
    <col min="14610" max="14610" width="1.7265625" style="8" customWidth="1"/>
    <col min="14611" max="14611" width="9.1796875" style="8"/>
    <col min="14612" max="14612" width="1.1796875" style="8" customWidth="1"/>
    <col min="14613" max="14613" width="11.81640625" style="8" customWidth="1"/>
    <col min="14614" max="14614" width="0.81640625" style="8" customWidth="1"/>
    <col min="14615" max="14615" width="12.54296875" style="8" customWidth="1"/>
    <col min="14616" max="14616" width="2.54296875" style="8" customWidth="1"/>
    <col min="14617" max="14617" width="11" style="8" customWidth="1"/>
    <col min="14618" max="14618" width="2.1796875" style="8" customWidth="1"/>
    <col min="14619" max="14619" width="12.453125" style="8" customWidth="1"/>
    <col min="14620" max="14620" width="2.1796875" style="8" customWidth="1"/>
    <col min="14621" max="14621" width="10.54296875" style="8" customWidth="1"/>
    <col min="14622" max="14622" width="1.453125" style="8" customWidth="1"/>
    <col min="14623" max="14623" width="10.1796875" style="8" customWidth="1"/>
    <col min="14624" max="14624" width="2.26953125" style="8" customWidth="1"/>
    <col min="14625" max="14625" width="9.54296875" style="8" bestFit="1" customWidth="1"/>
    <col min="14626" max="14626" width="0.54296875" style="8" customWidth="1"/>
    <col min="14627" max="14627" width="10.54296875" style="8" customWidth="1"/>
    <col min="14628" max="14628" width="0.81640625" style="8" customWidth="1"/>
    <col min="14629" max="14629" width="12.7265625" style="8" customWidth="1"/>
    <col min="14630" max="14630" width="1" style="8" customWidth="1"/>
    <col min="14631" max="14631" width="9.54296875" style="8" customWidth="1"/>
    <col min="14632" max="14632" width="1.1796875" style="8" customWidth="1"/>
    <col min="14633" max="14633" width="10.453125" style="8" customWidth="1"/>
    <col min="14634" max="14634" width="0.54296875" style="8" customWidth="1"/>
    <col min="14635" max="14635" width="8.54296875" style="8" bestFit="1" customWidth="1"/>
    <col min="14636" max="14636" width="0.54296875" style="8" customWidth="1"/>
    <col min="14637" max="14637" width="9.54296875" style="8" bestFit="1" customWidth="1"/>
    <col min="14638" max="14638" width="0.54296875" style="8" customWidth="1"/>
    <col min="14639" max="14639" width="12" style="8" bestFit="1" customWidth="1"/>
    <col min="14640" max="14640" width="0.54296875" style="8" customWidth="1"/>
    <col min="14641" max="14641" width="8.54296875" style="8" bestFit="1" customWidth="1"/>
    <col min="14642" max="14642" width="1.1796875" style="8" customWidth="1"/>
    <col min="14643" max="14643" width="9.1796875" style="8"/>
    <col min="14644" max="14644" width="0.7265625" style="8" customWidth="1"/>
    <col min="14645" max="14645" width="9.1796875" style="8"/>
    <col min="14646" max="14646" width="1.1796875" style="8" customWidth="1"/>
    <col min="14647" max="14848" width="9.1796875" style="8"/>
    <col min="14849" max="14849" width="43.54296875" style="8" customWidth="1"/>
    <col min="14850" max="14855" width="0" style="8" hidden="1" customWidth="1"/>
    <col min="14856" max="14856" width="0.81640625" style="8" customWidth="1"/>
    <col min="14857" max="14857" width="10.81640625" style="8" customWidth="1"/>
    <col min="14858" max="14858" width="1.81640625" style="8" customWidth="1"/>
    <col min="14859" max="14859" width="11.26953125" style="8" customWidth="1"/>
    <col min="14860" max="14860" width="1.1796875" style="8" customWidth="1"/>
    <col min="14861" max="14861" width="12" style="8" customWidth="1"/>
    <col min="14862" max="14862" width="1.453125" style="8" customWidth="1"/>
    <col min="14863" max="14863" width="10.81640625" style="8" bestFit="1" customWidth="1"/>
    <col min="14864" max="14864" width="1.81640625" style="8" customWidth="1"/>
    <col min="14865" max="14865" width="13.26953125" style="8" customWidth="1"/>
    <col min="14866" max="14866" width="1.7265625" style="8" customWidth="1"/>
    <col min="14867" max="14867" width="9.1796875" style="8"/>
    <col min="14868" max="14868" width="1.1796875" style="8" customWidth="1"/>
    <col min="14869" max="14869" width="11.81640625" style="8" customWidth="1"/>
    <col min="14870" max="14870" width="0.81640625" style="8" customWidth="1"/>
    <col min="14871" max="14871" width="12.54296875" style="8" customWidth="1"/>
    <col min="14872" max="14872" width="2.54296875" style="8" customWidth="1"/>
    <col min="14873" max="14873" width="11" style="8" customWidth="1"/>
    <col min="14874" max="14874" width="2.1796875" style="8" customWidth="1"/>
    <col min="14875" max="14875" width="12.453125" style="8" customWidth="1"/>
    <col min="14876" max="14876" width="2.1796875" style="8" customWidth="1"/>
    <col min="14877" max="14877" width="10.54296875" style="8" customWidth="1"/>
    <col min="14878" max="14878" width="1.453125" style="8" customWidth="1"/>
    <col min="14879" max="14879" width="10.1796875" style="8" customWidth="1"/>
    <col min="14880" max="14880" width="2.26953125" style="8" customWidth="1"/>
    <col min="14881" max="14881" width="9.54296875" style="8" bestFit="1" customWidth="1"/>
    <col min="14882" max="14882" width="0.54296875" style="8" customWidth="1"/>
    <col min="14883" max="14883" width="10.54296875" style="8" customWidth="1"/>
    <col min="14884" max="14884" width="0.81640625" style="8" customWidth="1"/>
    <col min="14885" max="14885" width="12.7265625" style="8" customWidth="1"/>
    <col min="14886" max="14886" width="1" style="8" customWidth="1"/>
    <col min="14887" max="14887" width="9.54296875" style="8" customWidth="1"/>
    <col min="14888" max="14888" width="1.1796875" style="8" customWidth="1"/>
    <col min="14889" max="14889" width="10.453125" style="8" customWidth="1"/>
    <col min="14890" max="14890" width="0.54296875" style="8" customWidth="1"/>
    <col min="14891" max="14891" width="8.54296875" style="8" bestFit="1" customWidth="1"/>
    <col min="14892" max="14892" width="0.54296875" style="8" customWidth="1"/>
    <col min="14893" max="14893" width="9.54296875" style="8" bestFit="1" customWidth="1"/>
    <col min="14894" max="14894" width="0.54296875" style="8" customWidth="1"/>
    <col min="14895" max="14895" width="12" style="8" bestFit="1" customWidth="1"/>
    <col min="14896" max="14896" width="0.54296875" style="8" customWidth="1"/>
    <col min="14897" max="14897" width="8.54296875" style="8" bestFit="1" customWidth="1"/>
    <col min="14898" max="14898" width="1.1796875" style="8" customWidth="1"/>
    <col min="14899" max="14899" width="9.1796875" style="8"/>
    <col min="14900" max="14900" width="0.7265625" style="8" customWidth="1"/>
    <col min="14901" max="14901" width="9.1796875" style="8"/>
    <col min="14902" max="14902" width="1.1796875" style="8" customWidth="1"/>
    <col min="14903" max="15104" width="9.1796875" style="8"/>
    <col min="15105" max="15105" width="43.54296875" style="8" customWidth="1"/>
    <col min="15106" max="15111" width="0" style="8" hidden="1" customWidth="1"/>
    <col min="15112" max="15112" width="0.81640625" style="8" customWidth="1"/>
    <col min="15113" max="15113" width="10.81640625" style="8" customWidth="1"/>
    <col min="15114" max="15114" width="1.81640625" style="8" customWidth="1"/>
    <col min="15115" max="15115" width="11.26953125" style="8" customWidth="1"/>
    <col min="15116" max="15116" width="1.1796875" style="8" customWidth="1"/>
    <col min="15117" max="15117" width="12" style="8" customWidth="1"/>
    <col min="15118" max="15118" width="1.453125" style="8" customWidth="1"/>
    <col min="15119" max="15119" width="10.81640625" style="8" bestFit="1" customWidth="1"/>
    <col min="15120" max="15120" width="1.81640625" style="8" customWidth="1"/>
    <col min="15121" max="15121" width="13.26953125" style="8" customWidth="1"/>
    <col min="15122" max="15122" width="1.7265625" style="8" customWidth="1"/>
    <col min="15123" max="15123" width="9.1796875" style="8"/>
    <col min="15124" max="15124" width="1.1796875" style="8" customWidth="1"/>
    <col min="15125" max="15125" width="11.81640625" style="8" customWidth="1"/>
    <col min="15126" max="15126" width="0.81640625" style="8" customWidth="1"/>
    <col min="15127" max="15127" width="12.54296875" style="8" customWidth="1"/>
    <col min="15128" max="15128" width="2.54296875" style="8" customWidth="1"/>
    <col min="15129" max="15129" width="11" style="8" customWidth="1"/>
    <col min="15130" max="15130" width="2.1796875" style="8" customWidth="1"/>
    <col min="15131" max="15131" width="12.453125" style="8" customWidth="1"/>
    <col min="15132" max="15132" width="2.1796875" style="8" customWidth="1"/>
    <col min="15133" max="15133" width="10.54296875" style="8" customWidth="1"/>
    <col min="15134" max="15134" width="1.453125" style="8" customWidth="1"/>
    <col min="15135" max="15135" width="10.1796875" style="8" customWidth="1"/>
    <col min="15136" max="15136" width="2.26953125" style="8" customWidth="1"/>
    <col min="15137" max="15137" width="9.54296875" style="8" bestFit="1" customWidth="1"/>
    <col min="15138" max="15138" width="0.54296875" style="8" customWidth="1"/>
    <col min="15139" max="15139" width="10.54296875" style="8" customWidth="1"/>
    <col min="15140" max="15140" width="0.81640625" style="8" customWidth="1"/>
    <col min="15141" max="15141" width="12.7265625" style="8" customWidth="1"/>
    <col min="15142" max="15142" width="1" style="8" customWidth="1"/>
    <col min="15143" max="15143" width="9.54296875" style="8" customWidth="1"/>
    <col min="15144" max="15144" width="1.1796875" style="8" customWidth="1"/>
    <col min="15145" max="15145" width="10.453125" style="8" customWidth="1"/>
    <col min="15146" max="15146" width="0.54296875" style="8" customWidth="1"/>
    <col min="15147" max="15147" width="8.54296875" style="8" bestFit="1" customWidth="1"/>
    <col min="15148" max="15148" width="0.54296875" style="8" customWidth="1"/>
    <col min="15149" max="15149" width="9.54296875" style="8" bestFit="1" customWidth="1"/>
    <col min="15150" max="15150" width="0.54296875" style="8" customWidth="1"/>
    <col min="15151" max="15151" width="12" style="8" bestFit="1" customWidth="1"/>
    <col min="15152" max="15152" width="0.54296875" style="8" customWidth="1"/>
    <col min="15153" max="15153" width="8.54296875" style="8" bestFit="1" customWidth="1"/>
    <col min="15154" max="15154" width="1.1796875" style="8" customWidth="1"/>
    <col min="15155" max="15155" width="9.1796875" style="8"/>
    <col min="15156" max="15156" width="0.7265625" style="8" customWidth="1"/>
    <col min="15157" max="15157" width="9.1796875" style="8"/>
    <col min="15158" max="15158" width="1.1796875" style="8" customWidth="1"/>
    <col min="15159" max="15360" width="9.1796875" style="8"/>
    <col min="15361" max="15361" width="43.54296875" style="8" customWidth="1"/>
    <col min="15362" max="15367" width="0" style="8" hidden="1" customWidth="1"/>
    <col min="15368" max="15368" width="0.81640625" style="8" customWidth="1"/>
    <col min="15369" max="15369" width="10.81640625" style="8" customWidth="1"/>
    <col min="15370" max="15370" width="1.81640625" style="8" customWidth="1"/>
    <col min="15371" max="15371" width="11.26953125" style="8" customWidth="1"/>
    <col min="15372" max="15372" width="1.1796875" style="8" customWidth="1"/>
    <col min="15373" max="15373" width="12" style="8" customWidth="1"/>
    <col min="15374" max="15374" width="1.453125" style="8" customWidth="1"/>
    <col min="15375" max="15375" width="10.81640625" style="8" bestFit="1" customWidth="1"/>
    <col min="15376" max="15376" width="1.81640625" style="8" customWidth="1"/>
    <col min="15377" max="15377" width="13.26953125" style="8" customWidth="1"/>
    <col min="15378" max="15378" width="1.7265625" style="8" customWidth="1"/>
    <col min="15379" max="15379" width="9.1796875" style="8"/>
    <col min="15380" max="15380" width="1.1796875" style="8" customWidth="1"/>
    <col min="15381" max="15381" width="11.81640625" style="8" customWidth="1"/>
    <col min="15382" max="15382" width="0.81640625" style="8" customWidth="1"/>
    <col min="15383" max="15383" width="12.54296875" style="8" customWidth="1"/>
    <col min="15384" max="15384" width="2.54296875" style="8" customWidth="1"/>
    <col min="15385" max="15385" width="11" style="8" customWidth="1"/>
    <col min="15386" max="15386" width="2.1796875" style="8" customWidth="1"/>
    <col min="15387" max="15387" width="12.453125" style="8" customWidth="1"/>
    <col min="15388" max="15388" width="2.1796875" style="8" customWidth="1"/>
    <col min="15389" max="15389" width="10.54296875" style="8" customWidth="1"/>
    <col min="15390" max="15390" width="1.453125" style="8" customWidth="1"/>
    <col min="15391" max="15391" width="10.1796875" style="8" customWidth="1"/>
    <col min="15392" max="15392" width="2.26953125" style="8" customWidth="1"/>
    <col min="15393" max="15393" width="9.54296875" style="8" bestFit="1" customWidth="1"/>
    <col min="15394" max="15394" width="0.54296875" style="8" customWidth="1"/>
    <col min="15395" max="15395" width="10.54296875" style="8" customWidth="1"/>
    <col min="15396" max="15396" width="0.81640625" style="8" customWidth="1"/>
    <col min="15397" max="15397" width="12.7265625" style="8" customWidth="1"/>
    <col min="15398" max="15398" width="1" style="8" customWidth="1"/>
    <col min="15399" max="15399" width="9.54296875" style="8" customWidth="1"/>
    <col min="15400" max="15400" width="1.1796875" style="8" customWidth="1"/>
    <col min="15401" max="15401" width="10.453125" style="8" customWidth="1"/>
    <col min="15402" max="15402" width="0.54296875" style="8" customWidth="1"/>
    <col min="15403" max="15403" width="8.54296875" style="8" bestFit="1" customWidth="1"/>
    <col min="15404" max="15404" width="0.54296875" style="8" customWidth="1"/>
    <col min="15405" max="15405" width="9.54296875" style="8" bestFit="1" customWidth="1"/>
    <col min="15406" max="15406" width="0.54296875" style="8" customWidth="1"/>
    <col min="15407" max="15407" width="12" style="8" bestFit="1" customWidth="1"/>
    <col min="15408" max="15408" width="0.54296875" style="8" customWidth="1"/>
    <col min="15409" max="15409" width="8.54296875" style="8" bestFit="1" customWidth="1"/>
    <col min="15410" max="15410" width="1.1796875" style="8" customWidth="1"/>
    <col min="15411" max="15411" width="9.1796875" style="8"/>
    <col min="15412" max="15412" width="0.7265625" style="8" customWidth="1"/>
    <col min="15413" max="15413" width="9.1796875" style="8"/>
    <col min="15414" max="15414" width="1.1796875" style="8" customWidth="1"/>
    <col min="15415" max="15616" width="9.1796875" style="8"/>
    <col min="15617" max="15617" width="43.54296875" style="8" customWidth="1"/>
    <col min="15618" max="15623" width="0" style="8" hidden="1" customWidth="1"/>
    <col min="15624" max="15624" width="0.81640625" style="8" customWidth="1"/>
    <col min="15625" max="15625" width="10.81640625" style="8" customWidth="1"/>
    <col min="15626" max="15626" width="1.81640625" style="8" customWidth="1"/>
    <col min="15627" max="15627" width="11.26953125" style="8" customWidth="1"/>
    <col min="15628" max="15628" width="1.1796875" style="8" customWidth="1"/>
    <col min="15629" max="15629" width="12" style="8" customWidth="1"/>
    <col min="15630" max="15630" width="1.453125" style="8" customWidth="1"/>
    <col min="15631" max="15631" width="10.81640625" style="8" bestFit="1" customWidth="1"/>
    <col min="15632" max="15632" width="1.81640625" style="8" customWidth="1"/>
    <col min="15633" max="15633" width="13.26953125" style="8" customWidth="1"/>
    <col min="15634" max="15634" width="1.7265625" style="8" customWidth="1"/>
    <col min="15635" max="15635" width="9.1796875" style="8"/>
    <col min="15636" max="15636" width="1.1796875" style="8" customWidth="1"/>
    <col min="15637" max="15637" width="11.81640625" style="8" customWidth="1"/>
    <col min="15638" max="15638" width="0.81640625" style="8" customWidth="1"/>
    <col min="15639" max="15639" width="12.54296875" style="8" customWidth="1"/>
    <col min="15640" max="15640" width="2.54296875" style="8" customWidth="1"/>
    <col min="15641" max="15641" width="11" style="8" customWidth="1"/>
    <col min="15642" max="15642" width="2.1796875" style="8" customWidth="1"/>
    <col min="15643" max="15643" width="12.453125" style="8" customWidth="1"/>
    <col min="15644" max="15644" width="2.1796875" style="8" customWidth="1"/>
    <col min="15645" max="15645" width="10.54296875" style="8" customWidth="1"/>
    <col min="15646" max="15646" width="1.453125" style="8" customWidth="1"/>
    <col min="15647" max="15647" width="10.1796875" style="8" customWidth="1"/>
    <col min="15648" max="15648" width="2.26953125" style="8" customWidth="1"/>
    <col min="15649" max="15649" width="9.54296875" style="8" bestFit="1" customWidth="1"/>
    <col min="15650" max="15650" width="0.54296875" style="8" customWidth="1"/>
    <col min="15651" max="15651" width="10.54296875" style="8" customWidth="1"/>
    <col min="15652" max="15652" width="0.81640625" style="8" customWidth="1"/>
    <col min="15653" max="15653" width="12.7265625" style="8" customWidth="1"/>
    <col min="15654" max="15654" width="1" style="8" customWidth="1"/>
    <col min="15655" max="15655" width="9.54296875" style="8" customWidth="1"/>
    <col min="15656" max="15656" width="1.1796875" style="8" customWidth="1"/>
    <col min="15657" max="15657" width="10.453125" style="8" customWidth="1"/>
    <col min="15658" max="15658" width="0.54296875" style="8" customWidth="1"/>
    <col min="15659" max="15659" width="8.54296875" style="8" bestFit="1" customWidth="1"/>
    <col min="15660" max="15660" width="0.54296875" style="8" customWidth="1"/>
    <col min="15661" max="15661" width="9.54296875" style="8" bestFit="1" customWidth="1"/>
    <col min="15662" max="15662" width="0.54296875" style="8" customWidth="1"/>
    <col min="15663" max="15663" width="12" style="8" bestFit="1" customWidth="1"/>
    <col min="15664" max="15664" width="0.54296875" style="8" customWidth="1"/>
    <col min="15665" max="15665" width="8.54296875" style="8" bestFit="1" customWidth="1"/>
    <col min="15666" max="15666" width="1.1796875" style="8" customWidth="1"/>
    <col min="15667" max="15667" width="9.1796875" style="8"/>
    <col min="15668" max="15668" width="0.7265625" style="8" customWidth="1"/>
    <col min="15669" max="15669" width="9.1796875" style="8"/>
    <col min="15670" max="15670" width="1.1796875" style="8" customWidth="1"/>
    <col min="15671" max="15872" width="9.1796875" style="8"/>
    <col min="15873" max="15873" width="43.54296875" style="8" customWidth="1"/>
    <col min="15874" max="15879" width="0" style="8" hidden="1" customWidth="1"/>
    <col min="15880" max="15880" width="0.81640625" style="8" customWidth="1"/>
    <col min="15881" max="15881" width="10.81640625" style="8" customWidth="1"/>
    <col min="15882" max="15882" width="1.81640625" style="8" customWidth="1"/>
    <col min="15883" max="15883" width="11.26953125" style="8" customWidth="1"/>
    <col min="15884" max="15884" width="1.1796875" style="8" customWidth="1"/>
    <col min="15885" max="15885" width="12" style="8" customWidth="1"/>
    <col min="15886" max="15886" width="1.453125" style="8" customWidth="1"/>
    <col min="15887" max="15887" width="10.81640625" style="8" bestFit="1" customWidth="1"/>
    <col min="15888" max="15888" width="1.81640625" style="8" customWidth="1"/>
    <col min="15889" max="15889" width="13.26953125" style="8" customWidth="1"/>
    <col min="15890" max="15890" width="1.7265625" style="8" customWidth="1"/>
    <col min="15891" max="15891" width="9.1796875" style="8"/>
    <col min="15892" max="15892" width="1.1796875" style="8" customWidth="1"/>
    <col min="15893" max="15893" width="11.81640625" style="8" customWidth="1"/>
    <col min="15894" max="15894" width="0.81640625" style="8" customWidth="1"/>
    <col min="15895" max="15895" width="12.54296875" style="8" customWidth="1"/>
    <col min="15896" max="15896" width="2.54296875" style="8" customWidth="1"/>
    <col min="15897" max="15897" width="11" style="8" customWidth="1"/>
    <col min="15898" max="15898" width="2.1796875" style="8" customWidth="1"/>
    <col min="15899" max="15899" width="12.453125" style="8" customWidth="1"/>
    <col min="15900" max="15900" width="2.1796875" style="8" customWidth="1"/>
    <col min="15901" max="15901" width="10.54296875" style="8" customWidth="1"/>
    <col min="15902" max="15902" width="1.453125" style="8" customWidth="1"/>
    <col min="15903" max="15903" width="10.1796875" style="8" customWidth="1"/>
    <col min="15904" max="15904" width="2.26953125" style="8" customWidth="1"/>
    <col min="15905" max="15905" width="9.54296875" style="8" bestFit="1" customWidth="1"/>
    <col min="15906" max="15906" width="0.54296875" style="8" customWidth="1"/>
    <col min="15907" max="15907" width="10.54296875" style="8" customWidth="1"/>
    <col min="15908" max="15908" width="0.81640625" style="8" customWidth="1"/>
    <col min="15909" max="15909" width="12.7265625" style="8" customWidth="1"/>
    <col min="15910" max="15910" width="1" style="8" customWidth="1"/>
    <col min="15911" max="15911" width="9.54296875" style="8" customWidth="1"/>
    <col min="15912" max="15912" width="1.1796875" style="8" customWidth="1"/>
    <col min="15913" max="15913" width="10.453125" style="8" customWidth="1"/>
    <col min="15914" max="15914" width="0.54296875" style="8" customWidth="1"/>
    <col min="15915" max="15915" width="8.54296875" style="8" bestFit="1" customWidth="1"/>
    <col min="15916" max="15916" width="0.54296875" style="8" customWidth="1"/>
    <col min="15917" max="15917" width="9.54296875" style="8" bestFit="1" customWidth="1"/>
    <col min="15918" max="15918" width="0.54296875" style="8" customWidth="1"/>
    <col min="15919" max="15919" width="12" style="8" bestFit="1" customWidth="1"/>
    <col min="15920" max="15920" width="0.54296875" style="8" customWidth="1"/>
    <col min="15921" max="15921" width="8.54296875" style="8" bestFit="1" customWidth="1"/>
    <col min="15922" max="15922" width="1.1796875" style="8" customWidth="1"/>
    <col min="15923" max="15923" width="9.1796875" style="8"/>
    <col min="15924" max="15924" width="0.7265625" style="8" customWidth="1"/>
    <col min="15925" max="15925" width="9.1796875" style="8"/>
    <col min="15926" max="15926" width="1.1796875" style="8" customWidth="1"/>
    <col min="15927" max="16128" width="9.1796875" style="8"/>
    <col min="16129" max="16129" width="43.54296875" style="8" customWidth="1"/>
    <col min="16130" max="16135" width="0" style="8" hidden="1" customWidth="1"/>
    <col min="16136" max="16136" width="0.81640625" style="8" customWidth="1"/>
    <col min="16137" max="16137" width="10.81640625" style="8" customWidth="1"/>
    <col min="16138" max="16138" width="1.81640625" style="8" customWidth="1"/>
    <col min="16139" max="16139" width="11.26953125" style="8" customWidth="1"/>
    <col min="16140" max="16140" width="1.1796875" style="8" customWidth="1"/>
    <col min="16141" max="16141" width="12" style="8" customWidth="1"/>
    <col min="16142" max="16142" width="1.453125" style="8" customWidth="1"/>
    <col min="16143" max="16143" width="10.81640625" style="8" bestFit="1" customWidth="1"/>
    <col min="16144" max="16144" width="1.81640625" style="8" customWidth="1"/>
    <col min="16145" max="16145" width="13.26953125" style="8" customWidth="1"/>
    <col min="16146" max="16146" width="1.7265625" style="8" customWidth="1"/>
    <col min="16147" max="16147" width="9.1796875" style="8"/>
    <col min="16148" max="16148" width="1.1796875" style="8" customWidth="1"/>
    <col min="16149" max="16149" width="11.81640625" style="8" customWidth="1"/>
    <col min="16150" max="16150" width="0.81640625" style="8" customWidth="1"/>
    <col min="16151" max="16151" width="12.54296875" style="8" customWidth="1"/>
    <col min="16152" max="16152" width="2.54296875" style="8" customWidth="1"/>
    <col min="16153" max="16153" width="11" style="8" customWidth="1"/>
    <col min="16154" max="16154" width="2.1796875" style="8" customWidth="1"/>
    <col min="16155" max="16155" width="12.453125" style="8" customWidth="1"/>
    <col min="16156" max="16156" width="2.1796875" style="8" customWidth="1"/>
    <col min="16157" max="16157" width="10.54296875" style="8" customWidth="1"/>
    <col min="16158" max="16158" width="1.453125" style="8" customWidth="1"/>
    <col min="16159" max="16159" width="10.1796875" style="8" customWidth="1"/>
    <col min="16160" max="16160" width="2.26953125" style="8" customWidth="1"/>
    <col min="16161" max="16161" width="9.54296875" style="8" bestFit="1" customWidth="1"/>
    <col min="16162" max="16162" width="0.54296875" style="8" customWidth="1"/>
    <col min="16163" max="16163" width="10.54296875" style="8" customWidth="1"/>
    <col min="16164" max="16164" width="0.81640625" style="8" customWidth="1"/>
    <col min="16165" max="16165" width="12.7265625" style="8" customWidth="1"/>
    <col min="16166" max="16166" width="1" style="8" customWidth="1"/>
    <col min="16167" max="16167" width="9.54296875" style="8" customWidth="1"/>
    <col min="16168" max="16168" width="1.1796875" style="8" customWidth="1"/>
    <col min="16169" max="16169" width="10.453125" style="8" customWidth="1"/>
    <col min="16170" max="16170" width="0.54296875" style="8" customWidth="1"/>
    <col min="16171" max="16171" width="8.54296875" style="8" bestFit="1" customWidth="1"/>
    <col min="16172" max="16172" width="0.54296875" style="8" customWidth="1"/>
    <col min="16173" max="16173" width="9.54296875" style="8" bestFit="1" customWidth="1"/>
    <col min="16174" max="16174" width="0.54296875" style="8" customWidth="1"/>
    <col min="16175" max="16175" width="12" style="8" bestFit="1" customWidth="1"/>
    <col min="16176" max="16176" width="0.54296875" style="8" customWidth="1"/>
    <col min="16177" max="16177" width="8.54296875" style="8" bestFit="1" customWidth="1"/>
    <col min="16178" max="16178" width="1.1796875" style="8" customWidth="1"/>
    <col min="16179" max="16179" width="9.1796875" style="8"/>
    <col min="16180" max="16180" width="0.7265625" style="8" customWidth="1"/>
    <col min="16181" max="16181" width="9.1796875" style="8"/>
    <col min="16182" max="16182" width="1.1796875" style="8" customWidth="1"/>
    <col min="16183" max="16384" width="9.1796875" style="8"/>
  </cols>
  <sheetData>
    <row r="1" spans="1:53">
      <c r="A1" s="605"/>
      <c r="D1" s="9"/>
      <c r="H1" s="10"/>
      <c r="N1" s="10"/>
      <c r="Y1" s="11"/>
      <c r="Z1" s="10" t="s">
        <v>12</v>
      </c>
    </row>
    <row r="2" spans="1:53">
      <c r="A2" s="605"/>
      <c r="D2" s="9"/>
      <c r="H2" s="10"/>
      <c r="N2" s="10"/>
      <c r="Z2" s="10" t="s">
        <v>1807</v>
      </c>
    </row>
    <row r="3" spans="1:53">
      <c r="A3" s="605"/>
      <c r="D3" s="9"/>
      <c r="H3" s="606"/>
      <c r="N3" s="606"/>
      <c r="Y3" s="152"/>
      <c r="Z3" s="10" t="s">
        <v>1808</v>
      </c>
    </row>
    <row r="4" spans="1:53">
      <c r="A4" s="605"/>
      <c r="D4" s="12"/>
      <c r="H4" s="13"/>
      <c r="N4" s="13"/>
      <c r="Z4" s="10" t="s">
        <v>1809</v>
      </c>
      <c r="BA4" s="7"/>
    </row>
    <row r="5" spans="1:53">
      <c r="BA5" s="7"/>
    </row>
    <row r="6" spans="1:53">
      <c r="M6" s="607"/>
      <c r="BA6" s="7"/>
    </row>
    <row r="7" spans="1:53">
      <c r="B7" s="9"/>
      <c r="C7" s="608">
        <v>41274</v>
      </c>
      <c r="D7" s="9"/>
      <c r="E7" s="12">
        <v>2013</v>
      </c>
      <c r="G7" s="12" t="s">
        <v>1810</v>
      </c>
      <c r="H7" s="9"/>
      <c r="I7" s="608">
        <v>41639</v>
      </c>
      <c r="J7" s="9"/>
      <c r="K7" s="12">
        <v>2014</v>
      </c>
      <c r="L7" s="7"/>
      <c r="M7" s="12" t="s">
        <v>1811</v>
      </c>
      <c r="N7" s="9"/>
      <c r="O7" s="608">
        <v>42004</v>
      </c>
      <c r="P7" s="7"/>
      <c r="Q7" s="12">
        <v>2015</v>
      </c>
      <c r="R7" s="7"/>
      <c r="S7" s="12" t="s">
        <v>1811</v>
      </c>
      <c r="T7" s="9"/>
      <c r="U7" s="341">
        <v>42369</v>
      </c>
      <c r="V7" s="7"/>
      <c r="W7" s="12">
        <v>2016</v>
      </c>
      <c r="X7" s="7"/>
      <c r="Y7" s="12" t="s">
        <v>1811</v>
      </c>
      <c r="Z7" s="9"/>
      <c r="AA7" s="608">
        <v>42735</v>
      </c>
      <c r="AB7" s="608"/>
      <c r="AE7" s="29"/>
      <c r="AF7" s="25"/>
      <c r="AG7" s="29" t="s">
        <v>1812</v>
      </c>
      <c r="AH7" s="25"/>
      <c r="AI7" s="25"/>
      <c r="AM7" s="609"/>
      <c r="AN7" s="25"/>
      <c r="AO7" s="610" t="s">
        <v>99</v>
      </c>
      <c r="AP7" s="25"/>
      <c r="AQ7" s="25"/>
      <c r="AR7" s="7"/>
      <c r="AS7" s="609"/>
      <c r="AT7" s="25"/>
      <c r="AU7" s="610" t="s">
        <v>389</v>
      </c>
      <c r="AV7" s="25"/>
      <c r="AW7" s="25"/>
      <c r="AX7" s="7"/>
      <c r="AY7" s="12" t="s">
        <v>1813</v>
      </c>
      <c r="BA7" s="7"/>
    </row>
    <row r="8" spans="1:53">
      <c r="A8" s="611" t="s">
        <v>1814</v>
      </c>
      <c r="B8" s="9"/>
      <c r="C8" s="29" t="s">
        <v>1815</v>
      </c>
      <c r="D8" s="9"/>
      <c r="E8" s="612" t="s">
        <v>58</v>
      </c>
      <c r="G8" s="612" t="s">
        <v>1816</v>
      </c>
      <c r="H8" s="9"/>
      <c r="I8" s="29" t="s">
        <v>1815</v>
      </c>
      <c r="J8" s="9"/>
      <c r="K8" s="612" t="s">
        <v>58</v>
      </c>
      <c r="L8" s="7"/>
      <c r="M8" s="612" t="s">
        <v>1817</v>
      </c>
      <c r="N8" s="9"/>
      <c r="O8" s="29" t="s">
        <v>1815</v>
      </c>
      <c r="P8" s="7"/>
      <c r="Q8" s="29" t="s">
        <v>58</v>
      </c>
      <c r="R8" s="7"/>
      <c r="S8" s="612" t="s">
        <v>1817</v>
      </c>
      <c r="T8" s="9"/>
      <c r="U8" s="29" t="s">
        <v>1815</v>
      </c>
      <c r="V8" s="7"/>
      <c r="W8" s="612" t="s">
        <v>58</v>
      </c>
      <c r="X8" s="7"/>
      <c r="Y8" s="612" t="s">
        <v>1817</v>
      </c>
      <c r="Z8" s="9"/>
      <c r="AA8" s="29" t="s">
        <v>1815</v>
      </c>
      <c r="AB8" s="12"/>
      <c r="AE8" s="29" t="s">
        <v>1818</v>
      </c>
      <c r="AG8" s="29" t="s">
        <v>1819</v>
      </c>
      <c r="AI8" s="613" t="s">
        <v>79</v>
      </c>
      <c r="AJ8" s="13"/>
      <c r="AK8" s="13"/>
      <c r="AM8" s="614" t="s">
        <v>1820</v>
      </c>
      <c r="AN8" s="12"/>
      <c r="AO8" s="614" t="s">
        <v>1821</v>
      </c>
      <c r="AP8" s="12"/>
      <c r="AQ8" s="29" t="s">
        <v>1822</v>
      </c>
      <c r="AR8" s="7"/>
      <c r="AS8" s="614" t="s">
        <v>1820</v>
      </c>
      <c r="AT8" s="12"/>
      <c r="AU8" s="614" t="s">
        <v>1821</v>
      </c>
      <c r="AV8" s="12"/>
      <c r="AW8" s="29" t="s">
        <v>1822</v>
      </c>
      <c r="AX8" s="7"/>
      <c r="AY8" s="29" t="s">
        <v>1823</v>
      </c>
      <c r="BA8" s="7"/>
    </row>
    <row r="9" spans="1:53">
      <c r="E9" s="14"/>
      <c r="K9" s="14"/>
      <c r="L9" s="7"/>
      <c r="N9" s="7"/>
      <c r="P9" s="7"/>
      <c r="R9" s="7"/>
      <c r="S9" s="8"/>
      <c r="T9" s="7"/>
      <c r="U9" s="8"/>
      <c r="V9" s="7"/>
      <c r="W9" s="14"/>
      <c r="X9" s="7"/>
      <c r="Z9" s="7"/>
      <c r="AE9" s="8"/>
      <c r="AG9" s="13"/>
      <c r="AM9" s="15"/>
      <c r="AN9" s="15"/>
      <c r="AO9" s="15"/>
      <c r="AP9" s="15"/>
      <c r="AQ9" s="17"/>
      <c r="AR9" s="205" t="s">
        <v>1824</v>
      </c>
      <c r="AS9" s="15"/>
      <c r="AT9" s="15"/>
      <c r="AU9" s="15"/>
      <c r="AV9" s="15"/>
      <c r="AW9" s="17"/>
      <c r="AX9" s="7"/>
      <c r="AY9" s="7"/>
      <c r="BA9" s="7"/>
    </row>
    <row r="10" spans="1:53">
      <c r="A10" s="8" t="s">
        <v>1825</v>
      </c>
      <c r="B10" s="15"/>
      <c r="C10" s="16">
        <v>1230.2411199999997</v>
      </c>
      <c r="D10" s="15"/>
      <c r="E10" s="16">
        <v>-643.14712999999983</v>
      </c>
      <c r="F10" s="615"/>
      <c r="G10" s="16"/>
      <c r="H10" s="17"/>
      <c r="I10" s="16">
        <f t="shared" ref="I10:I20" si="0">SUM(B10:G10)</f>
        <v>587.09398999999985</v>
      </c>
      <c r="J10" s="16"/>
      <c r="K10" s="16">
        <v>-587.39351999999997</v>
      </c>
      <c r="L10" s="615"/>
      <c r="M10" s="16"/>
      <c r="N10" s="17"/>
      <c r="O10" s="16">
        <f t="shared" ref="O10:O24" si="1">SUM(I10:M10)</f>
        <v>-0.29953000000011798</v>
      </c>
      <c r="P10" s="7"/>
      <c r="Q10" s="16">
        <v>181.98086999999998</v>
      </c>
      <c r="R10" s="7"/>
      <c r="S10" s="16"/>
      <c r="U10" s="16">
        <f t="shared" ref="U10:U24" si="2">SUM(O10:T10)</f>
        <v>181.68133999999986</v>
      </c>
      <c r="V10" s="615"/>
      <c r="W10" s="16">
        <f>'2016 provision'!F33</f>
        <v>-103.62195999999997</v>
      </c>
      <c r="X10" s="615"/>
      <c r="Y10" s="16"/>
      <c r="Z10" s="17"/>
      <c r="AA10" s="16">
        <f t="shared" ref="AA10:AA23" si="3">SUM(U10:Y10)</f>
        <v>78.059379999999891</v>
      </c>
      <c r="AB10" s="16"/>
      <c r="AE10" s="16">
        <f>-'ct bs'!H27</f>
        <v>78.358910000000009</v>
      </c>
      <c r="AF10" s="616"/>
      <c r="AG10" s="13" t="s">
        <v>1073</v>
      </c>
      <c r="AI10" s="617">
        <f t="shared" ref="AI10:AI24" si="4">AA10-AE10</f>
        <v>-0.29953000000011798</v>
      </c>
      <c r="AJ10" s="617"/>
      <c r="AK10" s="618">
        <v>406241</v>
      </c>
      <c r="AM10" s="15">
        <v>46940</v>
      </c>
      <c r="AN10" s="15"/>
      <c r="AO10" s="15">
        <v>-41423</v>
      </c>
      <c r="AP10" s="15"/>
      <c r="AQ10" s="15">
        <f>SUM(AM10:AO10)</f>
        <v>5517</v>
      </c>
      <c r="AR10" s="15"/>
      <c r="AS10" s="15">
        <v>44421</v>
      </c>
      <c r="AT10" s="15"/>
      <c r="AU10" s="15">
        <v>-35398</v>
      </c>
      <c r="AV10" s="15"/>
      <c r="AW10" s="15">
        <f>SUM(AS10:AU10)</f>
        <v>9023</v>
      </c>
      <c r="AY10" s="22">
        <f>AW10-AQ10</f>
        <v>3506</v>
      </c>
      <c r="BA10" s="27"/>
    </row>
    <row r="11" spans="1:53">
      <c r="A11" s="8" t="s">
        <v>1826</v>
      </c>
      <c r="B11" s="17"/>
      <c r="C11" s="18">
        <v>992.11596296000005</v>
      </c>
      <c r="D11" s="17"/>
      <c r="E11" s="18">
        <v>-11.444942951999954</v>
      </c>
      <c r="F11" s="619"/>
      <c r="G11" s="18"/>
      <c r="H11" s="17"/>
      <c r="I11" s="18">
        <f t="shared" si="0"/>
        <v>980.67102000800014</v>
      </c>
      <c r="J11" s="18"/>
      <c r="K11" s="18">
        <v>-17.521620048000159</v>
      </c>
      <c r="L11" s="619"/>
      <c r="M11" s="18"/>
      <c r="N11" s="17"/>
      <c r="O11" s="18">
        <f t="shared" si="1"/>
        <v>963.14939995999998</v>
      </c>
      <c r="P11" s="7"/>
      <c r="Q11" s="18">
        <v>29.357792204999896</v>
      </c>
      <c r="R11" s="7"/>
      <c r="S11" s="18"/>
      <c r="U11" s="18">
        <f t="shared" si="2"/>
        <v>992.50719216499988</v>
      </c>
      <c r="V11" s="619"/>
      <c r="W11" s="18">
        <f>'2016 provision'!F29</f>
        <v>14.674896174999844</v>
      </c>
      <c r="X11" s="619"/>
      <c r="Y11" s="18"/>
      <c r="Z11" s="17"/>
      <c r="AA11" s="18">
        <f t="shared" si="3"/>
        <v>1007.1820883399997</v>
      </c>
      <c r="AB11" s="18"/>
      <c r="AE11" s="18">
        <f>'ct bs'!J33</f>
        <v>1000.034896175</v>
      </c>
      <c r="AF11" s="616"/>
      <c r="AG11" s="13" t="s">
        <v>1073</v>
      </c>
      <c r="AI11" s="23">
        <f t="shared" si="4"/>
        <v>7.1471921649997512</v>
      </c>
      <c r="AJ11" s="23"/>
      <c r="AK11" s="618">
        <v>406606</v>
      </c>
      <c r="AM11" s="17">
        <v>49680</v>
      </c>
      <c r="AN11" s="17"/>
      <c r="AO11" s="17">
        <v>-44654</v>
      </c>
      <c r="AP11" s="17"/>
      <c r="AQ11" s="17">
        <f>SUM(AM11:AO11)</f>
        <v>5026</v>
      </c>
      <c r="AR11" s="17"/>
      <c r="AS11" s="17">
        <v>46090</v>
      </c>
      <c r="AT11" s="17"/>
      <c r="AU11" s="17">
        <v>-37591</v>
      </c>
      <c r="AV11" s="17"/>
      <c r="AW11" s="17">
        <f>SUM(AS11:AU11)</f>
        <v>8499</v>
      </c>
      <c r="AX11" s="7"/>
      <c r="AY11" s="18">
        <f>AW11-AQ11</f>
        <v>3473</v>
      </c>
      <c r="BA11" s="27"/>
    </row>
    <row r="12" spans="1:53">
      <c r="A12" s="8" t="s">
        <v>1827</v>
      </c>
      <c r="B12" s="17"/>
      <c r="C12" s="18">
        <v>151.37383</v>
      </c>
      <c r="D12" s="17"/>
      <c r="E12" s="18">
        <v>446.17419999999993</v>
      </c>
      <c r="F12" s="619"/>
      <c r="G12" s="18"/>
      <c r="H12" s="17"/>
      <c r="I12" s="18">
        <f t="shared" si="0"/>
        <v>597.54802999999993</v>
      </c>
      <c r="J12" s="18"/>
      <c r="K12" s="18">
        <v>-559.68893000000003</v>
      </c>
      <c r="L12" s="619"/>
      <c r="M12" s="18"/>
      <c r="N12" s="17"/>
      <c r="O12" s="18">
        <f t="shared" si="1"/>
        <v>37.859099999999899</v>
      </c>
      <c r="P12" s="7"/>
      <c r="Q12" s="18">
        <v>3.0797099999999986</v>
      </c>
      <c r="R12" s="7"/>
      <c r="S12" s="18"/>
      <c r="U12" s="18">
        <f t="shared" si="2"/>
        <v>40.938809999999897</v>
      </c>
      <c r="V12" s="619"/>
      <c r="W12" s="18">
        <f>'2016 provision'!F31</f>
        <v>417.64880000000005</v>
      </c>
      <c r="X12" s="619"/>
      <c r="Y12" s="18"/>
      <c r="Z12" s="17"/>
      <c r="AA12" s="18">
        <f t="shared" si="3"/>
        <v>458.58760999999993</v>
      </c>
      <c r="AB12" s="18"/>
      <c r="AE12" s="18">
        <f>-'ct bs'!H34</f>
        <v>457.72851000000003</v>
      </c>
      <c r="AF12" s="616"/>
      <c r="AG12" s="13" t="s">
        <v>1073</v>
      </c>
      <c r="AI12" s="23">
        <f t="shared" si="4"/>
        <v>0.8590999999998985</v>
      </c>
      <c r="AJ12" s="23"/>
      <c r="AK12" s="618">
        <v>406971</v>
      </c>
      <c r="AM12" s="17">
        <v>51797</v>
      </c>
      <c r="AN12" s="17"/>
      <c r="AO12" s="17">
        <v>-46854</v>
      </c>
      <c r="AP12" s="17"/>
      <c r="AQ12" s="17">
        <f>SUM(AM12:AO12)</f>
        <v>4943</v>
      </c>
      <c r="AR12" s="17"/>
      <c r="AS12" s="17">
        <v>47508</v>
      </c>
      <c r="AT12" s="17"/>
      <c r="AU12" s="17">
        <v>-40397</v>
      </c>
      <c r="AV12" s="17"/>
      <c r="AW12" s="17">
        <f>SUM(AS12:AU12)</f>
        <v>7111</v>
      </c>
      <c r="AX12" s="7"/>
      <c r="AY12" s="18">
        <f>AW12-AQ12</f>
        <v>2168</v>
      </c>
      <c r="BA12" s="27"/>
    </row>
    <row r="13" spans="1:53" hidden="1">
      <c r="A13" s="8" t="s">
        <v>1828</v>
      </c>
      <c r="B13" s="17"/>
      <c r="C13" s="18">
        <v>1596.3000910296066</v>
      </c>
      <c r="D13" s="17"/>
      <c r="E13" s="18">
        <v>0</v>
      </c>
      <c r="F13" s="619"/>
      <c r="G13" s="18">
        <v>-1596.3</v>
      </c>
      <c r="H13" s="17"/>
      <c r="I13" s="18">
        <f t="shared" si="0"/>
        <v>9.1029606664960738E-5</v>
      </c>
      <c r="J13" s="18"/>
      <c r="K13" s="620"/>
      <c r="L13" s="619"/>
      <c r="M13" s="18"/>
      <c r="N13" s="17"/>
      <c r="O13" s="18">
        <f t="shared" si="1"/>
        <v>9.1029606664960738E-5</v>
      </c>
      <c r="P13" s="7"/>
      <c r="Q13" s="18"/>
      <c r="R13" s="7"/>
      <c r="S13" s="18"/>
      <c r="U13" s="18">
        <f t="shared" si="2"/>
        <v>9.1029606664960738E-5</v>
      </c>
      <c r="V13" s="619"/>
      <c r="W13" s="620"/>
      <c r="X13" s="619"/>
      <c r="Y13" s="18"/>
      <c r="Z13" s="17"/>
      <c r="AA13" s="18">
        <f t="shared" si="3"/>
        <v>9.1029606664960738E-5</v>
      </c>
      <c r="AB13" s="18"/>
      <c r="AE13" s="18"/>
      <c r="AG13" s="13"/>
      <c r="AI13" s="23">
        <f t="shared" si="4"/>
        <v>9.1029606664960738E-5</v>
      </c>
      <c r="AJ13" s="23"/>
      <c r="AK13" s="23"/>
      <c r="AM13" s="17"/>
      <c r="AN13" s="17"/>
      <c r="AO13" s="17"/>
      <c r="AP13" s="17"/>
      <c r="AQ13" s="17">
        <f>SUM(AM13:AO13)</f>
        <v>0</v>
      </c>
      <c r="AR13" s="17"/>
      <c r="AS13" s="17"/>
      <c r="AT13" s="17"/>
      <c r="AU13" s="17"/>
      <c r="AV13" s="17"/>
      <c r="AW13" s="17">
        <f>SUM(AS13:AU13)</f>
        <v>0</v>
      </c>
      <c r="AX13" s="7"/>
      <c r="AY13" s="17"/>
      <c r="BA13" s="7"/>
    </row>
    <row r="14" spans="1:53">
      <c r="A14" s="8" t="s">
        <v>1829</v>
      </c>
      <c r="B14" s="17"/>
      <c r="C14" s="18">
        <v>202.06567000000004</v>
      </c>
      <c r="D14" s="17"/>
      <c r="E14" s="17">
        <v>-206.42088000000001</v>
      </c>
      <c r="F14" s="619"/>
      <c r="G14" s="18"/>
      <c r="H14" s="17"/>
      <c r="I14" s="18">
        <f t="shared" si="0"/>
        <v>-4.3552099999999712</v>
      </c>
      <c r="J14" s="18"/>
      <c r="K14" s="17">
        <v>1.1749999999999998</v>
      </c>
      <c r="L14" s="619"/>
      <c r="M14" s="18"/>
      <c r="N14" s="17"/>
      <c r="O14" s="18">
        <f t="shared" si="1"/>
        <v>-3.1802099999999713</v>
      </c>
      <c r="P14" s="7"/>
      <c r="Q14" s="18">
        <v>-45.020180000000003</v>
      </c>
      <c r="R14" s="7"/>
      <c r="S14" s="18"/>
      <c r="U14" s="18">
        <f t="shared" si="2"/>
        <v>-48.200389999999977</v>
      </c>
      <c r="V14" s="619"/>
      <c r="W14" s="17">
        <f>'2016 provision'!F37</f>
        <v>-214.72816999999995</v>
      </c>
      <c r="X14" s="619"/>
      <c r="Y14" s="18"/>
      <c r="Z14" s="17"/>
      <c r="AA14" s="18">
        <f t="shared" si="3"/>
        <v>-262.92855999999995</v>
      </c>
      <c r="AB14" s="18"/>
      <c r="AE14" s="18">
        <f>-'ct bs'!H42</f>
        <v>-264.74834999999996</v>
      </c>
      <c r="AF14" s="616"/>
      <c r="AG14" s="13" t="s">
        <v>1073</v>
      </c>
      <c r="AI14" s="23">
        <f t="shared" si="4"/>
        <v>1.8197900000000118</v>
      </c>
      <c r="AJ14" s="23"/>
      <c r="AK14" s="618">
        <v>407336</v>
      </c>
      <c r="AM14" s="17">
        <v>50757</v>
      </c>
      <c r="AN14" s="17"/>
      <c r="AO14" s="17">
        <v>-45811</v>
      </c>
      <c r="AP14" s="17"/>
      <c r="AQ14" s="17">
        <f>SUM(AM14:AO14)</f>
        <v>4946</v>
      </c>
      <c r="AR14" s="17"/>
      <c r="AS14" s="17">
        <v>50307</v>
      </c>
      <c r="AT14" s="17"/>
      <c r="AU14" s="17">
        <v>-43594</v>
      </c>
      <c r="AV14" s="17"/>
      <c r="AW14" s="17">
        <f>SUM(AS14:AU14)</f>
        <v>6713</v>
      </c>
      <c r="AX14" s="7"/>
      <c r="AY14" s="18">
        <f>AW14-AQ14</f>
        <v>1767</v>
      </c>
      <c r="BA14" s="19"/>
    </row>
    <row r="15" spans="1:53">
      <c r="A15" s="8" t="s">
        <v>1</v>
      </c>
      <c r="B15" s="17"/>
      <c r="C15" s="18">
        <v>3505.4997330751421</v>
      </c>
      <c r="D15" s="17"/>
      <c r="E15" s="18">
        <v>-407.37699999999978</v>
      </c>
      <c r="F15" s="619"/>
      <c r="G15" s="18">
        <v>375.56415903152129</v>
      </c>
      <c r="H15" s="17"/>
      <c r="I15" s="18">
        <f t="shared" si="0"/>
        <v>3473.6868921066634</v>
      </c>
      <c r="J15" s="18"/>
      <c r="K15" s="18">
        <v>129.33064999999988</v>
      </c>
      <c r="L15" s="619"/>
      <c r="M15" s="18">
        <v>-1424.8113399999945</v>
      </c>
      <c r="N15" s="17"/>
      <c r="O15" s="18">
        <f t="shared" si="1"/>
        <v>2178.2062021066686</v>
      </c>
      <c r="P15" s="7"/>
      <c r="Q15" s="18">
        <v>215.35383000000002</v>
      </c>
      <c r="R15" s="7"/>
      <c r="S15" s="18">
        <v>-401</v>
      </c>
      <c r="U15" s="18">
        <f t="shared" si="2"/>
        <v>1992.5600321066686</v>
      </c>
      <c r="V15" s="619"/>
      <c r="W15" s="18">
        <f>'2016 provision'!F39</f>
        <v>469.04468999999995</v>
      </c>
      <c r="X15" s="619"/>
      <c r="Y15" s="18">
        <f>'2015 ret to prov'!Q36</f>
        <v>-360</v>
      </c>
      <c r="Z15" s="17"/>
      <c r="AA15" s="18">
        <f t="shared" si="3"/>
        <v>2101.6047221066683</v>
      </c>
      <c r="AB15" s="18"/>
      <c r="AE15" s="18">
        <f>AY16</f>
        <v>2118.7835175</v>
      </c>
      <c r="AG15" s="13" t="s">
        <v>1830</v>
      </c>
      <c r="AI15" s="23">
        <f t="shared" si="4"/>
        <v>-17.178795393331711</v>
      </c>
      <c r="AJ15" s="23"/>
      <c r="AK15" s="618">
        <v>42460</v>
      </c>
    </row>
    <row r="16" spans="1:53">
      <c r="A16" s="8" t="s">
        <v>1831</v>
      </c>
      <c r="B16" s="17"/>
      <c r="C16" s="18">
        <v>41.190999999999576</v>
      </c>
      <c r="D16" s="17"/>
      <c r="E16" s="18">
        <v>-116.43315999999996</v>
      </c>
      <c r="F16" s="619"/>
      <c r="G16" s="17"/>
      <c r="H16" s="17"/>
      <c r="I16" s="18">
        <f t="shared" si="0"/>
        <v>-75.242160000000382</v>
      </c>
      <c r="J16" s="18"/>
      <c r="K16" s="18">
        <v>-3.911870000000043</v>
      </c>
      <c r="L16" s="619"/>
      <c r="M16" s="17"/>
      <c r="N16" s="17"/>
      <c r="O16" s="18">
        <f t="shared" si="1"/>
        <v>-79.154030000000432</v>
      </c>
      <c r="P16" s="17"/>
      <c r="Q16" s="18">
        <v>1.8335600000000587</v>
      </c>
      <c r="R16" s="17"/>
      <c r="S16" s="17"/>
      <c r="U16" s="18">
        <f t="shared" si="2"/>
        <v>-77.32047000000037</v>
      </c>
      <c r="V16" s="619"/>
      <c r="W16" s="18">
        <f>'2016 provision'!F44</f>
        <v>-1032.3139799999997</v>
      </c>
      <c r="X16" s="619"/>
      <c r="Y16" s="17"/>
      <c r="Z16" s="17"/>
      <c r="AA16" s="18">
        <f t="shared" si="3"/>
        <v>-1109.63445</v>
      </c>
      <c r="AB16" s="18"/>
      <c r="AE16" s="18">
        <f>-'ct bs'!H65</f>
        <v>-1172.5090499999997</v>
      </c>
      <c r="AG16" s="13" t="s">
        <v>1073</v>
      </c>
      <c r="AI16" s="23">
        <f t="shared" si="4"/>
        <v>62.874599999999646</v>
      </c>
      <c r="AJ16" s="23"/>
      <c r="AK16" s="618">
        <v>42735</v>
      </c>
      <c r="AM16" s="17"/>
      <c r="AN16" s="15"/>
      <c r="AO16" s="17"/>
      <c r="AP16" s="15"/>
      <c r="AQ16" s="17">
        <f>SUM(AM16:AO16)</f>
        <v>0</v>
      </c>
      <c r="AR16" s="15"/>
      <c r="AS16" s="15"/>
      <c r="AT16" s="15"/>
      <c r="AU16" s="15"/>
      <c r="AV16" s="15"/>
      <c r="AW16" s="17"/>
      <c r="AX16" s="7"/>
      <c r="AY16" s="19">
        <f>AY14+('2016 provision'!F39/4*3)</f>
        <v>2118.7835175</v>
      </c>
      <c r="BA16" s="24"/>
    </row>
    <row r="17" spans="1:51">
      <c r="A17" s="8" t="s">
        <v>2</v>
      </c>
      <c r="B17" s="17"/>
      <c r="C17" s="18">
        <v>44.843999999999994</v>
      </c>
      <c r="D17" s="17"/>
      <c r="E17" s="18">
        <v>-7.4740000000000002</v>
      </c>
      <c r="F17" s="619"/>
      <c r="G17" s="18"/>
      <c r="H17" s="17"/>
      <c r="I17" s="18">
        <f t="shared" si="0"/>
        <v>37.36999999999999</v>
      </c>
      <c r="J17" s="18"/>
      <c r="K17" s="18">
        <v>-7.4740000000000002</v>
      </c>
      <c r="L17" s="619"/>
      <c r="M17" s="18"/>
      <c r="N17" s="17"/>
      <c r="O17" s="18">
        <f t="shared" si="1"/>
        <v>29.89599999999999</v>
      </c>
      <c r="P17" s="7"/>
      <c r="Q17" s="18">
        <v>-7.4740000000000002</v>
      </c>
      <c r="R17" s="7"/>
      <c r="S17" s="18"/>
      <c r="U17" s="18">
        <f t="shared" si="2"/>
        <v>22.42199999999999</v>
      </c>
      <c r="V17" s="619"/>
      <c r="W17" s="18">
        <f>'2016 provision'!F45</f>
        <v>-7.4740000000000002</v>
      </c>
      <c r="X17" s="619"/>
      <c r="Y17" s="18"/>
      <c r="Z17" s="17"/>
      <c r="AA17" s="18">
        <f t="shared" si="3"/>
        <v>14.94799999999999</v>
      </c>
      <c r="AB17" s="18"/>
      <c r="AE17" s="17">
        <f>112/15*5</f>
        <v>37.333333333333336</v>
      </c>
      <c r="AF17" s="7"/>
      <c r="AG17" s="12" t="s">
        <v>1182</v>
      </c>
      <c r="AH17" s="7"/>
      <c r="AI17" s="23">
        <f t="shared" si="4"/>
        <v>-22.385333333333346</v>
      </c>
      <c r="AJ17" s="23"/>
      <c r="AK17" s="23"/>
      <c r="AL17" s="7"/>
      <c r="AM17" s="17"/>
      <c r="AN17" s="7"/>
      <c r="AO17" s="7"/>
      <c r="AP17" s="7"/>
      <c r="AQ17" s="19"/>
      <c r="AR17" s="7"/>
      <c r="AS17" s="7"/>
      <c r="AT17" s="7"/>
      <c r="AU17" s="7"/>
      <c r="AV17" s="7"/>
      <c r="AW17" s="7"/>
      <c r="AX17" s="7"/>
      <c r="AY17" s="7"/>
    </row>
    <row r="18" spans="1:51">
      <c r="A18" s="8" t="s">
        <v>1832</v>
      </c>
      <c r="B18" s="17"/>
      <c r="C18" s="18">
        <v>1509.7066930000001</v>
      </c>
      <c r="D18" s="17"/>
      <c r="E18" s="18">
        <v>-198.94646700000018</v>
      </c>
      <c r="F18" s="619"/>
      <c r="G18" s="18"/>
      <c r="H18" s="17"/>
      <c r="I18" s="18">
        <f t="shared" si="0"/>
        <v>1310.7602259999999</v>
      </c>
      <c r="J18" s="18"/>
      <c r="K18" s="18">
        <v>-326.86437599999999</v>
      </c>
      <c r="L18" s="619"/>
      <c r="M18" s="18"/>
      <c r="N18" s="17"/>
      <c r="O18" s="18">
        <f t="shared" si="1"/>
        <v>983.89584999999988</v>
      </c>
      <c r="P18" s="7"/>
      <c r="Q18" s="18">
        <v>-54.92598649177296</v>
      </c>
      <c r="R18" s="7"/>
      <c r="S18" s="18"/>
      <c r="U18" s="18">
        <f t="shared" si="2"/>
        <v>928.96986350822692</v>
      </c>
      <c r="V18" s="619"/>
      <c r="W18" s="18">
        <f>'2016 provision'!F27</f>
        <v>-32.829052371000003</v>
      </c>
      <c r="X18" s="619"/>
      <c r="Y18" s="18"/>
      <c r="Z18" s="17"/>
      <c r="AA18" s="18">
        <f t="shared" si="3"/>
        <v>896.14081113722693</v>
      </c>
      <c r="AB18" s="18"/>
      <c r="AE18" s="17">
        <f>-'ct bs'!J118</f>
        <v>820425.69719571702</v>
      </c>
      <c r="AF18" s="7"/>
      <c r="AG18" s="13" t="s">
        <v>1073</v>
      </c>
      <c r="AH18" s="7"/>
      <c r="AI18" s="23">
        <f t="shared" si="4"/>
        <v>-819529.55638457974</v>
      </c>
      <c r="AJ18" s="23"/>
      <c r="AK18" s="23"/>
      <c r="AL18" s="7"/>
      <c r="AM18" s="1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</row>
    <row r="19" spans="1:51">
      <c r="A19" s="8" t="s">
        <v>1833</v>
      </c>
      <c r="B19" s="17"/>
      <c r="C19" s="18">
        <v>858</v>
      </c>
      <c r="D19" s="17"/>
      <c r="E19" s="18">
        <v>-628.60199999999998</v>
      </c>
      <c r="F19" s="619"/>
      <c r="G19" s="18"/>
      <c r="H19" s="17"/>
      <c r="I19" s="18">
        <f t="shared" si="0"/>
        <v>229.39800000000002</v>
      </c>
      <c r="J19" s="18"/>
      <c r="K19" s="18">
        <v>-11.926519999999982</v>
      </c>
      <c r="L19" s="619"/>
      <c r="M19" s="18"/>
      <c r="N19" s="17"/>
      <c r="O19" s="18">
        <f t="shared" si="1"/>
        <v>217.47148000000004</v>
      </c>
      <c r="P19" s="7"/>
      <c r="Q19" s="18">
        <v>-87.295429999999982</v>
      </c>
      <c r="R19" s="7"/>
      <c r="S19" s="18"/>
      <c r="U19" s="18">
        <f t="shared" si="2"/>
        <v>130.17605000000006</v>
      </c>
      <c r="V19" s="619"/>
      <c r="W19" s="18">
        <f>'2016 provision'!F35</f>
        <v>-129.70457000000002</v>
      </c>
      <c r="X19" s="619"/>
      <c r="Y19" s="18"/>
      <c r="Z19" s="17"/>
      <c r="AA19" s="18">
        <f t="shared" si="3"/>
        <v>0.47148000000004231</v>
      </c>
      <c r="AB19" s="18"/>
      <c r="AE19" s="18">
        <f>-'ct bs'!H25</f>
        <v>0</v>
      </c>
      <c r="AF19" s="7"/>
      <c r="AG19" s="13" t="s">
        <v>1073</v>
      </c>
      <c r="AH19" s="7"/>
      <c r="AI19" s="23">
        <f t="shared" si="4"/>
        <v>0.47148000000004231</v>
      </c>
      <c r="AJ19" s="23"/>
      <c r="AK19" s="23"/>
      <c r="AL19" s="7"/>
      <c r="AM19" s="24"/>
    </row>
    <row r="20" spans="1:51">
      <c r="A20" s="8" t="s">
        <v>1834</v>
      </c>
      <c r="B20" s="17"/>
      <c r="C20" s="18">
        <v>702.32646</v>
      </c>
      <c r="D20" s="17"/>
      <c r="E20" s="18">
        <v>-47.955579999999955</v>
      </c>
      <c r="F20" s="619"/>
      <c r="G20" s="18"/>
      <c r="H20" s="17"/>
      <c r="I20" s="18">
        <f t="shared" si="0"/>
        <v>654.37088000000006</v>
      </c>
      <c r="J20" s="18"/>
      <c r="K20" s="18">
        <v>-143.35334</v>
      </c>
      <c r="L20" s="619"/>
      <c r="M20" s="18"/>
      <c r="N20" s="17"/>
      <c r="O20" s="18">
        <f t="shared" si="1"/>
        <v>511.01754000000005</v>
      </c>
      <c r="P20" s="15"/>
      <c r="Q20" s="18">
        <v>-158.68655000000001</v>
      </c>
      <c r="R20" s="15"/>
      <c r="S20" s="18"/>
      <c r="U20" s="18">
        <f t="shared" si="2"/>
        <v>352.33099000000004</v>
      </c>
      <c r="V20" s="619"/>
      <c r="W20" s="18">
        <f>'2016 provision'!F25</f>
        <v>56.304059999999993</v>
      </c>
      <c r="X20" s="619"/>
      <c r="Y20" s="18">
        <v>155</v>
      </c>
      <c r="Z20" s="17"/>
      <c r="AA20" s="18">
        <f t="shared" si="3"/>
        <v>563.63505000000009</v>
      </c>
      <c r="AB20" s="18"/>
      <c r="AE20" s="17">
        <f>'ct bs'!L112</f>
        <v>309.50480000000005</v>
      </c>
      <c r="AF20" s="7"/>
      <c r="AG20" s="13" t="s">
        <v>1073</v>
      </c>
      <c r="AH20" s="7"/>
      <c r="AI20" s="23">
        <f t="shared" si="4"/>
        <v>254.13025000000005</v>
      </c>
      <c r="AJ20" s="23"/>
      <c r="AK20" s="23"/>
      <c r="AL20" s="7"/>
    </row>
    <row r="21" spans="1:51">
      <c r="A21" s="8" t="s">
        <v>1835</v>
      </c>
      <c r="B21" s="17"/>
      <c r="C21" s="18"/>
      <c r="D21" s="17"/>
      <c r="E21" s="18"/>
      <c r="F21" s="619"/>
      <c r="G21" s="18"/>
      <c r="H21" s="17"/>
      <c r="I21" s="18">
        <v>0</v>
      </c>
      <c r="J21" s="18"/>
      <c r="K21" s="18">
        <v>30.33052</v>
      </c>
      <c r="L21" s="619"/>
      <c r="M21" s="18">
        <v>0</v>
      </c>
      <c r="N21" s="17"/>
      <c r="O21" s="18">
        <f t="shared" si="1"/>
        <v>30.33052</v>
      </c>
      <c r="P21" s="15"/>
      <c r="Q21" s="18">
        <v>102.91772</v>
      </c>
      <c r="R21" s="15"/>
      <c r="S21" s="18"/>
      <c r="U21" s="18">
        <f t="shared" si="2"/>
        <v>133.24824000000001</v>
      </c>
      <c r="V21" s="619"/>
      <c r="W21" s="18">
        <f>'2016 provision'!F21</f>
        <v>100.13891000000001</v>
      </c>
      <c r="X21" s="619"/>
      <c r="Y21" s="18"/>
      <c r="Z21" s="17"/>
      <c r="AA21" s="18">
        <f t="shared" si="3"/>
        <v>233.38715000000002</v>
      </c>
      <c r="AB21" s="18"/>
      <c r="AE21" s="17">
        <f>'ct bs'!H130</f>
        <v>233.05663000000001</v>
      </c>
      <c r="AF21" s="7"/>
      <c r="AG21" s="13" t="s">
        <v>1073</v>
      </c>
      <c r="AH21" s="7"/>
      <c r="AI21" s="23">
        <f t="shared" si="4"/>
        <v>0.33052000000000703</v>
      </c>
      <c r="AJ21" s="23"/>
      <c r="AK21" s="23"/>
    </row>
    <row r="22" spans="1:51">
      <c r="A22" s="8" t="s">
        <v>2277</v>
      </c>
      <c r="B22" s="17"/>
      <c r="C22" s="18">
        <v>1024</v>
      </c>
      <c r="D22" s="17"/>
      <c r="E22" s="18">
        <v>-921.22699999999998</v>
      </c>
      <c r="F22" s="619"/>
      <c r="G22" s="18"/>
      <c r="H22" s="17"/>
      <c r="I22" s="18">
        <f>SUM(B22:G22)</f>
        <v>102.77300000000002</v>
      </c>
      <c r="J22" s="18"/>
      <c r="K22" s="18">
        <v>-102.773</v>
      </c>
      <c r="L22" s="619"/>
      <c r="M22" s="18"/>
      <c r="N22" s="17"/>
      <c r="O22" s="18">
        <f t="shared" si="1"/>
        <v>0</v>
      </c>
      <c r="P22" s="7"/>
      <c r="Q22" s="18"/>
      <c r="R22" s="7"/>
      <c r="S22" s="18"/>
      <c r="U22" s="18">
        <f t="shared" si="2"/>
        <v>0</v>
      </c>
      <c r="V22" s="619"/>
      <c r="W22" s="18"/>
      <c r="X22" s="619"/>
      <c r="Y22" s="18"/>
      <c r="Z22" s="17"/>
      <c r="AA22" s="18">
        <f t="shared" si="3"/>
        <v>0</v>
      </c>
      <c r="AB22" s="18"/>
      <c r="AE22" s="17">
        <v>0</v>
      </c>
      <c r="AF22" s="7"/>
      <c r="AG22" s="23"/>
      <c r="AH22" s="7"/>
      <c r="AI22" s="23">
        <f t="shared" si="4"/>
        <v>0</v>
      </c>
      <c r="AJ22" s="23"/>
      <c r="AK22" s="23"/>
    </row>
    <row r="23" spans="1:51">
      <c r="A23" s="8" t="s">
        <v>2281</v>
      </c>
      <c r="B23" s="17"/>
      <c r="C23" s="18"/>
      <c r="D23" s="17"/>
      <c r="E23" s="18"/>
      <c r="F23" s="619"/>
      <c r="G23" s="18"/>
      <c r="H23" s="17"/>
      <c r="I23" s="18"/>
      <c r="J23" s="18"/>
      <c r="K23" s="18"/>
      <c r="L23" s="619"/>
      <c r="M23" s="18"/>
      <c r="N23" s="17"/>
      <c r="O23" s="18"/>
      <c r="P23" s="7"/>
      <c r="Q23" s="18"/>
      <c r="R23" s="7"/>
      <c r="S23" s="18"/>
      <c r="U23" s="18"/>
      <c r="V23" s="619"/>
      <c r="W23" s="18">
        <f>-'2016 provision'!D52</f>
        <v>8657.1100894571337</v>
      </c>
      <c r="X23" s="619"/>
      <c r="Y23" s="18"/>
      <c r="Z23" s="17"/>
      <c r="AA23" s="18">
        <f t="shared" si="3"/>
        <v>8657.1100894571337</v>
      </c>
      <c r="AB23" s="18"/>
      <c r="AE23" s="17"/>
      <c r="AF23" s="7"/>
      <c r="AG23" s="23"/>
      <c r="AH23" s="7"/>
      <c r="AI23" s="23"/>
      <c r="AJ23" s="23"/>
      <c r="AK23" s="23"/>
    </row>
    <row r="24" spans="1:51">
      <c r="A24" s="8" t="s">
        <v>1836</v>
      </c>
      <c r="B24" s="17"/>
      <c r="C24" s="17">
        <v>787.30376100630508</v>
      </c>
      <c r="D24" s="17"/>
      <c r="E24" s="17">
        <v>1329.3277482929659</v>
      </c>
      <c r="F24" s="17"/>
      <c r="G24" s="18">
        <v>138.453</v>
      </c>
      <c r="H24" s="17"/>
      <c r="I24" s="20">
        <f>SUM(B24:G24)</f>
        <v>2255.0845092992708</v>
      </c>
      <c r="J24" s="17"/>
      <c r="K24" s="20">
        <v>3840.6885544255892</v>
      </c>
      <c r="L24" s="17"/>
      <c r="M24" s="20">
        <v>5098.8340000000007</v>
      </c>
      <c r="N24" s="17"/>
      <c r="O24" s="20">
        <f t="shared" si="1"/>
        <v>11194.607063724861</v>
      </c>
      <c r="P24" s="7"/>
      <c r="Q24" s="20">
        <v>3832.4391473812211</v>
      </c>
      <c r="R24" s="7"/>
      <c r="S24" s="20">
        <v>-9138</v>
      </c>
      <c r="U24" s="20">
        <f t="shared" si="2"/>
        <v>5889.0462111060824</v>
      </c>
      <c r="V24" s="17"/>
      <c r="W24" s="20">
        <f>'2016 provision'!F17</f>
        <v>152.33879273335697</v>
      </c>
      <c r="X24" s="17"/>
      <c r="Y24" s="20">
        <v>-6041</v>
      </c>
      <c r="Z24" s="17"/>
      <c r="AA24" s="20">
        <f>SUM(U24:Y24)</f>
        <v>0.38500383943937777</v>
      </c>
      <c r="AB24" s="17"/>
      <c r="AE24" s="17">
        <f>'wa taxable income'!G34</f>
        <v>6954.2840388649865</v>
      </c>
      <c r="AF24" s="7"/>
      <c r="AG24" s="23" t="s">
        <v>1837</v>
      </c>
      <c r="AH24" s="7"/>
      <c r="AI24" s="23">
        <f t="shared" si="4"/>
        <v>-6953.8990350255472</v>
      </c>
      <c r="AJ24" s="23"/>
      <c r="AK24" s="23"/>
    </row>
    <row r="25" spans="1:51" ht="13.5" thickBot="1">
      <c r="B25" s="15"/>
      <c r="C25" s="21">
        <f>SUM(C10:C24)</f>
        <v>12644.968321071055</v>
      </c>
      <c r="D25" s="15"/>
      <c r="E25" s="21">
        <f>SUM(E10:E24)</f>
        <v>-1413.5262116590341</v>
      </c>
      <c r="F25" s="17"/>
      <c r="G25" s="21">
        <f>SUM(G10:G24)</f>
        <v>-1082.2828409684787</v>
      </c>
      <c r="H25" s="17"/>
      <c r="I25" s="21">
        <f>SUM(I10:I24)</f>
        <v>10149.159268443542</v>
      </c>
      <c r="J25" s="15"/>
      <c r="K25" s="21">
        <f>SUM(K10:K24)</f>
        <v>2240.6175483775887</v>
      </c>
      <c r="L25" s="17"/>
      <c r="M25" s="21">
        <f>SUM(M10:M24)</f>
        <v>3674.022660000006</v>
      </c>
      <c r="N25" s="17"/>
      <c r="O25" s="21">
        <f>SUM(O10:O24)</f>
        <v>16063.799476821136</v>
      </c>
      <c r="P25" s="15"/>
      <c r="Q25" s="21">
        <f>SUM(Q10:Q24)</f>
        <v>4013.560483094448</v>
      </c>
      <c r="R25" s="15"/>
      <c r="S25" s="21">
        <f>SUM(S10:S24)</f>
        <v>-9539</v>
      </c>
      <c r="U25" s="21">
        <f>SUM(U10:U24)</f>
        <v>10538.359959915584</v>
      </c>
      <c r="V25" s="17"/>
      <c r="W25" s="21">
        <f>SUM(W10:W24)</f>
        <v>8346.5885059944903</v>
      </c>
      <c r="X25" s="17"/>
      <c r="Y25" s="21">
        <f>SUM(Y10:Y24)</f>
        <v>-6246</v>
      </c>
      <c r="Z25" s="17"/>
      <c r="AA25" s="21">
        <f>SUM(AA10:AA24)</f>
        <v>12638.948465910074</v>
      </c>
      <c r="AB25" s="15"/>
      <c r="AE25" s="12"/>
      <c r="AF25" s="7"/>
      <c r="AG25" s="15"/>
      <c r="AH25" s="15"/>
      <c r="AI25" s="15"/>
      <c r="AJ25" s="15"/>
      <c r="AK25" s="15"/>
      <c r="AL25" s="7"/>
      <c r="AM25" s="7"/>
      <c r="AN25" s="7"/>
      <c r="AO25" s="15"/>
      <c r="AP25" s="7"/>
      <c r="AQ25" s="205"/>
      <c r="AR25" s="7"/>
      <c r="AS25" s="7"/>
      <c r="AT25" s="7"/>
      <c r="AU25" s="12"/>
      <c r="AV25" s="7"/>
      <c r="AW25" s="7"/>
    </row>
    <row r="26" spans="1:51" ht="13.5" thickTop="1">
      <c r="B26" s="15"/>
      <c r="C26" s="15"/>
      <c r="D26" s="15"/>
      <c r="E26" s="15"/>
      <c r="F26" s="17"/>
      <c r="G26" s="15"/>
      <c r="H26" s="17"/>
      <c r="I26" s="15"/>
      <c r="J26" s="15"/>
      <c r="K26" s="15"/>
      <c r="L26" s="17"/>
      <c r="M26" s="15"/>
      <c r="N26" s="17"/>
      <c r="O26" s="15"/>
      <c r="P26" s="7"/>
      <c r="Q26" s="7"/>
      <c r="R26" s="7"/>
      <c r="V26" s="17"/>
      <c r="W26" s="15"/>
      <c r="X26" s="17"/>
      <c r="Y26" s="15"/>
      <c r="Z26" s="17"/>
      <c r="AA26" s="15"/>
      <c r="AB26" s="15"/>
      <c r="AE26" s="12"/>
      <c r="AF26" s="7"/>
      <c r="AG26" s="23"/>
      <c r="AH26" s="23"/>
      <c r="AI26" s="23"/>
      <c r="AJ26" s="23"/>
      <c r="AK26" s="23"/>
      <c r="AL26" s="12"/>
      <c r="AM26" s="12"/>
      <c r="AN26" s="7"/>
      <c r="AO26" s="23"/>
      <c r="AP26" s="12"/>
      <c r="AQ26" s="23"/>
      <c r="AR26" s="12"/>
      <c r="AS26" s="12"/>
      <c r="AT26" s="7"/>
      <c r="AU26" s="12"/>
      <c r="AV26" s="7"/>
      <c r="AW26" s="7"/>
    </row>
    <row r="27" spans="1:51">
      <c r="B27" s="621"/>
      <c r="C27" s="608">
        <v>41274</v>
      </c>
      <c r="D27" s="15"/>
      <c r="E27" s="609"/>
      <c r="F27" s="20"/>
      <c r="G27" s="610" t="s">
        <v>1838</v>
      </c>
      <c r="H27" s="20"/>
      <c r="I27" s="608">
        <v>41639</v>
      </c>
      <c r="J27" s="15"/>
      <c r="K27" s="609"/>
      <c r="L27" s="20"/>
      <c r="M27" s="610" t="s">
        <v>1839</v>
      </c>
      <c r="N27" s="20"/>
      <c r="O27" s="612"/>
      <c r="P27" s="7"/>
      <c r="Q27" s="609"/>
      <c r="R27" s="20"/>
      <c r="S27" s="610" t="s">
        <v>1840</v>
      </c>
      <c r="T27" s="20"/>
      <c r="U27" s="612"/>
      <c r="V27" s="20"/>
      <c r="W27" s="609"/>
      <c r="X27" s="20"/>
      <c r="Y27" s="610" t="s">
        <v>1808</v>
      </c>
      <c r="Z27" s="20"/>
      <c r="AA27" s="612"/>
      <c r="AB27" s="341"/>
      <c r="AE27" s="12"/>
      <c r="AF27" s="7"/>
      <c r="AG27" s="12"/>
      <c r="AH27" s="12"/>
      <c r="AI27" s="12"/>
      <c r="AJ27" s="12"/>
      <c r="AK27" s="12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</row>
    <row r="28" spans="1:51">
      <c r="A28" s="622" t="s">
        <v>1841</v>
      </c>
      <c r="B28" s="9"/>
      <c r="C28" s="29" t="s">
        <v>1815</v>
      </c>
      <c r="D28" s="23"/>
      <c r="E28" s="614" t="s">
        <v>1842</v>
      </c>
      <c r="F28" s="17"/>
      <c r="G28" s="614" t="s">
        <v>1843</v>
      </c>
      <c r="H28" s="17"/>
      <c r="I28" s="29" t="s">
        <v>1815</v>
      </c>
      <c r="J28" s="23"/>
      <c r="K28" s="614" t="s">
        <v>1842</v>
      </c>
      <c r="L28" s="17"/>
      <c r="M28" s="614" t="s">
        <v>1843</v>
      </c>
      <c r="N28" s="17"/>
      <c r="O28" s="29" t="s">
        <v>1815</v>
      </c>
      <c r="P28" s="7"/>
      <c r="Q28" s="614" t="s">
        <v>1842</v>
      </c>
      <c r="R28" s="17"/>
      <c r="S28" s="614" t="s">
        <v>1843</v>
      </c>
      <c r="T28" s="17"/>
      <c r="U28" s="29" t="s">
        <v>1815</v>
      </c>
      <c r="V28" s="17"/>
      <c r="W28" s="614" t="s">
        <v>1842</v>
      </c>
      <c r="X28" s="17"/>
      <c r="Y28" s="614" t="s">
        <v>1843</v>
      </c>
      <c r="Z28" s="17"/>
      <c r="AA28" s="29" t="s">
        <v>1815</v>
      </c>
      <c r="AB28" s="12"/>
      <c r="AE28" s="623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</row>
    <row r="29" spans="1:51">
      <c r="B29" s="17"/>
      <c r="C29" s="18"/>
      <c r="D29" s="17"/>
      <c r="E29" s="17"/>
      <c r="F29" s="17"/>
      <c r="G29" s="18"/>
      <c r="H29" s="17"/>
      <c r="I29" s="18"/>
      <c r="J29" s="18"/>
      <c r="K29" s="17"/>
      <c r="L29" s="17"/>
      <c r="M29" s="18"/>
      <c r="N29" s="17"/>
      <c r="O29" s="18"/>
      <c r="P29" s="7"/>
      <c r="Q29" s="17"/>
      <c r="R29" s="7"/>
      <c r="S29" s="18"/>
      <c r="U29" s="18"/>
      <c r="V29" s="17"/>
      <c r="W29" s="17"/>
      <c r="X29" s="17"/>
      <c r="Y29" s="18"/>
      <c r="Z29" s="17"/>
      <c r="AA29" s="18"/>
      <c r="AB29" s="18"/>
      <c r="AE29" s="623"/>
      <c r="AF29" s="7"/>
      <c r="AG29" s="23"/>
      <c r="AH29" s="23"/>
      <c r="AI29" s="23"/>
      <c r="AJ29" s="23"/>
      <c r="AK29" s="23"/>
      <c r="AL29" s="17"/>
      <c r="AM29" s="17"/>
      <c r="AN29" s="17"/>
      <c r="AO29" s="17"/>
      <c r="AP29" s="17"/>
      <c r="AQ29" s="17"/>
      <c r="AR29" s="17"/>
      <c r="AS29" s="17"/>
      <c r="AT29" s="7"/>
      <c r="AU29" s="19"/>
      <c r="AV29" s="7"/>
      <c r="AW29" s="7"/>
    </row>
    <row r="30" spans="1:51">
      <c r="A30" s="8" t="s">
        <v>1844</v>
      </c>
      <c r="B30" s="15"/>
      <c r="C30" s="16">
        <v>1230.2411199999997</v>
      </c>
      <c r="D30" s="15"/>
      <c r="E30" s="16">
        <f>I10</f>
        <v>587.09398999999985</v>
      </c>
      <c r="F30" s="15"/>
      <c r="G30" s="16"/>
      <c r="H30" s="17"/>
      <c r="I30" s="16">
        <f t="shared" ref="I30:I40" si="5">SUM(E30:G30)</f>
        <v>587.09398999999985</v>
      </c>
      <c r="J30" s="16"/>
      <c r="K30" s="16">
        <f>O10</f>
        <v>-0.29953000000011798</v>
      </c>
      <c r="L30" s="15"/>
      <c r="M30" s="16"/>
      <c r="N30" s="17"/>
      <c r="O30" s="16">
        <f t="shared" ref="O30:O44" si="6">SUM(K30:M30)</f>
        <v>-0.29953000000011798</v>
      </c>
      <c r="P30" s="7"/>
      <c r="Q30" s="16">
        <v>181.68133999999986</v>
      </c>
      <c r="R30" s="7"/>
      <c r="S30" s="16"/>
      <c r="U30" s="16">
        <f t="shared" ref="U30:U44" si="7">SUM(Q30:S30)</f>
        <v>181.68133999999986</v>
      </c>
      <c r="V30" s="15"/>
      <c r="W30" s="16">
        <f>AA10</f>
        <v>78.059379999999891</v>
      </c>
      <c r="X30" s="15"/>
      <c r="Y30" s="16"/>
      <c r="Z30" s="17"/>
      <c r="AA30" s="16">
        <f t="shared" ref="AA30:AA45" si="8">SUM(W30:Y30)</f>
        <v>78.059379999999891</v>
      </c>
      <c r="AB30" s="16"/>
      <c r="AE30" s="205"/>
      <c r="AF30" s="7"/>
      <c r="AG30" s="15"/>
      <c r="AH30" s="15"/>
      <c r="AI30" s="15"/>
      <c r="AJ30" s="15"/>
      <c r="AK30" s="15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</row>
    <row r="31" spans="1:51">
      <c r="A31" s="8" t="s">
        <v>1826</v>
      </c>
      <c r="B31" s="17"/>
      <c r="C31" s="18">
        <v>992.11596296000005</v>
      </c>
      <c r="D31" s="17"/>
      <c r="E31" s="18">
        <f>I11</f>
        <v>980.67102000800014</v>
      </c>
      <c r="F31" s="17"/>
      <c r="G31" s="18"/>
      <c r="I31" s="18">
        <f t="shared" si="5"/>
        <v>980.67102000800014</v>
      </c>
      <c r="J31" s="18"/>
      <c r="K31" s="18">
        <f>O11</f>
        <v>963.14939995999998</v>
      </c>
      <c r="L31" s="17"/>
      <c r="M31" s="18"/>
      <c r="N31" s="7"/>
      <c r="O31" s="18">
        <f t="shared" si="6"/>
        <v>963.14939995999998</v>
      </c>
      <c r="P31" s="7"/>
      <c r="Q31" s="18">
        <v>992.50719216499988</v>
      </c>
      <c r="R31" s="7"/>
      <c r="S31" s="18"/>
      <c r="U31" s="18">
        <f t="shared" si="7"/>
        <v>992.50719216499988</v>
      </c>
      <c r="V31" s="17"/>
      <c r="W31" s="18">
        <f>AA11</f>
        <v>1007.1820883399997</v>
      </c>
      <c r="X31" s="17"/>
      <c r="Y31" s="18"/>
      <c r="Z31" s="7"/>
      <c r="AA31" s="16">
        <f t="shared" si="8"/>
        <v>1007.1820883399997</v>
      </c>
      <c r="AB31" s="18"/>
      <c r="AE31" s="23"/>
      <c r="AF31" s="7"/>
      <c r="AG31" s="17"/>
      <c r="AH31" s="17"/>
      <c r="AI31" s="17"/>
      <c r="AJ31" s="17"/>
      <c r="AK31" s="17"/>
    </row>
    <row r="32" spans="1:51">
      <c r="A32" s="8" t="s">
        <v>1827</v>
      </c>
      <c r="B32" s="17"/>
      <c r="C32" s="18">
        <v>151.37383</v>
      </c>
      <c r="D32" s="17"/>
      <c r="E32" s="18">
        <f>I12</f>
        <v>597.54802999999993</v>
      </c>
      <c r="F32" s="17"/>
      <c r="G32" s="18"/>
      <c r="I32" s="18">
        <f t="shared" si="5"/>
        <v>597.54802999999993</v>
      </c>
      <c r="J32" s="18"/>
      <c r="K32" s="18">
        <f>O12</f>
        <v>37.859099999999899</v>
      </c>
      <c r="L32" s="17"/>
      <c r="M32" s="18"/>
      <c r="N32" s="7"/>
      <c r="O32" s="18">
        <f t="shared" si="6"/>
        <v>37.859099999999899</v>
      </c>
      <c r="P32" s="7"/>
      <c r="Q32" s="18">
        <v>40.938809999999897</v>
      </c>
      <c r="R32" s="7"/>
      <c r="S32" s="18"/>
      <c r="U32" s="18">
        <f t="shared" si="7"/>
        <v>40.938809999999897</v>
      </c>
      <c r="V32" s="17"/>
      <c r="W32" s="18">
        <f>AA12</f>
        <v>458.58760999999993</v>
      </c>
      <c r="X32" s="17"/>
      <c r="Y32" s="18"/>
      <c r="Z32" s="7"/>
      <c r="AA32" s="16">
        <f t="shared" si="8"/>
        <v>458.58760999999993</v>
      </c>
      <c r="AB32" s="18"/>
      <c r="AE32" s="23"/>
      <c r="AF32" s="7"/>
      <c r="AG32" s="17"/>
      <c r="AH32" s="17"/>
      <c r="AI32" s="17"/>
      <c r="AJ32" s="17"/>
      <c r="AK32" s="17"/>
    </row>
    <row r="33" spans="1:47" ht="12" customHeight="1">
      <c r="A33" s="8" t="s">
        <v>1828</v>
      </c>
      <c r="B33" s="17"/>
      <c r="C33" s="18">
        <v>0</v>
      </c>
      <c r="D33" s="17"/>
      <c r="F33" s="17"/>
      <c r="G33" s="18">
        <f>I13</f>
        <v>9.1029606664960738E-5</v>
      </c>
      <c r="I33" s="18">
        <f t="shared" si="5"/>
        <v>9.1029606664960738E-5</v>
      </c>
      <c r="J33" s="18"/>
      <c r="L33" s="17"/>
      <c r="M33" s="18">
        <f>O13</f>
        <v>9.1029606664960738E-5</v>
      </c>
      <c r="N33" s="7"/>
      <c r="O33" s="18">
        <f t="shared" si="6"/>
        <v>9.1029606664960738E-5</v>
      </c>
      <c r="S33" s="18">
        <f>U13</f>
        <v>9.1029606664960738E-5</v>
      </c>
      <c r="U33" s="18">
        <f t="shared" si="7"/>
        <v>9.1029606664960738E-5</v>
      </c>
      <c r="V33" s="17"/>
      <c r="X33" s="17"/>
      <c r="Y33" s="18">
        <f>AA13</f>
        <v>9.1029606664960738E-5</v>
      </c>
      <c r="Z33" s="7"/>
      <c r="AA33" s="16">
        <f t="shared" si="8"/>
        <v>9.1029606664960738E-5</v>
      </c>
      <c r="AB33" s="18"/>
      <c r="AE33" s="205"/>
      <c r="AF33" s="7"/>
      <c r="AG33" s="15"/>
      <c r="AH33" s="15"/>
      <c r="AI33" s="15"/>
      <c r="AJ33" s="15"/>
      <c r="AK33" s="15"/>
    </row>
    <row r="34" spans="1:47">
      <c r="A34" s="8" t="s">
        <v>1829</v>
      </c>
      <c r="B34" s="17"/>
      <c r="C34" s="18">
        <v>202.06567000000004</v>
      </c>
      <c r="D34" s="17"/>
      <c r="E34" s="18">
        <f>I14</f>
        <v>-4.3552099999999712</v>
      </c>
      <c r="F34" s="17"/>
      <c r="I34" s="18">
        <f t="shared" si="5"/>
        <v>-4.3552099999999712</v>
      </c>
      <c r="J34" s="18"/>
      <c r="K34" s="18">
        <f>O14</f>
        <v>-3.1802099999999713</v>
      </c>
      <c r="L34" s="17"/>
      <c r="N34" s="7"/>
      <c r="O34" s="18">
        <f t="shared" si="6"/>
        <v>-3.1802099999999713</v>
      </c>
      <c r="Q34" s="18">
        <v>-48.200389999999977</v>
      </c>
      <c r="S34" s="8"/>
      <c r="U34" s="18">
        <f t="shared" si="7"/>
        <v>-48.200389999999977</v>
      </c>
      <c r="V34" s="17"/>
      <c r="W34" s="18">
        <f>AA14</f>
        <v>-262.92855999999995</v>
      </c>
      <c r="X34" s="17"/>
      <c r="Z34" s="7"/>
      <c r="AA34" s="16">
        <f t="shared" si="8"/>
        <v>-262.92855999999995</v>
      </c>
      <c r="AB34" s="18"/>
      <c r="AE34" s="12"/>
      <c r="AF34" s="7"/>
      <c r="AG34" s="7"/>
      <c r="AH34" s="7"/>
      <c r="AI34" s="7"/>
      <c r="AJ34" s="7"/>
      <c r="AK34" s="7"/>
    </row>
    <row r="35" spans="1:47">
      <c r="A35" s="8" t="s">
        <v>1845</v>
      </c>
      <c r="B35" s="17"/>
      <c r="C35" s="18">
        <v>3505.4997330751421</v>
      </c>
      <c r="D35" s="17"/>
      <c r="E35" s="18">
        <f>I15</f>
        <v>3473.6868921066634</v>
      </c>
      <c r="F35" s="17"/>
      <c r="G35" s="18"/>
      <c r="I35" s="18">
        <f t="shared" si="5"/>
        <v>3473.6868921066634</v>
      </c>
      <c r="J35" s="18"/>
      <c r="K35" s="18">
        <f>O15</f>
        <v>2178.2062021066686</v>
      </c>
      <c r="L35" s="17"/>
      <c r="M35" s="18"/>
      <c r="N35" s="7"/>
      <c r="O35" s="18">
        <f t="shared" si="6"/>
        <v>2178.2062021066686</v>
      </c>
      <c r="Q35" s="18">
        <v>1992.5600321066686</v>
      </c>
      <c r="S35" s="18"/>
      <c r="U35" s="18">
        <f t="shared" si="7"/>
        <v>1992.5600321066686</v>
      </c>
      <c r="V35" s="17"/>
      <c r="W35" s="18">
        <f>AA15</f>
        <v>2101.6047221066683</v>
      </c>
      <c r="X35" s="17"/>
      <c r="Y35" s="18"/>
      <c r="Z35" s="7"/>
      <c r="AA35" s="16">
        <f t="shared" si="8"/>
        <v>2101.6047221066683</v>
      </c>
      <c r="AB35" s="18"/>
      <c r="AE35" s="617"/>
      <c r="AF35" s="7"/>
      <c r="AG35" s="7"/>
      <c r="AH35" s="7"/>
      <c r="AI35" s="7"/>
      <c r="AJ35" s="7"/>
      <c r="AK35" s="7"/>
    </row>
    <row r="36" spans="1:47">
      <c r="A36" s="8" t="s">
        <v>1846</v>
      </c>
      <c r="B36" s="17"/>
      <c r="C36" s="18">
        <v>41.190999999999576</v>
      </c>
      <c r="D36" s="17"/>
      <c r="F36" s="17"/>
      <c r="G36" s="18">
        <f>I16</f>
        <v>-75.242160000000382</v>
      </c>
      <c r="I36" s="18">
        <f t="shared" si="5"/>
        <v>-75.242160000000382</v>
      </c>
      <c r="J36" s="18"/>
      <c r="L36" s="17"/>
      <c r="M36" s="18">
        <f>O16</f>
        <v>-79.154030000000432</v>
      </c>
      <c r="N36" s="7"/>
      <c r="O36" s="18">
        <f t="shared" si="6"/>
        <v>-79.154030000000432</v>
      </c>
      <c r="S36" s="18">
        <f>U16</f>
        <v>-77.32047000000037</v>
      </c>
      <c r="U36" s="18">
        <f t="shared" si="7"/>
        <v>-77.32047000000037</v>
      </c>
      <c r="V36" s="17"/>
      <c r="X36" s="17"/>
      <c r="Y36" s="18">
        <f>AA16</f>
        <v>-1109.63445</v>
      </c>
      <c r="Z36" s="7"/>
      <c r="AA36" s="16">
        <f t="shared" si="8"/>
        <v>-1109.63445</v>
      </c>
      <c r="AB36" s="18"/>
      <c r="AE36" s="12"/>
      <c r="AF36" s="7"/>
      <c r="AG36" s="7"/>
      <c r="AH36" s="7"/>
      <c r="AI36" s="7"/>
      <c r="AJ36" s="7"/>
      <c r="AK36" s="7"/>
    </row>
    <row r="37" spans="1:47">
      <c r="A37" s="8" t="s">
        <v>2</v>
      </c>
      <c r="B37" s="17"/>
      <c r="C37" s="18">
        <v>44.843999999999994</v>
      </c>
      <c r="D37" s="17"/>
      <c r="E37" s="18">
        <f>I17</f>
        <v>37.36999999999999</v>
      </c>
      <c r="F37" s="17"/>
      <c r="G37" s="18"/>
      <c r="I37" s="18">
        <f t="shared" si="5"/>
        <v>37.36999999999999</v>
      </c>
      <c r="J37" s="18"/>
      <c r="K37" s="18">
        <f t="shared" ref="K37:K42" si="9">O17</f>
        <v>29.89599999999999</v>
      </c>
      <c r="L37" s="17"/>
      <c r="M37" s="18"/>
      <c r="N37" s="7"/>
      <c r="O37" s="18">
        <f t="shared" si="6"/>
        <v>29.89599999999999</v>
      </c>
      <c r="Q37" s="18">
        <v>22.42199999999999</v>
      </c>
      <c r="S37" s="18"/>
      <c r="U37" s="18">
        <f t="shared" si="7"/>
        <v>22.42199999999999</v>
      </c>
      <c r="V37" s="17"/>
      <c r="W37" s="18">
        <f t="shared" ref="W37:W42" si="10">AA17</f>
        <v>14.94799999999999</v>
      </c>
      <c r="X37" s="17"/>
      <c r="Y37" s="18"/>
      <c r="Z37" s="7"/>
      <c r="AA37" s="16">
        <f t="shared" si="8"/>
        <v>14.94799999999999</v>
      </c>
      <c r="AB37" s="18"/>
    </row>
    <row r="38" spans="1:47">
      <c r="A38" s="8" t="s">
        <v>1847</v>
      </c>
      <c r="B38" s="17"/>
      <c r="C38" s="18">
        <v>1509.7066930000001</v>
      </c>
      <c r="D38" s="17"/>
      <c r="E38" s="18">
        <f>I18</f>
        <v>1310.7602259999999</v>
      </c>
      <c r="F38" s="17"/>
      <c r="G38" s="18"/>
      <c r="I38" s="18">
        <f t="shared" si="5"/>
        <v>1310.7602259999999</v>
      </c>
      <c r="J38" s="18"/>
      <c r="K38" s="18">
        <f t="shared" si="9"/>
        <v>983.89584999999988</v>
      </c>
      <c r="L38" s="17"/>
      <c r="M38" s="18"/>
      <c r="N38" s="7"/>
      <c r="O38" s="18">
        <f t="shared" si="6"/>
        <v>983.89584999999988</v>
      </c>
      <c r="Q38" s="18">
        <v>928.96986350822692</v>
      </c>
      <c r="S38" s="18"/>
      <c r="U38" s="18">
        <f t="shared" si="7"/>
        <v>928.96986350822692</v>
      </c>
      <c r="V38" s="17"/>
      <c r="W38" s="18">
        <f t="shared" si="10"/>
        <v>896.14081113722693</v>
      </c>
      <c r="X38" s="17"/>
      <c r="Y38" s="18"/>
      <c r="Z38" s="7"/>
      <c r="AA38" s="16">
        <f t="shared" si="8"/>
        <v>896.14081113722693</v>
      </c>
      <c r="AB38" s="18"/>
    </row>
    <row r="39" spans="1:47">
      <c r="A39" s="8" t="s">
        <v>1833</v>
      </c>
      <c r="B39" s="17"/>
      <c r="C39" s="18">
        <v>858</v>
      </c>
      <c r="D39" s="17"/>
      <c r="E39" s="18">
        <f>I19</f>
        <v>229.39800000000002</v>
      </c>
      <c r="F39" s="17"/>
      <c r="G39" s="18"/>
      <c r="I39" s="18">
        <f t="shared" si="5"/>
        <v>229.39800000000002</v>
      </c>
      <c r="J39" s="18"/>
      <c r="K39" s="18">
        <f t="shared" si="9"/>
        <v>217.47148000000004</v>
      </c>
      <c r="L39" s="17"/>
      <c r="M39" s="18"/>
      <c r="N39" s="7"/>
      <c r="O39" s="18">
        <f t="shared" si="6"/>
        <v>217.47148000000004</v>
      </c>
      <c r="Q39" s="18">
        <v>130.17605000000006</v>
      </c>
      <c r="S39" s="18"/>
      <c r="U39" s="18">
        <f t="shared" si="7"/>
        <v>130.17605000000006</v>
      </c>
      <c r="V39" s="17"/>
      <c r="W39" s="18">
        <f t="shared" si="10"/>
        <v>0.47148000000004231</v>
      </c>
      <c r="X39" s="17"/>
      <c r="Y39" s="18"/>
      <c r="Z39" s="7"/>
      <c r="AA39" s="16">
        <f t="shared" si="8"/>
        <v>0.47148000000004231</v>
      </c>
      <c r="AB39" s="18"/>
    </row>
    <row r="40" spans="1:47">
      <c r="A40" s="8" t="s">
        <v>1848</v>
      </c>
      <c r="B40" s="17"/>
      <c r="C40" s="18">
        <v>702.32646</v>
      </c>
      <c r="D40" s="17"/>
      <c r="E40" s="18">
        <f>I20</f>
        <v>654.37088000000006</v>
      </c>
      <c r="F40" s="17"/>
      <c r="G40" s="18"/>
      <c r="I40" s="18">
        <f t="shared" si="5"/>
        <v>654.37088000000006</v>
      </c>
      <c r="J40" s="18"/>
      <c r="K40" s="18">
        <f t="shared" si="9"/>
        <v>511.01754000000005</v>
      </c>
      <c r="L40" s="17"/>
      <c r="M40" s="18"/>
      <c r="N40" s="7"/>
      <c r="O40" s="18">
        <f t="shared" si="6"/>
        <v>511.01754000000005</v>
      </c>
      <c r="Q40" s="18">
        <v>352.33099000000004</v>
      </c>
      <c r="S40" s="18"/>
      <c r="U40" s="18">
        <f t="shared" si="7"/>
        <v>352.33099000000004</v>
      </c>
      <c r="V40" s="17"/>
      <c r="W40" s="18">
        <f t="shared" si="10"/>
        <v>563.63505000000009</v>
      </c>
      <c r="X40" s="17"/>
      <c r="Y40" s="18"/>
      <c r="Z40" s="7"/>
      <c r="AA40" s="16">
        <f t="shared" si="8"/>
        <v>563.63505000000009</v>
      </c>
      <c r="AB40" s="18"/>
    </row>
    <row r="41" spans="1:47">
      <c r="A41" s="8" t="s">
        <v>1835</v>
      </c>
      <c r="B41" s="17"/>
      <c r="C41" s="18"/>
      <c r="D41" s="17"/>
      <c r="E41" s="18"/>
      <c r="F41" s="17"/>
      <c r="G41" s="18"/>
      <c r="I41" s="18"/>
      <c r="J41" s="18"/>
      <c r="K41" s="18">
        <f t="shared" si="9"/>
        <v>30.33052</v>
      </c>
      <c r="L41" s="17"/>
      <c r="M41" s="18"/>
      <c r="N41" s="7"/>
      <c r="O41" s="18">
        <f t="shared" si="6"/>
        <v>30.33052</v>
      </c>
      <c r="Q41" s="18">
        <v>133.24824000000001</v>
      </c>
      <c r="S41" s="18"/>
      <c r="U41" s="18">
        <f t="shared" si="7"/>
        <v>133.24824000000001</v>
      </c>
      <c r="V41" s="17"/>
      <c r="W41" s="18">
        <f t="shared" si="10"/>
        <v>233.38715000000002</v>
      </c>
      <c r="X41" s="17"/>
      <c r="Y41" s="18"/>
      <c r="Z41" s="7"/>
      <c r="AA41" s="16">
        <f t="shared" si="8"/>
        <v>233.38715000000002</v>
      </c>
      <c r="AB41" s="18"/>
    </row>
    <row r="42" spans="1:47" ht="15.5" customHeight="1">
      <c r="A42" s="8" t="s">
        <v>1849</v>
      </c>
      <c r="B42" s="17"/>
      <c r="C42" s="18">
        <v>1024</v>
      </c>
      <c r="D42" s="17"/>
      <c r="E42" s="18">
        <f>I22</f>
        <v>102.77300000000002</v>
      </c>
      <c r="F42" s="17"/>
      <c r="G42" s="18"/>
      <c r="I42" s="18">
        <f>SUM(E42:G42)</f>
        <v>102.77300000000002</v>
      </c>
      <c r="J42" s="18"/>
      <c r="K42" s="18">
        <f t="shared" si="9"/>
        <v>0</v>
      </c>
      <c r="L42" s="17"/>
      <c r="M42" s="18"/>
      <c r="N42" s="7"/>
      <c r="O42" s="18">
        <f t="shared" si="6"/>
        <v>0</v>
      </c>
      <c r="Q42" s="18">
        <v>0</v>
      </c>
      <c r="S42" s="18"/>
      <c r="U42" s="18">
        <f t="shared" si="7"/>
        <v>0</v>
      </c>
      <c r="V42" s="17"/>
      <c r="W42" s="18">
        <f t="shared" si="10"/>
        <v>0</v>
      </c>
      <c r="X42" s="17"/>
      <c r="Y42" s="18"/>
      <c r="Z42" s="7"/>
      <c r="AA42" s="16">
        <f t="shared" si="8"/>
        <v>0</v>
      </c>
      <c r="AB42" s="18"/>
    </row>
    <row r="43" spans="1:47">
      <c r="A43" s="8" t="s">
        <v>2278</v>
      </c>
      <c r="B43" s="17"/>
      <c r="C43" s="17">
        <v>787.30376100630508</v>
      </c>
      <c r="D43" s="17"/>
      <c r="E43" s="24">
        <f>I24</f>
        <v>2255.0845092992708</v>
      </c>
      <c r="I43" s="20">
        <f>SUM(E43:G43)</f>
        <v>2255.0845092992708</v>
      </c>
      <c r="J43" s="18"/>
      <c r="K43" s="624">
        <f t="shared" ref="K43" si="11">O24</f>
        <v>11194.607063724861</v>
      </c>
      <c r="L43" s="7"/>
      <c r="M43" s="25"/>
      <c r="N43" s="7"/>
      <c r="O43" s="20">
        <f t="shared" si="6"/>
        <v>11194.607063724861</v>
      </c>
      <c r="Q43" s="624">
        <v>5889.0462111060824</v>
      </c>
      <c r="S43" s="25"/>
      <c r="U43" s="20">
        <f t="shared" si="7"/>
        <v>5889.0462111060824</v>
      </c>
      <c r="V43" s="7"/>
      <c r="W43" s="624">
        <f>AA22</f>
        <v>0</v>
      </c>
      <c r="X43" s="7"/>
      <c r="Y43" s="25"/>
      <c r="Z43" s="7"/>
      <c r="AA43" s="16">
        <f t="shared" si="8"/>
        <v>0</v>
      </c>
      <c r="AB43" s="17"/>
    </row>
    <row r="44" spans="1:47">
      <c r="A44" s="8" t="s">
        <v>1850</v>
      </c>
      <c r="B44" s="17"/>
      <c r="C44" s="17">
        <f>SUM(C30:C43)</f>
        <v>11048.668230041449</v>
      </c>
      <c r="D44" s="17"/>
      <c r="E44" s="17">
        <f>SUM(E30:E43)</f>
        <v>10224.401337413934</v>
      </c>
      <c r="F44" s="17"/>
      <c r="G44" s="17">
        <f>SUM(G30:G43)</f>
        <v>-75.242068970393717</v>
      </c>
      <c r="H44" s="17"/>
      <c r="I44" s="18">
        <f>SUM(E44:G44)</f>
        <v>10149.15926844354</v>
      </c>
      <c r="J44" s="16"/>
      <c r="K44" s="17">
        <f>SUM(K30:K43)</f>
        <v>16142.95341579153</v>
      </c>
      <c r="L44" s="17"/>
      <c r="M44" s="17">
        <f>SUM(M30:M43)</f>
        <v>-79.153938970393767</v>
      </c>
      <c r="N44" s="17"/>
      <c r="O44" s="18">
        <f t="shared" si="6"/>
        <v>16063.799476821136</v>
      </c>
      <c r="Q44" s="17">
        <v>10615.680338885977</v>
      </c>
      <c r="S44" s="17">
        <f>SUM(S30:S43)</f>
        <v>-77.320378970393705</v>
      </c>
      <c r="U44" s="18">
        <f t="shared" si="7"/>
        <v>10538.359959915584</v>
      </c>
      <c r="V44" s="17"/>
      <c r="W44" s="17">
        <f>SUM(W30:W43)</f>
        <v>5091.0877315838952</v>
      </c>
      <c r="X44" s="17"/>
      <c r="Y44" s="17">
        <f>SUM(Y30:Y43)</f>
        <v>-1109.6343589703934</v>
      </c>
      <c r="Z44" s="17"/>
      <c r="AA44" s="18">
        <f t="shared" si="8"/>
        <v>3981.4533726135019</v>
      </c>
      <c r="AB44" s="18"/>
    </row>
    <row r="45" spans="1:47">
      <c r="A45" s="8" t="s">
        <v>2282</v>
      </c>
      <c r="B45" s="17"/>
      <c r="C45" s="17"/>
      <c r="D45" s="17"/>
      <c r="E45" s="17"/>
      <c r="F45" s="17"/>
      <c r="G45" s="17"/>
      <c r="H45" s="17"/>
      <c r="I45" s="18"/>
      <c r="J45" s="16"/>
      <c r="K45" s="17"/>
      <c r="L45" s="17"/>
      <c r="M45" s="17"/>
      <c r="N45" s="17"/>
      <c r="O45" s="18"/>
      <c r="Q45" s="17"/>
      <c r="S45" s="17"/>
      <c r="U45" s="18"/>
      <c r="V45" s="17"/>
      <c r="W45" s="17">
        <f>AA23</f>
        <v>8657.1100894571337</v>
      </c>
      <c r="X45" s="17"/>
      <c r="Y45" s="17"/>
      <c r="Z45" s="17"/>
      <c r="AA45" s="18">
        <f t="shared" si="8"/>
        <v>8657.1100894571337</v>
      </c>
      <c r="AB45" s="18"/>
    </row>
    <row r="46" spans="1:47">
      <c r="A46" s="8" t="s">
        <v>1851</v>
      </c>
      <c r="B46" s="17"/>
      <c r="C46" s="20">
        <v>390.64</v>
      </c>
      <c r="D46" s="17"/>
      <c r="E46" s="20">
        <f>'[12]2013 Provision'!C12/1000</f>
        <v>131.1505115361478</v>
      </c>
      <c r="F46" s="17"/>
      <c r="G46" s="20"/>
      <c r="H46" s="17"/>
      <c r="I46" s="20">
        <f>SUM(B46:G46)</f>
        <v>521.79051153614773</v>
      </c>
      <c r="J46" s="16"/>
      <c r="K46" s="20">
        <v>75</v>
      </c>
      <c r="L46" s="17"/>
      <c r="M46" s="20"/>
      <c r="N46" s="17"/>
      <c r="O46" s="20">
        <f>SUM(H46:M46)</f>
        <v>596.79051153614773</v>
      </c>
      <c r="Q46" s="20">
        <v>4.8919999999999959</v>
      </c>
      <c r="S46" s="20"/>
      <c r="U46" s="20">
        <v>602</v>
      </c>
      <c r="V46" s="17"/>
      <c r="W46" s="20">
        <f>'2016 provision'!F15</f>
        <v>0</v>
      </c>
      <c r="X46" s="17"/>
      <c r="Y46" s="20"/>
      <c r="Z46" s="17"/>
      <c r="AA46" s="20">
        <f>SUM(U46:Y46)</f>
        <v>602</v>
      </c>
      <c r="AB46" s="17"/>
    </row>
    <row r="47" spans="1:47">
      <c r="B47" s="17"/>
      <c r="C47" s="18">
        <v>13035.608321071055</v>
      </c>
      <c r="D47" s="17"/>
      <c r="E47" s="18">
        <f>SUM(E44:E46)</f>
        <v>10355.551848950081</v>
      </c>
      <c r="F47" s="17"/>
      <c r="G47" s="18">
        <f>SUM(G44:G46)</f>
        <v>-75.242068970393717</v>
      </c>
      <c r="H47" s="17"/>
      <c r="I47" s="18">
        <f>SUM(I44:I46)</f>
        <v>10670.949779979688</v>
      </c>
      <c r="J47" s="16"/>
      <c r="K47" s="18">
        <f>SUM(K44:K46)</f>
        <v>16217.95341579153</v>
      </c>
      <c r="L47" s="17"/>
      <c r="M47" s="18">
        <f>SUM(M44:M46)</f>
        <v>-79.153938970393767</v>
      </c>
      <c r="N47" s="17"/>
      <c r="O47" s="18">
        <f>SUM(O44:O46)</f>
        <v>16660.589988357282</v>
      </c>
      <c r="Q47" s="18">
        <v>10620.572338885977</v>
      </c>
      <c r="S47" s="18">
        <f>SUM(S44:S46)</f>
        <v>-77.320378970393705</v>
      </c>
      <c r="U47" s="18">
        <f>SUM(U44:U46)</f>
        <v>11140.359959915584</v>
      </c>
      <c r="V47" s="17"/>
      <c r="W47" s="18">
        <f>SUM(W44:W46)</f>
        <v>13748.197821041029</v>
      </c>
      <c r="X47" s="17"/>
      <c r="Y47" s="18">
        <f>SUM(Y44:Y46)</f>
        <v>-1109.6343589703934</v>
      </c>
      <c r="Z47" s="17"/>
      <c r="AA47" s="18">
        <f>SUM(AA44:AA46)</f>
        <v>13240.563462070635</v>
      </c>
      <c r="AB47" s="18"/>
      <c r="AC47" s="678">
        <f>AA47-AA25</f>
        <v>601.61499616056062</v>
      </c>
      <c r="AE47" s="623"/>
      <c r="AF47" s="7"/>
      <c r="AG47" s="17"/>
      <c r="AH47" s="17"/>
      <c r="AI47" s="17"/>
      <c r="AJ47" s="17"/>
      <c r="AK47" s="17"/>
      <c r="AL47" s="17"/>
      <c r="AM47" s="18"/>
      <c r="AN47" s="18"/>
      <c r="AO47" s="17"/>
      <c r="AP47" s="17"/>
      <c r="AQ47" s="17"/>
      <c r="AR47" s="18"/>
      <c r="AS47" s="18"/>
      <c r="AU47" s="24"/>
    </row>
    <row r="48" spans="1:47">
      <c r="A48" s="8" t="s">
        <v>1852</v>
      </c>
      <c r="B48" s="26"/>
      <c r="C48" s="625">
        <v>0.4</v>
      </c>
      <c r="D48" s="26"/>
      <c r="E48" s="625">
        <f>C48</f>
        <v>0.4</v>
      </c>
      <c r="G48" s="625">
        <f>E48</f>
        <v>0.4</v>
      </c>
      <c r="I48" s="625">
        <f>E48</f>
        <v>0.4</v>
      </c>
      <c r="J48" s="26"/>
      <c r="K48" s="625">
        <f>I48</f>
        <v>0.4</v>
      </c>
      <c r="L48" s="7"/>
      <c r="M48" s="625">
        <f>K48</f>
        <v>0.4</v>
      </c>
      <c r="N48" s="7"/>
      <c r="O48" s="625">
        <f>K48</f>
        <v>0.4</v>
      </c>
      <c r="Q48" s="625">
        <v>0.4</v>
      </c>
      <c r="S48" s="625">
        <f>Q48</f>
        <v>0.4</v>
      </c>
      <c r="U48" s="625">
        <f>Q48</f>
        <v>0.4</v>
      </c>
      <c r="V48" s="7"/>
      <c r="W48" s="625">
        <f>O48</f>
        <v>0.4</v>
      </c>
      <c r="X48" s="7"/>
      <c r="Y48" s="625">
        <f>W48</f>
        <v>0.4</v>
      </c>
      <c r="Z48" s="7"/>
      <c r="AA48" s="625">
        <f>W48</f>
        <v>0.4</v>
      </c>
      <c r="AB48" s="26"/>
      <c r="AE48" s="623"/>
      <c r="AF48" s="7"/>
      <c r="AG48" s="17"/>
      <c r="AH48" s="17"/>
      <c r="AI48" s="17"/>
      <c r="AJ48" s="17"/>
      <c r="AK48" s="17"/>
      <c r="AL48" s="17"/>
      <c r="AM48" s="18"/>
      <c r="AN48" s="18"/>
      <c r="AO48" s="18"/>
      <c r="AP48" s="18"/>
      <c r="AQ48" s="18"/>
      <c r="AR48" s="18"/>
      <c r="AS48" s="18"/>
      <c r="AU48" s="24"/>
    </row>
    <row r="49" spans="1:39">
      <c r="A49" s="8" t="s">
        <v>1853</v>
      </c>
      <c r="B49" s="17"/>
      <c r="C49" s="17">
        <f>C47*C48</f>
        <v>5214.2433284284225</v>
      </c>
      <c r="D49" s="17"/>
      <c r="E49" s="17">
        <f>E47*E48</f>
        <v>4142.2207395800324</v>
      </c>
      <c r="F49" s="17"/>
      <c r="G49" s="17">
        <f>G47*G48</f>
        <v>-30.096827588157488</v>
      </c>
      <c r="H49" s="17"/>
      <c r="I49" s="17">
        <f>I47*I48</f>
        <v>4268.3799119918758</v>
      </c>
      <c r="J49" s="17"/>
      <c r="K49" s="17">
        <f>K47*K48</f>
        <v>6487.1813663166122</v>
      </c>
      <c r="L49" s="17"/>
      <c r="M49" s="17">
        <f>M47*M48</f>
        <v>-31.661575588157508</v>
      </c>
      <c r="N49" s="17"/>
      <c r="O49" s="17">
        <f>O47*O48</f>
        <v>6664.2359953429132</v>
      </c>
      <c r="Q49" s="17">
        <v>4248.2289355543908</v>
      </c>
      <c r="S49" s="17">
        <f>S47*S48</f>
        <v>-30.928151588157483</v>
      </c>
      <c r="U49" s="17">
        <f>U47*U48</f>
        <v>4456.1439839662335</v>
      </c>
      <c r="V49" s="17"/>
      <c r="W49" s="17">
        <f>W47*W48</f>
        <v>5499.2791284164123</v>
      </c>
      <c r="X49" s="17"/>
      <c r="Y49" s="17">
        <f>Y47*Y48</f>
        <v>-443.85374358815739</v>
      </c>
      <c r="Z49" s="17"/>
      <c r="AA49" s="17">
        <f>AA47*AA48</f>
        <v>5296.2253848282544</v>
      </c>
      <c r="AB49" s="17"/>
      <c r="AE49" s="12"/>
      <c r="AF49" s="7"/>
      <c r="AG49" s="12"/>
      <c r="AH49" s="12"/>
      <c r="AI49" s="12"/>
      <c r="AJ49" s="12"/>
      <c r="AK49" s="12"/>
      <c r="AL49" s="7"/>
    </row>
    <row r="50" spans="1:39">
      <c r="A50" s="8" t="s">
        <v>1854</v>
      </c>
      <c r="B50" s="17"/>
      <c r="C50" s="20">
        <v>51</v>
      </c>
      <c r="D50" s="17"/>
      <c r="E50" s="20">
        <v>-51</v>
      </c>
      <c r="F50" s="17"/>
      <c r="G50" s="20"/>
      <c r="H50" s="17"/>
      <c r="I50" s="20">
        <f>SUM(B50:G50)</f>
        <v>0</v>
      </c>
      <c r="J50" s="17"/>
      <c r="K50" s="20"/>
      <c r="L50" s="17"/>
      <c r="M50" s="20"/>
      <c r="N50" s="17"/>
      <c r="O50" s="20">
        <f>SUM(H50:M50)</f>
        <v>0</v>
      </c>
      <c r="Q50" s="20"/>
      <c r="S50" s="20"/>
      <c r="U50" s="20">
        <f>SUM(N50:S50)</f>
        <v>0</v>
      </c>
      <c r="V50" s="17"/>
      <c r="W50" s="20"/>
      <c r="X50" s="17"/>
      <c r="Y50" s="20"/>
      <c r="Z50" s="17"/>
      <c r="AA50" s="20">
        <f>SUM(N50:Y50)</f>
        <v>0</v>
      </c>
      <c r="AB50" s="17"/>
      <c r="AE50" s="12"/>
      <c r="AF50" s="7"/>
      <c r="AG50" s="15"/>
      <c r="AH50" s="15"/>
      <c r="AI50" s="15"/>
      <c r="AJ50" s="15"/>
      <c r="AK50" s="15"/>
      <c r="AL50" s="7"/>
    </row>
    <row r="51" spans="1:39" ht="13.5" thickBot="1">
      <c r="A51" s="8" t="s">
        <v>1855</v>
      </c>
      <c r="B51" s="27"/>
      <c r="C51" s="626">
        <f>SUM(C49:C50)</f>
        <v>5265.2433284284225</v>
      </c>
      <c r="D51" s="27"/>
      <c r="E51" s="626">
        <f>SUM(E49:E50)</f>
        <v>4091.2207395800324</v>
      </c>
      <c r="G51" s="626">
        <f>SUM(G49:G50)</f>
        <v>-30.096827588157488</v>
      </c>
      <c r="I51" s="626">
        <f>SUM(I49:I50)</f>
        <v>4268.3799119918758</v>
      </c>
      <c r="J51" s="27"/>
      <c r="K51" s="626">
        <f>SUM(K49:K50)</f>
        <v>6487.1813663166122</v>
      </c>
      <c r="L51" s="7"/>
      <c r="M51" s="626">
        <f>SUM(M49:M50)</f>
        <v>-31.661575588157508</v>
      </c>
      <c r="N51" s="7"/>
      <c r="O51" s="626">
        <f>SUM(O49:O50)</f>
        <v>6664.2359953429132</v>
      </c>
      <c r="Q51" s="626">
        <v>4248.2289355543908</v>
      </c>
      <c r="S51" s="626">
        <f>SUM(S49:S50)</f>
        <v>-30.928151588157483</v>
      </c>
      <c r="U51" s="626">
        <f>SUM(U49:U50)</f>
        <v>4456.1439839662335</v>
      </c>
      <c r="V51" s="7"/>
      <c r="W51" s="626">
        <f>SUM(W49:W50)</f>
        <v>5499.2791284164123</v>
      </c>
      <c r="X51" s="7"/>
      <c r="Y51" s="626">
        <f>SUM(Y49:Y50)</f>
        <v>-443.85374358815739</v>
      </c>
      <c r="Z51" s="7"/>
      <c r="AA51" s="626">
        <f>SUM(AA49:AA50)</f>
        <v>5296.2253848282544</v>
      </c>
      <c r="AB51" s="27"/>
      <c r="AE51" s="623"/>
      <c r="AF51" s="7"/>
      <c r="AG51" s="23"/>
      <c r="AH51" s="23"/>
      <c r="AI51" s="23"/>
      <c r="AJ51" s="23"/>
      <c r="AK51" s="23"/>
      <c r="AL51" s="17"/>
      <c r="AM51" s="18"/>
    </row>
    <row r="52" spans="1:39" ht="13.5" thickTop="1">
      <c r="B52" s="27"/>
      <c r="C52" s="27"/>
      <c r="D52" s="27"/>
      <c r="E52" s="627"/>
      <c r="G52" s="627"/>
      <c r="I52" s="27"/>
      <c r="J52" s="27"/>
      <c r="K52" s="627"/>
      <c r="L52" s="7"/>
      <c r="M52" s="627"/>
      <c r="N52" s="7"/>
      <c r="O52" s="27"/>
      <c r="P52" s="7"/>
      <c r="Q52" s="7"/>
      <c r="R52" s="7"/>
      <c r="V52" s="7"/>
      <c r="W52" s="12"/>
      <c r="X52" s="7"/>
      <c r="Y52" s="12"/>
    </row>
    <row r="53" spans="1:39">
      <c r="B53" s="27"/>
      <c r="C53" s="608">
        <v>41274</v>
      </c>
      <c r="D53" s="15"/>
      <c r="E53" s="609"/>
      <c r="F53" s="20"/>
      <c r="G53" s="610" t="s">
        <v>1838</v>
      </c>
      <c r="H53" s="20"/>
      <c r="I53" s="608">
        <v>41639</v>
      </c>
      <c r="J53" s="15"/>
      <c r="K53" s="609"/>
      <c r="L53" s="20"/>
      <c r="M53" s="610" t="s">
        <v>1839</v>
      </c>
      <c r="N53" s="20"/>
      <c r="O53" s="612"/>
      <c r="P53" s="7"/>
      <c r="Q53" s="609"/>
      <c r="R53" s="20"/>
      <c r="S53" s="610" t="s">
        <v>1840</v>
      </c>
      <c r="T53" s="20"/>
      <c r="U53" s="612"/>
      <c r="V53" s="20"/>
      <c r="W53" s="609"/>
      <c r="X53" s="20"/>
      <c r="Y53" s="610" t="s">
        <v>1808</v>
      </c>
      <c r="Z53" s="20"/>
      <c r="AA53" s="612"/>
      <c r="AB53" s="341"/>
    </row>
    <row r="54" spans="1:39">
      <c r="A54" s="622" t="s">
        <v>1856</v>
      </c>
      <c r="B54" s="23"/>
      <c r="C54" s="614" t="s">
        <v>60</v>
      </c>
      <c r="D54" s="23"/>
      <c r="E54" s="29" t="s">
        <v>71</v>
      </c>
      <c r="G54" s="29" t="s">
        <v>1857</v>
      </c>
      <c r="I54" s="29" t="s">
        <v>1815</v>
      </c>
      <c r="J54" s="23"/>
      <c r="K54" s="29" t="s">
        <v>71</v>
      </c>
      <c r="L54" s="7"/>
      <c r="M54" s="29" t="s">
        <v>1857</v>
      </c>
      <c r="N54" s="7"/>
      <c r="O54" s="614" t="s">
        <v>60</v>
      </c>
      <c r="P54" s="15"/>
      <c r="Q54" s="29" t="s">
        <v>71</v>
      </c>
      <c r="R54" s="7"/>
      <c r="S54" s="29" t="s">
        <v>1857</v>
      </c>
      <c r="T54" s="7"/>
      <c r="U54" s="614" t="s">
        <v>60</v>
      </c>
      <c r="V54" s="7"/>
      <c r="W54" s="29" t="s">
        <v>71</v>
      </c>
      <c r="X54" s="7"/>
      <c r="Y54" s="29" t="s">
        <v>1857</v>
      </c>
      <c r="Z54" s="7"/>
      <c r="AA54" s="614" t="s">
        <v>60</v>
      </c>
      <c r="AB54" s="23"/>
    </row>
    <row r="55" spans="1:39">
      <c r="A55" s="8" t="s">
        <v>1844</v>
      </c>
      <c r="B55" s="15"/>
      <c r="C55" s="16">
        <v>492.0964479999999</v>
      </c>
      <c r="D55" s="15"/>
      <c r="E55" s="15">
        <f>E30*E48</f>
        <v>234.83759599999996</v>
      </c>
      <c r="F55" s="27"/>
      <c r="G55" s="22"/>
      <c r="H55" s="27"/>
      <c r="I55" s="16">
        <f t="shared" ref="I55:I65" si="12">SUM(E55:G55)</f>
        <v>234.83759599999996</v>
      </c>
      <c r="J55" s="16"/>
      <c r="K55" s="15">
        <f>K30*K48</f>
        <v>-0.1198120000000472</v>
      </c>
      <c r="L55" s="27"/>
      <c r="M55" s="22"/>
      <c r="N55" s="27"/>
      <c r="O55" s="16">
        <f t="shared" ref="O55:O71" si="13">SUM(K55:M55)</f>
        <v>-0.1198120000000472</v>
      </c>
      <c r="P55" s="17"/>
      <c r="Q55" s="15">
        <v>72.672535999999951</v>
      </c>
      <c r="R55" s="27"/>
      <c r="S55" s="22"/>
      <c r="T55" s="27"/>
      <c r="U55" s="16">
        <v>72.672535999999951</v>
      </c>
      <c r="V55" s="27"/>
      <c r="W55" s="15">
        <f>W30*W48</f>
        <v>31.223751999999958</v>
      </c>
      <c r="X55" s="27"/>
      <c r="Y55" s="22"/>
      <c r="Z55" s="27"/>
      <c r="AA55" s="16">
        <f>SUM(W55:Y55)</f>
        <v>31.223751999999958</v>
      </c>
      <c r="AB55" s="16"/>
    </row>
    <row r="56" spans="1:39">
      <c r="A56" s="8" t="s">
        <v>1826</v>
      </c>
      <c r="B56" s="17"/>
      <c r="C56" s="18">
        <v>396.84638518400004</v>
      </c>
      <c r="D56" s="17"/>
      <c r="E56" s="17">
        <f>E31*E48</f>
        <v>392.26840800320008</v>
      </c>
      <c r="F56" s="17"/>
      <c r="G56" s="18"/>
      <c r="H56" s="17"/>
      <c r="I56" s="18">
        <f t="shared" si="12"/>
        <v>392.26840800320008</v>
      </c>
      <c r="J56" s="18"/>
      <c r="K56" s="17">
        <f>K31*K48</f>
        <v>385.25975998400003</v>
      </c>
      <c r="L56" s="17"/>
      <c r="M56" s="18"/>
      <c r="N56" s="17"/>
      <c r="O56" s="18">
        <f t="shared" si="13"/>
        <v>385.25975998400003</v>
      </c>
      <c r="P56" s="7"/>
      <c r="Q56" s="17">
        <v>397.00287686599995</v>
      </c>
      <c r="R56" s="17"/>
      <c r="S56" s="18"/>
      <c r="T56" s="17"/>
      <c r="U56" s="18">
        <v>397.00287686599995</v>
      </c>
      <c r="V56" s="17"/>
      <c r="W56" s="17">
        <f>W31*W48</f>
        <v>402.87283533599992</v>
      </c>
      <c r="X56" s="17"/>
      <c r="Y56" s="18"/>
      <c r="Z56" s="17"/>
      <c r="AA56" s="16">
        <f t="shared" ref="AA56:AA70" si="14">SUM(W56:Y56)</f>
        <v>402.87283533599992</v>
      </c>
      <c r="AB56" s="18"/>
    </row>
    <row r="57" spans="1:39">
      <c r="A57" s="8" t="s">
        <v>1827</v>
      </c>
      <c r="B57" s="17"/>
      <c r="C57" s="18">
        <v>60.549531999999999</v>
      </c>
      <c r="D57" s="17"/>
      <c r="E57" s="17">
        <f>E32*E48</f>
        <v>239.01921199999998</v>
      </c>
      <c r="F57" s="17"/>
      <c r="G57" s="18"/>
      <c r="H57" s="17"/>
      <c r="I57" s="18">
        <f t="shared" si="12"/>
        <v>239.01921199999998</v>
      </c>
      <c r="J57" s="18"/>
      <c r="K57" s="17">
        <f>K32*K48</f>
        <v>15.14363999999996</v>
      </c>
      <c r="L57" s="17"/>
      <c r="M57" s="18"/>
      <c r="N57" s="17"/>
      <c r="O57" s="18">
        <f t="shared" si="13"/>
        <v>15.14363999999996</v>
      </c>
      <c r="P57" s="7"/>
      <c r="Q57" s="17">
        <v>16.37552399999996</v>
      </c>
      <c r="R57" s="17"/>
      <c r="S57" s="18"/>
      <c r="T57" s="17"/>
      <c r="U57" s="18">
        <v>16.37552399999996</v>
      </c>
      <c r="V57" s="17"/>
      <c r="W57" s="17">
        <f>W32*W48</f>
        <v>183.43504399999998</v>
      </c>
      <c r="X57" s="17"/>
      <c r="Y57" s="18"/>
      <c r="Z57" s="17"/>
      <c r="AA57" s="16">
        <f t="shared" si="14"/>
        <v>183.43504399999998</v>
      </c>
      <c r="AB57" s="18"/>
    </row>
    <row r="58" spans="1:39" ht="11.5" customHeight="1">
      <c r="A58" s="8" t="s">
        <v>1828</v>
      </c>
      <c r="B58" s="17"/>
      <c r="C58" s="18">
        <v>638.52003641184274</v>
      </c>
      <c r="D58" s="17"/>
      <c r="E58" s="17">
        <f>G33*E48</f>
        <v>3.6411842665984294E-5</v>
      </c>
      <c r="F58" s="17"/>
      <c r="G58" s="18"/>
      <c r="H58" s="17"/>
      <c r="I58" s="18">
        <f t="shared" si="12"/>
        <v>3.6411842665984294E-5</v>
      </c>
      <c r="J58" s="18"/>
      <c r="K58" s="17">
        <f>M33*K48</f>
        <v>3.6411842665984294E-5</v>
      </c>
      <c r="L58" s="17"/>
      <c r="M58" s="18"/>
      <c r="N58" s="17"/>
      <c r="O58" s="18">
        <f t="shared" si="13"/>
        <v>3.6411842665984294E-5</v>
      </c>
      <c r="Q58" s="17">
        <v>3.6411842665984294E-5</v>
      </c>
      <c r="R58" s="17"/>
      <c r="S58" s="18"/>
      <c r="T58" s="17"/>
      <c r="U58" s="18">
        <v>3.6411842665984294E-5</v>
      </c>
      <c r="V58" s="17"/>
      <c r="W58" s="17">
        <f>Y33*W48</f>
        <v>3.6411842665984294E-5</v>
      </c>
      <c r="X58" s="17"/>
      <c r="Y58" s="18"/>
      <c r="Z58" s="17"/>
      <c r="AA58" s="16">
        <f t="shared" si="14"/>
        <v>3.6411842665984294E-5</v>
      </c>
      <c r="AB58" s="18"/>
    </row>
    <row r="59" spans="1:39">
      <c r="A59" s="8" t="s">
        <v>1829</v>
      </c>
      <c r="B59" s="17"/>
      <c r="C59" s="18">
        <v>80.826268000000027</v>
      </c>
      <c r="D59" s="17"/>
      <c r="E59" s="17">
        <f>E34*E48</f>
        <v>-1.7420839999999886</v>
      </c>
      <c r="F59" s="17"/>
      <c r="G59" s="17"/>
      <c r="H59" s="17"/>
      <c r="I59" s="18">
        <f t="shared" si="12"/>
        <v>-1.7420839999999886</v>
      </c>
      <c r="J59" s="18"/>
      <c r="K59" s="17">
        <f>K34*K48+1.45</f>
        <v>0.17791600000001129</v>
      </c>
      <c r="L59" s="17"/>
      <c r="M59" s="17"/>
      <c r="N59" s="17"/>
      <c r="O59" s="18">
        <f t="shared" si="13"/>
        <v>0.17791600000001129</v>
      </c>
      <c r="Q59" s="17">
        <v>-19.280155999999991</v>
      </c>
      <c r="R59" s="17"/>
      <c r="S59" s="17"/>
      <c r="T59" s="17"/>
      <c r="U59" s="18">
        <v>-19.280155999999991</v>
      </c>
      <c r="V59" s="17"/>
      <c r="W59" s="17">
        <f>W34*W48</f>
        <v>-105.17142399999999</v>
      </c>
      <c r="X59" s="17"/>
      <c r="Y59" s="17"/>
      <c r="Z59" s="17"/>
      <c r="AA59" s="16">
        <f t="shared" si="14"/>
        <v>-105.17142399999999</v>
      </c>
      <c r="AB59" s="18"/>
    </row>
    <row r="60" spans="1:39">
      <c r="A60" s="8" t="s">
        <v>1858</v>
      </c>
      <c r="B60" s="17"/>
      <c r="C60" s="18">
        <v>1402.1998932300569</v>
      </c>
      <c r="D60" s="17"/>
      <c r="E60" s="17"/>
      <c r="F60" s="17"/>
      <c r="G60" s="17">
        <f>E35*E48</f>
        <v>1389.4747568426656</v>
      </c>
      <c r="H60" s="17"/>
      <c r="I60" s="18">
        <f t="shared" si="12"/>
        <v>1389.4747568426656</v>
      </c>
      <c r="J60" s="18"/>
      <c r="K60" s="17"/>
      <c r="L60" s="17"/>
      <c r="M60" s="17">
        <f>K35*K48</f>
        <v>871.2824808426675</v>
      </c>
      <c r="N60" s="17"/>
      <c r="O60" s="18">
        <f t="shared" si="13"/>
        <v>871.2824808426675</v>
      </c>
      <c r="Q60" s="17"/>
      <c r="R60" s="17"/>
      <c r="S60" s="17">
        <v>797.0240128426675</v>
      </c>
      <c r="T60" s="17"/>
      <c r="U60" s="18">
        <v>797.0240128426675</v>
      </c>
      <c r="V60" s="17"/>
      <c r="W60" s="17"/>
      <c r="X60" s="17"/>
      <c r="Y60" s="17">
        <f>W35*W48</f>
        <v>840.64188884266741</v>
      </c>
      <c r="Z60" s="17"/>
      <c r="AA60" s="16">
        <f t="shared" si="14"/>
        <v>840.64188884266741</v>
      </c>
      <c r="AB60" s="18"/>
    </row>
    <row r="61" spans="1:39">
      <c r="A61" s="8" t="s">
        <v>1846</v>
      </c>
      <c r="B61" s="17"/>
      <c r="C61" s="18">
        <v>16.476399999999831</v>
      </c>
      <c r="D61" s="17"/>
      <c r="E61" s="17"/>
      <c r="F61" s="17"/>
      <c r="G61" s="18">
        <f>G36*E48</f>
        <v>-30.096864000000153</v>
      </c>
      <c r="H61" s="17"/>
      <c r="I61" s="18">
        <f t="shared" si="12"/>
        <v>-30.096864000000153</v>
      </c>
      <c r="J61" s="18"/>
      <c r="K61" s="17"/>
      <c r="L61" s="17"/>
      <c r="M61" s="18">
        <f>M36*K48</f>
        <v>-31.661612000000176</v>
      </c>
      <c r="N61" s="17"/>
      <c r="O61" s="18">
        <f t="shared" si="13"/>
        <v>-31.661612000000176</v>
      </c>
      <c r="Q61" s="17"/>
      <c r="R61" s="17"/>
      <c r="S61" s="18">
        <v>-30.928188000000148</v>
      </c>
      <c r="T61" s="17"/>
      <c r="U61" s="18">
        <v>-30.928188000000148</v>
      </c>
      <c r="V61" s="17"/>
      <c r="W61" s="17"/>
      <c r="X61" s="17"/>
      <c r="Y61" s="18">
        <f>Y36*W48</f>
        <v>-443.85378000000003</v>
      </c>
      <c r="Z61" s="17"/>
      <c r="AA61" s="16">
        <f t="shared" si="14"/>
        <v>-443.85378000000003</v>
      </c>
      <c r="AB61" s="18"/>
    </row>
    <row r="62" spans="1:39">
      <c r="A62" s="8" t="str">
        <f>A37</f>
        <v>Other assets</v>
      </c>
      <c r="B62" s="17"/>
      <c r="C62" s="18">
        <v>17.9376</v>
      </c>
      <c r="D62" s="17"/>
      <c r="E62" s="17">
        <f>G37*G48</f>
        <v>0</v>
      </c>
      <c r="F62" s="17"/>
      <c r="G62" s="18">
        <f>E37*E48</f>
        <v>14.947999999999997</v>
      </c>
      <c r="H62" s="17"/>
      <c r="I62" s="18">
        <f t="shared" si="12"/>
        <v>14.947999999999997</v>
      </c>
      <c r="J62" s="18"/>
      <c r="K62" s="17">
        <f>M37*M48</f>
        <v>0</v>
      </c>
      <c r="L62" s="17"/>
      <c r="M62" s="18">
        <f>K37*K48</f>
        <v>11.958399999999997</v>
      </c>
      <c r="N62" s="17"/>
      <c r="O62" s="18">
        <f t="shared" si="13"/>
        <v>11.958399999999997</v>
      </c>
      <c r="Q62" s="17">
        <v>0</v>
      </c>
      <c r="R62" s="17"/>
      <c r="S62" s="18">
        <v>8.9687999999999963</v>
      </c>
      <c r="T62" s="17"/>
      <c r="U62" s="18">
        <v>8.9687999999999963</v>
      </c>
      <c r="V62" s="17"/>
      <c r="W62" s="17">
        <f>Y37*Y48</f>
        <v>0</v>
      </c>
      <c r="X62" s="17"/>
      <c r="Y62" s="18">
        <f>W37*W48</f>
        <v>5.9791999999999961</v>
      </c>
      <c r="Z62" s="17"/>
      <c r="AA62" s="16">
        <f t="shared" si="14"/>
        <v>5.9791999999999961</v>
      </c>
      <c r="AB62" s="18"/>
    </row>
    <row r="63" spans="1:39">
      <c r="A63" s="8" t="s">
        <v>1847</v>
      </c>
      <c r="B63" s="17"/>
      <c r="C63" s="18">
        <v>603.8826772000001</v>
      </c>
      <c r="D63" s="17"/>
      <c r="E63" s="17">
        <f>E38*E48</f>
        <v>524.30409039999995</v>
      </c>
      <c r="F63" s="17"/>
      <c r="G63" s="18"/>
      <c r="H63" s="17"/>
      <c r="I63" s="18">
        <f t="shared" si="12"/>
        <v>524.30409039999995</v>
      </c>
      <c r="J63" s="18"/>
      <c r="K63" s="17">
        <f>K38*K48</f>
        <v>393.55833999999999</v>
      </c>
      <c r="L63" s="17"/>
      <c r="M63" s="18"/>
      <c r="N63" s="17"/>
      <c r="O63" s="18">
        <f t="shared" si="13"/>
        <v>393.55833999999999</v>
      </c>
      <c r="Q63" s="17">
        <v>371.5879454032908</v>
      </c>
      <c r="R63" s="17"/>
      <c r="S63" s="18"/>
      <c r="T63" s="17"/>
      <c r="U63" s="18">
        <v>371.5879454032908</v>
      </c>
      <c r="V63" s="17"/>
      <c r="W63" s="17">
        <f>W38*W48</f>
        <v>358.45632445489082</v>
      </c>
      <c r="X63" s="17"/>
      <c r="Y63" s="18"/>
      <c r="Z63" s="17"/>
      <c r="AA63" s="16">
        <f t="shared" si="14"/>
        <v>358.45632445489082</v>
      </c>
      <c r="AB63" s="18"/>
    </row>
    <row r="64" spans="1:39">
      <c r="A64" s="8" t="s">
        <v>1833</v>
      </c>
      <c r="B64" s="17"/>
      <c r="C64" s="17">
        <v>343.20000000000005</v>
      </c>
      <c r="D64" s="17"/>
      <c r="E64" s="17">
        <f>E39*E48</f>
        <v>91.759200000000021</v>
      </c>
      <c r="F64" s="17"/>
      <c r="G64" s="17"/>
      <c r="H64" s="17"/>
      <c r="I64" s="17">
        <f t="shared" si="12"/>
        <v>91.759200000000021</v>
      </c>
      <c r="J64" s="17"/>
      <c r="K64" s="17">
        <f>K39*K48</f>
        <v>86.988592000000025</v>
      </c>
      <c r="L64" s="17"/>
      <c r="M64" s="17"/>
      <c r="N64" s="17"/>
      <c r="O64" s="17">
        <f t="shared" si="13"/>
        <v>86.988592000000025</v>
      </c>
      <c r="Q64" s="17">
        <v>52.070420000000027</v>
      </c>
      <c r="R64" s="17"/>
      <c r="S64" s="17"/>
      <c r="T64" s="17"/>
      <c r="U64" s="17">
        <v>52.070420000000027</v>
      </c>
      <c r="V64" s="17"/>
      <c r="W64" s="17">
        <f>W39*W48</f>
        <v>0.18859200000001694</v>
      </c>
      <c r="X64" s="17"/>
      <c r="Y64" s="17"/>
      <c r="Z64" s="17"/>
      <c r="AA64" s="16">
        <f t="shared" si="14"/>
        <v>0.18859200000001694</v>
      </c>
      <c r="AB64" s="17"/>
    </row>
    <row r="65" spans="1:37">
      <c r="A65" s="8" t="s">
        <v>1848</v>
      </c>
      <c r="B65" s="17"/>
      <c r="C65" s="17">
        <v>280.93058400000001</v>
      </c>
      <c r="D65" s="17"/>
      <c r="E65" s="23">
        <f>E40*E48</f>
        <v>261.74835200000001</v>
      </c>
      <c r="F65" s="17"/>
      <c r="G65" s="17"/>
      <c r="H65" s="17"/>
      <c r="I65" s="17">
        <f t="shared" si="12"/>
        <v>261.74835200000001</v>
      </c>
      <c r="J65" s="17"/>
      <c r="K65" s="23">
        <f>K40*K48</f>
        <v>204.40701600000003</v>
      </c>
      <c r="L65" s="17"/>
      <c r="M65" s="17"/>
      <c r="N65" s="17"/>
      <c r="O65" s="17">
        <f t="shared" si="13"/>
        <v>204.40701600000003</v>
      </c>
      <c r="Q65" s="23">
        <v>140.93239600000001</v>
      </c>
      <c r="R65" s="17"/>
      <c r="S65" s="17"/>
      <c r="T65" s="17"/>
      <c r="U65" s="17">
        <v>140.93239600000001</v>
      </c>
      <c r="V65" s="17"/>
      <c r="W65" s="23">
        <f>W40*W48</f>
        <v>225.45402000000004</v>
      </c>
      <c r="X65" s="17"/>
      <c r="Y65" s="17"/>
      <c r="Z65" s="17"/>
      <c r="AA65" s="16">
        <f t="shared" si="14"/>
        <v>225.45402000000004</v>
      </c>
      <c r="AB65" s="17"/>
    </row>
    <row r="66" spans="1:37">
      <c r="A66" s="8" t="s">
        <v>1835</v>
      </c>
      <c r="B66" s="17"/>
      <c r="C66" s="17"/>
      <c r="D66" s="17"/>
      <c r="E66" s="23"/>
      <c r="F66" s="17"/>
      <c r="G66" s="17"/>
      <c r="H66" s="17"/>
      <c r="I66" s="17"/>
      <c r="J66" s="17"/>
      <c r="K66" s="23">
        <f>K41*K48</f>
        <v>12.132208</v>
      </c>
      <c r="L66" s="17"/>
      <c r="M66" s="17"/>
      <c r="N66" s="17"/>
      <c r="O66" s="17">
        <f t="shared" si="13"/>
        <v>12.132208</v>
      </c>
      <c r="Q66" s="23">
        <v>53.299296000000005</v>
      </c>
      <c r="R66" s="17"/>
      <c r="S66" s="17"/>
      <c r="T66" s="17"/>
      <c r="U66" s="17">
        <v>53.299296000000005</v>
      </c>
      <c r="V66" s="17"/>
      <c r="W66" s="23">
        <f>W41*W48</f>
        <v>93.354860000000016</v>
      </c>
      <c r="X66" s="17"/>
      <c r="Y66" s="17"/>
      <c r="Z66" s="17"/>
      <c r="AA66" s="16">
        <f t="shared" si="14"/>
        <v>93.354860000000016</v>
      </c>
      <c r="AB66" s="17"/>
    </row>
    <row r="67" spans="1:37" ht="11.5" customHeight="1">
      <c r="A67" s="8" t="s">
        <v>1849</v>
      </c>
      <c r="B67" s="17"/>
      <c r="C67" s="18">
        <v>409.6</v>
      </c>
      <c r="D67" s="17"/>
      <c r="E67" s="17">
        <f>E42*I48</f>
        <v>41.109200000000016</v>
      </c>
      <c r="F67" s="17"/>
      <c r="G67" s="18"/>
      <c r="H67" s="17"/>
      <c r="I67" s="18">
        <f>SUM(E67:G67)</f>
        <v>41.109200000000016</v>
      </c>
      <c r="J67" s="18"/>
      <c r="K67" s="17">
        <f>K42*O48</f>
        <v>0</v>
      </c>
      <c r="L67" s="17"/>
      <c r="M67" s="18"/>
      <c r="N67" s="17"/>
      <c r="O67" s="18">
        <f t="shared" si="13"/>
        <v>0</v>
      </c>
      <c r="Q67" s="17">
        <v>0</v>
      </c>
      <c r="R67" s="17"/>
      <c r="S67" s="18"/>
      <c r="T67" s="17"/>
      <c r="U67" s="18">
        <v>0</v>
      </c>
      <c r="V67" s="17"/>
      <c r="W67" s="17"/>
      <c r="X67" s="17"/>
      <c r="Y67" s="18"/>
      <c r="Z67" s="17"/>
      <c r="AA67" s="16">
        <f t="shared" si="14"/>
        <v>0</v>
      </c>
      <c r="AB67" s="18"/>
    </row>
    <row r="68" spans="1:37">
      <c r="A68" s="8" t="s">
        <v>1836</v>
      </c>
      <c r="B68" s="17"/>
      <c r="C68" s="18">
        <v>314.92150440252203</v>
      </c>
      <c r="D68" s="17"/>
      <c r="E68" s="17">
        <f>E43*E48</f>
        <v>902.03380371970843</v>
      </c>
      <c r="F68" s="17"/>
      <c r="G68" s="18"/>
      <c r="H68" s="17"/>
      <c r="I68" s="18">
        <f>SUM(E68:G68)</f>
        <v>902.03380371970843</v>
      </c>
      <c r="J68" s="18"/>
      <c r="K68" s="17">
        <f>K43*K48</f>
        <v>4477.8428254899445</v>
      </c>
      <c r="L68" s="17"/>
      <c r="M68" s="18"/>
      <c r="N68" s="17"/>
      <c r="O68" s="18">
        <f t="shared" si="13"/>
        <v>4477.8428254899445</v>
      </c>
      <c r="Q68" s="17">
        <v>2355.6184844424329</v>
      </c>
      <c r="R68" s="17"/>
      <c r="S68" s="18"/>
      <c r="T68" s="17"/>
      <c r="U68" s="18">
        <v>2355.6184844424329</v>
      </c>
      <c r="V68" s="17"/>
      <c r="X68" s="17"/>
      <c r="Y68" s="17">
        <f>W43*W48</f>
        <v>0</v>
      </c>
      <c r="Z68" s="17"/>
      <c r="AA68" s="16">
        <f>SUM(X68:Y68)</f>
        <v>0</v>
      </c>
      <c r="AB68" s="18"/>
    </row>
    <row r="69" spans="1:37">
      <c r="A69" s="8" t="s">
        <v>2284</v>
      </c>
      <c r="B69" s="17"/>
      <c r="C69" s="18"/>
      <c r="D69" s="17"/>
      <c r="E69" s="17"/>
      <c r="F69" s="17"/>
      <c r="G69" s="18"/>
      <c r="H69" s="17"/>
      <c r="I69" s="18"/>
      <c r="J69" s="18"/>
      <c r="K69" s="17"/>
      <c r="L69" s="17"/>
      <c r="M69" s="18"/>
      <c r="N69" s="17"/>
      <c r="O69" s="18"/>
      <c r="Q69" s="17"/>
      <c r="R69" s="17"/>
      <c r="S69" s="18"/>
      <c r="T69" s="17"/>
      <c r="U69" s="18"/>
      <c r="V69" s="17"/>
      <c r="X69" s="17"/>
      <c r="Y69" s="367">
        <f>W45*W48</f>
        <v>3462.8440357828536</v>
      </c>
      <c r="Z69" s="17"/>
      <c r="AA69" s="16">
        <f>SUM(X69:Y69)</f>
        <v>3462.8440357828536</v>
      </c>
      <c r="AB69" s="18"/>
    </row>
    <row r="70" spans="1:37">
      <c r="A70" s="8" t="s">
        <v>1859</v>
      </c>
      <c r="B70" s="17"/>
      <c r="C70" s="18">
        <v>156.256</v>
      </c>
      <c r="D70" s="17"/>
      <c r="E70" s="18">
        <f>I46*E48</f>
        <v>208.71620461445912</v>
      </c>
      <c r="F70" s="17"/>
      <c r="H70" s="17"/>
      <c r="I70" s="20">
        <f>SUM(E70:G70)</f>
        <v>208.71620461445912</v>
      </c>
      <c r="J70" s="18"/>
      <c r="K70" s="20">
        <f>O46*K48</f>
        <v>238.71620461445912</v>
      </c>
      <c r="L70" s="17"/>
      <c r="M70" s="25"/>
      <c r="N70" s="17"/>
      <c r="O70" s="20">
        <f t="shared" si="13"/>
        <v>238.71620461445912</v>
      </c>
      <c r="Q70" s="20">
        <v>240.66460461445914</v>
      </c>
      <c r="R70" s="17"/>
      <c r="S70" s="25"/>
      <c r="T70" s="17"/>
      <c r="U70" s="20">
        <v>240.66460461445914</v>
      </c>
      <c r="V70" s="17"/>
      <c r="W70" s="20">
        <f>AA46*W48</f>
        <v>240.8</v>
      </c>
      <c r="X70" s="17"/>
      <c r="Y70" s="25"/>
      <c r="Z70" s="17"/>
      <c r="AA70" s="16">
        <f t="shared" si="14"/>
        <v>240.8</v>
      </c>
      <c r="AB70" s="17"/>
    </row>
    <row r="71" spans="1:37" ht="16" customHeight="1">
      <c r="A71" s="8" t="s">
        <v>6</v>
      </c>
      <c r="B71" s="17"/>
      <c r="C71" s="17">
        <v>51</v>
      </c>
      <c r="D71" s="17"/>
      <c r="E71" s="18">
        <f>I50</f>
        <v>0</v>
      </c>
      <c r="F71" s="17"/>
      <c r="H71" s="17"/>
      <c r="I71" s="18">
        <f>SUM(E71:G71)</f>
        <v>0</v>
      </c>
      <c r="J71" s="18"/>
      <c r="K71" s="18">
        <f>O50</f>
        <v>0</v>
      </c>
      <c r="L71" s="17"/>
      <c r="N71" s="17"/>
      <c r="O71" s="18">
        <f t="shared" si="13"/>
        <v>0</v>
      </c>
      <c r="Q71" s="18">
        <v>0</v>
      </c>
      <c r="R71" s="17"/>
      <c r="S71" s="8"/>
      <c r="T71" s="17"/>
      <c r="U71" s="18">
        <v>0</v>
      </c>
      <c r="V71" s="17"/>
      <c r="W71" s="18">
        <f>AA50</f>
        <v>0</v>
      </c>
      <c r="X71" s="17"/>
      <c r="Y71" s="24"/>
      <c r="Z71" s="17"/>
      <c r="AA71" s="18">
        <f>SUM(S71:Y71)</f>
        <v>0</v>
      </c>
      <c r="AB71" s="18"/>
    </row>
    <row r="72" spans="1:37">
      <c r="A72" s="8" t="s">
        <v>1853</v>
      </c>
      <c r="B72" s="17"/>
      <c r="C72" s="17">
        <f>SUM(C55:C71)</f>
        <v>5265.2433284284225</v>
      </c>
      <c r="D72" s="15"/>
      <c r="E72" s="17">
        <f>SUM(E55:E71)</f>
        <v>2894.0540191492105</v>
      </c>
      <c r="F72" s="17"/>
      <c r="G72" s="17">
        <f>SUM(G55:G71)</f>
        <v>1374.3258928426656</v>
      </c>
      <c r="H72" s="17"/>
      <c r="I72" s="18">
        <f>SUM(I55:I71)</f>
        <v>4268.3799119918758</v>
      </c>
      <c r="J72" s="16"/>
      <c r="K72" s="17">
        <f>SUM(K55:K71)</f>
        <v>5814.1067265002466</v>
      </c>
      <c r="L72" s="17"/>
      <c r="M72" s="17">
        <f>SUM(M55:M71)</f>
        <v>851.57926884266726</v>
      </c>
      <c r="N72" s="17"/>
      <c r="O72" s="18">
        <f>SUM(O55:O71)</f>
        <v>6665.6859953429139</v>
      </c>
      <c r="Q72" s="17">
        <v>3680.9439637380251</v>
      </c>
      <c r="R72" s="17"/>
      <c r="S72" s="17">
        <v>775.06462484266729</v>
      </c>
      <c r="T72" s="17"/>
      <c r="U72" s="18">
        <v>4456.008588580692</v>
      </c>
      <c r="V72" s="17"/>
      <c r="W72" s="17">
        <f>SUM(W55:W71)</f>
        <v>1430.6140402027331</v>
      </c>
      <c r="X72" s="17"/>
      <c r="Y72" s="17">
        <f>SUM(Y55:Y71)</f>
        <v>3865.6113446255208</v>
      </c>
      <c r="Z72" s="17"/>
      <c r="AA72" s="18">
        <f>SUM(AA55:AA71)</f>
        <v>5296.2253848282544</v>
      </c>
      <c r="AB72" s="18"/>
    </row>
    <row r="73" spans="1:37">
      <c r="A73" s="18"/>
      <c r="C73" s="20"/>
      <c r="D73" s="17"/>
      <c r="E73" s="20"/>
      <c r="F73" s="17"/>
      <c r="G73" s="20"/>
      <c r="H73" s="17"/>
      <c r="I73" s="20">
        <f>SUM(E73:G73)</f>
        <v>0</v>
      </c>
      <c r="J73" s="17"/>
      <c r="K73" s="20"/>
      <c r="L73" s="17"/>
      <c r="M73" s="20"/>
      <c r="N73" s="17"/>
      <c r="O73" s="20">
        <f>SUM(K73:M73)</f>
        <v>0</v>
      </c>
      <c r="Q73" s="20"/>
      <c r="R73" s="17"/>
      <c r="S73" s="20"/>
      <c r="T73" s="17"/>
      <c r="U73" s="20">
        <v>0</v>
      </c>
      <c r="V73" s="17"/>
      <c r="W73" s="20"/>
      <c r="X73" s="17"/>
      <c r="Y73" s="20"/>
      <c r="Z73" s="17"/>
      <c r="AA73" s="20">
        <f>SUM(S73:Y73)</f>
        <v>0</v>
      </c>
      <c r="AB73" s="17"/>
    </row>
    <row r="74" spans="1:37" ht="13.5" thickBot="1">
      <c r="A74" s="8" t="s">
        <v>1860</v>
      </c>
      <c r="B74" s="27"/>
      <c r="C74" s="626">
        <f>SUM(C72:C73)</f>
        <v>5265.2433284284225</v>
      </c>
      <c r="D74" s="27"/>
      <c r="E74" s="626">
        <f>SUM(E72:E73)</f>
        <v>2894.0540191492105</v>
      </c>
      <c r="F74" s="27"/>
      <c r="G74" s="626">
        <f>SUM(G72:G73)</f>
        <v>1374.3258928426656</v>
      </c>
      <c r="H74" s="27"/>
      <c r="I74" s="626">
        <f>SUM(I72:I73)</f>
        <v>4268.3799119918758</v>
      </c>
      <c r="J74" s="27"/>
      <c r="K74" s="626">
        <f>SUM(K72:K73)</f>
        <v>5814.1067265002466</v>
      </c>
      <c r="L74" s="27"/>
      <c r="M74" s="626">
        <f>SUM(M72:M73)</f>
        <v>851.57926884266726</v>
      </c>
      <c r="N74" s="27"/>
      <c r="O74" s="626">
        <f>SUM(O72:O73)</f>
        <v>6665.6859953429139</v>
      </c>
      <c r="Q74" s="626">
        <v>3680.9439637380251</v>
      </c>
      <c r="R74" s="27"/>
      <c r="S74" s="626">
        <v>775.06462484266729</v>
      </c>
      <c r="T74" s="27"/>
      <c r="U74" s="626">
        <v>4456.008588580692</v>
      </c>
      <c r="V74" s="27"/>
      <c r="W74" s="626">
        <f>SUM(W72:W73)</f>
        <v>1430.6140402027331</v>
      </c>
      <c r="X74" s="27"/>
      <c r="Y74" s="626">
        <f>SUM(Y71:Y73)</f>
        <v>3865.6113446255208</v>
      </c>
      <c r="Z74" s="27"/>
      <c r="AA74" s="626">
        <f>SUM(AA72:AA73)</f>
        <v>5296.2253848282544</v>
      </c>
      <c r="AB74" s="27"/>
    </row>
    <row r="75" spans="1:37" ht="13.5" thickTop="1"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</row>
    <row r="76" spans="1:37">
      <c r="A76" s="30"/>
      <c r="B76" s="15"/>
      <c r="C76" s="608">
        <v>41274</v>
      </c>
      <c r="D76" s="15"/>
      <c r="E76" s="609"/>
      <c r="F76" s="20"/>
      <c r="G76" s="610" t="s">
        <v>1838</v>
      </c>
      <c r="H76" s="20"/>
      <c r="I76" s="608">
        <v>41639</v>
      </c>
      <c r="J76" s="15"/>
      <c r="K76" s="609"/>
      <c r="L76" s="20"/>
      <c r="M76" s="610" t="s">
        <v>1839</v>
      </c>
      <c r="N76" s="20"/>
      <c r="O76" s="612"/>
      <c r="R76" s="20"/>
      <c r="S76" s="610" t="s">
        <v>1840</v>
      </c>
      <c r="T76" s="20"/>
      <c r="U76" s="612"/>
      <c r="V76" s="20"/>
      <c r="W76" s="609"/>
      <c r="X76" s="20"/>
      <c r="Y76" s="610" t="s">
        <v>1808</v>
      </c>
      <c r="Z76" s="20"/>
      <c r="AA76" s="612"/>
      <c r="AB76" s="341"/>
    </row>
    <row r="77" spans="1:37">
      <c r="A77" s="622" t="s">
        <v>1861</v>
      </c>
      <c r="B77" s="27"/>
      <c r="C77" s="628" t="s">
        <v>60</v>
      </c>
      <c r="E77" s="29" t="s">
        <v>71</v>
      </c>
      <c r="G77" s="29" t="s">
        <v>1857</v>
      </c>
      <c r="I77" s="29" t="s">
        <v>1815</v>
      </c>
      <c r="K77" s="29" t="s">
        <v>71</v>
      </c>
      <c r="L77" s="7"/>
      <c r="M77" s="29" t="s">
        <v>1857</v>
      </c>
      <c r="N77" s="7"/>
      <c r="O77" s="614" t="s">
        <v>60</v>
      </c>
      <c r="Q77" s="29" t="s">
        <v>71</v>
      </c>
      <c r="R77" s="7"/>
      <c r="S77" s="29" t="s">
        <v>1857</v>
      </c>
      <c r="T77" s="7"/>
      <c r="U77" s="614" t="s">
        <v>60</v>
      </c>
      <c r="V77" s="7"/>
      <c r="W77" s="29" t="s">
        <v>71</v>
      </c>
      <c r="X77" s="7"/>
      <c r="Y77" s="29" t="s">
        <v>1857</v>
      </c>
      <c r="Z77" s="7"/>
      <c r="AA77" s="614" t="s">
        <v>60</v>
      </c>
      <c r="AB77" s="23"/>
      <c r="AC77" s="29">
        <v>2016</v>
      </c>
      <c r="AD77" s="12"/>
      <c r="AE77" s="29">
        <v>2015</v>
      </c>
      <c r="AF77" s="12"/>
      <c r="AJ77" s="12"/>
      <c r="AK77" s="12"/>
    </row>
    <row r="78" spans="1:37">
      <c r="A78" s="8" t="s">
        <v>1833</v>
      </c>
      <c r="B78" s="15"/>
      <c r="C78" s="15">
        <v>343.20000000000005</v>
      </c>
      <c r="D78" s="15"/>
      <c r="E78" s="15">
        <f>E64</f>
        <v>91.759200000000021</v>
      </c>
      <c r="F78" s="15"/>
      <c r="G78" s="15"/>
      <c r="H78" s="27"/>
      <c r="I78" s="15">
        <f t="shared" ref="I78:I83" si="15">SUM(E78:G78)</f>
        <v>91.759200000000021</v>
      </c>
      <c r="J78" s="15"/>
      <c r="K78" s="15">
        <f>K64</f>
        <v>86.988592000000025</v>
      </c>
      <c r="L78" s="15"/>
      <c r="M78" s="15"/>
      <c r="N78" s="27"/>
      <c r="O78" s="15">
        <f t="shared" ref="O78:O83" si="16">SUM(K78:M78)</f>
        <v>86.988592000000025</v>
      </c>
      <c r="Q78" s="15">
        <v>52.070420000000027</v>
      </c>
      <c r="R78" s="15"/>
      <c r="S78" s="15"/>
      <c r="T78" s="27"/>
      <c r="U78" s="15">
        <f t="shared" ref="U78:U83" si="17">SUM(Q78:S78)</f>
        <v>52.070420000000027</v>
      </c>
      <c r="V78" s="15"/>
      <c r="W78" s="15">
        <f>W64</f>
        <v>0.18859200000001694</v>
      </c>
      <c r="X78" s="15"/>
      <c r="Y78" s="15"/>
      <c r="Z78" s="27"/>
      <c r="AA78" s="15">
        <f t="shared" ref="AA78:AA87" si="18">SUM(W78:Y78)</f>
        <v>0.18859200000001694</v>
      </c>
      <c r="AB78" s="15"/>
      <c r="AC78" s="629">
        <f>AA78+AA81</f>
        <v>31.412343999999976</v>
      </c>
      <c r="AD78" s="629"/>
      <c r="AE78" s="629">
        <v>125</v>
      </c>
      <c r="AG78" s="8" t="s">
        <v>1862</v>
      </c>
      <c r="AJ78" s="22"/>
      <c r="AK78" s="22"/>
    </row>
    <row r="79" spans="1:37">
      <c r="A79" s="8" t="s">
        <v>1863</v>
      </c>
      <c r="B79" s="17"/>
      <c r="C79" s="17">
        <v>884.81326120000017</v>
      </c>
      <c r="D79" s="17"/>
      <c r="E79" s="17">
        <f>E63+E65</f>
        <v>786.05244240000002</v>
      </c>
      <c r="F79" s="17"/>
      <c r="G79" s="17"/>
      <c r="H79" s="17"/>
      <c r="I79" s="17">
        <f t="shared" si="15"/>
        <v>786.05244240000002</v>
      </c>
      <c r="J79" s="17"/>
      <c r="K79" s="17">
        <f>K63+K65+K66</f>
        <v>610.09756400000003</v>
      </c>
      <c r="L79" s="17"/>
      <c r="M79" s="17"/>
      <c r="N79" s="17"/>
      <c r="O79" s="17">
        <f t="shared" si="16"/>
        <v>610.09756400000003</v>
      </c>
      <c r="Q79" s="17">
        <v>565.81963740329081</v>
      </c>
      <c r="R79" s="17"/>
      <c r="S79" s="17"/>
      <c r="T79" s="17"/>
      <c r="U79" s="17">
        <f t="shared" si="17"/>
        <v>565.81963740329081</v>
      </c>
      <c r="V79" s="17"/>
      <c r="W79" s="17">
        <f>W63+W65+W66</f>
        <v>677.26520445489086</v>
      </c>
      <c r="X79" s="17"/>
      <c r="Y79" s="17"/>
      <c r="Z79" s="17"/>
      <c r="AA79" s="15">
        <f t="shared" si="18"/>
        <v>677.26520445489086</v>
      </c>
      <c r="AB79" s="17"/>
      <c r="AC79" s="630">
        <f>AA80</f>
        <v>586.30791574784257</v>
      </c>
      <c r="AD79" s="630"/>
      <c r="AE79" s="630">
        <v>413</v>
      </c>
      <c r="AG79" s="8" t="s">
        <v>1864</v>
      </c>
      <c r="AJ79" s="24"/>
      <c r="AK79" s="24"/>
    </row>
    <row r="80" spans="1:37">
      <c r="A80" s="8" t="s">
        <v>1864</v>
      </c>
      <c r="B80" s="17"/>
      <c r="C80" s="17">
        <v>1095.9159535958429</v>
      </c>
      <c r="D80" s="17"/>
      <c r="E80" s="17">
        <f>E56+E57+E58</f>
        <v>631.28765641504276</v>
      </c>
      <c r="F80" s="17"/>
      <c r="G80" s="17"/>
      <c r="H80" s="17"/>
      <c r="I80" s="17">
        <f t="shared" si="15"/>
        <v>631.28765641504276</v>
      </c>
      <c r="J80" s="17"/>
      <c r="K80" s="17">
        <f>K56+K57+K58</f>
        <v>400.40343639584262</v>
      </c>
      <c r="L80" s="17"/>
      <c r="M80" s="17"/>
      <c r="N80" s="17"/>
      <c r="O80" s="17">
        <f t="shared" si="16"/>
        <v>400.40343639584262</v>
      </c>
      <c r="Q80" s="17">
        <v>413.37843727784258</v>
      </c>
      <c r="R80" s="17"/>
      <c r="S80" s="17"/>
      <c r="T80" s="17"/>
      <c r="U80" s="17">
        <f t="shared" si="17"/>
        <v>413.37843727784258</v>
      </c>
      <c r="V80" s="17"/>
      <c r="W80" s="17">
        <f>W56+W57+W58</f>
        <v>586.30791574784257</v>
      </c>
      <c r="X80" s="17"/>
      <c r="Y80" s="17"/>
      <c r="Z80" s="17"/>
      <c r="AA80" s="15">
        <f t="shared" si="18"/>
        <v>586.30791574784257</v>
      </c>
      <c r="AB80" s="17"/>
      <c r="AD80" s="630"/>
      <c r="AE80" s="630">
        <v>2356</v>
      </c>
      <c r="AG80" s="8" t="s">
        <v>119</v>
      </c>
      <c r="AJ80" s="24"/>
      <c r="AK80" s="24"/>
    </row>
    <row r="81" spans="1:39">
      <c r="A81" s="8" t="s">
        <v>1865</v>
      </c>
      <c r="B81" s="17"/>
      <c r="C81" s="17">
        <v>492.0964479999999</v>
      </c>
      <c r="D81" s="17"/>
      <c r="E81" s="18">
        <f>E55</f>
        <v>234.83759599999996</v>
      </c>
      <c r="F81" s="17"/>
      <c r="G81" s="18"/>
      <c r="H81" s="17"/>
      <c r="I81" s="17">
        <f t="shared" si="15"/>
        <v>234.83759599999996</v>
      </c>
      <c r="J81" s="17"/>
      <c r="K81" s="18">
        <f>K55</f>
        <v>-0.1198120000000472</v>
      </c>
      <c r="L81" s="17"/>
      <c r="M81" s="18"/>
      <c r="N81" s="17"/>
      <c r="O81" s="17">
        <f t="shared" si="16"/>
        <v>-0.1198120000000472</v>
      </c>
      <c r="Q81" s="18">
        <v>72.672535999999951</v>
      </c>
      <c r="R81" s="17"/>
      <c r="S81" s="17"/>
      <c r="T81" s="17"/>
      <c r="U81" s="17">
        <f t="shared" si="17"/>
        <v>72.672535999999951</v>
      </c>
      <c r="V81" s="17"/>
      <c r="W81" s="18">
        <f>W55</f>
        <v>31.223751999999958</v>
      </c>
      <c r="X81" s="17"/>
      <c r="Y81" s="18"/>
      <c r="Z81" s="17"/>
      <c r="AA81" s="15">
        <f t="shared" si="18"/>
        <v>31.223751999999958</v>
      </c>
      <c r="AB81" s="17"/>
      <c r="AC81" s="630">
        <f>AA79</f>
        <v>677.26520445489086</v>
      </c>
      <c r="AD81" s="630"/>
      <c r="AE81" s="630">
        <v>566</v>
      </c>
      <c r="AG81" s="8" t="s">
        <v>1866</v>
      </c>
      <c r="AJ81" s="24"/>
      <c r="AK81" s="24"/>
    </row>
    <row r="82" spans="1:39">
      <c r="A82" s="8" t="s">
        <v>1867</v>
      </c>
      <c r="B82" s="17"/>
      <c r="C82" s="17">
        <v>98.763868000000031</v>
      </c>
      <c r="D82" s="17"/>
      <c r="E82" s="18">
        <f>E59</f>
        <v>-1.7420839999999886</v>
      </c>
      <c r="F82" s="17"/>
      <c r="G82" s="18">
        <f>G62</f>
        <v>14.947999999999997</v>
      </c>
      <c r="H82" s="17"/>
      <c r="I82" s="17">
        <f t="shared" si="15"/>
        <v>13.205916000000009</v>
      </c>
      <c r="J82" s="17"/>
      <c r="K82" s="18">
        <f>K59</f>
        <v>0.17791600000001129</v>
      </c>
      <c r="L82" s="17"/>
      <c r="M82" s="18">
        <f>M62</f>
        <v>11.958399999999997</v>
      </c>
      <c r="N82" s="17"/>
      <c r="O82" s="17">
        <f t="shared" si="16"/>
        <v>12.136316000000008</v>
      </c>
      <c r="Q82" s="18">
        <v>-19.280155999999991</v>
      </c>
      <c r="R82" s="17"/>
      <c r="S82" s="17">
        <f>S62</f>
        <v>8.9687999999999963</v>
      </c>
      <c r="T82" s="17"/>
      <c r="U82" s="17">
        <f t="shared" si="17"/>
        <v>-10.311355999999995</v>
      </c>
      <c r="V82" s="17"/>
      <c r="W82" s="18">
        <f>W59</f>
        <v>-105.17142399999999</v>
      </c>
      <c r="X82" s="17"/>
      <c r="Y82" s="18">
        <f>Y62</f>
        <v>5.9791999999999961</v>
      </c>
      <c r="Z82" s="17"/>
      <c r="AA82" s="15">
        <f t="shared" si="18"/>
        <v>-99.192223999999996</v>
      </c>
      <c r="AB82" s="17"/>
      <c r="AC82" s="126">
        <f>AA84+W82</f>
        <v>135.62857600000001</v>
      </c>
      <c r="AD82" s="104"/>
      <c r="AE82" s="126">
        <v>221</v>
      </c>
      <c r="AG82" s="8" t="s">
        <v>6</v>
      </c>
      <c r="AJ82" s="19"/>
      <c r="AK82" s="19"/>
    </row>
    <row r="83" spans="1:39">
      <c r="A83" s="8" t="s">
        <v>1849</v>
      </c>
      <c r="B83" s="17"/>
      <c r="C83" s="17">
        <v>409.6</v>
      </c>
      <c r="D83" s="17"/>
      <c r="E83" s="18">
        <f>I67</f>
        <v>41.109200000000016</v>
      </c>
      <c r="F83" s="17"/>
      <c r="G83" s="18"/>
      <c r="H83" s="17"/>
      <c r="I83" s="17">
        <f t="shared" si="15"/>
        <v>41.109200000000016</v>
      </c>
      <c r="J83" s="17"/>
      <c r="K83" s="18">
        <f>O67</f>
        <v>0</v>
      </c>
      <c r="L83" s="17"/>
      <c r="M83" s="18"/>
      <c r="N83" s="17"/>
      <c r="O83" s="17">
        <f t="shared" si="16"/>
        <v>0</v>
      </c>
      <c r="Q83" s="18">
        <v>0</v>
      </c>
      <c r="R83" s="17"/>
      <c r="S83" s="17"/>
      <c r="T83" s="17"/>
      <c r="U83" s="17">
        <f t="shared" si="17"/>
        <v>0</v>
      </c>
      <c r="V83" s="17"/>
      <c r="W83" s="18"/>
      <c r="X83" s="17"/>
      <c r="Y83" s="18"/>
      <c r="Z83" s="17"/>
      <c r="AA83" s="15">
        <f t="shared" si="18"/>
        <v>0</v>
      </c>
      <c r="AB83" s="17"/>
      <c r="AC83" s="631">
        <f>SUM(AC78:AC82)</f>
        <v>1430.6140402027336</v>
      </c>
      <c r="AD83" s="23"/>
      <c r="AE83" s="631">
        <f>SUM(AE78:AE82)</f>
        <v>3681</v>
      </c>
      <c r="AG83" s="8" t="s">
        <v>437</v>
      </c>
      <c r="AJ83" s="17"/>
      <c r="AK83" s="17"/>
      <c r="AM83" s="24"/>
    </row>
    <row r="84" spans="1:39">
      <c r="A84" s="8" t="s">
        <v>1859</v>
      </c>
      <c r="B84" s="17"/>
      <c r="C84" s="17">
        <v>156.256</v>
      </c>
      <c r="D84" s="17"/>
      <c r="E84" s="18">
        <f>E70</f>
        <v>208.71620461445912</v>
      </c>
      <c r="F84" s="17"/>
      <c r="H84" s="17"/>
      <c r="I84" s="17">
        <f>SUM(E84:F84)</f>
        <v>208.71620461445912</v>
      </c>
      <c r="J84" s="17"/>
      <c r="K84" s="18">
        <f>K70</f>
        <v>238.71620461445912</v>
      </c>
      <c r="L84" s="17"/>
      <c r="N84" s="17"/>
      <c r="O84" s="17">
        <f>SUM(K84:L84)</f>
        <v>238.71620461445912</v>
      </c>
      <c r="Q84" s="18">
        <v>240.66460461445914</v>
      </c>
      <c r="R84" s="17"/>
      <c r="S84" s="7"/>
      <c r="T84" s="17"/>
      <c r="U84" s="17">
        <f>SUM(Q84:R84)</f>
        <v>240.66460461445914</v>
      </c>
      <c r="V84" s="17"/>
      <c r="W84" s="18">
        <f>W70</f>
        <v>240.8</v>
      </c>
      <c r="X84" s="17"/>
      <c r="Z84" s="17"/>
      <c r="AA84" s="15">
        <f t="shared" si="18"/>
        <v>240.8</v>
      </c>
      <c r="AB84" s="17"/>
      <c r="AC84" s="143">
        <f>AA87</f>
        <v>396.78810884266738</v>
      </c>
      <c r="AD84" s="143"/>
      <c r="AE84" s="143">
        <v>766</v>
      </c>
      <c r="AG84" s="8" t="s">
        <v>118</v>
      </c>
      <c r="AJ84" s="18"/>
      <c r="AK84" s="18"/>
    </row>
    <row r="85" spans="1:39">
      <c r="A85" s="8" t="s">
        <v>2283</v>
      </c>
      <c r="B85" s="17"/>
      <c r="C85" s="17"/>
      <c r="D85" s="17"/>
      <c r="E85" s="18"/>
      <c r="F85" s="17"/>
      <c r="H85" s="17"/>
      <c r="I85" s="17"/>
      <c r="J85" s="17"/>
      <c r="K85" s="18"/>
      <c r="L85" s="17"/>
      <c r="N85" s="17"/>
      <c r="O85" s="17"/>
      <c r="Q85" s="18"/>
      <c r="R85" s="17"/>
      <c r="S85" s="7"/>
      <c r="T85" s="17"/>
      <c r="U85" s="17"/>
      <c r="V85" s="17"/>
      <c r="W85" s="18"/>
      <c r="X85" s="17"/>
      <c r="Y85" s="24">
        <f>Y69</f>
        <v>3462.8440357828536</v>
      </c>
      <c r="Z85" s="17"/>
      <c r="AA85" s="15">
        <f t="shared" si="18"/>
        <v>3462.8440357828536</v>
      </c>
      <c r="AB85" s="17"/>
      <c r="AC85" s="630">
        <f>AA85</f>
        <v>3462.8440357828536</v>
      </c>
      <c r="AD85" s="143"/>
      <c r="AE85" s="143"/>
      <c r="AG85" s="8" t="s">
        <v>2280</v>
      </c>
      <c r="AJ85" s="18"/>
      <c r="AK85" s="18"/>
    </row>
    <row r="86" spans="1:39">
      <c r="A86" s="8" t="s">
        <v>1868</v>
      </c>
      <c r="B86" s="17"/>
      <c r="C86" s="17">
        <v>314.92150440252203</v>
      </c>
      <c r="D86" s="17"/>
      <c r="E86" s="17">
        <f>I68</f>
        <v>902.03380371970843</v>
      </c>
      <c r="F86" s="17"/>
      <c r="G86" s="18"/>
      <c r="H86" s="17"/>
      <c r="I86" s="17">
        <f>SUM(E86:G86)</f>
        <v>902.03380371970843</v>
      </c>
      <c r="J86" s="17"/>
      <c r="K86" s="17">
        <f>O68</f>
        <v>4477.8428254899445</v>
      </c>
      <c r="L86" s="17"/>
      <c r="M86" s="18"/>
      <c r="N86" s="17"/>
      <c r="O86" s="17">
        <f>SUM(K86:M86)</f>
        <v>4477.8428254899445</v>
      </c>
      <c r="Q86" s="17">
        <v>2355.6184844424329</v>
      </c>
      <c r="R86" s="17"/>
      <c r="S86" s="17"/>
      <c r="T86" s="17"/>
      <c r="U86" s="17">
        <f>SUM(Q86:S86)</f>
        <v>2355.6184844424329</v>
      </c>
      <c r="V86" s="17"/>
      <c r="W86" s="17">
        <f>AA68</f>
        <v>0</v>
      </c>
      <c r="X86" s="17"/>
      <c r="Y86" s="18"/>
      <c r="Z86" s="17"/>
      <c r="AA86" s="15">
        <f>SUM(W86:Y86)</f>
        <v>0</v>
      </c>
      <c r="AB86" s="17"/>
      <c r="AC86" s="614">
        <f>Y82</f>
        <v>5.9791999999999961</v>
      </c>
      <c r="AD86" s="23"/>
      <c r="AE86" s="614">
        <v>9</v>
      </c>
      <c r="AG86" s="8" t="s">
        <v>6</v>
      </c>
      <c r="AJ86" s="17"/>
      <c r="AK86" s="17"/>
    </row>
    <row r="87" spans="1:39">
      <c r="A87" s="8" t="s">
        <v>1869</v>
      </c>
      <c r="B87" s="17"/>
      <c r="C87" s="17">
        <v>1418.6762932300567</v>
      </c>
      <c r="D87" s="17"/>
      <c r="E87" s="18"/>
      <c r="F87" s="17"/>
      <c r="G87" s="18">
        <f>G60+G61</f>
        <v>1359.3778928426655</v>
      </c>
      <c r="H87" s="17"/>
      <c r="I87" s="17">
        <f>SUM(E87:G87)</f>
        <v>1359.3778928426655</v>
      </c>
      <c r="J87" s="17"/>
      <c r="K87" s="18"/>
      <c r="L87" s="17"/>
      <c r="M87" s="18">
        <f>M60+M61</f>
        <v>839.62086884266728</v>
      </c>
      <c r="N87" s="17"/>
      <c r="O87" s="17">
        <f>SUM(K87:M87)</f>
        <v>839.62086884266728</v>
      </c>
      <c r="Q87" s="18"/>
      <c r="R87" s="17"/>
      <c r="S87" s="17">
        <f>S60+S61</f>
        <v>766.0958248426673</v>
      </c>
      <c r="T87" s="17"/>
      <c r="U87" s="17">
        <f>SUM(Q87:S87)</f>
        <v>766.0958248426673</v>
      </c>
      <c r="V87" s="17"/>
      <c r="W87" s="18"/>
      <c r="X87" s="17"/>
      <c r="Y87" s="18">
        <f>Y60+Y61</f>
        <v>396.78810884266738</v>
      </c>
      <c r="Z87" s="17"/>
      <c r="AA87" s="15">
        <f t="shared" si="18"/>
        <v>396.78810884266738</v>
      </c>
      <c r="AB87" s="17"/>
      <c r="AC87" s="614">
        <f>SUM(AC84:AC86)</f>
        <v>3865.6113446255213</v>
      </c>
      <c r="AD87" s="23"/>
      <c r="AE87" s="614">
        <f>SUM(AE84:AE86)</f>
        <v>775</v>
      </c>
      <c r="AG87" s="8" t="s">
        <v>1870</v>
      </c>
      <c r="AJ87" s="17"/>
      <c r="AK87" s="17"/>
      <c r="AM87" s="24"/>
    </row>
    <row r="88" spans="1:39" ht="13.5" thickBot="1">
      <c r="B88" s="27"/>
      <c r="C88" s="28">
        <f>SUM(C78:C87)</f>
        <v>5214.2433284284216</v>
      </c>
      <c r="D88" s="27"/>
      <c r="E88" s="28">
        <f>SUM(E78:E87)</f>
        <v>2894.0540191492105</v>
      </c>
      <c r="F88" s="27"/>
      <c r="G88" s="28">
        <f>SUM(G78:G87)</f>
        <v>1374.3258928426656</v>
      </c>
      <c r="H88" s="27"/>
      <c r="I88" s="28">
        <f>SUM(I78:I87)</f>
        <v>4268.3799119918758</v>
      </c>
      <c r="J88" s="27"/>
      <c r="K88" s="28">
        <f>SUM(K78:K87)</f>
        <v>5814.1067265002457</v>
      </c>
      <c r="L88" s="27"/>
      <c r="M88" s="28">
        <f>SUM(M78:M87)</f>
        <v>851.57926884266726</v>
      </c>
      <c r="N88" s="27"/>
      <c r="O88" s="28">
        <f>SUM(O78:O87)</f>
        <v>6665.6859953429139</v>
      </c>
      <c r="Q88" s="28">
        <v>3680.9434099532045</v>
      </c>
      <c r="S88" s="28">
        <f>SUM(S78:S87)</f>
        <v>775.06462484266729</v>
      </c>
      <c r="U88" s="28">
        <f>SUM(U78:U87)</f>
        <v>4456.008588580693</v>
      </c>
      <c r="V88" s="27"/>
      <c r="W88" s="28">
        <f>SUM(W78:W87)</f>
        <v>1430.6140402027333</v>
      </c>
      <c r="X88" s="27"/>
      <c r="Y88" s="28">
        <f>SUM(Y78:Y87)</f>
        <v>3865.6113446255213</v>
      </c>
      <c r="Z88" s="27"/>
      <c r="AA88" s="28">
        <f>SUM(AA78:AA87)</f>
        <v>5296.2253848282544</v>
      </c>
      <c r="AB88" s="27"/>
      <c r="AC88" s="632">
        <f>AC83+AC87</f>
        <v>5296.2253848282544</v>
      </c>
      <c r="AD88" s="617"/>
      <c r="AE88" s="632">
        <f>AE83+AE87</f>
        <v>4456</v>
      </c>
      <c r="AG88" s="8" t="s">
        <v>1871</v>
      </c>
      <c r="AJ88" s="27"/>
      <c r="AK88" s="27"/>
    </row>
    <row r="89" spans="1:39" ht="13.5" thickTop="1">
      <c r="E89" s="22"/>
      <c r="K89" s="22"/>
      <c r="L89" s="7"/>
      <c r="N89" s="7"/>
      <c r="V89" s="7"/>
      <c r="W89" s="22"/>
      <c r="X89" s="7"/>
      <c r="Z89" s="7"/>
    </row>
    <row r="90" spans="1:39">
      <c r="A90" s="8" t="s">
        <v>1872</v>
      </c>
      <c r="B90" s="19"/>
      <c r="C90" s="24">
        <v>3657</v>
      </c>
      <c r="I90" s="24">
        <f>E88</f>
        <v>2894.0540191492105</v>
      </c>
      <c r="L90" s="7"/>
      <c r="N90" s="7"/>
      <c r="O90" s="24">
        <f>K88</f>
        <v>5814.1067265002457</v>
      </c>
      <c r="U90" s="24">
        <f>Q88</f>
        <v>3680.9434099532045</v>
      </c>
      <c r="V90" s="7"/>
      <c r="X90" s="7"/>
      <c r="Z90" s="7"/>
      <c r="AA90" s="24">
        <f>AC83</f>
        <v>1430.6140402027336</v>
      </c>
      <c r="AB90" s="24"/>
      <c r="AE90" s="633">
        <f>AC88-AE88</f>
        <v>840.22538482825439</v>
      </c>
      <c r="AF90" s="605" t="s">
        <v>2279</v>
      </c>
      <c r="AG90" s="605"/>
      <c r="AH90" s="605"/>
      <c r="AI90" s="605"/>
    </row>
    <row r="91" spans="1:39">
      <c r="A91" s="8" t="s">
        <v>1873</v>
      </c>
      <c r="B91" s="19"/>
      <c r="C91" s="24">
        <v>1608</v>
      </c>
      <c r="I91" s="24">
        <f>G88</f>
        <v>1374.3258928426656</v>
      </c>
      <c r="L91" s="7"/>
      <c r="N91" s="7"/>
      <c r="O91" s="24">
        <f>M88</f>
        <v>851.57926884266726</v>
      </c>
      <c r="U91" s="24">
        <f>S88</f>
        <v>775.06462484266729</v>
      </c>
      <c r="V91" s="7"/>
      <c r="X91" s="7"/>
      <c r="Z91" s="7"/>
      <c r="AA91" s="24">
        <f>AC87</f>
        <v>3865.6113446255213</v>
      </c>
      <c r="AB91" s="24"/>
      <c r="AE91" s="634" t="s">
        <v>1874</v>
      </c>
    </row>
    <row r="92" spans="1:39" ht="13.5" thickBot="1">
      <c r="A92" s="8" t="s">
        <v>1875</v>
      </c>
      <c r="B92" s="17"/>
      <c r="C92" s="28">
        <f>SUM(C90:C91)</f>
        <v>5265</v>
      </c>
      <c r="I92" s="28">
        <f>SUM(I90:I91)</f>
        <v>4268.3799119918758</v>
      </c>
      <c r="L92" s="7"/>
      <c r="N92" s="7"/>
      <c r="O92" s="28">
        <f>SUM(O90:O91)</f>
        <v>6665.685995342913</v>
      </c>
      <c r="U92" s="28">
        <f>SUM(U90:U91)</f>
        <v>4456.0080347958719</v>
      </c>
      <c r="V92" s="7"/>
      <c r="X92" s="7"/>
      <c r="Z92" s="7"/>
      <c r="AA92" s="28">
        <f>SUM(AA90:AA91)</f>
        <v>5296.2253848282544</v>
      </c>
      <c r="AB92" s="27"/>
      <c r="AE92" s="630"/>
    </row>
    <row r="93" spans="1:39" ht="13.5" thickTop="1">
      <c r="AA93" s="22">
        <f>AA74-AA88</f>
        <v>0</v>
      </c>
      <c r="AE93" s="143"/>
    </row>
    <row r="94" spans="1:39">
      <c r="AE94" s="630"/>
      <c r="AG94" s="18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5" tint="0.39997558519241921"/>
    <pageSetUpPr fitToPage="1"/>
  </sheetPr>
  <dimension ref="A1:AD73"/>
  <sheetViews>
    <sheetView topLeftCell="A19" zoomScale="80" zoomScaleNormal="80" workbookViewId="0">
      <selection activeCell="L44" sqref="L44"/>
    </sheetView>
  </sheetViews>
  <sheetFormatPr defaultRowHeight="13"/>
  <cols>
    <col min="1" max="1" width="10" style="8" customWidth="1"/>
    <col min="2" max="2" width="37.54296875" style="8" customWidth="1"/>
    <col min="3" max="3" width="5" style="8" customWidth="1"/>
    <col min="4" max="4" width="10.54296875" style="8" customWidth="1"/>
    <col min="5" max="5" width="1.453125" style="8" customWidth="1"/>
    <col min="6" max="6" width="11.26953125" style="8" bestFit="1" customWidth="1"/>
    <col min="7" max="7" width="1" style="8" customWidth="1"/>
    <col min="8" max="8" width="10.453125" style="8" customWidth="1"/>
    <col min="9" max="9" width="3" style="8" customWidth="1"/>
    <col min="10" max="10" width="11.81640625" style="8" customWidth="1"/>
    <col min="11" max="11" width="2.1796875" style="8" customWidth="1"/>
    <col min="12" max="12" width="12.1796875" style="8" customWidth="1"/>
    <col min="13" max="13" width="2.1796875" style="8" customWidth="1"/>
    <col min="14" max="14" width="13" style="8" customWidth="1"/>
    <col min="15" max="15" width="1.26953125" style="8" customWidth="1"/>
    <col min="16" max="16" width="9.81640625" style="8" customWidth="1"/>
    <col min="17" max="17" width="1.81640625" style="8" customWidth="1"/>
    <col min="18" max="18" width="11.26953125" style="8" bestFit="1" customWidth="1"/>
    <col min="19" max="19" width="0.81640625" style="8" customWidth="1"/>
    <col min="20" max="20" width="9.26953125" style="8" customWidth="1"/>
    <col min="21" max="21" width="1.7265625" style="8" customWidth="1"/>
    <col min="22" max="22" width="15" style="8" customWidth="1"/>
    <col min="23" max="23" width="1.453125" style="8" customWidth="1"/>
    <col min="24" max="24" width="14.7265625" style="8" customWidth="1"/>
    <col min="25" max="25" width="1.26953125" style="8" customWidth="1"/>
    <col min="26" max="26" width="15.1796875" style="8" customWidth="1"/>
    <col min="27" max="27" width="1.1796875" style="8" customWidth="1"/>
    <col min="28" max="28" width="10.26953125" style="8" bestFit="1" customWidth="1"/>
    <col min="29" max="29" width="1.1796875" style="8" customWidth="1"/>
    <col min="30" max="201" width="9.1796875" style="8"/>
    <col min="202" max="202" width="53.453125" style="8" customWidth="1"/>
    <col min="203" max="203" width="0.81640625" style="8" customWidth="1"/>
    <col min="204" max="204" width="13.54296875" style="8" bestFit="1" customWidth="1"/>
    <col min="205" max="205" width="0.7265625" style="8" customWidth="1"/>
    <col min="206" max="206" width="15.81640625" style="8" bestFit="1" customWidth="1"/>
    <col min="207" max="207" width="1.1796875" style="8" customWidth="1"/>
    <col min="208" max="208" width="12.26953125" style="8" bestFit="1" customWidth="1"/>
    <col min="209" max="209" width="0.81640625" style="8" customWidth="1"/>
    <col min="210" max="210" width="10.54296875" style="8" customWidth="1"/>
    <col min="211" max="211" width="1.26953125" style="8" customWidth="1"/>
    <col min="212" max="212" width="12.26953125" style="8" bestFit="1" customWidth="1"/>
    <col min="213" max="213" width="0.81640625" style="8" customWidth="1"/>
    <col min="214" max="214" width="12.1796875" style="8" customWidth="1"/>
    <col min="215" max="215" width="1" style="8" customWidth="1"/>
    <col min="216" max="216" width="11" style="8" customWidth="1"/>
    <col min="217" max="217" width="1.54296875" style="8" customWidth="1"/>
    <col min="218" max="218" width="10.7265625" style="8" bestFit="1" customWidth="1"/>
    <col min="219" max="219" width="1.1796875" style="8" customWidth="1"/>
    <col min="220" max="220" width="8.54296875" style="8" bestFit="1" customWidth="1"/>
    <col min="221" max="221" width="1.81640625" style="8" customWidth="1"/>
    <col min="222" max="222" width="12.1796875" style="8" customWidth="1"/>
    <col min="223" max="223" width="1.1796875" style="8" customWidth="1"/>
    <col min="224" max="224" width="9.1796875" style="8"/>
    <col min="225" max="225" width="0.54296875" style="8" customWidth="1"/>
    <col min="226" max="226" width="22" style="8" customWidth="1"/>
    <col min="227" max="227" width="0.54296875" style="8" customWidth="1"/>
    <col min="228" max="228" width="9.1796875" style="8"/>
    <col min="229" max="229" width="0.7265625" style="8" customWidth="1"/>
    <col min="230" max="230" width="15.7265625" style="8" bestFit="1" customWidth="1"/>
    <col min="231" max="231" width="0.7265625" style="8" customWidth="1"/>
    <col min="232" max="457" width="9.1796875" style="8"/>
    <col min="458" max="458" width="53.453125" style="8" customWidth="1"/>
    <col min="459" max="459" width="0.81640625" style="8" customWidth="1"/>
    <col min="460" max="460" width="13.54296875" style="8" bestFit="1" customWidth="1"/>
    <col min="461" max="461" width="0.7265625" style="8" customWidth="1"/>
    <col min="462" max="462" width="15.81640625" style="8" bestFit="1" customWidth="1"/>
    <col min="463" max="463" width="1.1796875" style="8" customWidth="1"/>
    <col min="464" max="464" width="12.26953125" style="8" bestFit="1" customWidth="1"/>
    <col min="465" max="465" width="0.81640625" style="8" customWidth="1"/>
    <col min="466" max="466" width="10.54296875" style="8" customWidth="1"/>
    <col min="467" max="467" width="1.26953125" style="8" customWidth="1"/>
    <col min="468" max="468" width="12.26953125" style="8" bestFit="1" customWidth="1"/>
    <col min="469" max="469" width="0.81640625" style="8" customWidth="1"/>
    <col min="470" max="470" width="12.1796875" style="8" customWidth="1"/>
    <col min="471" max="471" width="1" style="8" customWidth="1"/>
    <col min="472" max="472" width="11" style="8" customWidth="1"/>
    <col min="473" max="473" width="1.54296875" style="8" customWidth="1"/>
    <col min="474" max="474" width="10.7265625" style="8" bestFit="1" customWidth="1"/>
    <col min="475" max="475" width="1.1796875" style="8" customWidth="1"/>
    <col min="476" max="476" width="8.54296875" style="8" bestFit="1" customWidth="1"/>
    <col min="477" max="477" width="1.81640625" style="8" customWidth="1"/>
    <col min="478" max="478" width="12.1796875" style="8" customWidth="1"/>
    <col min="479" max="479" width="1.1796875" style="8" customWidth="1"/>
    <col min="480" max="480" width="9.1796875" style="8"/>
    <col min="481" max="481" width="0.54296875" style="8" customWidth="1"/>
    <col min="482" max="482" width="22" style="8" customWidth="1"/>
    <col min="483" max="483" width="0.54296875" style="8" customWidth="1"/>
    <col min="484" max="484" width="9.1796875" style="8"/>
    <col min="485" max="485" width="0.7265625" style="8" customWidth="1"/>
    <col min="486" max="486" width="15.7265625" style="8" bestFit="1" customWidth="1"/>
    <col min="487" max="487" width="0.7265625" style="8" customWidth="1"/>
    <col min="488" max="713" width="9.1796875" style="8"/>
    <col min="714" max="714" width="53.453125" style="8" customWidth="1"/>
    <col min="715" max="715" width="0.81640625" style="8" customWidth="1"/>
    <col min="716" max="716" width="13.54296875" style="8" bestFit="1" customWidth="1"/>
    <col min="717" max="717" width="0.7265625" style="8" customWidth="1"/>
    <col min="718" max="718" width="15.81640625" style="8" bestFit="1" customWidth="1"/>
    <col min="719" max="719" width="1.1796875" style="8" customWidth="1"/>
    <col min="720" max="720" width="12.26953125" style="8" bestFit="1" customWidth="1"/>
    <col min="721" max="721" width="0.81640625" style="8" customWidth="1"/>
    <col min="722" max="722" width="10.54296875" style="8" customWidth="1"/>
    <col min="723" max="723" width="1.26953125" style="8" customWidth="1"/>
    <col min="724" max="724" width="12.26953125" style="8" bestFit="1" customWidth="1"/>
    <col min="725" max="725" width="0.81640625" style="8" customWidth="1"/>
    <col min="726" max="726" width="12.1796875" style="8" customWidth="1"/>
    <col min="727" max="727" width="1" style="8" customWidth="1"/>
    <col min="728" max="728" width="11" style="8" customWidth="1"/>
    <col min="729" max="729" width="1.54296875" style="8" customWidth="1"/>
    <col min="730" max="730" width="10.7265625" style="8" bestFit="1" customWidth="1"/>
    <col min="731" max="731" width="1.1796875" style="8" customWidth="1"/>
    <col min="732" max="732" width="8.54296875" style="8" bestFit="1" customWidth="1"/>
    <col min="733" max="733" width="1.81640625" style="8" customWidth="1"/>
    <col min="734" max="734" width="12.1796875" style="8" customWidth="1"/>
    <col min="735" max="735" width="1.1796875" style="8" customWidth="1"/>
    <col min="736" max="736" width="9.1796875" style="8"/>
    <col min="737" max="737" width="0.54296875" style="8" customWidth="1"/>
    <col min="738" max="738" width="22" style="8" customWidth="1"/>
    <col min="739" max="739" width="0.54296875" style="8" customWidth="1"/>
    <col min="740" max="740" width="9.1796875" style="8"/>
    <col min="741" max="741" width="0.7265625" style="8" customWidth="1"/>
    <col min="742" max="742" width="15.7265625" style="8" bestFit="1" customWidth="1"/>
    <col min="743" max="743" width="0.7265625" style="8" customWidth="1"/>
    <col min="744" max="969" width="9.1796875" style="8"/>
    <col min="970" max="970" width="53.453125" style="8" customWidth="1"/>
    <col min="971" max="971" width="0.81640625" style="8" customWidth="1"/>
    <col min="972" max="972" width="13.54296875" style="8" bestFit="1" customWidth="1"/>
    <col min="973" max="973" width="0.7265625" style="8" customWidth="1"/>
    <col min="974" max="974" width="15.81640625" style="8" bestFit="1" customWidth="1"/>
    <col min="975" max="975" width="1.1796875" style="8" customWidth="1"/>
    <col min="976" max="976" width="12.26953125" style="8" bestFit="1" customWidth="1"/>
    <col min="977" max="977" width="0.81640625" style="8" customWidth="1"/>
    <col min="978" max="978" width="10.54296875" style="8" customWidth="1"/>
    <col min="979" max="979" width="1.26953125" style="8" customWidth="1"/>
    <col min="980" max="980" width="12.26953125" style="8" bestFit="1" customWidth="1"/>
    <col min="981" max="981" width="0.81640625" style="8" customWidth="1"/>
    <col min="982" max="982" width="12.1796875" style="8" customWidth="1"/>
    <col min="983" max="983" width="1" style="8" customWidth="1"/>
    <col min="984" max="984" width="11" style="8" customWidth="1"/>
    <col min="985" max="985" width="1.54296875" style="8" customWidth="1"/>
    <col min="986" max="986" width="10.7265625" style="8" bestFit="1" customWidth="1"/>
    <col min="987" max="987" width="1.1796875" style="8" customWidth="1"/>
    <col min="988" max="988" width="8.54296875" style="8" bestFit="1" customWidth="1"/>
    <col min="989" max="989" width="1.81640625" style="8" customWidth="1"/>
    <col min="990" max="990" width="12.1796875" style="8" customWidth="1"/>
    <col min="991" max="991" width="1.1796875" style="8" customWidth="1"/>
    <col min="992" max="992" width="9.1796875" style="8"/>
    <col min="993" max="993" width="0.54296875" style="8" customWidth="1"/>
    <col min="994" max="994" width="22" style="8" customWidth="1"/>
    <col min="995" max="995" width="0.54296875" style="8" customWidth="1"/>
    <col min="996" max="996" width="9.1796875" style="8"/>
    <col min="997" max="997" width="0.7265625" style="8" customWidth="1"/>
    <col min="998" max="998" width="15.7265625" style="8" bestFit="1" customWidth="1"/>
    <col min="999" max="999" width="0.7265625" style="8" customWidth="1"/>
    <col min="1000" max="1225" width="9.1796875" style="8"/>
    <col min="1226" max="1226" width="53.453125" style="8" customWidth="1"/>
    <col min="1227" max="1227" width="0.81640625" style="8" customWidth="1"/>
    <col min="1228" max="1228" width="13.54296875" style="8" bestFit="1" customWidth="1"/>
    <col min="1229" max="1229" width="0.7265625" style="8" customWidth="1"/>
    <col min="1230" max="1230" width="15.81640625" style="8" bestFit="1" customWidth="1"/>
    <col min="1231" max="1231" width="1.1796875" style="8" customWidth="1"/>
    <col min="1232" max="1232" width="12.26953125" style="8" bestFit="1" customWidth="1"/>
    <col min="1233" max="1233" width="0.81640625" style="8" customWidth="1"/>
    <col min="1234" max="1234" width="10.54296875" style="8" customWidth="1"/>
    <col min="1235" max="1235" width="1.26953125" style="8" customWidth="1"/>
    <col min="1236" max="1236" width="12.26953125" style="8" bestFit="1" customWidth="1"/>
    <col min="1237" max="1237" width="0.81640625" style="8" customWidth="1"/>
    <col min="1238" max="1238" width="12.1796875" style="8" customWidth="1"/>
    <col min="1239" max="1239" width="1" style="8" customWidth="1"/>
    <col min="1240" max="1240" width="11" style="8" customWidth="1"/>
    <col min="1241" max="1241" width="1.54296875" style="8" customWidth="1"/>
    <col min="1242" max="1242" width="10.7265625" style="8" bestFit="1" customWidth="1"/>
    <col min="1243" max="1243" width="1.1796875" style="8" customWidth="1"/>
    <col min="1244" max="1244" width="8.54296875" style="8" bestFit="1" customWidth="1"/>
    <col min="1245" max="1245" width="1.81640625" style="8" customWidth="1"/>
    <col min="1246" max="1246" width="12.1796875" style="8" customWidth="1"/>
    <col min="1247" max="1247" width="1.1796875" style="8" customWidth="1"/>
    <col min="1248" max="1248" width="9.1796875" style="8"/>
    <col min="1249" max="1249" width="0.54296875" style="8" customWidth="1"/>
    <col min="1250" max="1250" width="22" style="8" customWidth="1"/>
    <col min="1251" max="1251" width="0.54296875" style="8" customWidth="1"/>
    <col min="1252" max="1252" width="9.1796875" style="8"/>
    <col min="1253" max="1253" width="0.7265625" style="8" customWidth="1"/>
    <col min="1254" max="1254" width="15.7265625" style="8" bestFit="1" customWidth="1"/>
    <col min="1255" max="1255" width="0.7265625" style="8" customWidth="1"/>
    <col min="1256" max="1481" width="9.1796875" style="8"/>
    <col min="1482" max="1482" width="53.453125" style="8" customWidth="1"/>
    <col min="1483" max="1483" width="0.81640625" style="8" customWidth="1"/>
    <col min="1484" max="1484" width="13.54296875" style="8" bestFit="1" customWidth="1"/>
    <col min="1485" max="1485" width="0.7265625" style="8" customWidth="1"/>
    <col min="1486" max="1486" width="15.81640625" style="8" bestFit="1" customWidth="1"/>
    <col min="1487" max="1487" width="1.1796875" style="8" customWidth="1"/>
    <col min="1488" max="1488" width="12.26953125" style="8" bestFit="1" customWidth="1"/>
    <col min="1489" max="1489" width="0.81640625" style="8" customWidth="1"/>
    <col min="1490" max="1490" width="10.54296875" style="8" customWidth="1"/>
    <col min="1491" max="1491" width="1.26953125" style="8" customWidth="1"/>
    <col min="1492" max="1492" width="12.26953125" style="8" bestFit="1" customWidth="1"/>
    <col min="1493" max="1493" width="0.81640625" style="8" customWidth="1"/>
    <col min="1494" max="1494" width="12.1796875" style="8" customWidth="1"/>
    <col min="1495" max="1495" width="1" style="8" customWidth="1"/>
    <col min="1496" max="1496" width="11" style="8" customWidth="1"/>
    <col min="1497" max="1497" width="1.54296875" style="8" customWidth="1"/>
    <col min="1498" max="1498" width="10.7265625" style="8" bestFit="1" customWidth="1"/>
    <col min="1499" max="1499" width="1.1796875" style="8" customWidth="1"/>
    <col min="1500" max="1500" width="8.54296875" style="8" bestFit="1" customWidth="1"/>
    <col min="1501" max="1501" width="1.81640625" style="8" customWidth="1"/>
    <col min="1502" max="1502" width="12.1796875" style="8" customWidth="1"/>
    <col min="1503" max="1503" width="1.1796875" style="8" customWidth="1"/>
    <col min="1504" max="1504" width="9.1796875" style="8"/>
    <col min="1505" max="1505" width="0.54296875" style="8" customWidth="1"/>
    <col min="1506" max="1506" width="22" style="8" customWidth="1"/>
    <col min="1507" max="1507" width="0.54296875" style="8" customWidth="1"/>
    <col min="1508" max="1508" width="9.1796875" style="8"/>
    <col min="1509" max="1509" width="0.7265625" style="8" customWidth="1"/>
    <col min="1510" max="1510" width="15.7265625" style="8" bestFit="1" customWidth="1"/>
    <col min="1511" max="1511" width="0.7265625" style="8" customWidth="1"/>
    <col min="1512" max="1737" width="9.1796875" style="8"/>
    <col min="1738" max="1738" width="53.453125" style="8" customWidth="1"/>
    <col min="1739" max="1739" width="0.81640625" style="8" customWidth="1"/>
    <col min="1740" max="1740" width="13.54296875" style="8" bestFit="1" customWidth="1"/>
    <col min="1741" max="1741" width="0.7265625" style="8" customWidth="1"/>
    <col min="1742" max="1742" width="15.81640625" style="8" bestFit="1" customWidth="1"/>
    <col min="1743" max="1743" width="1.1796875" style="8" customWidth="1"/>
    <col min="1744" max="1744" width="12.26953125" style="8" bestFit="1" customWidth="1"/>
    <col min="1745" max="1745" width="0.81640625" style="8" customWidth="1"/>
    <col min="1746" max="1746" width="10.54296875" style="8" customWidth="1"/>
    <col min="1747" max="1747" width="1.26953125" style="8" customWidth="1"/>
    <col min="1748" max="1748" width="12.26953125" style="8" bestFit="1" customWidth="1"/>
    <col min="1749" max="1749" width="0.81640625" style="8" customWidth="1"/>
    <col min="1750" max="1750" width="12.1796875" style="8" customWidth="1"/>
    <col min="1751" max="1751" width="1" style="8" customWidth="1"/>
    <col min="1752" max="1752" width="11" style="8" customWidth="1"/>
    <col min="1753" max="1753" width="1.54296875" style="8" customWidth="1"/>
    <col min="1754" max="1754" width="10.7265625" style="8" bestFit="1" customWidth="1"/>
    <col min="1755" max="1755" width="1.1796875" style="8" customWidth="1"/>
    <col min="1756" max="1756" width="8.54296875" style="8" bestFit="1" customWidth="1"/>
    <col min="1757" max="1757" width="1.81640625" style="8" customWidth="1"/>
    <col min="1758" max="1758" width="12.1796875" style="8" customWidth="1"/>
    <col min="1759" max="1759" width="1.1796875" style="8" customWidth="1"/>
    <col min="1760" max="1760" width="9.1796875" style="8"/>
    <col min="1761" max="1761" width="0.54296875" style="8" customWidth="1"/>
    <col min="1762" max="1762" width="22" style="8" customWidth="1"/>
    <col min="1763" max="1763" width="0.54296875" style="8" customWidth="1"/>
    <col min="1764" max="1764" width="9.1796875" style="8"/>
    <col min="1765" max="1765" width="0.7265625" style="8" customWidth="1"/>
    <col min="1766" max="1766" width="15.7265625" style="8" bestFit="1" customWidth="1"/>
    <col min="1767" max="1767" width="0.7265625" style="8" customWidth="1"/>
    <col min="1768" max="1993" width="9.1796875" style="8"/>
    <col min="1994" max="1994" width="53.453125" style="8" customWidth="1"/>
    <col min="1995" max="1995" width="0.81640625" style="8" customWidth="1"/>
    <col min="1996" max="1996" width="13.54296875" style="8" bestFit="1" customWidth="1"/>
    <col min="1997" max="1997" width="0.7265625" style="8" customWidth="1"/>
    <col min="1998" max="1998" width="15.81640625" style="8" bestFit="1" customWidth="1"/>
    <col min="1999" max="1999" width="1.1796875" style="8" customWidth="1"/>
    <col min="2000" max="2000" width="12.26953125" style="8" bestFit="1" customWidth="1"/>
    <col min="2001" max="2001" width="0.81640625" style="8" customWidth="1"/>
    <col min="2002" max="2002" width="10.54296875" style="8" customWidth="1"/>
    <col min="2003" max="2003" width="1.26953125" style="8" customWidth="1"/>
    <col min="2004" max="2004" width="12.26953125" style="8" bestFit="1" customWidth="1"/>
    <col min="2005" max="2005" width="0.81640625" style="8" customWidth="1"/>
    <col min="2006" max="2006" width="12.1796875" style="8" customWidth="1"/>
    <col min="2007" max="2007" width="1" style="8" customWidth="1"/>
    <col min="2008" max="2008" width="11" style="8" customWidth="1"/>
    <col min="2009" max="2009" width="1.54296875" style="8" customWidth="1"/>
    <col min="2010" max="2010" width="10.7265625" style="8" bestFit="1" customWidth="1"/>
    <col min="2011" max="2011" width="1.1796875" style="8" customWidth="1"/>
    <col min="2012" max="2012" width="8.54296875" style="8" bestFit="1" customWidth="1"/>
    <col min="2013" max="2013" width="1.81640625" style="8" customWidth="1"/>
    <col min="2014" max="2014" width="12.1796875" style="8" customWidth="1"/>
    <col min="2015" max="2015" width="1.1796875" style="8" customWidth="1"/>
    <col min="2016" max="2016" width="9.1796875" style="8"/>
    <col min="2017" max="2017" width="0.54296875" style="8" customWidth="1"/>
    <col min="2018" max="2018" width="22" style="8" customWidth="1"/>
    <col min="2019" max="2019" width="0.54296875" style="8" customWidth="1"/>
    <col min="2020" max="2020" width="9.1796875" style="8"/>
    <col min="2021" max="2021" width="0.7265625" style="8" customWidth="1"/>
    <col min="2022" max="2022" width="15.7265625" style="8" bestFit="1" customWidth="1"/>
    <col min="2023" max="2023" width="0.7265625" style="8" customWidth="1"/>
    <col min="2024" max="2249" width="9.1796875" style="8"/>
    <col min="2250" max="2250" width="53.453125" style="8" customWidth="1"/>
    <col min="2251" max="2251" width="0.81640625" style="8" customWidth="1"/>
    <col min="2252" max="2252" width="13.54296875" style="8" bestFit="1" customWidth="1"/>
    <col min="2253" max="2253" width="0.7265625" style="8" customWidth="1"/>
    <col min="2254" max="2254" width="15.81640625" style="8" bestFit="1" customWidth="1"/>
    <col min="2255" max="2255" width="1.1796875" style="8" customWidth="1"/>
    <col min="2256" max="2256" width="12.26953125" style="8" bestFit="1" customWidth="1"/>
    <col min="2257" max="2257" width="0.81640625" style="8" customWidth="1"/>
    <col min="2258" max="2258" width="10.54296875" style="8" customWidth="1"/>
    <col min="2259" max="2259" width="1.26953125" style="8" customWidth="1"/>
    <col min="2260" max="2260" width="12.26953125" style="8" bestFit="1" customWidth="1"/>
    <col min="2261" max="2261" width="0.81640625" style="8" customWidth="1"/>
    <col min="2262" max="2262" width="12.1796875" style="8" customWidth="1"/>
    <col min="2263" max="2263" width="1" style="8" customWidth="1"/>
    <col min="2264" max="2264" width="11" style="8" customWidth="1"/>
    <col min="2265" max="2265" width="1.54296875" style="8" customWidth="1"/>
    <col min="2266" max="2266" width="10.7265625" style="8" bestFit="1" customWidth="1"/>
    <col min="2267" max="2267" width="1.1796875" style="8" customWidth="1"/>
    <col min="2268" max="2268" width="8.54296875" style="8" bestFit="1" customWidth="1"/>
    <col min="2269" max="2269" width="1.81640625" style="8" customWidth="1"/>
    <col min="2270" max="2270" width="12.1796875" style="8" customWidth="1"/>
    <col min="2271" max="2271" width="1.1796875" style="8" customWidth="1"/>
    <col min="2272" max="2272" width="9.1796875" style="8"/>
    <col min="2273" max="2273" width="0.54296875" style="8" customWidth="1"/>
    <col min="2274" max="2274" width="22" style="8" customWidth="1"/>
    <col min="2275" max="2275" width="0.54296875" style="8" customWidth="1"/>
    <col min="2276" max="2276" width="9.1796875" style="8"/>
    <col min="2277" max="2277" width="0.7265625" style="8" customWidth="1"/>
    <col min="2278" max="2278" width="15.7265625" style="8" bestFit="1" customWidth="1"/>
    <col min="2279" max="2279" width="0.7265625" style="8" customWidth="1"/>
    <col min="2280" max="2505" width="9.1796875" style="8"/>
    <col min="2506" max="2506" width="53.453125" style="8" customWidth="1"/>
    <col min="2507" max="2507" width="0.81640625" style="8" customWidth="1"/>
    <col min="2508" max="2508" width="13.54296875" style="8" bestFit="1" customWidth="1"/>
    <col min="2509" max="2509" width="0.7265625" style="8" customWidth="1"/>
    <col min="2510" max="2510" width="15.81640625" style="8" bestFit="1" customWidth="1"/>
    <col min="2511" max="2511" width="1.1796875" style="8" customWidth="1"/>
    <col min="2512" max="2512" width="12.26953125" style="8" bestFit="1" customWidth="1"/>
    <col min="2513" max="2513" width="0.81640625" style="8" customWidth="1"/>
    <col min="2514" max="2514" width="10.54296875" style="8" customWidth="1"/>
    <col min="2515" max="2515" width="1.26953125" style="8" customWidth="1"/>
    <col min="2516" max="2516" width="12.26953125" style="8" bestFit="1" customWidth="1"/>
    <col min="2517" max="2517" width="0.81640625" style="8" customWidth="1"/>
    <col min="2518" max="2518" width="12.1796875" style="8" customWidth="1"/>
    <col min="2519" max="2519" width="1" style="8" customWidth="1"/>
    <col min="2520" max="2520" width="11" style="8" customWidth="1"/>
    <col min="2521" max="2521" width="1.54296875" style="8" customWidth="1"/>
    <col min="2522" max="2522" width="10.7265625" style="8" bestFit="1" customWidth="1"/>
    <col min="2523" max="2523" width="1.1796875" style="8" customWidth="1"/>
    <col min="2524" max="2524" width="8.54296875" style="8" bestFit="1" customWidth="1"/>
    <col min="2525" max="2525" width="1.81640625" style="8" customWidth="1"/>
    <col min="2526" max="2526" width="12.1796875" style="8" customWidth="1"/>
    <col min="2527" max="2527" width="1.1796875" style="8" customWidth="1"/>
    <col min="2528" max="2528" width="9.1796875" style="8"/>
    <col min="2529" max="2529" width="0.54296875" style="8" customWidth="1"/>
    <col min="2530" max="2530" width="22" style="8" customWidth="1"/>
    <col min="2531" max="2531" width="0.54296875" style="8" customWidth="1"/>
    <col min="2532" max="2532" width="9.1796875" style="8"/>
    <col min="2533" max="2533" width="0.7265625" style="8" customWidth="1"/>
    <col min="2534" max="2534" width="15.7265625" style="8" bestFit="1" customWidth="1"/>
    <col min="2535" max="2535" width="0.7265625" style="8" customWidth="1"/>
    <col min="2536" max="2761" width="9.1796875" style="8"/>
    <col min="2762" max="2762" width="53.453125" style="8" customWidth="1"/>
    <col min="2763" max="2763" width="0.81640625" style="8" customWidth="1"/>
    <col min="2764" max="2764" width="13.54296875" style="8" bestFit="1" customWidth="1"/>
    <col min="2765" max="2765" width="0.7265625" style="8" customWidth="1"/>
    <col min="2766" max="2766" width="15.81640625" style="8" bestFit="1" customWidth="1"/>
    <col min="2767" max="2767" width="1.1796875" style="8" customWidth="1"/>
    <col min="2768" max="2768" width="12.26953125" style="8" bestFit="1" customWidth="1"/>
    <col min="2769" max="2769" width="0.81640625" style="8" customWidth="1"/>
    <col min="2770" max="2770" width="10.54296875" style="8" customWidth="1"/>
    <col min="2771" max="2771" width="1.26953125" style="8" customWidth="1"/>
    <col min="2772" max="2772" width="12.26953125" style="8" bestFit="1" customWidth="1"/>
    <col min="2773" max="2773" width="0.81640625" style="8" customWidth="1"/>
    <col min="2774" max="2774" width="12.1796875" style="8" customWidth="1"/>
    <col min="2775" max="2775" width="1" style="8" customWidth="1"/>
    <col min="2776" max="2776" width="11" style="8" customWidth="1"/>
    <col min="2777" max="2777" width="1.54296875" style="8" customWidth="1"/>
    <col min="2778" max="2778" width="10.7265625" style="8" bestFit="1" customWidth="1"/>
    <col min="2779" max="2779" width="1.1796875" style="8" customWidth="1"/>
    <col min="2780" max="2780" width="8.54296875" style="8" bestFit="1" customWidth="1"/>
    <col min="2781" max="2781" width="1.81640625" style="8" customWidth="1"/>
    <col min="2782" max="2782" width="12.1796875" style="8" customWidth="1"/>
    <col min="2783" max="2783" width="1.1796875" style="8" customWidth="1"/>
    <col min="2784" max="2784" width="9.1796875" style="8"/>
    <col min="2785" max="2785" width="0.54296875" style="8" customWidth="1"/>
    <col min="2786" max="2786" width="22" style="8" customWidth="1"/>
    <col min="2787" max="2787" width="0.54296875" style="8" customWidth="1"/>
    <col min="2788" max="2788" width="9.1796875" style="8"/>
    <col min="2789" max="2789" width="0.7265625" style="8" customWidth="1"/>
    <col min="2790" max="2790" width="15.7265625" style="8" bestFit="1" customWidth="1"/>
    <col min="2791" max="2791" width="0.7265625" style="8" customWidth="1"/>
    <col min="2792" max="3017" width="9.1796875" style="8"/>
    <col min="3018" max="3018" width="53.453125" style="8" customWidth="1"/>
    <col min="3019" max="3019" width="0.81640625" style="8" customWidth="1"/>
    <col min="3020" max="3020" width="13.54296875" style="8" bestFit="1" customWidth="1"/>
    <col min="3021" max="3021" width="0.7265625" style="8" customWidth="1"/>
    <col min="3022" max="3022" width="15.81640625" style="8" bestFit="1" customWidth="1"/>
    <col min="3023" max="3023" width="1.1796875" style="8" customWidth="1"/>
    <col min="3024" max="3024" width="12.26953125" style="8" bestFit="1" customWidth="1"/>
    <col min="3025" max="3025" width="0.81640625" style="8" customWidth="1"/>
    <col min="3026" max="3026" width="10.54296875" style="8" customWidth="1"/>
    <col min="3027" max="3027" width="1.26953125" style="8" customWidth="1"/>
    <col min="3028" max="3028" width="12.26953125" style="8" bestFit="1" customWidth="1"/>
    <col min="3029" max="3029" width="0.81640625" style="8" customWidth="1"/>
    <col min="3030" max="3030" width="12.1796875" style="8" customWidth="1"/>
    <col min="3031" max="3031" width="1" style="8" customWidth="1"/>
    <col min="3032" max="3032" width="11" style="8" customWidth="1"/>
    <col min="3033" max="3033" width="1.54296875" style="8" customWidth="1"/>
    <col min="3034" max="3034" width="10.7265625" style="8" bestFit="1" customWidth="1"/>
    <col min="3035" max="3035" width="1.1796875" style="8" customWidth="1"/>
    <col min="3036" max="3036" width="8.54296875" style="8" bestFit="1" customWidth="1"/>
    <col min="3037" max="3037" width="1.81640625" style="8" customWidth="1"/>
    <col min="3038" max="3038" width="12.1796875" style="8" customWidth="1"/>
    <col min="3039" max="3039" width="1.1796875" style="8" customWidth="1"/>
    <col min="3040" max="3040" width="9.1796875" style="8"/>
    <col min="3041" max="3041" width="0.54296875" style="8" customWidth="1"/>
    <col min="3042" max="3042" width="22" style="8" customWidth="1"/>
    <col min="3043" max="3043" width="0.54296875" style="8" customWidth="1"/>
    <col min="3044" max="3044" width="9.1796875" style="8"/>
    <col min="3045" max="3045" width="0.7265625" style="8" customWidth="1"/>
    <col min="3046" max="3046" width="15.7265625" style="8" bestFit="1" customWidth="1"/>
    <col min="3047" max="3047" width="0.7265625" style="8" customWidth="1"/>
    <col min="3048" max="3273" width="9.1796875" style="8"/>
    <col min="3274" max="3274" width="53.453125" style="8" customWidth="1"/>
    <col min="3275" max="3275" width="0.81640625" style="8" customWidth="1"/>
    <col min="3276" max="3276" width="13.54296875" style="8" bestFit="1" customWidth="1"/>
    <col min="3277" max="3277" width="0.7265625" style="8" customWidth="1"/>
    <col min="3278" max="3278" width="15.81640625" style="8" bestFit="1" customWidth="1"/>
    <col min="3279" max="3279" width="1.1796875" style="8" customWidth="1"/>
    <col min="3280" max="3280" width="12.26953125" style="8" bestFit="1" customWidth="1"/>
    <col min="3281" max="3281" width="0.81640625" style="8" customWidth="1"/>
    <col min="3282" max="3282" width="10.54296875" style="8" customWidth="1"/>
    <col min="3283" max="3283" width="1.26953125" style="8" customWidth="1"/>
    <col min="3284" max="3284" width="12.26953125" style="8" bestFit="1" customWidth="1"/>
    <col min="3285" max="3285" width="0.81640625" style="8" customWidth="1"/>
    <col min="3286" max="3286" width="12.1796875" style="8" customWidth="1"/>
    <col min="3287" max="3287" width="1" style="8" customWidth="1"/>
    <col min="3288" max="3288" width="11" style="8" customWidth="1"/>
    <col min="3289" max="3289" width="1.54296875" style="8" customWidth="1"/>
    <col min="3290" max="3290" width="10.7265625" style="8" bestFit="1" customWidth="1"/>
    <col min="3291" max="3291" width="1.1796875" style="8" customWidth="1"/>
    <col min="3292" max="3292" width="8.54296875" style="8" bestFit="1" customWidth="1"/>
    <col min="3293" max="3293" width="1.81640625" style="8" customWidth="1"/>
    <col min="3294" max="3294" width="12.1796875" style="8" customWidth="1"/>
    <col min="3295" max="3295" width="1.1796875" style="8" customWidth="1"/>
    <col min="3296" max="3296" width="9.1796875" style="8"/>
    <col min="3297" max="3297" width="0.54296875" style="8" customWidth="1"/>
    <col min="3298" max="3298" width="22" style="8" customWidth="1"/>
    <col min="3299" max="3299" width="0.54296875" style="8" customWidth="1"/>
    <col min="3300" max="3300" width="9.1796875" style="8"/>
    <col min="3301" max="3301" width="0.7265625" style="8" customWidth="1"/>
    <col min="3302" max="3302" width="15.7265625" style="8" bestFit="1" customWidth="1"/>
    <col min="3303" max="3303" width="0.7265625" style="8" customWidth="1"/>
    <col min="3304" max="3529" width="9.1796875" style="8"/>
    <col min="3530" max="3530" width="53.453125" style="8" customWidth="1"/>
    <col min="3531" max="3531" width="0.81640625" style="8" customWidth="1"/>
    <col min="3532" max="3532" width="13.54296875" style="8" bestFit="1" customWidth="1"/>
    <col min="3533" max="3533" width="0.7265625" style="8" customWidth="1"/>
    <col min="3534" max="3534" width="15.81640625" style="8" bestFit="1" customWidth="1"/>
    <col min="3535" max="3535" width="1.1796875" style="8" customWidth="1"/>
    <col min="3536" max="3536" width="12.26953125" style="8" bestFit="1" customWidth="1"/>
    <col min="3537" max="3537" width="0.81640625" style="8" customWidth="1"/>
    <col min="3538" max="3538" width="10.54296875" style="8" customWidth="1"/>
    <col min="3539" max="3539" width="1.26953125" style="8" customWidth="1"/>
    <col min="3540" max="3540" width="12.26953125" style="8" bestFit="1" customWidth="1"/>
    <col min="3541" max="3541" width="0.81640625" style="8" customWidth="1"/>
    <col min="3542" max="3542" width="12.1796875" style="8" customWidth="1"/>
    <col min="3543" max="3543" width="1" style="8" customWidth="1"/>
    <col min="3544" max="3544" width="11" style="8" customWidth="1"/>
    <col min="3545" max="3545" width="1.54296875" style="8" customWidth="1"/>
    <col min="3546" max="3546" width="10.7265625" style="8" bestFit="1" customWidth="1"/>
    <col min="3547" max="3547" width="1.1796875" style="8" customWidth="1"/>
    <col min="3548" max="3548" width="8.54296875" style="8" bestFit="1" customWidth="1"/>
    <col min="3549" max="3549" width="1.81640625" style="8" customWidth="1"/>
    <col min="3550" max="3550" width="12.1796875" style="8" customWidth="1"/>
    <col min="3551" max="3551" width="1.1796875" style="8" customWidth="1"/>
    <col min="3552" max="3552" width="9.1796875" style="8"/>
    <col min="3553" max="3553" width="0.54296875" style="8" customWidth="1"/>
    <col min="3554" max="3554" width="22" style="8" customWidth="1"/>
    <col min="3555" max="3555" width="0.54296875" style="8" customWidth="1"/>
    <col min="3556" max="3556" width="9.1796875" style="8"/>
    <col min="3557" max="3557" width="0.7265625" style="8" customWidth="1"/>
    <col min="3558" max="3558" width="15.7265625" style="8" bestFit="1" customWidth="1"/>
    <col min="3559" max="3559" width="0.7265625" style="8" customWidth="1"/>
    <col min="3560" max="3785" width="9.1796875" style="8"/>
    <col min="3786" max="3786" width="53.453125" style="8" customWidth="1"/>
    <col min="3787" max="3787" width="0.81640625" style="8" customWidth="1"/>
    <col min="3788" max="3788" width="13.54296875" style="8" bestFit="1" customWidth="1"/>
    <col min="3789" max="3789" width="0.7265625" style="8" customWidth="1"/>
    <col min="3790" max="3790" width="15.81640625" style="8" bestFit="1" customWidth="1"/>
    <col min="3791" max="3791" width="1.1796875" style="8" customWidth="1"/>
    <col min="3792" max="3792" width="12.26953125" style="8" bestFit="1" customWidth="1"/>
    <col min="3793" max="3793" width="0.81640625" style="8" customWidth="1"/>
    <col min="3794" max="3794" width="10.54296875" style="8" customWidth="1"/>
    <col min="3795" max="3795" width="1.26953125" style="8" customWidth="1"/>
    <col min="3796" max="3796" width="12.26953125" style="8" bestFit="1" customWidth="1"/>
    <col min="3797" max="3797" width="0.81640625" style="8" customWidth="1"/>
    <col min="3798" max="3798" width="12.1796875" style="8" customWidth="1"/>
    <col min="3799" max="3799" width="1" style="8" customWidth="1"/>
    <col min="3800" max="3800" width="11" style="8" customWidth="1"/>
    <col min="3801" max="3801" width="1.54296875" style="8" customWidth="1"/>
    <col min="3802" max="3802" width="10.7265625" style="8" bestFit="1" customWidth="1"/>
    <col min="3803" max="3803" width="1.1796875" style="8" customWidth="1"/>
    <col min="3804" max="3804" width="8.54296875" style="8" bestFit="1" customWidth="1"/>
    <col min="3805" max="3805" width="1.81640625" style="8" customWidth="1"/>
    <col min="3806" max="3806" width="12.1796875" style="8" customWidth="1"/>
    <col min="3807" max="3807" width="1.1796875" style="8" customWidth="1"/>
    <col min="3808" max="3808" width="9.1796875" style="8"/>
    <col min="3809" max="3809" width="0.54296875" style="8" customWidth="1"/>
    <col min="3810" max="3810" width="22" style="8" customWidth="1"/>
    <col min="3811" max="3811" width="0.54296875" style="8" customWidth="1"/>
    <col min="3812" max="3812" width="9.1796875" style="8"/>
    <col min="3813" max="3813" width="0.7265625" style="8" customWidth="1"/>
    <col min="3814" max="3814" width="15.7265625" style="8" bestFit="1" customWidth="1"/>
    <col min="3815" max="3815" width="0.7265625" style="8" customWidth="1"/>
    <col min="3816" max="4041" width="9.1796875" style="8"/>
    <col min="4042" max="4042" width="53.453125" style="8" customWidth="1"/>
    <col min="4043" max="4043" width="0.81640625" style="8" customWidth="1"/>
    <col min="4044" max="4044" width="13.54296875" style="8" bestFit="1" customWidth="1"/>
    <col min="4045" max="4045" width="0.7265625" style="8" customWidth="1"/>
    <col min="4046" max="4046" width="15.81640625" style="8" bestFit="1" customWidth="1"/>
    <col min="4047" max="4047" width="1.1796875" style="8" customWidth="1"/>
    <col min="4048" max="4048" width="12.26953125" style="8" bestFit="1" customWidth="1"/>
    <col min="4049" max="4049" width="0.81640625" style="8" customWidth="1"/>
    <col min="4050" max="4050" width="10.54296875" style="8" customWidth="1"/>
    <col min="4051" max="4051" width="1.26953125" style="8" customWidth="1"/>
    <col min="4052" max="4052" width="12.26953125" style="8" bestFit="1" customWidth="1"/>
    <col min="4053" max="4053" width="0.81640625" style="8" customWidth="1"/>
    <col min="4054" max="4054" width="12.1796875" style="8" customWidth="1"/>
    <col min="4055" max="4055" width="1" style="8" customWidth="1"/>
    <col min="4056" max="4056" width="11" style="8" customWidth="1"/>
    <col min="4057" max="4057" width="1.54296875" style="8" customWidth="1"/>
    <col min="4058" max="4058" width="10.7265625" style="8" bestFit="1" customWidth="1"/>
    <col min="4059" max="4059" width="1.1796875" style="8" customWidth="1"/>
    <col min="4060" max="4060" width="8.54296875" style="8" bestFit="1" customWidth="1"/>
    <col min="4061" max="4061" width="1.81640625" style="8" customWidth="1"/>
    <col min="4062" max="4062" width="12.1796875" style="8" customWidth="1"/>
    <col min="4063" max="4063" width="1.1796875" style="8" customWidth="1"/>
    <col min="4064" max="4064" width="9.1796875" style="8"/>
    <col min="4065" max="4065" width="0.54296875" style="8" customWidth="1"/>
    <col min="4066" max="4066" width="22" style="8" customWidth="1"/>
    <col min="4067" max="4067" width="0.54296875" style="8" customWidth="1"/>
    <col min="4068" max="4068" width="9.1796875" style="8"/>
    <col min="4069" max="4069" width="0.7265625" style="8" customWidth="1"/>
    <col min="4070" max="4070" width="15.7265625" style="8" bestFit="1" customWidth="1"/>
    <col min="4071" max="4071" width="0.7265625" style="8" customWidth="1"/>
    <col min="4072" max="4297" width="9.1796875" style="8"/>
    <col min="4298" max="4298" width="53.453125" style="8" customWidth="1"/>
    <col min="4299" max="4299" width="0.81640625" style="8" customWidth="1"/>
    <col min="4300" max="4300" width="13.54296875" style="8" bestFit="1" customWidth="1"/>
    <col min="4301" max="4301" width="0.7265625" style="8" customWidth="1"/>
    <col min="4302" max="4302" width="15.81640625" style="8" bestFit="1" customWidth="1"/>
    <col min="4303" max="4303" width="1.1796875" style="8" customWidth="1"/>
    <col min="4304" max="4304" width="12.26953125" style="8" bestFit="1" customWidth="1"/>
    <col min="4305" max="4305" width="0.81640625" style="8" customWidth="1"/>
    <col min="4306" max="4306" width="10.54296875" style="8" customWidth="1"/>
    <col min="4307" max="4307" width="1.26953125" style="8" customWidth="1"/>
    <col min="4308" max="4308" width="12.26953125" style="8" bestFit="1" customWidth="1"/>
    <col min="4309" max="4309" width="0.81640625" style="8" customWidth="1"/>
    <col min="4310" max="4310" width="12.1796875" style="8" customWidth="1"/>
    <col min="4311" max="4311" width="1" style="8" customWidth="1"/>
    <col min="4312" max="4312" width="11" style="8" customWidth="1"/>
    <col min="4313" max="4313" width="1.54296875" style="8" customWidth="1"/>
    <col min="4314" max="4314" width="10.7265625" style="8" bestFit="1" customWidth="1"/>
    <col min="4315" max="4315" width="1.1796875" style="8" customWidth="1"/>
    <col min="4316" max="4316" width="8.54296875" style="8" bestFit="1" customWidth="1"/>
    <col min="4317" max="4317" width="1.81640625" style="8" customWidth="1"/>
    <col min="4318" max="4318" width="12.1796875" style="8" customWidth="1"/>
    <col min="4319" max="4319" width="1.1796875" style="8" customWidth="1"/>
    <col min="4320" max="4320" width="9.1796875" style="8"/>
    <col min="4321" max="4321" width="0.54296875" style="8" customWidth="1"/>
    <col min="4322" max="4322" width="22" style="8" customWidth="1"/>
    <col min="4323" max="4323" width="0.54296875" style="8" customWidth="1"/>
    <col min="4324" max="4324" width="9.1796875" style="8"/>
    <col min="4325" max="4325" width="0.7265625" style="8" customWidth="1"/>
    <col min="4326" max="4326" width="15.7265625" style="8" bestFit="1" customWidth="1"/>
    <col min="4327" max="4327" width="0.7265625" style="8" customWidth="1"/>
    <col min="4328" max="4553" width="9.1796875" style="8"/>
    <col min="4554" max="4554" width="53.453125" style="8" customWidth="1"/>
    <col min="4555" max="4555" width="0.81640625" style="8" customWidth="1"/>
    <col min="4556" max="4556" width="13.54296875" style="8" bestFit="1" customWidth="1"/>
    <col min="4557" max="4557" width="0.7265625" style="8" customWidth="1"/>
    <col min="4558" max="4558" width="15.81640625" style="8" bestFit="1" customWidth="1"/>
    <col min="4559" max="4559" width="1.1796875" style="8" customWidth="1"/>
    <col min="4560" max="4560" width="12.26953125" style="8" bestFit="1" customWidth="1"/>
    <col min="4561" max="4561" width="0.81640625" style="8" customWidth="1"/>
    <col min="4562" max="4562" width="10.54296875" style="8" customWidth="1"/>
    <col min="4563" max="4563" width="1.26953125" style="8" customWidth="1"/>
    <col min="4564" max="4564" width="12.26953125" style="8" bestFit="1" customWidth="1"/>
    <col min="4565" max="4565" width="0.81640625" style="8" customWidth="1"/>
    <col min="4566" max="4566" width="12.1796875" style="8" customWidth="1"/>
    <col min="4567" max="4567" width="1" style="8" customWidth="1"/>
    <col min="4568" max="4568" width="11" style="8" customWidth="1"/>
    <col min="4569" max="4569" width="1.54296875" style="8" customWidth="1"/>
    <col min="4570" max="4570" width="10.7265625" style="8" bestFit="1" customWidth="1"/>
    <col min="4571" max="4571" width="1.1796875" style="8" customWidth="1"/>
    <col min="4572" max="4572" width="8.54296875" style="8" bestFit="1" customWidth="1"/>
    <col min="4573" max="4573" width="1.81640625" style="8" customWidth="1"/>
    <col min="4574" max="4574" width="12.1796875" style="8" customWidth="1"/>
    <col min="4575" max="4575" width="1.1796875" style="8" customWidth="1"/>
    <col min="4576" max="4576" width="9.1796875" style="8"/>
    <col min="4577" max="4577" width="0.54296875" style="8" customWidth="1"/>
    <col min="4578" max="4578" width="22" style="8" customWidth="1"/>
    <col min="4579" max="4579" width="0.54296875" style="8" customWidth="1"/>
    <col min="4580" max="4580" width="9.1796875" style="8"/>
    <col min="4581" max="4581" width="0.7265625" style="8" customWidth="1"/>
    <col min="4582" max="4582" width="15.7265625" style="8" bestFit="1" customWidth="1"/>
    <col min="4583" max="4583" width="0.7265625" style="8" customWidth="1"/>
    <col min="4584" max="4809" width="9.1796875" style="8"/>
    <col min="4810" max="4810" width="53.453125" style="8" customWidth="1"/>
    <col min="4811" max="4811" width="0.81640625" style="8" customWidth="1"/>
    <col min="4812" max="4812" width="13.54296875" style="8" bestFit="1" customWidth="1"/>
    <col min="4813" max="4813" width="0.7265625" style="8" customWidth="1"/>
    <col min="4814" max="4814" width="15.81640625" style="8" bestFit="1" customWidth="1"/>
    <col min="4815" max="4815" width="1.1796875" style="8" customWidth="1"/>
    <col min="4816" max="4816" width="12.26953125" style="8" bestFit="1" customWidth="1"/>
    <col min="4817" max="4817" width="0.81640625" style="8" customWidth="1"/>
    <col min="4818" max="4818" width="10.54296875" style="8" customWidth="1"/>
    <col min="4819" max="4819" width="1.26953125" style="8" customWidth="1"/>
    <col min="4820" max="4820" width="12.26953125" style="8" bestFit="1" customWidth="1"/>
    <col min="4821" max="4821" width="0.81640625" style="8" customWidth="1"/>
    <col min="4822" max="4822" width="12.1796875" style="8" customWidth="1"/>
    <col min="4823" max="4823" width="1" style="8" customWidth="1"/>
    <col min="4824" max="4824" width="11" style="8" customWidth="1"/>
    <col min="4825" max="4825" width="1.54296875" style="8" customWidth="1"/>
    <col min="4826" max="4826" width="10.7265625" style="8" bestFit="1" customWidth="1"/>
    <col min="4827" max="4827" width="1.1796875" style="8" customWidth="1"/>
    <col min="4828" max="4828" width="8.54296875" style="8" bestFit="1" customWidth="1"/>
    <col min="4829" max="4829" width="1.81640625" style="8" customWidth="1"/>
    <col min="4830" max="4830" width="12.1796875" style="8" customWidth="1"/>
    <col min="4831" max="4831" width="1.1796875" style="8" customWidth="1"/>
    <col min="4832" max="4832" width="9.1796875" style="8"/>
    <col min="4833" max="4833" width="0.54296875" style="8" customWidth="1"/>
    <col min="4834" max="4834" width="22" style="8" customWidth="1"/>
    <col min="4835" max="4835" width="0.54296875" style="8" customWidth="1"/>
    <col min="4836" max="4836" width="9.1796875" style="8"/>
    <col min="4837" max="4837" width="0.7265625" style="8" customWidth="1"/>
    <col min="4838" max="4838" width="15.7265625" style="8" bestFit="1" customWidth="1"/>
    <col min="4839" max="4839" width="0.7265625" style="8" customWidth="1"/>
    <col min="4840" max="5065" width="9.1796875" style="8"/>
    <col min="5066" max="5066" width="53.453125" style="8" customWidth="1"/>
    <col min="5067" max="5067" width="0.81640625" style="8" customWidth="1"/>
    <col min="5068" max="5068" width="13.54296875" style="8" bestFit="1" customWidth="1"/>
    <col min="5069" max="5069" width="0.7265625" style="8" customWidth="1"/>
    <col min="5070" max="5070" width="15.81640625" style="8" bestFit="1" customWidth="1"/>
    <col min="5071" max="5071" width="1.1796875" style="8" customWidth="1"/>
    <col min="5072" max="5072" width="12.26953125" style="8" bestFit="1" customWidth="1"/>
    <col min="5073" max="5073" width="0.81640625" style="8" customWidth="1"/>
    <col min="5074" max="5074" width="10.54296875" style="8" customWidth="1"/>
    <col min="5075" max="5075" width="1.26953125" style="8" customWidth="1"/>
    <col min="5076" max="5076" width="12.26953125" style="8" bestFit="1" customWidth="1"/>
    <col min="5077" max="5077" width="0.81640625" style="8" customWidth="1"/>
    <col min="5078" max="5078" width="12.1796875" style="8" customWidth="1"/>
    <col min="5079" max="5079" width="1" style="8" customWidth="1"/>
    <col min="5080" max="5080" width="11" style="8" customWidth="1"/>
    <col min="5081" max="5081" width="1.54296875" style="8" customWidth="1"/>
    <col min="5082" max="5082" width="10.7265625" style="8" bestFit="1" customWidth="1"/>
    <col min="5083" max="5083" width="1.1796875" style="8" customWidth="1"/>
    <col min="5084" max="5084" width="8.54296875" style="8" bestFit="1" customWidth="1"/>
    <col min="5085" max="5085" width="1.81640625" style="8" customWidth="1"/>
    <col min="5086" max="5086" width="12.1796875" style="8" customWidth="1"/>
    <col min="5087" max="5087" width="1.1796875" style="8" customWidth="1"/>
    <col min="5088" max="5088" width="9.1796875" style="8"/>
    <col min="5089" max="5089" width="0.54296875" style="8" customWidth="1"/>
    <col min="5090" max="5090" width="22" style="8" customWidth="1"/>
    <col min="5091" max="5091" width="0.54296875" style="8" customWidth="1"/>
    <col min="5092" max="5092" width="9.1796875" style="8"/>
    <col min="5093" max="5093" width="0.7265625" style="8" customWidth="1"/>
    <col min="5094" max="5094" width="15.7265625" style="8" bestFit="1" customWidth="1"/>
    <col min="5095" max="5095" width="0.7265625" style="8" customWidth="1"/>
    <col min="5096" max="5321" width="9.1796875" style="8"/>
    <col min="5322" max="5322" width="53.453125" style="8" customWidth="1"/>
    <col min="5323" max="5323" width="0.81640625" style="8" customWidth="1"/>
    <col min="5324" max="5324" width="13.54296875" style="8" bestFit="1" customWidth="1"/>
    <col min="5325" max="5325" width="0.7265625" style="8" customWidth="1"/>
    <col min="5326" max="5326" width="15.81640625" style="8" bestFit="1" customWidth="1"/>
    <col min="5327" max="5327" width="1.1796875" style="8" customWidth="1"/>
    <col min="5328" max="5328" width="12.26953125" style="8" bestFit="1" customWidth="1"/>
    <col min="5329" max="5329" width="0.81640625" style="8" customWidth="1"/>
    <col min="5330" max="5330" width="10.54296875" style="8" customWidth="1"/>
    <col min="5331" max="5331" width="1.26953125" style="8" customWidth="1"/>
    <col min="5332" max="5332" width="12.26953125" style="8" bestFit="1" customWidth="1"/>
    <col min="5333" max="5333" width="0.81640625" style="8" customWidth="1"/>
    <col min="5334" max="5334" width="12.1796875" style="8" customWidth="1"/>
    <col min="5335" max="5335" width="1" style="8" customWidth="1"/>
    <col min="5336" max="5336" width="11" style="8" customWidth="1"/>
    <col min="5337" max="5337" width="1.54296875" style="8" customWidth="1"/>
    <col min="5338" max="5338" width="10.7265625" style="8" bestFit="1" customWidth="1"/>
    <col min="5339" max="5339" width="1.1796875" style="8" customWidth="1"/>
    <col min="5340" max="5340" width="8.54296875" style="8" bestFit="1" customWidth="1"/>
    <col min="5341" max="5341" width="1.81640625" style="8" customWidth="1"/>
    <col min="5342" max="5342" width="12.1796875" style="8" customWidth="1"/>
    <col min="5343" max="5343" width="1.1796875" style="8" customWidth="1"/>
    <col min="5344" max="5344" width="9.1796875" style="8"/>
    <col min="5345" max="5345" width="0.54296875" style="8" customWidth="1"/>
    <col min="5346" max="5346" width="22" style="8" customWidth="1"/>
    <col min="5347" max="5347" width="0.54296875" style="8" customWidth="1"/>
    <col min="5348" max="5348" width="9.1796875" style="8"/>
    <col min="5349" max="5349" width="0.7265625" style="8" customWidth="1"/>
    <col min="5350" max="5350" width="15.7265625" style="8" bestFit="1" customWidth="1"/>
    <col min="5351" max="5351" width="0.7265625" style="8" customWidth="1"/>
    <col min="5352" max="5577" width="9.1796875" style="8"/>
    <col min="5578" max="5578" width="53.453125" style="8" customWidth="1"/>
    <col min="5579" max="5579" width="0.81640625" style="8" customWidth="1"/>
    <col min="5580" max="5580" width="13.54296875" style="8" bestFit="1" customWidth="1"/>
    <col min="5581" max="5581" width="0.7265625" style="8" customWidth="1"/>
    <col min="5582" max="5582" width="15.81640625" style="8" bestFit="1" customWidth="1"/>
    <col min="5583" max="5583" width="1.1796875" style="8" customWidth="1"/>
    <col min="5584" max="5584" width="12.26953125" style="8" bestFit="1" customWidth="1"/>
    <col min="5585" max="5585" width="0.81640625" style="8" customWidth="1"/>
    <col min="5586" max="5586" width="10.54296875" style="8" customWidth="1"/>
    <col min="5587" max="5587" width="1.26953125" style="8" customWidth="1"/>
    <col min="5588" max="5588" width="12.26953125" style="8" bestFit="1" customWidth="1"/>
    <col min="5589" max="5589" width="0.81640625" style="8" customWidth="1"/>
    <col min="5590" max="5590" width="12.1796875" style="8" customWidth="1"/>
    <col min="5591" max="5591" width="1" style="8" customWidth="1"/>
    <col min="5592" max="5592" width="11" style="8" customWidth="1"/>
    <col min="5593" max="5593" width="1.54296875" style="8" customWidth="1"/>
    <col min="5594" max="5594" width="10.7265625" style="8" bestFit="1" customWidth="1"/>
    <col min="5595" max="5595" width="1.1796875" style="8" customWidth="1"/>
    <col min="5596" max="5596" width="8.54296875" style="8" bestFit="1" customWidth="1"/>
    <col min="5597" max="5597" width="1.81640625" style="8" customWidth="1"/>
    <col min="5598" max="5598" width="12.1796875" style="8" customWidth="1"/>
    <col min="5599" max="5599" width="1.1796875" style="8" customWidth="1"/>
    <col min="5600" max="5600" width="9.1796875" style="8"/>
    <col min="5601" max="5601" width="0.54296875" style="8" customWidth="1"/>
    <col min="5602" max="5602" width="22" style="8" customWidth="1"/>
    <col min="5603" max="5603" width="0.54296875" style="8" customWidth="1"/>
    <col min="5604" max="5604" width="9.1796875" style="8"/>
    <col min="5605" max="5605" width="0.7265625" style="8" customWidth="1"/>
    <col min="5606" max="5606" width="15.7265625" style="8" bestFit="1" customWidth="1"/>
    <col min="5607" max="5607" width="0.7265625" style="8" customWidth="1"/>
    <col min="5608" max="5833" width="9.1796875" style="8"/>
    <col min="5834" max="5834" width="53.453125" style="8" customWidth="1"/>
    <col min="5835" max="5835" width="0.81640625" style="8" customWidth="1"/>
    <col min="5836" max="5836" width="13.54296875" style="8" bestFit="1" customWidth="1"/>
    <col min="5837" max="5837" width="0.7265625" style="8" customWidth="1"/>
    <col min="5838" max="5838" width="15.81640625" style="8" bestFit="1" customWidth="1"/>
    <col min="5839" max="5839" width="1.1796875" style="8" customWidth="1"/>
    <col min="5840" max="5840" width="12.26953125" style="8" bestFit="1" customWidth="1"/>
    <col min="5841" max="5841" width="0.81640625" style="8" customWidth="1"/>
    <col min="5842" max="5842" width="10.54296875" style="8" customWidth="1"/>
    <col min="5843" max="5843" width="1.26953125" style="8" customWidth="1"/>
    <col min="5844" max="5844" width="12.26953125" style="8" bestFit="1" customWidth="1"/>
    <col min="5845" max="5845" width="0.81640625" style="8" customWidth="1"/>
    <col min="5846" max="5846" width="12.1796875" style="8" customWidth="1"/>
    <col min="5847" max="5847" width="1" style="8" customWidth="1"/>
    <col min="5848" max="5848" width="11" style="8" customWidth="1"/>
    <col min="5849" max="5849" width="1.54296875" style="8" customWidth="1"/>
    <col min="5850" max="5850" width="10.7265625" style="8" bestFit="1" customWidth="1"/>
    <col min="5851" max="5851" width="1.1796875" style="8" customWidth="1"/>
    <col min="5852" max="5852" width="8.54296875" style="8" bestFit="1" customWidth="1"/>
    <col min="5853" max="5853" width="1.81640625" style="8" customWidth="1"/>
    <col min="5854" max="5854" width="12.1796875" style="8" customWidth="1"/>
    <col min="5855" max="5855" width="1.1796875" style="8" customWidth="1"/>
    <col min="5856" max="5856" width="9.1796875" style="8"/>
    <col min="5857" max="5857" width="0.54296875" style="8" customWidth="1"/>
    <col min="5858" max="5858" width="22" style="8" customWidth="1"/>
    <col min="5859" max="5859" width="0.54296875" style="8" customWidth="1"/>
    <col min="5860" max="5860" width="9.1796875" style="8"/>
    <col min="5861" max="5861" width="0.7265625" style="8" customWidth="1"/>
    <col min="5862" max="5862" width="15.7265625" style="8" bestFit="1" customWidth="1"/>
    <col min="5863" max="5863" width="0.7265625" style="8" customWidth="1"/>
    <col min="5864" max="6089" width="9.1796875" style="8"/>
    <col min="6090" max="6090" width="53.453125" style="8" customWidth="1"/>
    <col min="6091" max="6091" width="0.81640625" style="8" customWidth="1"/>
    <col min="6092" max="6092" width="13.54296875" style="8" bestFit="1" customWidth="1"/>
    <col min="6093" max="6093" width="0.7265625" style="8" customWidth="1"/>
    <col min="6094" max="6094" width="15.81640625" style="8" bestFit="1" customWidth="1"/>
    <col min="6095" max="6095" width="1.1796875" style="8" customWidth="1"/>
    <col min="6096" max="6096" width="12.26953125" style="8" bestFit="1" customWidth="1"/>
    <col min="6097" max="6097" width="0.81640625" style="8" customWidth="1"/>
    <col min="6098" max="6098" width="10.54296875" style="8" customWidth="1"/>
    <col min="6099" max="6099" width="1.26953125" style="8" customWidth="1"/>
    <col min="6100" max="6100" width="12.26953125" style="8" bestFit="1" customWidth="1"/>
    <col min="6101" max="6101" width="0.81640625" style="8" customWidth="1"/>
    <col min="6102" max="6102" width="12.1796875" style="8" customWidth="1"/>
    <col min="6103" max="6103" width="1" style="8" customWidth="1"/>
    <col min="6104" max="6104" width="11" style="8" customWidth="1"/>
    <col min="6105" max="6105" width="1.54296875" style="8" customWidth="1"/>
    <col min="6106" max="6106" width="10.7265625" style="8" bestFit="1" customWidth="1"/>
    <col min="6107" max="6107" width="1.1796875" style="8" customWidth="1"/>
    <col min="6108" max="6108" width="8.54296875" style="8" bestFit="1" customWidth="1"/>
    <col min="6109" max="6109" width="1.81640625" style="8" customWidth="1"/>
    <col min="6110" max="6110" width="12.1796875" style="8" customWidth="1"/>
    <col min="6111" max="6111" width="1.1796875" style="8" customWidth="1"/>
    <col min="6112" max="6112" width="9.1796875" style="8"/>
    <col min="6113" max="6113" width="0.54296875" style="8" customWidth="1"/>
    <col min="6114" max="6114" width="22" style="8" customWidth="1"/>
    <col min="6115" max="6115" width="0.54296875" style="8" customWidth="1"/>
    <col min="6116" max="6116" width="9.1796875" style="8"/>
    <col min="6117" max="6117" width="0.7265625" style="8" customWidth="1"/>
    <col min="6118" max="6118" width="15.7265625" style="8" bestFit="1" customWidth="1"/>
    <col min="6119" max="6119" width="0.7265625" style="8" customWidth="1"/>
    <col min="6120" max="6345" width="9.1796875" style="8"/>
    <col min="6346" max="6346" width="53.453125" style="8" customWidth="1"/>
    <col min="6347" max="6347" width="0.81640625" style="8" customWidth="1"/>
    <col min="6348" max="6348" width="13.54296875" style="8" bestFit="1" customWidth="1"/>
    <col min="6349" max="6349" width="0.7265625" style="8" customWidth="1"/>
    <col min="6350" max="6350" width="15.81640625" style="8" bestFit="1" customWidth="1"/>
    <col min="6351" max="6351" width="1.1796875" style="8" customWidth="1"/>
    <col min="6352" max="6352" width="12.26953125" style="8" bestFit="1" customWidth="1"/>
    <col min="6353" max="6353" width="0.81640625" style="8" customWidth="1"/>
    <col min="6354" max="6354" width="10.54296875" style="8" customWidth="1"/>
    <col min="6355" max="6355" width="1.26953125" style="8" customWidth="1"/>
    <col min="6356" max="6356" width="12.26953125" style="8" bestFit="1" customWidth="1"/>
    <col min="6357" max="6357" width="0.81640625" style="8" customWidth="1"/>
    <col min="6358" max="6358" width="12.1796875" style="8" customWidth="1"/>
    <col min="6359" max="6359" width="1" style="8" customWidth="1"/>
    <col min="6360" max="6360" width="11" style="8" customWidth="1"/>
    <col min="6361" max="6361" width="1.54296875" style="8" customWidth="1"/>
    <col min="6362" max="6362" width="10.7265625" style="8" bestFit="1" customWidth="1"/>
    <col min="6363" max="6363" width="1.1796875" style="8" customWidth="1"/>
    <col min="6364" max="6364" width="8.54296875" style="8" bestFit="1" customWidth="1"/>
    <col min="6365" max="6365" width="1.81640625" style="8" customWidth="1"/>
    <col min="6366" max="6366" width="12.1796875" style="8" customWidth="1"/>
    <col min="6367" max="6367" width="1.1796875" style="8" customWidth="1"/>
    <col min="6368" max="6368" width="9.1796875" style="8"/>
    <col min="6369" max="6369" width="0.54296875" style="8" customWidth="1"/>
    <col min="6370" max="6370" width="22" style="8" customWidth="1"/>
    <col min="6371" max="6371" width="0.54296875" style="8" customWidth="1"/>
    <col min="6372" max="6372" width="9.1796875" style="8"/>
    <col min="6373" max="6373" width="0.7265625" style="8" customWidth="1"/>
    <col min="6374" max="6374" width="15.7265625" style="8" bestFit="1" customWidth="1"/>
    <col min="6375" max="6375" width="0.7265625" style="8" customWidth="1"/>
    <col min="6376" max="6601" width="9.1796875" style="8"/>
    <col min="6602" max="6602" width="53.453125" style="8" customWidth="1"/>
    <col min="6603" max="6603" width="0.81640625" style="8" customWidth="1"/>
    <col min="6604" max="6604" width="13.54296875" style="8" bestFit="1" customWidth="1"/>
    <col min="6605" max="6605" width="0.7265625" style="8" customWidth="1"/>
    <col min="6606" max="6606" width="15.81640625" style="8" bestFit="1" customWidth="1"/>
    <col min="6607" max="6607" width="1.1796875" style="8" customWidth="1"/>
    <col min="6608" max="6608" width="12.26953125" style="8" bestFit="1" customWidth="1"/>
    <col min="6609" max="6609" width="0.81640625" style="8" customWidth="1"/>
    <col min="6610" max="6610" width="10.54296875" style="8" customWidth="1"/>
    <col min="6611" max="6611" width="1.26953125" style="8" customWidth="1"/>
    <col min="6612" max="6612" width="12.26953125" style="8" bestFit="1" customWidth="1"/>
    <col min="6613" max="6613" width="0.81640625" style="8" customWidth="1"/>
    <col min="6614" max="6614" width="12.1796875" style="8" customWidth="1"/>
    <col min="6615" max="6615" width="1" style="8" customWidth="1"/>
    <col min="6616" max="6616" width="11" style="8" customWidth="1"/>
    <col min="6617" max="6617" width="1.54296875" style="8" customWidth="1"/>
    <col min="6618" max="6618" width="10.7265625" style="8" bestFit="1" customWidth="1"/>
    <col min="6619" max="6619" width="1.1796875" style="8" customWidth="1"/>
    <col min="6620" max="6620" width="8.54296875" style="8" bestFit="1" customWidth="1"/>
    <col min="6621" max="6621" width="1.81640625" style="8" customWidth="1"/>
    <col min="6622" max="6622" width="12.1796875" style="8" customWidth="1"/>
    <col min="6623" max="6623" width="1.1796875" style="8" customWidth="1"/>
    <col min="6624" max="6624" width="9.1796875" style="8"/>
    <col min="6625" max="6625" width="0.54296875" style="8" customWidth="1"/>
    <col min="6626" max="6626" width="22" style="8" customWidth="1"/>
    <col min="6627" max="6627" width="0.54296875" style="8" customWidth="1"/>
    <col min="6628" max="6628" width="9.1796875" style="8"/>
    <col min="6629" max="6629" width="0.7265625" style="8" customWidth="1"/>
    <col min="6630" max="6630" width="15.7265625" style="8" bestFit="1" customWidth="1"/>
    <col min="6631" max="6631" width="0.7265625" style="8" customWidth="1"/>
    <col min="6632" max="6857" width="9.1796875" style="8"/>
    <col min="6858" max="6858" width="53.453125" style="8" customWidth="1"/>
    <col min="6859" max="6859" width="0.81640625" style="8" customWidth="1"/>
    <col min="6860" max="6860" width="13.54296875" style="8" bestFit="1" customWidth="1"/>
    <col min="6861" max="6861" width="0.7265625" style="8" customWidth="1"/>
    <col min="6862" max="6862" width="15.81640625" style="8" bestFit="1" customWidth="1"/>
    <col min="6863" max="6863" width="1.1796875" style="8" customWidth="1"/>
    <col min="6864" max="6864" width="12.26953125" style="8" bestFit="1" customWidth="1"/>
    <col min="6865" max="6865" width="0.81640625" style="8" customWidth="1"/>
    <col min="6866" max="6866" width="10.54296875" style="8" customWidth="1"/>
    <col min="6867" max="6867" width="1.26953125" style="8" customWidth="1"/>
    <col min="6868" max="6868" width="12.26953125" style="8" bestFit="1" customWidth="1"/>
    <col min="6869" max="6869" width="0.81640625" style="8" customWidth="1"/>
    <col min="6870" max="6870" width="12.1796875" style="8" customWidth="1"/>
    <col min="6871" max="6871" width="1" style="8" customWidth="1"/>
    <col min="6872" max="6872" width="11" style="8" customWidth="1"/>
    <col min="6873" max="6873" width="1.54296875" style="8" customWidth="1"/>
    <col min="6874" max="6874" width="10.7265625" style="8" bestFit="1" customWidth="1"/>
    <col min="6875" max="6875" width="1.1796875" style="8" customWidth="1"/>
    <col min="6876" max="6876" width="8.54296875" style="8" bestFit="1" customWidth="1"/>
    <col min="6877" max="6877" width="1.81640625" style="8" customWidth="1"/>
    <col min="6878" max="6878" width="12.1796875" style="8" customWidth="1"/>
    <col min="6879" max="6879" width="1.1796875" style="8" customWidth="1"/>
    <col min="6880" max="6880" width="9.1796875" style="8"/>
    <col min="6881" max="6881" width="0.54296875" style="8" customWidth="1"/>
    <col min="6882" max="6882" width="22" style="8" customWidth="1"/>
    <col min="6883" max="6883" width="0.54296875" style="8" customWidth="1"/>
    <col min="6884" max="6884" width="9.1796875" style="8"/>
    <col min="6885" max="6885" width="0.7265625" style="8" customWidth="1"/>
    <col min="6886" max="6886" width="15.7265625" style="8" bestFit="1" customWidth="1"/>
    <col min="6887" max="6887" width="0.7265625" style="8" customWidth="1"/>
    <col min="6888" max="7113" width="9.1796875" style="8"/>
    <col min="7114" max="7114" width="53.453125" style="8" customWidth="1"/>
    <col min="7115" max="7115" width="0.81640625" style="8" customWidth="1"/>
    <col min="7116" max="7116" width="13.54296875" style="8" bestFit="1" customWidth="1"/>
    <col min="7117" max="7117" width="0.7265625" style="8" customWidth="1"/>
    <col min="7118" max="7118" width="15.81640625" style="8" bestFit="1" customWidth="1"/>
    <col min="7119" max="7119" width="1.1796875" style="8" customWidth="1"/>
    <col min="7120" max="7120" width="12.26953125" style="8" bestFit="1" customWidth="1"/>
    <col min="7121" max="7121" width="0.81640625" style="8" customWidth="1"/>
    <col min="7122" max="7122" width="10.54296875" style="8" customWidth="1"/>
    <col min="7123" max="7123" width="1.26953125" style="8" customWidth="1"/>
    <col min="7124" max="7124" width="12.26953125" style="8" bestFit="1" customWidth="1"/>
    <col min="7125" max="7125" width="0.81640625" style="8" customWidth="1"/>
    <col min="7126" max="7126" width="12.1796875" style="8" customWidth="1"/>
    <col min="7127" max="7127" width="1" style="8" customWidth="1"/>
    <col min="7128" max="7128" width="11" style="8" customWidth="1"/>
    <col min="7129" max="7129" width="1.54296875" style="8" customWidth="1"/>
    <col min="7130" max="7130" width="10.7265625" style="8" bestFit="1" customWidth="1"/>
    <col min="7131" max="7131" width="1.1796875" style="8" customWidth="1"/>
    <col min="7132" max="7132" width="8.54296875" style="8" bestFit="1" customWidth="1"/>
    <col min="7133" max="7133" width="1.81640625" style="8" customWidth="1"/>
    <col min="7134" max="7134" width="12.1796875" style="8" customWidth="1"/>
    <col min="7135" max="7135" width="1.1796875" style="8" customWidth="1"/>
    <col min="7136" max="7136" width="9.1796875" style="8"/>
    <col min="7137" max="7137" width="0.54296875" style="8" customWidth="1"/>
    <col min="7138" max="7138" width="22" style="8" customWidth="1"/>
    <col min="7139" max="7139" width="0.54296875" style="8" customWidth="1"/>
    <col min="7140" max="7140" width="9.1796875" style="8"/>
    <col min="7141" max="7141" width="0.7265625" style="8" customWidth="1"/>
    <col min="7142" max="7142" width="15.7265625" style="8" bestFit="1" customWidth="1"/>
    <col min="7143" max="7143" width="0.7265625" style="8" customWidth="1"/>
    <col min="7144" max="7369" width="9.1796875" style="8"/>
    <col min="7370" max="7370" width="53.453125" style="8" customWidth="1"/>
    <col min="7371" max="7371" width="0.81640625" style="8" customWidth="1"/>
    <col min="7372" max="7372" width="13.54296875" style="8" bestFit="1" customWidth="1"/>
    <col min="7373" max="7373" width="0.7265625" style="8" customWidth="1"/>
    <col min="7374" max="7374" width="15.81640625" style="8" bestFit="1" customWidth="1"/>
    <col min="7375" max="7375" width="1.1796875" style="8" customWidth="1"/>
    <col min="7376" max="7376" width="12.26953125" style="8" bestFit="1" customWidth="1"/>
    <col min="7377" max="7377" width="0.81640625" style="8" customWidth="1"/>
    <col min="7378" max="7378" width="10.54296875" style="8" customWidth="1"/>
    <col min="7379" max="7379" width="1.26953125" style="8" customWidth="1"/>
    <col min="7380" max="7380" width="12.26953125" style="8" bestFit="1" customWidth="1"/>
    <col min="7381" max="7381" width="0.81640625" style="8" customWidth="1"/>
    <col min="7382" max="7382" width="12.1796875" style="8" customWidth="1"/>
    <col min="7383" max="7383" width="1" style="8" customWidth="1"/>
    <col min="7384" max="7384" width="11" style="8" customWidth="1"/>
    <col min="7385" max="7385" width="1.54296875" style="8" customWidth="1"/>
    <col min="7386" max="7386" width="10.7265625" style="8" bestFit="1" customWidth="1"/>
    <col min="7387" max="7387" width="1.1796875" style="8" customWidth="1"/>
    <col min="7388" max="7388" width="8.54296875" style="8" bestFit="1" customWidth="1"/>
    <col min="7389" max="7389" width="1.81640625" style="8" customWidth="1"/>
    <col min="7390" max="7390" width="12.1796875" style="8" customWidth="1"/>
    <col min="7391" max="7391" width="1.1796875" style="8" customWidth="1"/>
    <col min="7392" max="7392" width="9.1796875" style="8"/>
    <col min="7393" max="7393" width="0.54296875" style="8" customWidth="1"/>
    <col min="7394" max="7394" width="22" style="8" customWidth="1"/>
    <col min="7395" max="7395" width="0.54296875" style="8" customWidth="1"/>
    <col min="7396" max="7396" width="9.1796875" style="8"/>
    <col min="7397" max="7397" width="0.7265625" style="8" customWidth="1"/>
    <col min="7398" max="7398" width="15.7265625" style="8" bestFit="1" customWidth="1"/>
    <col min="7399" max="7399" width="0.7265625" style="8" customWidth="1"/>
    <col min="7400" max="7625" width="9.1796875" style="8"/>
    <col min="7626" max="7626" width="53.453125" style="8" customWidth="1"/>
    <col min="7627" max="7627" width="0.81640625" style="8" customWidth="1"/>
    <col min="7628" max="7628" width="13.54296875" style="8" bestFit="1" customWidth="1"/>
    <col min="7629" max="7629" width="0.7265625" style="8" customWidth="1"/>
    <col min="7630" max="7630" width="15.81640625" style="8" bestFit="1" customWidth="1"/>
    <col min="7631" max="7631" width="1.1796875" style="8" customWidth="1"/>
    <col min="7632" max="7632" width="12.26953125" style="8" bestFit="1" customWidth="1"/>
    <col min="7633" max="7633" width="0.81640625" style="8" customWidth="1"/>
    <col min="7634" max="7634" width="10.54296875" style="8" customWidth="1"/>
    <col min="7635" max="7635" width="1.26953125" style="8" customWidth="1"/>
    <col min="7636" max="7636" width="12.26953125" style="8" bestFit="1" customWidth="1"/>
    <col min="7637" max="7637" width="0.81640625" style="8" customWidth="1"/>
    <col min="7638" max="7638" width="12.1796875" style="8" customWidth="1"/>
    <col min="7639" max="7639" width="1" style="8" customWidth="1"/>
    <col min="7640" max="7640" width="11" style="8" customWidth="1"/>
    <col min="7641" max="7641" width="1.54296875" style="8" customWidth="1"/>
    <col min="7642" max="7642" width="10.7265625" style="8" bestFit="1" customWidth="1"/>
    <col min="7643" max="7643" width="1.1796875" style="8" customWidth="1"/>
    <col min="7644" max="7644" width="8.54296875" style="8" bestFit="1" customWidth="1"/>
    <col min="7645" max="7645" width="1.81640625" style="8" customWidth="1"/>
    <col min="7646" max="7646" width="12.1796875" style="8" customWidth="1"/>
    <col min="7647" max="7647" width="1.1796875" style="8" customWidth="1"/>
    <col min="7648" max="7648" width="9.1796875" style="8"/>
    <col min="7649" max="7649" width="0.54296875" style="8" customWidth="1"/>
    <col min="7650" max="7650" width="22" style="8" customWidth="1"/>
    <col min="7651" max="7651" width="0.54296875" style="8" customWidth="1"/>
    <col min="7652" max="7652" width="9.1796875" style="8"/>
    <col min="7653" max="7653" width="0.7265625" style="8" customWidth="1"/>
    <col min="7654" max="7654" width="15.7265625" style="8" bestFit="1" customWidth="1"/>
    <col min="7655" max="7655" width="0.7265625" style="8" customWidth="1"/>
    <col min="7656" max="7881" width="9.1796875" style="8"/>
    <col min="7882" max="7882" width="53.453125" style="8" customWidth="1"/>
    <col min="7883" max="7883" width="0.81640625" style="8" customWidth="1"/>
    <col min="7884" max="7884" width="13.54296875" style="8" bestFit="1" customWidth="1"/>
    <col min="7885" max="7885" width="0.7265625" style="8" customWidth="1"/>
    <col min="7886" max="7886" width="15.81640625" style="8" bestFit="1" customWidth="1"/>
    <col min="7887" max="7887" width="1.1796875" style="8" customWidth="1"/>
    <col min="7888" max="7888" width="12.26953125" style="8" bestFit="1" customWidth="1"/>
    <col min="7889" max="7889" width="0.81640625" style="8" customWidth="1"/>
    <col min="7890" max="7890" width="10.54296875" style="8" customWidth="1"/>
    <col min="7891" max="7891" width="1.26953125" style="8" customWidth="1"/>
    <col min="7892" max="7892" width="12.26953125" style="8" bestFit="1" customWidth="1"/>
    <col min="7893" max="7893" width="0.81640625" style="8" customWidth="1"/>
    <col min="7894" max="7894" width="12.1796875" style="8" customWidth="1"/>
    <col min="7895" max="7895" width="1" style="8" customWidth="1"/>
    <col min="7896" max="7896" width="11" style="8" customWidth="1"/>
    <col min="7897" max="7897" width="1.54296875" style="8" customWidth="1"/>
    <col min="7898" max="7898" width="10.7265625" style="8" bestFit="1" customWidth="1"/>
    <col min="7899" max="7899" width="1.1796875" style="8" customWidth="1"/>
    <col min="7900" max="7900" width="8.54296875" style="8" bestFit="1" customWidth="1"/>
    <col min="7901" max="7901" width="1.81640625" style="8" customWidth="1"/>
    <col min="7902" max="7902" width="12.1796875" style="8" customWidth="1"/>
    <col min="7903" max="7903" width="1.1796875" style="8" customWidth="1"/>
    <col min="7904" max="7904" width="9.1796875" style="8"/>
    <col min="7905" max="7905" width="0.54296875" style="8" customWidth="1"/>
    <col min="7906" max="7906" width="22" style="8" customWidth="1"/>
    <col min="7907" max="7907" width="0.54296875" style="8" customWidth="1"/>
    <col min="7908" max="7908" width="9.1796875" style="8"/>
    <col min="7909" max="7909" width="0.7265625" style="8" customWidth="1"/>
    <col min="7910" max="7910" width="15.7265625" style="8" bestFit="1" customWidth="1"/>
    <col min="7911" max="7911" width="0.7265625" style="8" customWidth="1"/>
    <col min="7912" max="8137" width="9.1796875" style="8"/>
    <col min="8138" max="8138" width="53.453125" style="8" customWidth="1"/>
    <col min="8139" max="8139" width="0.81640625" style="8" customWidth="1"/>
    <col min="8140" max="8140" width="13.54296875" style="8" bestFit="1" customWidth="1"/>
    <col min="8141" max="8141" width="0.7265625" style="8" customWidth="1"/>
    <col min="8142" max="8142" width="15.81640625" style="8" bestFit="1" customWidth="1"/>
    <col min="8143" max="8143" width="1.1796875" style="8" customWidth="1"/>
    <col min="8144" max="8144" width="12.26953125" style="8" bestFit="1" customWidth="1"/>
    <col min="8145" max="8145" width="0.81640625" style="8" customWidth="1"/>
    <col min="8146" max="8146" width="10.54296875" style="8" customWidth="1"/>
    <col min="8147" max="8147" width="1.26953125" style="8" customWidth="1"/>
    <col min="8148" max="8148" width="12.26953125" style="8" bestFit="1" customWidth="1"/>
    <col min="8149" max="8149" width="0.81640625" style="8" customWidth="1"/>
    <col min="8150" max="8150" width="12.1796875" style="8" customWidth="1"/>
    <col min="8151" max="8151" width="1" style="8" customWidth="1"/>
    <col min="8152" max="8152" width="11" style="8" customWidth="1"/>
    <col min="8153" max="8153" width="1.54296875" style="8" customWidth="1"/>
    <col min="8154" max="8154" width="10.7265625" style="8" bestFit="1" customWidth="1"/>
    <col min="8155" max="8155" width="1.1796875" style="8" customWidth="1"/>
    <col min="8156" max="8156" width="8.54296875" style="8" bestFit="1" customWidth="1"/>
    <col min="8157" max="8157" width="1.81640625" style="8" customWidth="1"/>
    <col min="8158" max="8158" width="12.1796875" style="8" customWidth="1"/>
    <col min="8159" max="8159" width="1.1796875" style="8" customWidth="1"/>
    <col min="8160" max="8160" width="9.1796875" style="8"/>
    <col min="8161" max="8161" width="0.54296875" style="8" customWidth="1"/>
    <col min="8162" max="8162" width="22" style="8" customWidth="1"/>
    <col min="8163" max="8163" width="0.54296875" style="8" customWidth="1"/>
    <col min="8164" max="8164" width="9.1796875" style="8"/>
    <col min="8165" max="8165" width="0.7265625" style="8" customWidth="1"/>
    <col min="8166" max="8166" width="15.7265625" style="8" bestFit="1" customWidth="1"/>
    <col min="8167" max="8167" width="0.7265625" style="8" customWidth="1"/>
    <col min="8168" max="8393" width="9.1796875" style="8"/>
    <col min="8394" max="8394" width="53.453125" style="8" customWidth="1"/>
    <col min="8395" max="8395" width="0.81640625" style="8" customWidth="1"/>
    <col min="8396" max="8396" width="13.54296875" style="8" bestFit="1" customWidth="1"/>
    <col min="8397" max="8397" width="0.7265625" style="8" customWidth="1"/>
    <col min="8398" max="8398" width="15.81640625" style="8" bestFit="1" customWidth="1"/>
    <col min="8399" max="8399" width="1.1796875" style="8" customWidth="1"/>
    <col min="8400" max="8400" width="12.26953125" style="8" bestFit="1" customWidth="1"/>
    <col min="8401" max="8401" width="0.81640625" style="8" customWidth="1"/>
    <col min="8402" max="8402" width="10.54296875" style="8" customWidth="1"/>
    <col min="8403" max="8403" width="1.26953125" style="8" customWidth="1"/>
    <col min="8404" max="8404" width="12.26953125" style="8" bestFit="1" customWidth="1"/>
    <col min="8405" max="8405" width="0.81640625" style="8" customWidth="1"/>
    <col min="8406" max="8406" width="12.1796875" style="8" customWidth="1"/>
    <col min="8407" max="8407" width="1" style="8" customWidth="1"/>
    <col min="8408" max="8408" width="11" style="8" customWidth="1"/>
    <col min="8409" max="8409" width="1.54296875" style="8" customWidth="1"/>
    <col min="8410" max="8410" width="10.7265625" style="8" bestFit="1" customWidth="1"/>
    <col min="8411" max="8411" width="1.1796875" style="8" customWidth="1"/>
    <col min="8412" max="8412" width="8.54296875" style="8" bestFit="1" customWidth="1"/>
    <col min="8413" max="8413" width="1.81640625" style="8" customWidth="1"/>
    <col min="8414" max="8414" width="12.1796875" style="8" customWidth="1"/>
    <col min="8415" max="8415" width="1.1796875" style="8" customWidth="1"/>
    <col min="8416" max="8416" width="9.1796875" style="8"/>
    <col min="8417" max="8417" width="0.54296875" style="8" customWidth="1"/>
    <col min="8418" max="8418" width="22" style="8" customWidth="1"/>
    <col min="8419" max="8419" width="0.54296875" style="8" customWidth="1"/>
    <col min="8420" max="8420" width="9.1796875" style="8"/>
    <col min="8421" max="8421" width="0.7265625" style="8" customWidth="1"/>
    <col min="8422" max="8422" width="15.7265625" style="8" bestFit="1" customWidth="1"/>
    <col min="8423" max="8423" width="0.7265625" style="8" customWidth="1"/>
    <col min="8424" max="8649" width="9.1796875" style="8"/>
    <col min="8650" max="8650" width="53.453125" style="8" customWidth="1"/>
    <col min="8651" max="8651" width="0.81640625" style="8" customWidth="1"/>
    <col min="8652" max="8652" width="13.54296875" style="8" bestFit="1" customWidth="1"/>
    <col min="8653" max="8653" width="0.7265625" style="8" customWidth="1"/>
    <col min="8654" max="8654" width="15.81640625" style="8" bestFit="1" customWidth="1"/>
    <col min="8655" max="8655" width="1.1796875" style="8" customWidth="1"/>
    <col min="8656" max="8656" width="12.26953125" style="8" bestFit="1" customWidth="1"/>
    <col min="8657" max="8657" width="0.81640625" style="8" customWidth="1"/>
    <col min="8658" max="8658" width="10.54296875" style="8" customWidth="1"/>
    <col min="8659" max="8659" width="1.26953125" style="8" customWidth="1"/>
    <col min="8660" max="8660" width="12.26953125" style="8" bestFit="1" customWidth="1"/>
    <col min="8661" max="8661" width="0.81640625" style="8" customWidth="1"/>
    <col min="8662" max="8662" width="12.1796875" style="8" customWidth="1"/>
    <col min="8663" max="8663" width="1" style="8" customWidth="1"/>
    <col min="8664" max="8664" width="11" style="8" customWidth="1"/>
    <col min="8665" max="8665" width="1.54296875" style="8" customWidth="1"/>
    <col min="8666" max="8666" width="10.7265625" style="8" bestFit="1" customWidth="1"/>
    <col min="8667" max="8667" width="1.1796875" style="8" customWidth="1"/>
    <col min="8668" max="8668" width="8.54296875" style="8" bestFit="1" customWidth="1"/>
    <col min="8669" max="8669" width="1.81640625" style="8" customWidth="1"/>
    <col min="8670" max="8670" width="12.1796875" style="8" customWidth="1"/>
    <col min="8671" max="8671" width="1.1796875" style="8" customWidth="1"/>
    <col min="8672" max="8672" width="9.1796875" style="8"/>
    <col min="8673" max="8673" width="0.54296875" style="8" customWidth="1"/>
    <col min="8674" max="8674" width="22" style="8" customWidth="1"/>
    <col min="8675" max="8675" width="0.54296875" style="8" customWidth="1"/>
    <col min="8676" max="8676" width="9.1796875" style="8"/>
    <col min="8677" max="8677" width="0.7265625" style="8" customWidth="1"/>
    <col min="8678" max="8678" width="15.7265625" style="8" bestFit="1" customWidth="1"/>
    <col min="8679" max="8679" width="0.7265625" style="8" customWidth="1"/>
    <col min="8680" max="8905" width="9.1796875" style="8"/>
    <col min="8906" max="8906" width="53.453125" style="8" customWidth="1"/>
    <col min="8907" max="8907" width="0.81640625" style="8" customWidth="1"/>
    <col min="8908" max="8908" width="13.54296875" style="8" bestFit="1" customWidth="1"/>
    <col min="8909" max="8909" width="0.7265625" style="8" customWidth="1"/>
    <col min="8910" max="8910" width="15.81640625" style="8" bestFit="1" customWidth="1"/>
    <col min="8911" max="8911" width="1.1796875" style="8" customWidth="1"/>
    <col min="8912" max="8912" width="12.26953125" style="8" bestFit="1" customWidth="1"/>
    <col min="8913" max="8913" width="0.81640625" style="8" customWidth="1"/>
    <col min="8914" max="8914" width="10.54296875" style="8" customWidth="1"/>
    <col min="8915" max="8915" width="1.26953125" style="8" customWidth="1"/>
    <col min="8916" max="8916" width="12.26953125" style="8" bestFit="1" customWidth="1"/>
    <col min="8917" max="8917" width="0.81640625" style="8" customWidth="1"/>
    <col min="8918" max="8918" width="12.1796875" style="8" customWidth="1"/>
    <col min="8919" max="8919" width="1" style="8" customWidth="1"/>
    <col min="8920" max="8920" width="11" style="8" customWidth="1"/>
    <col min="8921" max="8921" width="1.54296875" style="8" customWidth="1"/>
    <col min="8922" max="8922" width="10.7265625" style="8" bestFit="1" customWidth="1"/>
    <col min="8923" max="8923" width="1.1796875" style="8" customWidth="1"/>
    <col min="8924" max="8924" width="8.54296875" style="8" bestFit="1" customWidth="1"/>
    <col min="8925" max="8925" width="1.81640625" style="8" customWidth="1"/>
    <col min="8926" max="8926" width="12.1796875" style="8" customWidth="1"/>
    <col min="8927" max="8927" width="1.1796875" style="8" customWidth="1"/>
    <col min="8928" max="8928" width="9.1796875" style="8"/>
    <col min="8929" max="8929" width="0.54296875" style="8" customWidth="1"/>
    <col min="8930" max="8930" width="22" style="8" customWidth="1"/>
    <col min="8931" max="8931" width="0.54296875" style="8" customWidth="1"/>
    <col min="8932" max="8932" width="9.1796875" style="8"/>
    <col min="8933" max="8933" width="0.7265625" style="8" customWidth="1"/>
    <col min="8934" max="8934" width="15.7265625" style="8" bestFit="1" customWidth="1"/>
    <col min="8935" max="8935" width="0.7265625" style="8" customWidth="1"/>
    <col min="8936" max="9161" width="9.1796875" style="8"/>
    <col min="9162" max="9162" width="53.453125" style="8" customWidth="1"/>
    <col min="9163" max="9163" width="0.81640625" style="8" customWidth="1"/>
    <col min="9164" max="9164" width="13.54296875" style="8" bestFit="1" customWidth="1"/>
    <col min="9165" max="9165" width="0.7265625" style="8" customWidth="1"/>
    <col min="9166" max="9166" width="15.81640625" style="8" bestFit="1" customWidth="1"/>
    <col min="9167" max="9167" width="1.1796875" style="8" customWidth="1"/>
    <col min="9168" max="9168" width="12.26953125" style="8" bestFit="1" customWidth="1"/>
    <col min="9169" max="9169" width="0.81640625" style="8" customWidth="1"/>
    <col min="9170" max="9170" width="10.54296875" style="8" customWidth="1"/>
    <col min="9171" max="9171" width="1.26953125" style="8" customWidth="1"/>
    <col min="9172" max="9172" width="12.26953125" style="8" bestFit="1" customWidth="1"/>
    <col min="9173" max="9173" width="0.81640625" style="8" customWidth="1"/>
    <col min="9174" max="9174" width="12.1796875" style="8" customWidth="1"/>
    <col min="9175" max="9175" width="1" style="8" customWidth="1"/>
    <col min="9176" max="9176" width="11" style="8" customWidth="1"/>
    <col min="9177" max="9177" width="1.54296875" style="8" customWidth="1"/>
    <col min="9178" max="9178" width="10.7265625" style="8" bestFit="1" customWidth="1"/>
    <col min="9179" max="9179" width="1.1796875" style="8" customWidth="1"/>
    <col min="9180" max="9180" width="8.54296875" style="8" bestFit="1" customWidth="1"/>
    <col min="9181" max="9181" width="1.81640625" style="8" customWidth="1"/>
    <col min="9182" max="9182" width="12.1796875" style="8" customWidth="1"/>
    <col min="9183" max="9183" width="1.1796875" style="8" customWidth="1"/>
    <col min="9184" max="9184" width="9.1796875" style="8"/>
    <col min="9185" max="9185" width="0.54296875" style="8" customWidth="1"/>
    <col min="9186" max="9186" width="22" style="8" customWidth="1"/>
    <col min="9187" max="9187" width="0.54296875" style="8" customWidth="1"/>
    <col min="9188" max="9188" width="9.1796875" style="8"/>
    <col min="9189" max="9189" width="0.7265625" style="8" customWidth="1"/>
    <col min="9190" max="9190" width="15.7265625" style="8" bestFit="1" customWidth="1"/>
    <col min="9191" max="9191" width="0.7265625" style="8" customWidth="1"/>
    <col min="9192" max="9417" width="9.1796875" style="8"/>
    <col min="9418" max="9418" width="53.453125" style="8" customWidth="1"/>
    <col min="9419" max="9419" width="0.81640625" style="8" customWidth="1"/>
    <col min="9420" max="9420" width="13.54296875" style="8" bestFit="1" customWidth="1"/>
    <col min="9421" max="9421" width="0.7265625" style="8" customWidth="1"/>
    <col min="9422" max="9422" width="15.81640625" style="8" bestFit="1" customWidth="1"/>
    <col min="9423" max="9423" width="1.1796875" style="8" customWidth="1"/>
    <col min="9424" max="9424" width="12.26953125" style="8" bestFit="1" customWidth="1"/>
    <col min="9425" max="9425" width="0.81640625" style="8" customWidth="1"/>
    <col min="9426" max="9426" width="10.54296875" style="8" customWidth="1"/>
    <col min="9427" max="9427" width="1.26953125" style="8" customWidth="1"/>
    <col min="9428" max="9428" width="12.26953125" style="8" bestFit="1" customWidth="1"/>
    <col min="9429" max="9429" width="0.81640625" style="8" customWidth="1"/>
    <col min="9430" max="9430" width="12.1796875" style="8" customWidth="1"/>
    <col min="9431" max="9431" width="1" style="8" customWidth="1"/>
    <col min="9432" max="9432" width="11" style="8" customWidth="1"/>
    <col min="9433" max="9433" width="1.54296875" style="8" customWidth="1"/>
    <col min="9434" max="9434" width="10.7265625" style="8" bestFit="1" customWidth="1"/>
    <col min="9435" max="9435" width="1.1796875" style="8" customWidth="1"/>
    <col min="9436" max="9436" width="8.54296875" style="8" bestFit="1" customWidth="1"/>
    <col min="9437" max="9437" width="1.81640625" style="8" customWidth="1"/>
    <col min="9438" max="9438" width="12.1796875" style="8" customWidth="1"/>
    <col min="9439" max="9439" width="1.1796875" style="8" customWidth="1"/>
    <col min="9440" max="9440" width="9.1796875" style="8"/>
    <col min="9441" max="9441" width="0.54296875" style="8" customWidth="1"/>
    <col min="9442" max="9442" width="22" style="8" customWidth="1"/>
    <col min="9443" max="9443" width="0.54296875" style="8" customWidth="1"/>
    <col min="9444" max="9444" width="9.1796875" style="8"/>
    <col min="9445" max="9445" width="0.7265625" style="8" customWidth="1"/>
    <col min="9446" max="9446" width="15.7265625" style="8" bestFit="1" customWidth="1"/>
    <col min="9447" max="9447" width="0.7265625" style="8" customWidth="1"/>
    <col min="9448" max="9673" width="9.1796875" style="8"/>
    <col min="9674" max="9674" width="53.453125" style="8" customWidth="1"/>
    <col min="9675" max="9675" width="0.81640625" style="8" customWidth="1"/>
    <col min="9676" max="9676" width="13.54296875" style="8" bestFit="1" customWidth="1"/>
    <col min="9677" max="9677" width="0.7265625" style="8" customWidth="1"/>
    <col min="9678" max="9678" width="15.81640625" style="8" bestFit="1" customWidth="1"/>
    <col min="9679" max="9679" width="1.1796875" style="8" customWidth="1"/>
    <col min="9680" max="9680" width="12.26953125" style="8" bestFit="1" customWidth="1"/>
    <col min="9681" max="9681" width="0.81640625" style="8" customWidth="1"/>
    <col min="9682" max="9682" width="10.54296875" style="8" customWidth="1"/>
    <col min="9683" max="9683" width="1.26953125" style="8" customWidth="1"/>
    <col min="9684" max="9684" width="12.26953125" style="8" bestFit="1" customWidth="1"/>
    <col min="9685" max="9685" width="0.81640625" style="8" customWidth="1"/>
    <col min="9686" max="9686" width="12.1796875" style="8" customWidth="1"/>
    <col min="9687" max="9687" width="1" style="8" customWidth="1"/>
    <col min="9688" max="9688" width="11" style="8" customWidth="1"/>
    <col min="9689" max="9689" width="1.54296875" style="8" customWidth="1"/>
    <col min="9690" max="9690" width="10.7265625" style="8" bestFit="1" customWidth="1"/>
    <col min="9691" max="9691" width="1.1796875" style="8" customWidth="1"/>
    <col min="9692" max="9692" width="8.54296875" style="8" bestFit="1" customWidth="1"/>
    <col min="9693" max="9693" width="1.81640625" style="8" customWidth="1"/>
    <col min="9694" max="9694" width="12.1796875" style="8" customWidth="1"/>
    <col min="9695" max="9695" width="1.1796875" style="8" customWidth="1"/>
    <col min="9696" max="9696" width="9.1796875" style="8"/>
    <col min="9697" max="9697" width="0.54296875" style="8" customWidth="1"/>
    <col min="9698" max="9698" width="22" style="8" customWidth="1"/>
    <col min="9699" max="9699" width="0.54296875" style="8" customWidth="1"/>
    <col min="9700" max="9700" width="9.1796875" style="8"/>
    <col min="9701" max="9701" width="0.7265625" style="8" customWidth="1"/>
    <col min="9702" max="9702" width="15.7265625" style="8" bestFit="1" customWidth="1"/>
    <col min="9703" max="9703" width="0.7265625" style="8" customWidth="1"/>
    <col min="9704" max="9929" width="9.1796875" style="8"/>
    <col min="9930" max="9930" width="53.453125" style="8" customWidth="1"/>
    <col min="9931" max="9931" width="0.81640625" style="8" customWidth="1"/>
    <col min="9932" max="9932" width="13.54296875" style="8" bestFit="1" customWidth="1"/>
    <col min="9933" max="9933" width="0.7265625" style="8" customWidth="1"/>
    <col min="9934" max="9934" width="15.81640625" style="8" bestFit="1" customWidth="1"/>
    <col min="9935" max="9935" width="1.1796875" style="8" customWidth="1"/>
    <col min="9936" max="9936" width="12.26953125" style="8" bestFit="1" customWidth="1"/>
    <col min="9937" max="9937" width="0.81640625" style="8" customWidth="1"/>
    <col min="9938" max="9938" width="10.54296875" style="8" customWidth="1"/>
    <col min="9939" max="9939" width="1.26953125" style="8" customWidth="1"/>
    <col min="9940" max="9940" width="12.26953125" style="8" bestFit="1" customWidth="1"/>
    <col min="9941" max="9941" width="0.81640625" style="8" customWidth="1"/>
    <col min="9942" max="9942" width="12.1796875" style="8" customWidth="1"/>
    <col min="9943" max="9943" width="1" style="8" customWidth="1"/>
    <col min="9944" max="9944" width="11" style="8" customWidth="1"/>
    <col min="9945" max="9945" width="1.54296875" style="8" customWidth="1"/>
    <col min="9946" max="9946" width="10.7265625" style="8" bestFit="1" customWidth="1"/>
    <col min="9947" max="9947" width="1.1796875" style="8" customWidth="1"/>
    <col min="9948" max="9948" width="8.54296875" style="8" bestFit="1" customWidth="1"/>
    <col min="9949" max="9949" width="1.81640625" style="8" customWidth="1"/>
    <col min="9950" max="9950" width="12.1796875" style="8" customWidth="1"/>
    <col min="9951" max="9951" width="1.1796875" style="8" customWidth="1"/>
    <col min="9952" max="9952" width="9.1796875" style="8"/>
    <col min="9953" max="9953" width="0.54296875" style="8" customWidth="1"/>
    <col min="9954" max="9954" width="22" style="8" customWidth="1"/>
    <col min="9955" max="9955" width="0.54296875" style="8" customWidth="1"/>
    <col min="9956" max="9956" width="9.1796875" style="8"/>
    <col min="9957" max="9957" width="0.7265625" style="8" customWidth="1"/>
    <col min="9958" max="9958" width="15.7265625" style="8" bestFit="1" customWidth="1"/>
    <col min="9959" max="9959" width="0.7265625" style="8" customWidth="1"/>
    <col min="9960" max="10185" width="9.1796875" style="8"/>
    <col min="10186" max="10186" width="53.453125" style="8" customWidth="1"/>
    <col min="10187" max="10187" width="0.81640625" style="8" customWidth="1"/>
    <col min="10188" max="10188" width="13.54296875" style="8" bestFit="1" customWidth="1"/>
    <col min="10189" max="10189" width="0.7265625" style="8" customWidth="1"/>
    <col min="10190" max="10190" width="15.81640625" style="8" bestFit="1" customWidth="1"/>
    <col min="10191" max="10191" width="1.1796875" style="8" customWidth="1"/>
    <col min="10192" max="10192" width="12.26953125" style="8" bestFit="1" customWidth="1"/>
    <col min="10193" max="10193" width="0.81640625" style="8" customWidth="1"/>
    <col min="10194" max="10194" width="10.54296875" style="8" customWidth="1"/>
    <col min="10195" max="10195" width="1.26953125" style="8" customWidth="1"/>
    <col min="10196" max="10196" width="12.26953125" style="8" bestFit="1" customWidth="1"/>
    <col min="10197" max="10197" width="0.81640625" style="8" customWidth="1"/>
    <col min="10198" max="10198" width="12.1796875" style="8" customWidth="1"/>
    <col min="10199" max="10199" width="1" style="8" customWidth="1"/>
    <col min="10200" max="10200" width="11" style="8" customWidth="1"/>
    <col min="10201" max="10201" width="1.54296875" style="8" customWidth="1"/>
    <col min="10202" max="10202" width="10.7265625" style="8" bestFit="1" customWidth="1"/>
    <col min="10203" max="10203" width="1.1796875" style="8" customWidth="1"/>
    <col min="10204" max="10204" width="8.54296875" style="8" bestFit="1" customWidth="1"/>
    <col min="10205" max="10205" width="1.81640625" style="8" customWidth="1"/>
    <col min="10206" max="10206" width="12.1796875" style="8" customWidth="1"/>
    <col min="10207" max="10207" width="1.1796875" style="8" customWidth="1"/>
    <col min="10208" max="10208" width="9.1796875" style="8"/>
    <col min="10209" max="10209" width="0.54296875" style="8" customWidth="1"/>
    <col min="10210" max="10210" width="22" style="8" customWidth="1"/>
    <col min="10211" max="10211" width="0.54296875" style="8" customWidth="1"/>
    <col min="10212" max="10212" width="9.1796875" style="8"/>
    <col min="10213" max="10213" width="0.7265625" style="8" customWidth="1"/>
    <col min="10214" max="10214" width="15.7265625" style="8" bestFit="1" customWidth="1"/>
    <col min="10215" max="10215" width="0.7265625" style="8" customWidth="1"/>
    <col min="10216" max="10441" width="9.1796875" style="8"/>
    <col min="10442" max="10442" width="53.453125" style="8" customWidth="1"/>
    <col min="10443" max="10443" width="0.81640625" style="8" customWidth="1"/>
    <col min="10444" max="10444" width="13.54296875" style="8" bestFit="1" customWidth="1"/>
    <col min="10445" max="10445" width="0.7265625" style="8" customWidth="1"/>
    <col min="10446" max="10446" width="15.81640625" style="8" bestFit="1" customWidth="1"/>
    <col min="10447" max="10447" width="1.1796875" style="8" customWidth="1"/>
    <col min="10448" max="10448" width="12.26953125" style="8" bestFit="1" customWidth="1"/>
    <col min="10449" max="10449" width="0.81640625" style="8" customWidth="1"/>
    <col min="10450" max="10450" width="10.54296875" style="8" customWidth="1"/>
    <col min="10451" max="10451" width="1.26953125" style="8" customWidth="1"/>
    <col min="10452" max="10452" width="12.26953125" style="8" bestFit="1" customWidth="1"/>
    <col min="10453" max="10453" width="0.81640625" style="8" customWidth="1"/>
    <col min="10454" max="10454" width="12.1796875" style="8" customWidth="1"/>
    <col min="10455" max="10455" width="1" style="8" customWidth="1"/>
    <col min="10456" max="10456" width="11" style="8" customWidth="1"/>
    <col min="10457" max="10457" width="1.54296875" style="8" customWidth="1"/>
    <col min="10458" max="10458" width="10.7265625" style="8" bestFit="1" customWidth="1"/>
    <col min="10459" max="10459" width="1.1796875" style="8" customWidth="1"/>
    <col min="10460" max="10460" width="8.54296875" style="8" bestFit="1" customWidth="1"/>
    <col min="10461" max="10461" width="1.81640625" style="8" customWidth="1"/>
    <col min="10462" max="10462" width="12.1796875" style="8" customWidth="1"/>
    <col min="10463" max="10463" width="1.1796875" style="8" customWidth="1"/>
    <col min="10464" max="10464" width="9.1796875" style="8"/>
    <col min="10465" max="10465" width="0.54296875" style="8" customWidth="1"/>
    <col min="10466" max="10466" width="22" style="8" customWidth="1"/>
    <col min="10467" max="10467" width="0.54296875" style="8" customWidth="1"/>
    <col min="10468" max="10468" width="9.1796875" style="8"/>
    <col min="10469" max="10469" width="0.7265625" style="8" customWidth="1"/>
    <col min="10470" max="10470" width="15.7265625" style="8" bestFit="1" customWidth="1"/>
    <col min="10471" max="10471" width="0.7265625" style="8" customWidth="1"/>
    <col min="10472" max="10697" width="9.1796875" style="8"/>
    <col min="10698" max="10698" width="53.453125" style="8" customWidth="1"/>
    <col min="10699" max="10699" width="0.81640625" style="8" customWidth="1"/>
    <col min="10700" max="10700" width="13.54296875" style="8" bestFit="1" customWidth="1"/>
    <col min="10701" max="10701" width="0.7265625" style="8" customWidth="1"/>
    <col min="10702" max="10702" width="15.81640625" style="8" bestFit="1" customWidth="1"/>
    <col min="10703" max="10703" width="1.1796875" style="8" customWidth="1"/>
    <col min="10704" max="10704" width="12.26953125" style="8" bestFit="1" customWidth="1"/>
    <col min="10705" max="10705" width="0.81640625" style="8" customWidth="1"/>
    <col min="10706" max="10706" width="10.54296875" style="8" customWidth="1"/>
    <col min="10707" max="10707" width="1.26953125" style="8" customWidth="1"/>
    <col min="10708" max="10708" width="12.26953125" style="8" bestFit="1" customWidth="1"/>
    <col min="10709" max="10709" width="0.81640625" style="8" customWidth="1"/>
    <col min="10710" max="10710" width="12.1796875" style="8" customWidth="1"/>
    <col min="10711" max="10711" width="1" style="8" customWidth="1"/>
    <col min="10712" max="10712" width="11" style="8" customWidth="1"/>
    <col min="10713" max="10713" width="1.54296875" style="8" customWidth="1"/>
    <col min="10714" max="10714" width="10.7265625" style="8" bestFit="1" customWidth="1"/>
    <col min="10715" max="10715" width="1.1796875" style="8" customWidth="1"/>
    <col min="10716" max="10716" width="8.54296875" style="8" bestFit="1" customWidth="1"/>
    <col min="10717" max="10717" width="1.81640625" style="8" customWidth="1"/>
    <col min="10718" max="10718" width="12.1796875" style="8" customWidth="1"/>
    <col min="10719" max="10719" width="1.1796875" style="8" customWidth="1"/>
    <col min="10720" max="10720" width="9.1796875" style="8"/>
    <col min="10721" max="10721" width="0.54296875" style="8" customWidth="1"/>
    <col min="10722" max="10722" width="22" style="8" customWidth="1"/>
    <col min="10723" max="10723" width="0.54296875" style="8" customWidth="1"/>
    <col min="10724" max="10724" width="9.1796875" style="8"/>
    <col min="10725" max="10725" width="0.7265625" style="8" customWidth="1"/>
    <col min="10726" max="10726" width="15.7265625" style="8" bestFit="1" customWidth="1"/>
    <col min="10727" max="10727" width="0.7265625" style="8" customWidth="1"/>
    <col min="10728" max="10953" width="9.1796875" style="8"/>
    <col min="10954" max="10954" width="53.453125" style="8" customWidth="1"/>
    <col min="10955" max="10955" width="0.81640625" style="8" customWidth="1"/>
    <col min="10956" max="10956" width="13.54296875" style="8" bestFit="1" customWidth="1"/>
    <col min="10957" max="10957" width="0.7265625" style="8" customWidth="1"/>
    <col min="10958" max="10958" width="15.81640625" style="8" bestFit="1" customWidth="1"/>
    <col min="10959" max="10959" width="1.1796875" style="8" customWidth="1"/>
    <col min="10960" max="10960" width="12.26953125" style="8" bestFit="1" customWidth="1"/>
    <col min="10961" max="10961" width="0.81640625" style="8" customWidth="1"/>
    <col min="10962" max="10962" width="10.54296875" style="8" customWidth="1"/>
    <col min="10963" max="10963" width="1.26953125" style="8" customWidth="1"/>
    <col min="10964" max="10964" width="12.26953125" style="8" bestFit="1" customWidth="1"/>
    <col min="10965" max="10965" width="0.81640625" style="8" customWidth="1"/>
    <col min="10966" max="10966" width="12.1796875" style="8" customWidth="1"/>
    <col min="10967" max="10967" width="1" style="8" customWidth="1"/>
    <col min="10968" max="10968" width="11" style="8" customWidth="1"/>
    <col min="10969" max="10969" width="1.54296875" style="8" customWidth="1"/>
    <col min="10970" max="10970" width="10.7265625" style="8" bestFit="1" customWidth="1"/>
    <col min="10971" max="10971" width="1.1796875" style="8" customWidth="1"/>
    <col min="10972" max="10972" width="8.54296875" style="8" bestFit="1" customWidth="1"/>
    <col min="10973" max="10973" width="1.81640625" style="8" customWidth="1"/>
    <col min="10974" max="10974" width="12.1796875" style="8" customWidth="1"/>
    <col min="10975" max="10975" width="1.1796875" style="8" customWidth="1"/>
    <col min="10976" max="10976" width="9.1796875" style="8"/>
    <col min="10977" max="10977" width="0.54296875" style="8" customWidth="1"/>
    <col min="10978" max="10978" width="22" style="8" customWidth="1"/>
    <col min="10979" max="10979" width="0.54296875" style="8" customWidth="1"/>
    <col min="10980" max="10980" width="9.1796875" style="8"/>
    <col min="10981" max="10981" width="0.7265625" style="8" customWidth="1"/>
    <col min="10982" max="10982" width="15.7265625" style="8" bestFit="1" customWidth="1"/>
    <col min="10983" max="10983" width="0.7265625" style="8" customWidth="1"/>
    <col min="10984" max="11209" width="9.1796875" style="8"/>
    <col min="11210" max="11210" width="53.453125" style="8" customWidth="1"/>
    <col min="11211" max="11211" width="0.81640625" style="8" customWidth="1"/>
    <col min="11212" max="11212" width="13.54296875" style="8" bestFit="1" customWidth="1"/>
    <col min="11213" max="11213" width="0.7265625" style="8" customWidth="1"/>
    <col min="11214" max="11214" width="15.81640625" style="8" bestFit="1" customWidth="1"/>
    <col min="11215" max="11215" width="1.1796875" style="8" customWidth="1"/>
    <col min="11216" max="11216" width="12.26953125" style="8" bestFit="1" customWidth="1"/>
    <col min="11217" max="11217" width="0.81640625" style="8" customWidth="1"/>
    <col min="11218" max="11218" width="10.54296875" style="8" customWidth="1"/>
    <col min="11219" max="11219" width="1.26953125" style="8" customWidth="1"/>
    <col min="11220" max="11220" width="12.26953125" style="8" bestFit="1" customWidth="1"/>
    <col min="11221" max="11221" width="0.81640625" style="8" customWidth="1"/>
    <col min="11222" max="11222" width="12.1796875" style="8" customWidth="1"/>
    <col min="11223" max="11223" width="1" style="8" customWidth="1"/>
    <col min="11224" max="11224" width="11" style="8" customWidth="1"/>
    <col min="11225" max="11225" width="1.54296875" style="8" customWidth="1"/>
    <col min="11226" max="11226" width="10.7265625" style="8" bestFit="1" customWidth="1"/>
    <col min="11227" max="11227" width="1.1796875" style="8" customWidth="1"/>
    <col min="11228" max="11228" width="8.54296875" style="8" bestFit="1" customWidth="1"/>
    <col min="11229" max="11229" width="1.81640625" style="8" customWidth="1"/>
    <col min="11230" max="11230" width="12.1796875" style="8" customWidth="1"/>
    <col min="11231" max="11231" width="1.1796875" style="8" customWidth="1"/>
    <col min="11232" max="11232" width="9.1796875" style="8"/>
    <col min="11233" max="11233" width="0.54296875" style="8" customWidth="1"/>
    <col min="11234" max="11234" width="22" style="8" customWidth="1"/>
    <col min="11235" max="11235" width="0.54296875" style="8" customWidth="1"/>
    <col min="11236" max="11236" width="9.1796875" style="8"/>
    <col min="11237" max="11237" width="0.7265625" style="8" customWidth="1"/>
    <col min="11238" max="11238" width="15.7265625" style="8" bestFit="1" customWidth="1"/>
    <col min="11239" max="11239" width="0.7265625" style="8" customWidth="1"/>
    <col min="11240" max="11465" width="9.1796875" style="8"/>
    <col min="11466" max="11466" width="53.453125" style="8" customWidth="1"/>
    <col min="11467" max="11467" width="0.81640625" style="8" customWidth="1"/>
    <col min="11468" max="11468" width="13.54296875" style="8" bestFit="1" customWidth="1"/>
    <col min="11469" max="11469" width="0.7265625" style="8" customWidth="1"/>
    <col min="11470" max="11470" width="15.81640625" style="8" bestFit="1" customWidth="1"/>
    <col min="11471" max="11471" width="1.1796875" style="8" customWidth="1"/>
    <col min="11472" max="11472" width="12.26953125" style="8" bestFit="1" customWidth="1"/>
    <col min="11473" max="11473" width="0.81640625" style="8" customWidth="1"/>
    <col min="11474" max="11474" width="10.54296875" style="8" customWidth="1"/>
    <col min="11475" max="11475" width="1.26953125" style="8" customWidth="1"/>
    <col min="11476" max="11476" width="12.26953125" style="8" bestFit="1" customWidth="1"/>
    <col min="11477" max="11477" width="0.81640625" style="8" customWidth="1"/>
    <col min="11478" max="11478" width="12.1796875" style="8" customWidth="1"/>
    <col min="11479" max="11479" width="1" style="8" customWidth="1"/>
    <col min="11480" max="11480" width="11" style="8" customWidth="1"/>
    <col min="11481" max="11481" width="1.54296875" style="8" customWidth="1"/>
    <col min="11482" max="11482" width="10.7265625" style="8" bestFit="1" customWidth="1"/>
    <col min="11483" max="11483" width="1.1796875" style="8" customWidth="1"/>
    <col min="11484" max="11484" width="8.54296875" style="8" bestFit="1" customWidth="1"/>
    <col min="11485" max="11485" width="1.81640625" style="8" customWidth="1"/>
    <col min="11486" max="11486" width="12.1796875" style="8" customWidth="1"/>
    <col min="11487" max="11487" width="1.1796875" style="8" customWidth="1"/>
    <col min="11488" max="11488" width="9.1796875" style="8"/>
    <col min="11489" max="11489" width="0.54296875" style="8" customWidth="1"/>
    <col min="11490" max="11490" width="22" style="8" customWidth="1"/>
    <col min="11491" max="11491" width="0.54296875" style="8" customWidth="1"/>
    <col min="11492" max="11492" width="9.1796875" style="8"/>
    <col min="11493" max="11493" width="0.7265625" style="8" customWidth="1"/>
    <col min="11494" max="11494" width="15.7265625" style="8" bestFit="1" customWidth="1"/>
    <col min="11495" max="11495" width="0.7265625" style="8" customWidth="1"/>
    <col min="11496" max="11721" width="9.1796875" style="8"/>
    <col min="11722" max="11722" width="53.453125" style="8" customWidth="1"/>
    <col min="11723" max="11723" width="0.81640625" style="8" customWidth="1"/>
    <col min="11724" max="11724" width="13.54296875" style="8" bestFit="1" customWidth="1"/>
    <col min="11725" max="11725" width="0.7265625" style="8" customWidth="1"/>
    <col min="11726" max="11726" width="15.81640625" style="8" bestFit="1" customWidth="1"/>
    <col min="11727" max="11727" width="1.1796875" style="8" customWidth="1"/>
    <col min="11728" max="11728" width="12.26953125" style="8" bestFit="1" customWidth="1"/>
    <col min="11729" max="11729" width="0.81640625" style="8" customWidth="1"/>
    <col min="11730" max="11730" width="10.54296875" style="8" customWidth="1"/>
    <col min="11731" max="11731" width="1.26953125" style="8" customWidth="1"/>
    <col min="11732" max="11732" width="12.26953125" style="8" bestFit="1" customWidth="1"/>
    <col min="11733" max="11733" width="0.81640625" style="8" customWidth="1"/>
    <col min="11734" max="11734" width="12.1796875" style="8" customWidth="1"/>
    <col min="11735" max="11735" width="1" style="8" customWidth="1"/>
    <col min="11736" max="11736" width="11" style="8" customWidth="1"/>
    <col min="11737" max="11737" width="1.54296875" style="8" customWidth="1"/>
    <col min="11738" max="11738" width="10.7265625" style="8" bestFit="1" customWidth="1"/>
    <col min="11739" max="11739" width="1.1796875" style="8" customWidth="1"/>
    <col min="11740" max="11740" width="8.54296875" style="8" bestFit="1" customWidth="1"/>
    <col min="11741" max="11741" width="1.81640625" style="8" customWidth="1"/>
    <col min="11742" max="11742" width="12.1796875" style="8" customWidth="1"/>
    <col min="11743" max="11743" width="1.1796875" style="8" customWidth="1"/>
    <col min="11744" max="11744" width="9.1796875" style="8"/>
    <col min="11745" max="11745" width="0.54296875" style="8" customWidth="1"/>
    <col min="11746" max="11746" width="22" style="8" customWidth="1"/>
    <col min="11747" max="11747" width="0.54296875" style="8" customWidth="1"/>
    <col min="11748" max="11748" width="9.1796875" style="8"/>
    <col min="11749" max="11749" width="0.7265625" style="8" customWidth="1"/>
    <col min="11750" max="11750" width="15.7265625" style="8" bestFit="1" customWidth="1"/>
    <col min="11751" max="11751" width="0.7265625" style="8" customWidth="1"/>
    <col min="11752" max="11977" width="9.1796875" style="8"/>
    <col min="11978" max="11978" width="53.453125" style="8" customWidth="1"/>
    <col min="11979" max="11979" width="0.81640625" style="8" customWidth="1"/>
    <col min="11980" max="11980" width="13.54296875" style="8" bestFit="1" customWidth="1"/>
    <col min="11981" max="11981" width="0.7265625" style="8" customWidth="1"/>
    <col min="11982" max="11982" width="15.81640625" style="8" bestFit="1" customWidth="1"/>
    <col min="11983" max="11983" width="1.1796875" style="8" customWidth="1"/>
    <col min="11984" max="11984" width="12.26953125" style="8" bestFit="1" customWidth="1"/>
    <col min="11985" max="11985" width="0.81640625" style="8" customWidth="1"/>
    <col min="11986" max="11986" width="10.54296875" style="8" customWidth="1"/>
    <col min="11987" max="11987" width="1.26953125" style="8" customWidth="1"/>
    <col min="11988" max="11988" width="12.26953125" style="8" bestFit="1" customWidth="1"/>
    <col min="11989" max="11989" width="0.81640625" style="8" customWidth="1"/>
    <col min="11990" max="11990" width="12.1796875" style="8" customWidth="1"/>
    <col min="11991" max="11991" width="1" style="8" customWidth="1"/>
    <col min="11992" max="11992" width="11" style="8" customWidth="1"/>
    <col min="11993" max="11993" width="1.54296875" style="8" customWidth="1"/>
    <col min="11994" max="11994" width="10.7265625" style="8" bestFit="1" customWidth="1"/>
    <col min="11995" max="11995" width="1.1796875" style="8" customWidth="1"/>
    <col min="11996" max="11996" width="8.54296875" style="8" bestFit="1" customWidth="1"/>
    <col min="11997" max="11997" width="1.81640625" style="8" customWidth="1"/>
    <col min="11998" max="11998" width="12.1796875" style="8" customWidth="1"/>
    <col min="11999" max="11999" width="1.1796875" style="8" customWidth="1"/>
    <col min="12000" max="12000" width="9.1796875" style="8"/>
    <col min="12001" max="12001" width="0.54296875" style="8" customWidth="1"/>
    <col min="12002" max="12002" width="22" style="8" customWidth="1"/>
    <col min="12003" max="12003" width="0.54296875" style="8" customWidth="1"/>
    <col min="12004" max="12004" width="9.1796875" style="8"/>
    <col min="12005" max="12005" width="0.7265625" style="8" customWidth="1"/>
    <col min="12006" max="12006" width="15.7265625" style="8" bestFit="1" customWidth="1"/>
    <col min="12007" max="12007" width="0.7265625" style="8" customWidth="1"/>
    <col min="12008" max="12233" width="9.1796875" style="8"/>
    <col min="12234" max="12234" width="53.453125" style="8" customWidth="1"/>
    <col min="12235" max="12235" width="0.81640625" style="8" customWidth="1"/>
    <col min="12236" max="12236" width="13.54296875" style="8" bestFit="1" customWidth="1"/>
    <col min="12237" max="12237" width="0.7265625" style="8" customWidth="1"/>
    <col min="12238" max="12238" width="15.81640625" style="8" bestFit="1" customWidth="1"/>
    <col min="12239" max="12239" width="1.1796875" style="8" customWidth="1"/>
    <col min="12240" max="12240" width="12.26953125" style="8" bestFit="1" customWidth="1"/>
    <col min="12241" max="12241" width="0.81640625" style="8" customWidth="1"/>
    <col min="12242" max="12242" width="10.54296875" style="8" customWidth="1"/>
    <col min="12243" max="12243" width="1.26953125" style="8" customWidth="1"/>
    <col min="12244" max="12244" width="12.26953125" style="8" bestFit="1" customWidth="1"/>
    <col min="12245" max="12245" width="0.81640625" style="8" customWidth="1"/>
    <col min="12246" max="12246" width="12.1796875" style="8" customWidth="1"/>
    <col min="12247" max="12247" width="1" style="8" customWidth="1"/>
    <col min="12248" max="12248" width="11" style="8" customWidth="1"/>
    <col min="12249" max="12249" width="1.54296875" style="8" customWidth="1"/>
    <col min="12250" max="12250" width="10.7265625" style="8" bestFit="1" customWidth="1"/>
    <col min="12251" max="12251" width="1.1796875" style="8" customWidth="1"/>
    <col min="12252" max="12252" width="8.54296875" style="8" bestFit="1" customWidth="1"/>
    <col min="12253" max="12253" width="1.81640625" style="8" customWidth="1"/>
    <col min="12254" max="12254" width="12.1796875" style="8" customWidth="1"/>
    <col min="12255" max="12255" width="1.1796875" style="8" customWidth="1"/>
    <col min="12256" max="12256" width="9.1796875" style="8"/>
    <col min="12257" max="12257" width="0.54296875" style="8" customWidth="1"/>
    <col min="12258" max="12258" width="22" style="8" customWidth="1"/>
    <col min="12259" max="12259" width="0.54296875" style="8" customWidth="1"/>
    <col min="12260" max="12260" width="9.1796875" style="8"/>
    <col min="12261" max="12261" width="0.7265625" style="8" customWidth="1"/>
    <col min="12262" max="12262" width="15.7265625" style="8" bestFit="1" customWidth="1"/>
    <col min="12263" max="12263" width="0.7265625" style="8" customWidth="1"/>
    <col min="12264" max="12489" width="9.1796875" style="8"/>
    <col min="12490" max="12490" width="53.453125" style="8" customWidth="1"/>
    <col min="12491" max="12491" width="0.81640625" style="8" customWidth="1"/>
    <col min="12492" max="12492" width="13.54296875" style="8" bestFit="1" customWidth="1"/>
    <col min="12493" max="12493" width="0.7265625" style="8" customWidth="1"/>
    <col min="12494" max="12494" width="15.81640625" style="8" bestFit="1" customWidth="1"/>
    <col min="12495" max="12495" width="1.1796875" style="8" customWidth="1"/>
    <col min="12496" max="12496" width="12.26953125" style="8" bestFit="1" customWidth="1"/>
    <col min="12497" max="12497" width="0.81640625" style="8" customWidth="1"/>
    <col min="12498" max="12498" width="10.54296875" style="8" customWidth="1"/>
    <col min="12499" max="12499" width="1.26953125" style="8" customWidth="1"/>
    <col min="12500" max="12500" width="12.26953125" style="8" bestFit="1" customWidth="1"/>
    <col min="12501" max="12501" width="0.81640625" style="8" customWidth="1"/>
    <col min="12502" max="12502" width="12.1796875" style="8" customWidth="1"/>
    <col min="12503" max="12503" width="1" style="8" customWidth="1"/>
    <col min="12504" max="12504" width="11" style="8" customWidth="1"/>
    <col min="12505" max="12505" width="1.54296875" style="8" customWidth="1"/>
    <col min="12506" max="12506" width="10.7265625" style="8" bestFit="1" customWidth="1"/>
    <col min="12507" max="12507" width="1.1796875" style="8" customWidth="1"/>
    <col min="12508" max="12508" width="8.54296875" style="8" bestFit="1" customWidth="1"/>
    <col min="12509" max="12509" width="1.81640625" style="8" customWidth="1"/>
    <col min="12510" max="12510" width="12.1796875" style="8" customWidth="1"/>
    <col min="12511" max="12511" width="1.1796875" style="8" customWidth="1"/>
    <col min="12512" max="12512" width="9.1796875" style="8"/>
    <col min="12513" max="12513" width="0.54296875" style="8" customWidth="1"/>
    <col min="12514" max="12514" width="22" style="8" customWidth="1"/>
    <col min="12515" max="12515" width="0.54296875" style="8" customWidth="1"/>
    <col min="12516" max="12516" width="9.1796875" style="8"/>
    <col min="12517" max="12517" width="0.7265625" style="8" customWidth="1"/>
    <col min="12518" max="12518" width="15.7265625" style="8" bestFit="1" customWidth="1"/>
    <col min="12519" max="12519" width="0.7265625" style="8" customWidth="1"/>
    <col min="12520" max="12745" width="9.1796875" style="8"/>
    <col min="12746" max="12746" width="53.453125" style="8" customWidth="1"/>
    <col min="12747" max="12747" width="0.81640625" style="8" customWidth="1"/>
    <col min="12748" max="12748" width="13.54296875" style="8" bestFit="1" customWidth="1"/>
    <col min="12749" max="12749" width="0.7265625" style="8" customWidth="1"/>
    <col min="12750" max="12750" width="15.81640625" style="8" bestFit="1" customWidth="1"/>
    <col min="12751" max="12751" width="1.1796875" style="8" customWidth="1"/>
    <col min="12752" max="12752" width="12.26953125" style="8" bestFit="1" customWidth="1"/>
    <col min="12753" max="12753" width="0.81640625" style="8" customWidth="1"/>
    <col min="12754" max="12754" width="10.54296875" style="8" customWidth="1"/>
    <col min="12755" max="12755" width="1.26953125" style="8" customWidth="1"/>
    <col min="12756" max="12756" width="12.26953125" style="8" bestFit="1" customWidth="1"/>
    <col min="12757" max="12757" width="0.81640625" style="8" customWidth="1"/>
    <col min="12758" max="12758" width="12.1796875" style="8" customWidth="1"/>
    <col min="12759" max="12759" width="1" style="8" customWidth="1"/>
    <col min="12760" max="12760" width="11" style="8" customWidth="1"/>
    <col min="12761" max="12761" width="1.54296875" style="8" customWidth="1"/>
    <col min="12762" max="12762" width="10.7265625" style="8" bestFit="1" customWidth="1"/>
    <col min="12763" max="12763" width="1.1796875" style="8" customWidth="1"/>
    <col min="12764" max="12764" width="8.54296875" style="8" bestFit="1" customWidth="1"/>
    <col min="12765" max="12765" width="1.81640625" style="8" customWidth="1"/>
    <col min="12766" max="12766" width="12.1796875" style="8" customWidth="1"/>
    <col min="12767" max="12767" width="1.1796875" style="8" customWidth="1"/>
    <col min="12768" max="12768" width="9.1796875" style="8"/>
    <col min="12769" max="12769" width="0.54296875" style="8" customWidth="1"/>
    <col min="12770" max="12770" width="22" style="8" customWidth="1"/>
    <col min="12771" max="12771" width="0.54296875" style="8" customWidth="1"/>
    <col min="12772" max="12772" width="9.1796875" style="8"/>
    <col min="12773" max="12773" width="0.7265625" style="8" customWidth="1"/>
    <col min="12774" max="12774" width="15.7265625" style="8" bestFit="1" customWidth="1"/>
    <col min="12775" max="12775" width="0.7265625" style="8" customWidth="1"/>
    <col min="12776" max="13001" width="9.1796875" style="8"/>
    <col min="13002" max="13002" width="53.453125" style="8" customWidth="1"/>
    <col min="13003" max="13003" width="0.81640625" style="8" customWidth="1"/>
    <col min="13004" max="13004" width="13.54296875" style="8" bestFit="1" customWidth="1"/>
    <col min="13005" max="13005" width="0.7265625" style="8" customWidth="1"/>
    <col min="13006" max="13006" width="15.81640625" style="8" bestFit="1" customWidth="1"/>
    <col min="13007" max="13007" width="1.1796875" style="8" customWidth="1"/>
    <col min="13008" max="13008" width="12.26953125" style="8" bestFit="1" customWidth="1"/>
    <col min="13009" max="13009" width="0.81640625" style="8" customWidth="1"/>
    <col min="13010" max="13010" width="10.54296875" style="8" customWidth="1"/>
    <col min="13011" max="13011" width="1.26953125" style="8" customWidth="1"/>
    <col min="13012" max="13012" width="12.26953125" style="8" bestFit="1" customWidth="1"/>
    <col min="13013" max="13013" width="0.81640625" style="8" customWidth="1"/>
    <col min="13014" max="13014" width="12.1796875" style="8" customWidth="1"/>
    <col min="13015" max="13015" width="1" style="8" customWidth="1"/>
    <col min="13016" max="13016" width="11" style="8" customWidth="1"/>
    <col min="13017" max="13017" width="1.54296875" style="8" customWidth="1"/>
    <col min="13018" max="13018" width="10.7265625" style="8" bestFit="1" customWidth="1"/>
    <col min="13019" max="13019" width="1.1796875" style="8" customWidth="1"/>
    <col min="13020" max="13020" width="8.54296875" style="8" bestFit="1" customWidth="1"/>
    <col min="13021" max="13021" width="1.81640625" style="8" customWidth="1"/>
    <col min="13022" max="13022" width="12.1796875" style="8" customWidth="1"/>
    <col min="13023" max="13023" width="1.1796875" style="8" customWidth="1"/>
    <col min="13024" max="13024" width="9.1796875" style="8"/>
    <col min="13025" max="13025" width="0.54296875" style="8" customWidth="1"/>
    <col min="13026" max="13026" width="22" style="8" customWidth="1"/>
    <col min="13027" max="13027" width="0.54296875" style="8" customWidth="1"/>
    <col min="13028" max="13028" width="9.1796875" style="8"/>
    <col min="13029" max="13029" width="0.7265625" style="8" customWidth="1"/>
    <col min="13030" max="13030" width="15.7265625" style="8" bestFit="1" customWidth="1"/>
    <col min="13031" max="13031" width="0.7265625" style="8" customWidth="1"/>
    <col min="13032" max="13257" width="9.1796875" style="8"/>
    <col min="13258" max="13258" width="53.453125" style="8" customWidth="1"/>
    <col min="13259" max="13259" width="0.81640625" style="8" customWidth="1"/>
    <col min="13260" max="13260" width="13.54296875" style="8" bestFit="1" customWidth="1"/>
    <col min="13261" max="13261" width="0.7265625" style="8" customWidth="1"/>
    <col min="13262" max="13262" width="15.81640625" style="8" bestFit="1" customWidth="1"/>
    <col min="13263" max="13263" width="1.1796875" style="8" customWidth="1"/>
    <col min="13264" max="13264" width="12.26953125" style="8" bestFit="1" customWidth="1"/>
    <col min="13265" max="13265" width="0.81640625" style="8" customWidth="1"/>
    <col min="13266" max="13266" width="10.54296875" style="8" customWidth="1"/>
    <col min="13267" max="13267" width="1.26953125" style="8" customWidth="1"/>
    <col min="13268" max="13268" width="12.26953125" style="8" bestFit="1" customWidth="1"/>
    <col min="13269" max="13269" width="0.81640625" style="8" customWidth="1"/>
    <col min="13270" max="13270" width="12.1796875" style="8" customWidth="1"/>
    <col min="13271" max="13271" width="1" style="8" customWidth="1"/>
    <col min="13272" max="13272" width="11" style="8" customWidth="1"/>
    <col min="13273" max="13273" width="1.54296875" style="8" customWidth="1"/>
    <col min="13274" max="13274" width="10.7265625" style="8" bestFit="1" customWidth="1"/>
    <col min="13275" max="13275" width="1.1796875" style="8" customWidth="1"/>
    <col min="13276" max="13276" width="8.54296875" style="8" bestFit="1" customWidth="1"/>
    <col min="13277" max="13277" width="1.81640625" style="8" customWidth="1"/>
    <col min="13278" max="13278" width="12.1796875" style="8" customWidth="1"/>
    <col min="13279" max="13279" width="1.1796875" style="8" customWidth="1"/>
    <col min="13280" max="13280" width="9.1796875" style="8"/>
    <col min="13281" max="13281" width="0.54296875" style="8" customWidth="1"/>
    <col min="13282" max="13282" width="22" style="8" customWidth="1"/>
    <col min="13283" max="13283" width="0.54296875" style="8" customWidth="1"/>
    <col min="13284" max="13284" width="9.1796875" style="8"/>
    <col min="13285" max="13285" width="0.7265625" style="8" customWidth="1"/>
    <col min="13286" max="13286" width="15.7265625" style="8" bestFit="1" customWidth="1"/>
    <col min="13287" max="13287" width="0.7265625" style="8" customWidth="1"/>
    <col min="13288" max="13513" width="9.1796875" style="8"/>
    <col min="13514" max="13514" width="53.453125" style="8" customWidth="1"/>
    <col min="13515" max="13515" width="0.81640625" style="8" customWidth="1"/>
    <col min="13516" max="13516" width="13.54296875" style="8" bestFit="1" customWidth="1"/>
    <col min="13517" max="13517" width="0.7265625" style="8" customWidth="1"/>
    <col min="13518" max="13518" width="15.81640625" style="8" bestFit="1" customWidth="1"/>
    <col min="13519" max="13519" width="1.1796875" style="8" customWidth="1"/>
    <col min="13520" max="13520" width="12.26953125" style="8" bestFit="1" customWidth="1"/>
    <col min="13521" max="13521" width="0.81640625" style="8" customWidth="1"/>
    <col min="13522" max="13522" width="10.54296875" style="8" customWidth="1"/>
    <col min="13523" max="13523" width="1.26953125" style="8" customWidth="1"/>
    <col min="13524" max="13524" width="12.26953125" style="8" bestFit="1" customWidth="1"/>
    <col min="13525" max="13525" width="0.81640625" style="8" customWidth="1"/>
    <col min="13526" max="13526" width="12.1796875" style="8" customWidth="1"/>
    <col min="13527" max="13527" width="1" style="8" customWidth="1"/>
    <col min="13528" max="13528" width="11" style="8" customWidth="1"/>
    <col min="13529" max="13529" width="1.54296875" style="8" customWidth="1"/>
    <col min="13530" max="13530" width="10.7265625" style="8" bestFit="1" customWidth="1"/>
    <col min="13531" max="13531" width="1.1796875" style="8" customWidth="1"/>
    <col min="13532" max="13532" width="8.54296875" style="8" bestFit="1" customWidth="1"/>
    <col min="13533" max="13533" width="1.81640625" style="8" customWidth="1"/>
    <col min="13534" max="13534" width="12.1796875" style="8" customWidth="1"/>
    <col min="13535" max="13535" width="1.1796875" style="8" customWidth="1"/>
    <col min="13536" max="13536" width="9.1796875" style="8"/>
    <col min="13537" max="13537" width="0.54296875" style="8" customWidth="1"/>
    <col min="13538" max="13538" width="22" style="8" customWidth="1"/>
    <col min="13539" max="13539" width="0.54296875" style="8" customWidth="1"/>
    <col min="13540" max="13540" width="9.1796875" style="8"/>
    <col min="13541" max="13541" width="0.7265625" style="8" customWidth="1"/>
    <col min="13542" max="13542" width="15.7265625" style="8" bestFit="1" customWidth="1"/>
    <col min="13543" max="13543" width="0.7265625" style="8" customWidth="1"/>
    <col min="13544" max="13769" width="9.1796875" style="8"/>
    <col min="13770" max="13770" width="53.453125" style="8" customWidth="1"/>
    <col min="13771" max="13771" width="0.81640625" style="8" customWidth="1"/>
    <col min="13772" max="13772" width="13.54296875" style="8" bestFit="1" customWidth="1"/>
    <col min="13773" max="13773" width="0.7265625" style="8" customWidth="1"/>
    <col min="13774" max="13774" width="15.81640625" style="8" bestFit="1" customWidth="1"/>
    <col min="13775" max="13775" width="1.1796875" style="8" customWidth="1"/>
    <col min="13776" max="13776" width="12.26953125" style="8" bestFit="1" customWidth="1"/>
    <col min="13777" max="13777" width="0.81640625" style="8" customWidth="1"/>
    <col min="13778" max="13778" width="10.54296875" style="8" customWidth="1"/>
    <col min="13779" max="13779" width="1.26953125" style="8" customWidth="1"/>
    <col min="13780" max="13780" width="12.26953125" style="8" bestFit="1" customWidth="1"/>
    <col min="13781" max="13781" width="0.81640625" style="8" customWidth="1"/>
    <col min="13782" max="13782" width="12.1796875" style="8" customWidth="1"/>
    <col min="13783" max="13783" width="1" style="8" customWidth="1"/>
    <col min="13784" max="13784" width="11" style="8" customWidth="1"/>
    <col min="13785" max="13785" width="1.54296875" style="8" customWidth="1"/>
    <col min="13786" max="13786" width="10.7265625" style="8" bestFit="1" customWidth="1"/>
    <col min="13787" max="13787" width="1.1796875" style="8" customWidth="1"/>
    <col min="13788" max="13788" width="8.54296875" style="8" bestFit="1" customWidth="1"/>
    <col min="13789" max="13789" width="1.81640625" style="8" customWidth="1"/>
    <col min="13790" max="13790" width="12.1796875" style="8" customWidth="1"/>
    <col min="13791" max="13791" width="1.1796875" style="8" customWidth="1"/>
    <col min="13792" max="13792" width="9.1796875" style="8"/>
    <col min="13793" max="13793" width="0.54296875" style="8" customWidth="1"/>
    <col min="13794" max="13794" width="22" style="8" customWidth="1"/>
    <col min="13795" max="13795" width="0.54296875" style="8" customWidth="1"/>
    <col min="13796" max="13796" width="9.1796875" style="8"/>
    <col min="13797" max="13797" width="0.7265625" style="8" customWidth="1"/>
    <col min="13798" max="13798" width="15.7265625" style="8" bestFit="1" customWidth="1"/>
    <col min="13799" max="13799" width="0.7265625" style="8" customWidth="1"/>
    <col min="13800" max="14025" width="9.1796875" style="8"/>
    <col min="14026" max="14026" width="53.453125" style="8" customWidth="1"/>
    <col min="14027" max="14027" width="0.81640625" style="8" customWidth="1"/>
    <col min="14028" max="14028" width="13.54296875" style="8" bestFit="1" customWidth="1"/>
    <col min="14029" max="14029" width="0.7265625" style="8" customWidth="1"/>
    <col min="14030" max="14030" width="15.81640625" style="8" bestFit="1" customWidth="1"/>
    <col min="14031" max="14031" width="1.1796875" style="8" customWidth="1"/>
    <col min="14032" max="14032" width="12.26953125" style="8" bestFit="1" customWidth="1"/>
    <col min="14033" max="14033" width="0.81640625" style="8" customWidth="1"/>
    <col min="14034" max="14034" width="10.54296875" style="8" customWidth="1"/>
    <col min="14035" max="14035" width="1.26953125" style="8" customWidth="1"/>
    <col min="14036" max="14036" width="12.26953125" style="8" bestFit="1" customWidth="1"/>
    <col min="14037" max="14037" width="0.81640625" style="8" customWidth="1"/>
    <col min="14038" max="14038" width="12.1796875" style="8" customWidth="1"/>
    <col min="14039" max="14039" width="1" style="8" customWidth="1"/>
    <col min="14040" max="14040" width="11" style="8" customWidth="1"/>
    <col min="14041" max="14041" width="1.54296875" style="8" customWidth="1"/>
    <col min="14042" max="14042" width="10.7265625" style="8" bestFit="1" customWidth="1"/>
    <col min="14043" max="14043" width="1.1796875" style="8" customWidth="1"/>
    <col min="14044" max="14044" width="8.54296875" style="8" bestFit="1" customWidth="1"/>
    <col min="14045" max="14045" width="1.81640625" style="8" customWidth="1"/>
    <col min="14046" max="14046" width="12.1796875" style="8" customWidth="1"/>
    <col min="14047" max="14047" width="1.1796875" style="8" customWidth="1"/>
    <col min="14048" max="14048" width="9.1796875" style="8"/>
    <col min="14049" max="14049" width="0.54296875" style="8" customWidth="1"/>
    <col min="14050" max="14050" width="22" style="8" customWidth="1"/>
    <col min="14051" max="14051" width="0.54296875" style="8" customWidth="1"/>
    <col min="14052" max="14052" width="9.1796875" style="8"/>
    <col min="14053" max="14053" width="0.7265625" style="8" customWidth="1"/>
    <col min="14054" max="14054" width="15.7265625" style="8" bestFit="1" customWidth="1"/>
    <col min="14055" max="14055" width="0.7265625" style="8" customWidth="1"/>
    <col min="14056" max="14281" width="9.1796875" style="8"/>
    <col min="14282" max="14282" width="53.453125" style="8" customWidth="1"/>
    <col min="14283" max="14283" width="0.81640625" style="8" customWidth="1"/>
    <col min="14284" max="14284" width="13.54296875" style="8" bestFit="1" customWidth="1"/>
    <col min="14285" max="14285" width="0.7265625" style="8" customWidth="1"/>
    <col min="14286" max="14286" width="15.81640625" style="8" bestFit="1" customWidth="1"/>
    <col min="14287" max="14287" width="1.1796875" style="8" customWidth="1"/>
    <col min="14288" max="14288" width="12.26953125" style="8" bestFit="1" customWidth="1"/>
    <col min="14289" max="14289" width="0.81640625" style="8" customWidth="1"/>
    <col min="14290" max="14290" width="10.54296875" style="8" customWidth="1"/>
    <col min="14291" max="14291" width="1.26953125" style="8" customWidth="1"/>
    <col min="14292" max="14292" width="12.26953125" style="8" bestFit="1" customWidth="1"/>
    <col min="14293" max="14293" width="0.81640625" style="8" customWidth="1"/>
    <col min="14294" max="14294" width="12.1796875" style="8" customWidth="1"/>
    <col min="14295" max="14295" width="1" style="8" customWidth="1"/>
    <col min="14296" max="14296" width="11" style="8" customWidth="1"/>
    <col min="14297" max="14297" width="1.54296875" style="8" customWidth="1"/>
    <col min="14298" max="14298" width="10.7265625" style="8" bestFit="1" customWidth="1"/>
    <col min="14299" max="14299" width="1.1796875" style="8" customWidth="1"/>
    <col min="14300" max="14300" width="8.54296875" style="8" bestFit="1" customWidth="1"/>
    <col min="14301" max="14301" width="1.81640625" style="8" customWidth="1"/>
    <col min="14302" max="14302" width="12.1796875" style="8" customWidth="1"/>
    <col min="14303" max="14303" width="1.1796875" style="8" customWidth="1"/>
    <col min="14304" max="14304" width="9.1796875" style="8"/>
    <col min="14305" max="14305" width="0.54296875" style="8" customWidth="1"/>
    <col min="14306" max="14306" width="22" style="8" customWidth="1"/>
    <col min="14307" max="14307" width="0.54296875" style="8" customWidth="1"/>
    <col min="14308" max="14308" width="9.1796875" style="8"/>
    <col min="14309" max="14309" width="0.7265625" style="8" customWidth="1"/>
    <col min="14310" max="14310" width="15.7265625" style="8" bestFit="1" customWidth="1"/>
    <col min="14311" max="14311" width="0.7265625" style="8" customWidth="1"/>
    <col min="14312" max="14537" width="9.1796875" style="8"/>
    <col min="14538" max="14538" width="53.453125" style="8" customWidth="1"/>
    <col min="14539" max="14539" width="0.81640625" style="8" customWidth="1"/>
    <col min="14540" max="14540" width="13.54296875" style="8" bestFit="1" customWidth="1"/>
    <col min="14541" max="14541" width="0.7265625" style="8" customWidth="1"/>
    <col min="14542" max="14542" width="15.81640625" style="8" bestFit="1" customWidth="1"/>
    <col min="14543" max="14543" width="1.1796875" style="8" customWidth="1"/>
    <col min="14544" max="14544" width="12.26953125" style="8" bestFit="1" customWidth="1"/>
    <col min="14545" max="14545" width="0.81640625" style="8" customWidth="1"/>
    <col min="14546" max="14546" width="10.54296875" style="8" customWidth="1"/>
    <col min="14547" max="14547" width="1.26953125" style="8" customWidth="1"/>
    <col min="14548" max="14548" width="12.26953125" style="8" bestFit="1" customWidth="1"/>
    <col min="14549" max="14549" width="0.81640625" style="8" customWidth="1"/>
    <col min="14550" max="14550" width="12.1796875" style="8" customWidth="1"/>
    <col min="14551" max="14551" width="1" style="8" customWidth="1"/>
    <col min="14552" max="14552" width="11" style="8" customWidth="1"/>
    <col min="14553" max="14553" width="1.54296875" style="8" customWidth="1"/>
    <col min="14554" max="14554" width="10.7265625" style="8" bestFit="1" customWidth="1"/>
    <col min="14555" max="14555" width="1.1796875" style="8" customWidth="1"/>
    <col min="14556" max="14556" width="8.54296875" style="8" bestFit="1" customWidth="1"/>
    <col min="14557" max="14557" width="1.81640625" style="8" customWidth="1"/>
    <col min="14558" max="14558" width="12.1796875" style="8" customWidth="1"/>
    <col min="14559" max="14559" width="1.1796875" style="8" customWidth="1"/>
    <col min="14560" max="14560" width="9.1796875" style="8"/>
    <col min="14561" max="14561" width="0.54296875" style="8" customWidth="1"/>
    <col min="14562" max="14562" width="22" style="8" customWidth="1"/>
    <col min="14563" max="14563" width="0.54296875" style="8" customWidth="1"/>
    <col min="14564" max="14564" width="9.1796875" style="8"/>
    <col min="14565" max="14565" width="0.7265625" style="8" customWidth="1"/>
    <col min="14566" max="14566" width="15.7265625" style="8" bestFit="1" customWidth="1"/>
    <col min="14567" max="14567" width="0.7265625" style="8" customWidth="1"/>
    <col min="14568" max="14793" width="9.1796875" style="8"/>
    <col min="14794" max="14794" width="53.453125" style="8" customWidth="1"/>
    <col min="14795" max="14795" width="0.81640625" style="8" customWidth="1"/>
    <col min="14796" max="14796" width="13.54296875" style="8" bestFit="1" customWidth="1"/>
    <col min="14797" max="14797" width="0.7265625" style="8" customWidth="1"/>
    <col min="14798" max="14798" width="15.81640625" style="8" bestFit="1" customWidth="1"/>
    <col min="14799" max="14799" width="1.1796875" style="8" customWidth="1"/>
    <col min="14800" max="14800" width="12.26953125" style="8" bestFit="1" customWidth="1"/>
    <col min="14801" max="14801" width="0.81640625" style="8" customWidth="1"/>
    <col min="14802" max="14802" width="10.54296875" style="8" customWidth="1"/>
    <col min="14803" max="14803" width="1.26953125" style="8" customWidth="1"/>
    <col min="14804" max="14804" width="12.26953125" style="8" bestFit="1" customWidth="1"/>
    <col min="14805" max="14805" width="0.81640625" style="8" customWidth="1"/>
    <col min="14806" max="14806" width="12.1796875" style="8" customWidth="1"/>
    <col min="14807" max="14807" width="1" style="8" customWidth="1"/>
    <col min="14808" max="14808" width="11" style="8" customWidth="1"/>
    <col min="14809" max="14809" width="1.54296875" style="8" customWidth="1"/>
    <col min="14810" max="14810" width="10.7265625" style="8" bestFit="1" customWidth="1"/>
    <col min="14811" max="14811" width="1.1796875" style="8" customWidth="1"/>
    <col min="14812" max="14812" width="8.54296875" style="8" bestFit="1" customWidth="1"/>
    <col min="14813" max="14813" width="1.81640625" style="8" customWidth="1"/>
    <col min="14814" max="14814" width="12.1796875" style="8" customWidth="1"/>
    <col min="14815" max="14815" width="1.1796875" style="8" customWidth="1"/>
    <col min="14816" max="14816" width="9.1796875" style="8"/>
    <col min="14817" max="14817" width="0.54296875" style="8" customWidth="1"/>
    <col min="14818" max="14818" width="22" style="8" customWidth="1"/>
    <col min="14819" max="14819" width="0.54296875" style="8" customWidth="1"/>
    <col min="14820" max="14820" width="9.1796875" style="8"/>
    <col min="14821" max="14821" width="0.7265625" style="8" customWidth="1"/>
    <col min="14822" max="14822" width="15.7265625" style="8" bestFit="1" customWidth="1"/>
    <col min="14823" max="14823" width="0.7265625" style="8" customWidth="1"/>
    <col min="14824" max="15049" width="9.1796875" style="8"/>
    <col min="15050" max="15050" width="53.453125" style="8" customWidth="1"/>
    <col min="15051" max="15051" width="0.81640625" style="8" customWidth="1"/>
    <col min="15052" max="15052" width="13.54296875" style="8" bestFit="1" customWidth="1"/>
    <col min="15053" max="15053" width="0.7265625" style="8" customWidth="1"/>
    <col min="15054" max="15054" width="15.81640625" style="8" bestFit="1" customWidth="1"/>
    <col min="15055" max="15055" width="1.1796875" style="8" customWidth="1"/>
    <col min="15056" max="15056" width="12.26953125" style="8" bestFit="1" customWidth="1"/>
    <col min="15057" max="15057" width="0.81640625" style="8" customWidth="1"/>
    <col min="15058" max="15058" width="10.54296875" style="8" customWidth="1"/>
    <col min="15059" max="15059" width="1.26953125" style="8" customWidth="1"/>
    <col min="15060" max="15060" width="12.26953125" style="8" bestFit="1" customWidth="1"/>
    <col min="15061" max="15061" width="0.81640625" style="8" customWidth="1"/>
    <col min="15062" max="15062" width="12.1796875" style="8" customWidth="1"/>
    <col min="15063" max="15063" width="1" style="8" customWidth="1"/>
    <col min="15064" max="15064" width="11" style="8" customWidth="1"/>
    <col min="15065" max="15065" width="1.54296875" style="8" customWidth="1"/>
    <col min="15066" max="15066" width="10.7265625" style="8" bestFit="1" customWidth="1"/>
    <col min="15067" max="15067" width="1.1796875" style="8" customWidth="1"/>
    <col min="15068" max="15068" width="8.54296875" style="8" bestFit="1" customWidth="1"/>
    <col min="15069" max="15069" width="1.81640625" style="8" customWidth="1"/>
    <col min="15070" max="15070" width="12.1796875" style="8" customWidth="1"/>
    <col min="15071" max="15071" width="1.1796875" style="8" customWidth="1"/>
    <col min="15072" max="15072" width="9.1796875" style="8"/>
    <col min="15073" max="15073" width="0.54296875" style="8" customWidth="1"/>
    <col min="15074" max="15074" width="22" style="8" customWidth="1"/>
    <col min="15075" max="15075" width="0.54296875" style="8" customWidth="1"/>
    <col min="15076" max="15076" width="9.1796875" style="8"/>
    <col min="15077" max="15077" width="0.7265625" style="8" customWidth="1"/>
    <col min="15078" max="15078" width="15.7265625" style="8" bestFit="1" customWidth="1"/>
    <col min="15079" max="15079" width="0.7265625" style="8" customWidth="1"/>
    <col min="15080" max="15305" width="9.1796875" style="8"/>
    <col min="15306" max="15306" width="53.453125" style="8" customWidth="1"/>
    <col min="15307" max="15307" width="0.81640625" style="8" customWidth="1"/>
    <col min="15308" max="15308" width="13.54296875" style="8" bestFit="1" customWidth="1"/>
    <col min="15309" max="15309" width="0.7265625" style="8" customWidth="1"/>
    <col min="15310" max="15310" width="15.81640625" style="8" bestFit="1" customWidth="1"/>
    <col min="15311" max="15311" width="1.1796875" style="8" customWidth="1"/>
    <col min="15312" max="15312" width="12.26953125" style="8" bestFit="1" customWidth="1"/>
    <col min="15313" max="15313" width="0.81640625" style="8" customWidth="1"/>
    <col min="15314" max="15314" width="10.54296875" style="8" customWidth="1"/>
    <col min="15315" max="15315" width="1.26953125" style="8" customWidth="1"/>
    <col min="15316" max="15316" width="12.26953125" style="8" bestFit="1" customWidth="1"/>
    <col min="15317" max="15317" width="0.81640625" style="8" customWidth="1"/>
    <col min="15318" max="15318" width="12.1796875" style="8" customWidth="1"/>
    <col min="15319" max="15319" width="1" style="8" customWidth="1"/>
    <col min="15320" max="15320" width="11" style="8" customWidth="1"/>
    <col min="15321" max="15321" width="1.54296875" style="8" customWidth="1"/>
    <col min="15322" max="15322" width="10.7265625" style="8" bestFit="1" customWidth="1"/>
    <col min="15323" max="15323" width="1.1796875" style="8" customWidth="1"/>
    <col min="15324" max="15324" width="8.54296875" style="8" bestFit="1" customWidth="1"/>
    <col min="15325" max="15325" width="1.81640625" style="8" customWidth="1"/>
    <col min="15326" max="15326" width="12.1796875" style="8" customWidth="1"/>
    <col min="15327" max="15327" width="1.1796875" style="8" customWidth="1"/>
    <col min="15328" max="15328" width="9.1796875" style="8"/>
    <col min="15329" max="15329" width="0.54296875" style="8" customWidth="1"/>
    <col min="15330" max="15330" width="22" style="8" customWidth="1"/>
    <col min="15331" max="15331" width="0.54296875" style="8" customWidth="1"/>
    <col min="15332" max="15332" width="9.1796875" style="8"/>
    <col min="15333" max="15333" width="0.7265625" style="8" customWidth="1"/>
    <col min="15334" max="15334" width="15.7265625" style="8" bestFit="1" customWidth="1"/>
    <col min="15335" max="15335" width="0.7265625" style="8" customWidth="1"/>
    <col min="15336" max="15561" width="9.1796875" style="8"/>
    <col min="15562" max="15562" width="53.453125" style="8" customWidth="1"/>
    <col min="15563" max="15563" width="0.81640625" style="8" customWidth="1"/>
    <col min="15564" max="15564" width="13.54296875" style="8" bestFit="1" customWidth="1"/>
    <col min="15565" max="15565" width="0.7265625" style="8" customWidth="1"/>
    <col min="15566" max="15566" width="15.81640625" style="8" bestFit="1" customWidth="1"/>
    <col min="15567" max="15567" width="1.1796875" style="8" customWidth="1"/>
    <col min="15568" max="15568" width="12.26953125" style="8" bestFit="1" customWidth="1"/>
    <col min="15569" max="15569" width="0.81640625" style="8" customWidth="1"/>
    <col min="15570" max="15570" width="10.54296875" style="8" customWidth="1"/>
    <col min="15571" max="15571" width="1.26953125" style="8" customWidth="1"/>
    <col min="15572" max="15572" width="12.26953125" style="8" bestFit="1" customWidth="1"/>
    <col min="15573" max="15573" width="0.81640625" style="8" customWidth="1"/>
    <col min="15574" max="15574" width="12.1796875" style="8" customWidth="1"/>
    <col min="15575" max="15575" width="1" style="8" customWidth="1"/>
    <col min="15576" max="15576" width="11" style="8" customWidth="1"/>
    <col min="15577" max="15577" width="1.54296875" style="8" customWidth="1"/>
    <col min="15578" max="15578" width="10.7265625" style="8" bestFit="1" customWidth="1"/>
    <col min="15579" max="15579" width="1.1796875" style="8" customWidth="1"/>
    <col min="15580" max="15580" width="8.54296875" style="8" bestFit="1" customWidth="1"/>
    <col min="15581" max="15581" width="1.81640625" style="8" customWidth="1"/>
    <col min="15582" max="15582" width="12.1796875" style="8" customWidth="1"/>
    <col min="15583" max="15583" width="1.1796875" style="8" customWidth="1"/>
    <col min="15584" max="15584" width="9.1796875" style="8"/>
    <col min="15585" max="15585" width="0.54296875" style="8" customWidth="1"/>
    <col min="15586" max="15586" width="22" style="8" customWidth="1"/>
    <col min="15587" max="15587" width="0.54296875" style="8" customWidth="1"/>
    <col min="15588" max="15588" width="9.1796875" style="8"/>
    <col min="15589" max="15589" width="0.7265625" style="8" customWidth="1"/>
    <col min="15590" max="15590" width="15.7265625" style="8" bestFit="1" customWidth="1"/>
    <col min="15591" max="15591" width="0.7265625" style="8" customWidth="1"/>
    <col min="15592" max="15817" width="9.1796875" style="8"/>
    <col min="15818" max="15818" width="53.453125" style="8" customWidth="1"/>
    <col min="15819" max="15819" width="0.81640625" style="8" customWidth="1"/>
    <col min="15820" max="15820" width="13.54296875" style="8" bestFit="1" customWidth="1"/>
    <col min="15821" max="15821" width="0.7265625" style="8" customWidth="1"/>
    <col min="15822" max="15822" width="15.81640625" style="8" bestFit="1" customWidth="1"/>
    <col min="15823" max="15823" width="1.1796875" style="8" customWidth="1"/>
    <col min="15824" max="15824" width="12.26953125" style="8" bestFit="1" customWidth="1"/>
    <col min="15825" max="15825" width="0.81640625" style="8" customWidth="1"/>
    <col min="15826" max="15826" width="10.54296875" style="8" customWidth="1"/>
    <col min="15827" max="15827" width="1.26953125" style="8" customWidth="1"/>
    <col min="15828" max="15828" width="12.26953125" style="8" bestFit="1" customWidth="1"/>
    <col min="15829" max="15829" width="0.81640625" style="8" customWidth="1"/>
    <col min="15830" max="15830" width="12.1796875" style="8" customWidth="1"/>
    <col min="15831" max="15831" width="1" style="8" customWidth="1"/>
    <col min="15832" max="15832" width="11" style="8" customWidth="1"/>
    <col min="15833" max="15833" width="1.54296875" style="8" customWidth="1"/>
    <col min="15834" max="15834" width="10.7265625" style="8" bestFit="1" customWidth="1"/>
    <col min="15835" max="15835" width="1.1796875" style="8" customWidth="1"/>
    <col min="15836" max="15836" width="8.54296875" style="8" bestFit="1" customWidth="1"/>
    <col min="15837" max="15837" width="1.81640625" style="8" customWidth="1"/>
    <col min="15838" max="15838" width="12.1796875" style="8" customWidth="1"/>
    <col min="15839" max="15839" width="1.1796875" style="8" customWidth="1"/>
    <col min="15840" max="15840" width="9.1796875" style="8"/>
    <col min="15841" max="15841" width="0.54296875" style="8" customWidth="1"/>
    <col min="15842" max="15842" width="22" style="8" customWidth="1"/>
    <col min="15843" max="15843" width="0.54296875" style="8" customWidth="1"/>
    <col min="15844" max="15844" width="9.1796875" style="8"/>
    <col min="15845" max="15845" width="0.7265625" style="8" customWidth="1"/>
    <col min="15846" max="15846" width="15.7265625" style="8" bestFit="1" customWidth="1"/>
    <col min="15847" max="15847" width="0.7265625" style="8" customWidth="1"/>
    <col min="15848" max="16073" width="9.1796875" style="8"/>
    <col min="16074" max="16074" width="53.453125" style="8" customWidth="1"/>
    <col min="16075" max="16075" width="0.81640625" style="8" customWidth="1"/>
    <col min="16076" max="16076" width="13.54296875" style="8" bestFit="1" customWidth="1"/>
    <col min="16077" max="16077" width="0.7265625" style="8" customWidth="1"/>
    <col min="16078" max="16078" width="15.81640625" style="8" bestFit="1" customWidth="1"/>
    <col min="16079" max="16079" width="1.1796875" style="8" customWidth="1"/>
    <col min="16080" max="16080" width="12.26953125" style="8" bestFit="1" customWidth="1"/>
    <col min="16081" max="16081" width="0.81640625" style="8" customWidth="1"/>
    <col min="16082" max="16082" width="10.54296875" style="8" customWidth="1"/>
    <col min="16083" max="16083" width="1.26953125" style="8" customWidth="1"/>
    <col min="16084" max="16084" width="12.26953125" style="8" bestFit="1" customWidth="1"/>
    <col min="16085" max="16085" width="0.81640625" style="8" customWidth="1"/>
    <col min="16086" max="16086" width="12.1796875" style="8" customWidth="1"/>
    <col min="16087" max="16087" width="1" style="8" customWidth="1"/>
    <col min="16088" max="16088" width="11" style="8" customWidth="1"/>
    <col min="16089" max="16089" width="1.54296875" style="8" customWidth="1"/>
    <col min="16090" max="16090" width="10.7265625" style="8" bestFit="1" customWidth="1"/>
    <col min="16091" max="16091" width="1.1796875" style="8" customWidth="1"/>
    <col min="16092" max="16092" width="8.54296875" style="8" bestFit="1" customWidth="1"/>
    <col min="16093" max="16093" width="1.81640625" style="8" customWidth="1"/>
    <col min="16094" max="16094" width="12.1796875" style="8" customWidth="1"/>
    <col min="16095" max="16095" width="1.1796875" style="8" customWidth="1"/>
    <col min="16096" max="16096" width="9.1796875" style="8"/>
    <col min="16097" max="16097" width="0.54296875" style="8" customWidth="1"/>
    <col min="16098" max="16098" width="22" style="8" customWidth="1"/>
    <col min="16099" max="16099" width="0.54296875" style="8" customWidth="1"/>
    <col min="16100" max="16100" width="9.1796875" style="8"/>
    <col min="16101" max="16101" width="0.7265625" style="8" customWidth="1"/>
    <col min="16102" max="16102" width="15.7265625" style="8" bestFit="1" customWidth="1"/>
    <col min="16103" max="16103" width="0.7265625" style="8" customWidth="1"/>
    <col min="16104" max="16384" width="9.1796875" style="8"/>
  </cols>
  <sheetData>
    <row r="1" spans="1:28">
      <c r="A1" s="133"/>
      <c r="G1" s="10" t="s">
        <v>12</v>
      </c>
      <c r="J1" s="13"/>
      <c r="L1" s="13"/>
    </row>
    <row r="2" spans="1:28">
      <c r="A2" s="133"/>
      <c r="G2" s="13" t="s">
        <v>424</v>
      </c>
      <c r="J2" s="13"/>
      <c r="L2" s="13"/>
    </row>
    <row r="3" spans="1:28">
      <c r="A3" s="133"/>
      <c r="G3" s="13" t="s">
        <v>1799</v>
      </c>
      <c r="J3" s="10"/>
      <c r="L3" s="13"/>
      <c r="R3" s="22"/>
    </row>
    <row r="4" spans="1:28">
      <c r="A4" s="133"/>
      <c r="G4" s="13" t="s">
        <v>112</v>
      </c>
    </row>
    <row r="5" spans="1:28">
      <c r="A5" s="137"/>
      <c r="F5" s="174"/>
      <c r="G5" s="174"/>
      <c r="H5" s="174"/>
      <c r="J5" s="18"/>
      <c r="K5" s="13"/>
      <c r="N5" s="174"/>
      <c r="O5" s="174"/>
      <c r="P5" s="174"/>
      <c r="Q5" s="174"/>
      <c r="R5" s="174"/>
      <c r="S5" s="174"/>
      <c r="T5" s="174"/>
    </row>
    <row r="6" spans="1:28">
      <c r="A6" s="135"/>
      <c r="B6" s="13"/>
      <c r="C6" s="13"/>
      <c r="D6" s="13"/>
      <c r="E6" s="13"/>
      <c r="F6" s="29"/>
      <c r="G6" s="29" t="s">
        <v>101</v>
      </c>
      <c r="H6" s="29"/>
      <c r="I6" s="13"/>
      <c r="J6" s="29"/>
      <c r="K6" s="29"/>
      <c r="L6" s="29"/>
      <c r="M6" s="29" t="s">
        <v>0</v>
      </c>
      <c r="N6" s="29"/>
      <c r="O6" s="29"/>
      <c r="P6" s="29"/>
      <c r="U6" s="7"/>
      <c r="V6" s="7"/>
      <c r="W6" s="7"/>
    </row>
    <row r="7" spans="1:28">
      <c r="A7" s="135"/>
      <c r="B7" s="13"/>
      <c r="C7" s="13"/>
      <c r="D7" s="29">
        <v>99000</v>
      </c>
      <c r="E7" s="13"/>
      <c r="F7" s="136">
        <v>148000</v>
      </c>
      <c r="H7" s="136">
        <v>180000</v>
      </c>
      <c r="I7" s="13"/>
      <c r="J7" s="29" t="s">
        <v>60</v>
      </c>
      <c r="K7" s="12"/>
      <c r="L7" s="29">
        <v>247000</v>
      </c>
      <c r="M7" s="12"/>
      <c r="N7" s="29">
        <v>248000</v>
      </c>
      <c r="O7" s="12"/>
      <c r="P7" s="29">
        <v>248600</v>
      </c>
      <c r="U7" s="7"/>
      <c r="V7" s="7"/>
      <c r="W7" s="7"/>
    </row>
    <row r="8" spans="1:28">
      <c r="A8" s="137" t="s">
        <v>9</v>
      </c>
      <c r="D8" s="158"/>
      <c r="F8" s="174">
        <v>5813</v>
      </c>
      <c r="G8" s="174"/>
      <c r="H8" s="174">
        <v>852</v>
      </c>
      <c r="I8" s="174"/>
      <c r="J8" s="174">
        <f>SUM(L8:P8)</f>
        <v>5521</v>
      </c>
      <c r="K8" s="174"/>
      <c r="L8" s="174">
        <v>-863</v>
      </c>
      <c r="M8" s="174"/>
      <c r="N8" s="174">
        <v>6435</v>
      </c>
      <c r="O8" s="174"/>
      <c r="P8" s="174">
        <v>-51</v>
      </c>
      <c r="U8" s="24">
        <f>SUM(L8:P8)</f>
        <v>5521</v>
      </c>
    </row>
    <row r="9" spans="1:28">
      <c r="A9" s="135" t="s">
        <v>72</v>
      </c>
      <c r="B9" s="13"/>
      <c r="C9" s="13"/>
      <c r="D9" s="23"/>
      <c r="E9" s="13"/>
      <c r="F9" s="143"/>
      <c r="G9" s="143"/>
      <c r="H9" s="143"/>
      <c r="I9" s="143"/>
      <c r="J9" s="23"/>
      <c r="K9" s="18"/>
      <c r="L9" s="18"/>
    </row>
    <row r="10" spans="1:28">
      <c r="A10" s="138" t="s">
        <v>73</v>
      </c>
      <c r="B10" s="13"/>
      <c r="C10" s="13"/>
      <c r="D10" s="23">
        <v>6484</v>
      </c>
      <c r="E10" s="13"/>
      <c r="F10" s="143"/>
      <c r="G10" s="143"/>
      <c r="H10" s="143"/>
      <c r="I10" s="143"/>
      <c r="J10" s="143">
        <v>-6484</v>
      </c>
      <c r="K10" s="18"/>
      <c r="L10" s="24">
        <v>0</v>
      </c>
      <c r="N10" s="18">
        <v>-6484</v>
      </c>
      <c r="P10" s="24"/>
    </row>
    <row r="11" spans="1:28">
      <c r="A11" s="138" t="s">
        <v>394</v>
      </c>
      <c r="B11" s="13"/>
      <c r="C11" s="13"/>
      <c r="D11" s="23"/>
      <c r="E11" s="13"/>
      <c r="F11" s="143"/>
      <c r="G11" s="143"/>
      <c r="H11" s="143"/>
      <c r="I11" s="143"/>
      <c r="J11" s="143">
        <f>SUM(L11:U11)</f>
        <v>0</v>
      </c>
      <c r="K11" s="18"/>
      <c r="L11" s="24"/>
      <c r="N11" s="18">
        <f>-D11</f>
        <v>0</v>
      </c>
      <c r="P11" s="24"/>
    </row>
    <row r="12" spans="1:28">
      <c r="A12" s="138" t="s">
        <v>74</v>
      </c>
      <c r="B12" s="13"/>
      <c r="C12" s="13"/>
      <c r="D12" s="23">
        <v>115</v>
      </c>
      <c r="E12" s="13"/>
      <c r="F12" s="143"/>
      <c r="G12" s="143"/>
      <c r="H12" s="143"/>
      <c r="I12" s="143"/>
      <c r="J12" s="143"/>
      <c r="K12" s="18"/>
      <c r="L12" s="18"/>
      <c r="V12" s="139"/>
      <c r="W12" s="139"/>
      <c r="X12" s="139"/>
      <c r="Y12" s="139"/>
    </row>
    <row r="13" spans="1:28">
      <c r="A13" s="135" t="s">
        <v>75</v>
      </c>
      <c r="B13" s="13"/>
      <c r="C13" s="13"/>
      <c r="D13" s="23"/>
      <c r="E13" s="13"/>
      <c r="F13" s="143"/>
      <c r="G13" s="143"/>
      <c r="H13" s="143"/>
      <c r="I13" s="143"/>
      <c r="J13" s="143"/>
      <c r="K13" s="18"/>
      <c r="L13" s="18"/>
      <c r="V13" s="139"/>
      <c r="W13" s="139"/>
      <c r="X13" s="139"/>
      <c r="Y13" s="139"/>
    </row>
    <row r="14" spans="1:28">
      <c r="A14" s="138" t="s">
        <v>419</v>
      </c>
      <c r="B14" s="13"/>
      <c r="C14" s="13"/>
      <c r="D14" s="23"/>
      <c r="E14" s="13"/>
      <c r="F14" s="143"/>
      <c r="G14" s="143"/>
      <c r="H14" s="143"/>
      <c r="I14" s="143"/>
      <c r="J14" s="143">
        <v>2200</v>
      </c>
      <c r="K14" s="18"/>
      <c r="L14" s="18"/>
      <c r="N14" s="24">
        <f t="shared" ref="N14:N19" si="0">J14</f>
        <v>2200</v>
      </c>
      <c r="V14" s="139"/>
      <c r="W14" s="139"/>
      <c r="X14" s="139"/>
      <c r="Y14" s="139"/>
    </row>
    <row r="15" spans="1:28">
      <c r="A15" s="138" t="s">
        <v>420</v>
      </c>
      <c r="B15" s="13"/>
      <c r="C15" s="13"/>
      <c r="D15" s="23"/>
      <c r="E15" s="13"/>
      <c r="F15" s="143"/>
      <c r="G15" s="143"/>
      <c r="H15" s="143"/>
      <c r="I15" s="143"/>
      <c r="J15" s="143">
        <v>2100</v>
      </c>
      <c r="K15" s="18"/>
      <c r="L15" s="18"/>
      <c r="N15" s="24">
        <f t="shared" si="0"/>
        <v>2100</v>
      </c>
      <c r="V15" s="139"/>
      <c r="W15" s="139"/>
      <c r="X15" s="139"/>
      <c r="Y15" s="139"/>
    </row>
    <row r="16" spans="1:28">
      <c r="A16" s="138" t="s">
        <v>421</v>
      </c>
      <c r="B16" s="13"/>
      <c r="C16" s="13"/>
      <c r="D16" s="23"/>
      <c r="E16" s="13"/>
      <c r="F16" s="143"/>
      <c r="G16" s="143"/>
      <c r="H16" s="143"/>
      <c r="I16" s="143"/>
      <c r="J16" s="17">
        <v>662</v>
      </c>
      <c r="K16" s="18"/>
      <c r="L16" s="18"/>
      <c r="N16" s="24">
        <f t="shared" si="0"/>
        <v>662</v>
      </c>
      <c r="X16" s="22"/>
      <c r="Z16" s="139"/>
      <c r="AB16" s="24"/>
    </row>
    <row r="17" spans="1:28">
      <c r="A17" s="138" t="s">
        <v>422</v>
      </c>
      <c r="B17" s="13"/>
      <c r="C17" s="13"/>
      <c r="D17" s="23"/>
      <c r="E17" s="13"/>
      <c r="F17" s="143"/>
      <c r="G17" s="143"/>
      <c r="H17" s="143"/>
      <c r="I17" s="143"/>
      <c r="J17" s="17">
        <v>373</v>
      </c>
      <c r="K17" s="18"/>
      <c r="L17" s="18"/>
      <c r="N17" s="24">
        <f t="shared" si="0"/>
        <v>373</v>
      </c>
      <c r="X17" s="22"/>
      <c r="Z17" s="24"/>
      <c r="AB17" s="139"/>
    </row>
    <row r="18" spans="1:28">
      <c r="A18" s="138" t="s">
        <v>76</v>
      </c>
      <c r="B18" s="13"/>
      <c r="C18" s="13"/>
      <c r="D18" s="23"/>
      <c r="E18" s="13"/>
      <c r="F18" s="143"/>
      <c r="G18" s="143"/>
      <c r="H18" s="143"/>
      <c r="I18" s="143"/>
      <c r="J18" s="17">
        <v>-206</v>
      </c>
      <c r="K18" s="18"/>
      <c r="L18" s="18"/>
      <c r="N18" s="24">
        <f t="shared" si="0"/>
        <v>-206</v>
      </c>
      <c r="X18" s="22"/>
      <c r="Z18" s="139"/>
    </row>
    <row r="19" spans="1:28">
      <c r="A19" s="138" t="s">
        <v>390</v>
      </c>
      <c r="B19" s="13"/>
      <c r="C19" s="13"/>
      <c r="D19" s="23"/>
      <c r="E19" s="13"/>
      <c r="F19" s="143"/>
      <c r="G19" s="143"/>
      <c r="H19" s="143"/>
      <c r="I19" s="143"/>
      <c r="J19" s="17">
        <v>45</v>
      </c>
      <c r="K19" s="18"/>
      <c r="L19" s="18"/>
      <c r="N19" s="24">
        <f t="shared" si="0"/>
        <v>45</v>
      </c>
      <c r="X19" s="22"/>
      <c r="Z19" s="139"/>
      <c r="AB19" s="139"/>
    </row>
    <row r="20" spans="1:28">
      <c r="A20" s="135" t="s">
        <v>384</v>
      </c>
      <c r="B20" s="13"/>
      <c r="C20" s="13"/>
      <c r="D20" s="23"/>
      <c r="E20" s="13"/>
      <c r="F20" s="143"/>
      <c r="G20" s="143"/>
      <c r="H20" s="143"/>
      <c r="I20" s="143"/>
      <c r="J20" s="23">
        <v>0</v>
      </c>
      <c r="K20" s="18"/>
      <c r="L20" s="18">
        <v>863</v>
      </c>
      <c r="N20" s="24">
        <v>-863</v>
      </c>
      <c r="P20" s="24"/>
    </row>
    <row r="21" spans="1:28">
      <c r="A21" s="135" t="s">
        <v>77</v>
      </c>
      <c r="B21" s="13"/>
      <c r="C21" s="13"/>
      <c r="D21" s="23"/>
      <c r="E21" s="13"/>
      <c r="F21" s="143"/>
      <c r="G21" s="143"/>
      <c r="H21" s="143"/>
      <c r="I21" s="143"/>
      <c r="J21" s="23">
        <v>1184</v>
      </c>
      <c r="K21" s="18"/>
      <c r="L21" s="18"/>
      <c r="N21" s="24">
        <v>1184</v>
      </c>
      <c r="P21" s="24"/>
    </row>
    <row r="22" spans="1:28">
      <c r="A22" s="135" t="s">
        <v>366</v>
      </c>
      <c r="B22" s="13"/>
      <c r="C22" s="13"/>
      <c r="D22" s="17">
        <v>1074</v>
      </c>
      <c r="E22" s="12"/>
      <c r="F22" s="23">
        <v>-2132</v>
      </c>
      <c r="G22" s="23"/>
      <c r="H22" s="23">
        <v>-77</v>
      </c>
      <c r="I22" s="23"/>
      <c r="J22" s="23">
        <v>5</v>
      </c>
      <c r="K22" s="17"/>
      <c r="L22" s="17"/>
      <c r="M22" s="7"/>
      <c r="N22" s="19">
        <v>-46</v>
      </c>
      <c r="O22" s="7"/>
      <c r="P22" s="7">
        <v>51</v>
      </c>
    </row>
    <row r="23" spans="1:28" ht="13.5" thickBot="1">
      <c r="A23" s="137" t="s">
        <v>423</v>
      </c>
      <c r="D23" s="160">
        <f>SUM(D9:D22)</f>
        <v>7673</v>
      </c>
      <c r="F23" s="158">
        <f>SUM(F8:F22)</f>
        <v>3681</v>
      </c>
      <c r="H23" s="158">
        <f>SUM(H8:H22)</f>
        <v>775</v>
      </c>
      <c r="J23" s="158">
        <f>SUM(J8:J22)</f>
        <v>5400</v>
      </c>
      <c r="K23" s="18"/>
      <c r="L23" s="158">
        <f>SUM(L8:L22)</f>
        <v>0</v>
      </c>
      <c r="N23" s="158">
        <f>SUM(N8:N22)</f>
        <v>5400</v>
      </c>
      <c r="P23" s="158">
        <f>SUM(P8:P22)</f>
        <v>0</v>
      </c>
      <c r="U23" s="24"/>
    </row>
    <row r="24" spans="1:28" ht="13.5" thickTop="1">
      <c r="A24" s="135" t="s">
        <v>72</v>
      </c>
      <c r="D24" s="159"/>
      <c r="E24" s="7"/>
      <c r="F24" s="23"/>
      <c r="G24" s="7"/>
      <c r="H24" s="23"/>
      <c r="I24" s="7"/>
      <c r="J24" s="17"/>
      <c r="K24" s="17"/>
      <c r="L24" s="7"/>
      <c r="M24" s="7"/>
      <c r="N24" s="27"/>
      <c r="O24" s="7"/>
      <c r="P24" s="7"/>
      <c r="U24" s="24"/>
    </row>
    <row r="25" spans="1:28">
      <c r="A25" s="138" t="s">
        <v>73</v>
      </c>
      <c r="D25" s="38">
        <f>-N25</f>
        <v>-445.95499999999998</v>
      </c>
      <c r="E25" s="38"/>
      <c r="F25" s="52"/>
      <c r="G25" s="38"/>
      <c r="H25" s="52"/>
      <c r="I25" s="38"/>
      <c r="J25" s="143">
        <f>SUM(L25:U25)</f>
        <v>445.95499999999998</v>
      </c>
      <c r="K25" s="38"/>
      <c r="L25" s="38"/>
      <c r="M25" s="38"/>
      <c r="N25" s="38">
        <f>-'ac 248000 activity '!N61/1000</f>
        <v>445.95499999999998</v>
      </c>
      <c r="O25" s="38"/>
      <c r="P25" s="38"/>
      <c r="U25" s="38"/>
      <c r="V25" s="38"/>
    </row>
    <row r="26" spans="1:28">
      <c r="A26" s="138" t="s">
        <v>74</v>
      </c>
      <c r="D26" s="38">
        <f>cpl!C23/1000</f>
        <v>384.97916000000004</v>
      </c>
      <c r="E26" s="38"/>
      <c r="F26" s="52"/>
      <c r="G26" s="38"/>
      <c r="H26" s="52"/>
      <c r="I26" s="38"/>
      <c r="J26" s="143">
        <f>SUM(L26:U26)</f>
        <v>0</v>
      </c>
      <c r="K26" s="38"/>
      <c r="L26" s="38"/>
      <c r="M26" s="38"/>
      <c r="N26" s="38"/>
      <c r="O26" s="38"/>
      <c r="P26" s="38"/>
      <c r="U26" s="38"/>
      <c r="V26" s="38"/>
    </row>
    <row r="27" spans="1:28">
      <c r="A27" s="135" t="s">
        <v>75</v>
      </c>
      <c r="D27" s="38"/>
      <c r="E27" s="38"/>
      <c r="F27" s="52"/>
      <c r="G27" s="38"/>
      <c r="H27" s="52"/>
      <c r="I27" s="38"/>
      <c r="J27" s="143"/>
      <c r="K27" s="38"/>
      <c r="L27" s="38"/>
      <c r="M27" s="38"/>
      <c r="N27" s="38"/>
      <c r="O27" s="38"/>
      <c r="P27" s="38"/>
      <c r="U27" s="38"/>
      <c r="V27" s="38"/>
    </row>
    <row r="28" spans="1:28">
      <c r="A28" s="138" t="s">
        <v>1801</v>
      </c>
      <c r="D28" s="38"/>
      <c r="E28" s="38"/>
      <c r="F28" s="52"/>
      <c r="G28" s="38"/>
      <c r="H28" s="52"/>
      <c r="I28" s="38"/>
      <c r="J28" s="143">
        <f t="shared" ref="J28:J34" si="1">SUM(L28:U28)</f>
        <v>0</v>
      </c>
      <c r="K28" s="38"/>
      <c r="L28" s="38"/>
      <c r="M28" s="38"/>
      <c r="N28" s="38">
        <f>'ac 248000 activity '!R61/1000</f>
        <v>0</v>
      </c>
      <c r="O28" s="38"/>
      <c r="P28" s="38"/>
      <c r="U28" s="38"/>
      <c r="V28" s="38"/>
    </row>
    <row r="29" spans="1:28">
      <c r="A29" s="138" t="s">
        <v>1802</v>
      </c>
      <c r="D29" s="38"/>
      <c r="E29" s="38"/>
      <c r="F29" s="52"/>
      <c r="G29" s="38"/>
      <c r="H29" s="52"/>
      <c r="I29" s="38"/>
      <c r="J29" s="143">
        <f t="shared" si="1"/>
        <v>753.14981</v>
      </c>
      <c r="K29" s="38"/>
      <c r="L29" s="38"/>
      <c r="M29" s="38"/>
      <c r="N29" s="38">
        <f>'ac 248000 activity '!P61/1000</f>
        <v>753.14981</v>
      </c>
      <c r="O29" s="38"/>
      <c r="P29" s="38"/>
      <c r="U29" s="38"/>
      <c r="V29" s="38"/>
    </row>
    <row r="30" spans="1:28">
      <c r="A30" s="138" t="s">
        <v>1803</v>
      </c>
      <c r="D30" s="38"/>
      <c r="E30" s="38"/>
      <c r="F30" s="52"/>
      <c r="G30" s="38"/>
      <c r="H30" s="52"/>
      <c r="I30" s="38"/>
      <c r="J30" s="143">
        <f t="shared" si="1"/>
        <v>0</v>
      </c>
      <c r="K30" s="38"/>
      <c r="L30" s="38"/>
      <c r="M30" s="38"/>
      <c r="N30" s="38">
        <f>'ac 248000 activity '!V61/1000</f>
        <v>0</v>
      </c>
      <c r="O30" s="38"/>
      <c r="P30" s="38"/>
      <c r="U30" s="38"/>
      <c r="V30" s="38"/>
    </row>
    <row r="31" spans="1:28">
      <c r="A31" s="138" t="s">
        <v>1804</v>
      </c>
      <c r="D31" s="38"/>
      <c r="E31" s="38"/>
      <c r="F31" s="52"/>
      <c r="G31" s="38"/>
      <c r="H31" s="52"/>
      <c r="I31" s="38"/>
      <c r="J31" s="143">
        <f t="shared" si="1"/>
        <v>177.70599999999999</v>
      </c>
      <c r="K31" s="38"/>
      <c r="L31" s="38"/>
      <c r="M31" s="38"/>
      <c r="N31" s="38">
        <f>'ac 248000 activity '!T61/1000</f>
        <v>177.70599999999999</v>
      </c>
      <c r="O31" s="38"/>
      <c r="P31" s="38"/>
      <c r="U31" s="38"/>
      <c r="V31" s="38"/>
    </row>
    <row r="32" spans="1:28">
      <c r="A32" s="138" t="s">
        <v>76</v>
      </c>
      <c r="D32" s="38"/>
      <c r="E32" s="38"/>
      <c r="F32" s="52"/>
      <c r="G32" s="38"/>
      <c r="H32" s="52"/>
      <c r="I32" s="38"/>
      <c r="J32" s="143">
        <f t="shared" si="1"/>
        <v>-116.60341</v>
      </c>
      <c r="K32" s="38"/>
      <c r="L32" s="38"/>
      <c r="M32" s="38"/>
      <c r="N32" s="38">
        <f>'ac 248000 activity '!X61/1000</f>
        <v>-116.60341</v>
      </c>
      <c r="O32" s="38"/>
      <c r="P32" s="38"/>
      <c r="U32" s="38"/>
      <c r="V32" s="38"/>
    </row>
    <row r="33" spans="1:30">
      <c r="A33" s="135" t="s">
        <v>384</v>
      </c>
      <c r="D33" s="38"/>
      <c r="E33" s="38"/>
      <c r="F33" s="38"/>
      <c r="G33" s="38"/>
      <c r="H33" s="38"/>
      <c r="I33" s="38"/>
      <c r="J33" s="143">
        <f t="shared" si="1"/>
        <v>0</v>
      </c>
      <c r="K33" s="38"/>
      <c r="L33" s="52"/>
      <c r="M33" s="38"/>
      <c r="N33" s="52">
        <f>sbc!O27/1000</f>
        <v>0</v>
      </c>
      <c r="O33" s="38"/>
      <c r="P33" s="52"/>
      <c r="U33" s="38"/>
      <c r="V33" s="38"/>
    </row>
    <row r="34" spans="1:30">
      <c r="A34" s="135" t="s">
        <v>581</v>
      </c>
      <c r="D34" s="38"/>
      <c r="E34" s="38"/>
      <c r="F34" s="38"/>
      <c r="G34" s="38"/>
      <c r="H34" s="38"/>
      <c r="I34" s="38"/>
      <c r="J34" s="143">
        <f t="shared" si="1"/>
        <v>0</v>
      </c>
      <c r="K34" s="38"/>
      <c r="L34" s="52">
        <f>-L23</f>
        <v>0</v>
      </c>
      <c r="M34" s="38"/>
      <c r="N34" s="52">
        <f>-L34</f>
        <v>0</v>
      </c>
      <c r="O34" s="38"/>
      <c r="P34" s="52"/>
      <c r="U34" s="38"/>
      <c r="V34" s="38"/>
    </row>
    <row r="35" spans="1:30">
      <c r="A35" s="135" t="s">
        <v>1213</v>
      </c>
      <c r="B35" s="7"/>
      <c r="C35" s="7"/>
      <c r="D35" s="69">
        <f>J46</f>
        <v>-840.22538482825485</v>
      </c>
      <c r="E35" s="69"/>
      <c r="F35" s="69">
        <f>-L44</f>
        <v>-2250.3859597972664</v>
      </c>
      <c r="G35" s="69"/>
      <c r="H35" s="69">
        <f>-L45</f>
        <v>3090.6113446255213</v>
      </c>
      <c r="I35" s="69"/>
      <c r="J35" s="143">
        <f>SUM(L35:U35)</f>
        <v>-846</v>
      </c>
      <c r="K35" s="38"/>
      <c r="L35" s="38"/>
      <c r="M35" s="38"/>
      <c r="N35" s="38">
        <v>-846</v>
      </c>
      <c r="O35" s="38"/>
      <c r="P35" s="38"/>
      <c r="U35" s="38"/>
      <c r="V35" s="69"/>
      <c r="W35" s="7"/>
      <c r="X35" s="7"/>
      <c r="Y35" s="7"/>
      <c r="Z35" s="7"/>
    </row>
    <row r="36" spans="1:30">
      <c r="A36" s="135" t="s">
        <v>59</v>
      </c>
      <c r="D36" s="38">
        <f>3645/1000</f>
        <v>3.645</v>
      </c>
      <c r="E36" s="38"/>
      <c r="F36" s="38"/>
      <c r="G36" s="69"/>
      <c r="H36" s="69"/>
      <c r="I36" s="38"/>
      <c r="J36" s="23">
        <f>SUM(L36:P36)</f>
        <v>-46</v>
      </c>
      <c r="K36" s="38"/>
      <c r="L36" s="38"/>
      <c r="M36" s="38"/>
      <c r="N36" s="38">
        <v>-46</v>
      </c>
      <c r="O36" s="38"/>
      <c r="P36" s="38"/>
      <c r="U36" s="38"/>
      <c r="V36" s="38"/>
    </row>
    <row r="37" spans="1:30" ht="13.5" thickBot="1">
      <c r="A37" s="137" t="s">
        <v>1448</v>
      </c>
      <c r="D37" s="161">
        <f>SUM(D25:D36)</f>
        <v>-897.55622482825481</v>
      </c>
      <c r="F37" s="161">
        <f>SUM(F23:F36)</f>
        <v>1430.6140402027336</v>
      </c>
      <c r="G37" s="7"/>
      <c r="H37" s="161">
        <f>SUM(H23:H36)</f>
        <v>3865.6113446255213</v>
      </c>
      <c r="J37" s="161">
        <f>SUM(J23:J36)</f>
        <v>5768.2074000000002</v>
      </c>
      <c r="L37" s="161">
        <f>SUM(L23:L36)</f>
        <v>0</v>
      </c>
      <c r="N37" s="161">
        <f>SUM(N23:N36)</f>
        <v>5768.2074000000002</v>
      </c>
      <c r="P37" s="161">
        <f>SUM(P23:P36)</f>
        <v>0</v>
      </c>
    </row>
    <row r="38" spans="1:30" ht="13.5" thickTop="1">
      <c r="A38" s="135"/>
      <c r="D38" s="38"/>
      <c r="F38" s="38"/>
      <c r="G38" s="203"/>
      <c r="H38" s="203"/>
      <c r="I38" s="141"/>
    </row>
    <row r="39" spans="1:30">
      <c r="B39" s="8" t="s">
        <v>1175</v>
      </c>
      <c r="D39" s="38">
        <f>cpl!K23</f>
        <v>779.08316000000002</v>
      </c>
      <c r="E39" s="38"/>
      <c r="F39" s="38">
        <f>'ct bs'!F51/1000</f>
        <v>2302.9728399999999</v>
      </c>
      <c r="G39" s="38"/>
      <c r="H39" s="38">
        <f>'ct bs'!F87/1000</f>
        <v>-826.06825000000003</v>
      </c>
      <c r="J39" s="38">
        <f>cbs!K15</f>
        <v>5767.9232699999993</v>
      </c>
      <c r="N39" s="38">
        <f>cbs!K15</f>
        <v>5767.9232699999993</v>
      </c>
      <c r="P39" s="38"/>
    </row>
    <row r="40" spans="1:30">
      <c r="D40" s="38">
        <f>D37-D39</f>
        <v>-1676.6393848282548</v>
      </c>
      <c r="E40" s="38"/>
      <c r="F40" s="38">
        <f>F37-F39</f>
        <v>-872.35879979726633</v>
      </c>
      <c r="G40" s="38"/>
      <c r="H40" s="38">
        <f>H37-H39</f>
        <v>4691.6795946255215</v>
      </c>
      <c r="J40" s="38">
        <f>J37-J39</f>
        <v>0.28413000000091415</v>
      </c>
      <c r="N40" s="38">
        <f>N37-N39</f>
        <v>0.28413000000091415</v>
      </c>
      <c r="P40" s="38"/>
    </row>
    <row r="41" spans="1:30" ht="13.5" thickBot="1"/>
    <row r="42" spans="1:30">
      <c r="C42" s="351"/>
      <c r="D42" s="352"/>
      <c r="E42" s="352"/>
      <c r="F42" s="352"/>
      <c r="G42" s="352"/>
      <c r="H42" s="352"/>
      <c r="I42" s="353" t="s">
        <v>1800</v>
      </c>
      <c r="J42" s="352"/>
      <c r="K42" s="352"/>
      <c r="L42" s="354"/>
    </row>
    <row r="43" spans="1:30">
      <c r="C43" s="355" t="s">
        <v>1256</v>
      </c>
      <c r="D43" s="7"/>
      <c r="E43" s="7"/>
      <c r="F43" s="7"/>
      <c r="G43" s="7"/>
      <c r="H43" s="17"/>
      <c r="I43" s="12"/>
      <c r="J43" s="19">
        <v>0</v>
      </c>
      <c r="K43" s="7"/>
      <c r="L43" s="356"/>
      <c r="O43" s="19"/>
      <c r="P43" s="7"/>
      <c r="Q43" s="7"/>
      <c r="R43" s="7"/>
      <c r="S43" s="7"/>
      <c r="T43" s="19"/>
      <c r="Z43" s="24"/>
      <c r="AB43" s="24"/>
      <c r="AD43" s="24"/>
    </row>
    <row r="44" spans="1:30">
      <c r="C44" s="355" t="s">
        <v>1257</v>
      </c>
      <c r="D44" s="7"/>
      <c r="E44" s="7"/>
      <c r="F44" s="7"/>
      <c r="G44" s="7"/>
      <c r="H44" s="19"/>
      <c r="I44" s="12"/>
      <c r="J44" s="19"/>
      <c r="K44" s="7"/>
      <c r="L44" s="356">
        <f>'2016 def tax'!AE83-'2016 def tax'!AC83</f>
        <v>2250.3859597972664</v>
      </c>
      <c r="O44" s="19"/>
      <c r="S44" s="7"/>
      <c r="T44" s="19"/>
      <c r="Z44" s="22"/>
      <c r="AB44" s="22"/>
      <c r="AD44" s="22"/>
    </row>
    <row r="45" spans="1:30">
      <c r="C45" s="355" t="s">
        <v>2261</v>
      </c>
      <c r="D45" s="7"/>
      <c r="E45" s="7"/>
      <c r="F45" s="7"/>
      <c r="G45" s="7"/>
      <c r="H45" s="19"/>
      <c r="I45" s="12"/>
      <c r="J45" s="7"/>
      <c r="K45" s="7"/>
      <c r="L45" s="356">
        <f>'2016 def tax'!AE87-'2016 def tax'!AC87</f>
        <v>-3090.6113446255213</v>
      </c>
      <c r="O45" s="19"/>
      <c r="S45" s="7"/>
      <c r="T45" s="19"/>
    </row>
    <row r="46" spans="1:30">
      <c r="C46" s="355" t="s">
        <v>1258</v>
      </c>
      <c r="D46" s="7"/>
      <c r="E46" s="7"/>
      <c r="F46" s="7"/>
      <c r="G46" s="7"/>
      <c r="H46" s="15"/>
      <c r="I46" s="12"/>
      <c r="J46" s="69">
        <f>L44+L45+L47-J43</f>
        <v>-840.22538482825485</v>
      </c>
      <c r="K46" s="7"/>
      <c r="L46" s="356"/>
      <c r="O46" s="19"/>
      <c r="S46" s="7"/>
      <c r="T46" s="19"/>
    </row>
    <row r="47" spans="1:30" ht="13.5" thickBot="1">
      <c r="C47" s="357" t="s">
        <v>1259</v>
      </c>
      <c r="D47" s="358"/>
      <c r="E47" s="358"/>
      <c r="F47" s="358"/>
      <c r="G47" s="358"/>
      <c r="H47" s="359"/>
      <c r="I47" s="360"/>
      <c r="J47" s="358"/>
      <c r="K47" s="358"/>
      <c r="L47" s="361">
        <f>N33</f>
        <v>0</v>
      </c>
      <c r="O47" s="104"/>
      <c r="P47" s="264"/>
      <c r="Q47" s="7"/>
      <c r="R47" s="17"/>
      <c r="S47" s="7"/>
      <c r="T47" s="19"/>
    </row>
    <row r="48" spans="1:30">
      <c r="A48" s="7"/>
      <c r="B48" s="7"/>
      <c r="C48" s="7"/>
      <c r="D48" s="7"/>
      <c r="E48" s="7"/>
      <c r="F48" s="7"/>
      <c r="G48" s="7"/>
      <c r="H48" s="7"/>
      <c r="I48" s="7"/>
      <c r="L48" s="18"/>
      <c r="M48" s="18"/>
      <c r="N48" s="18"/>
      <c r="O48" s="18"/>
      <c r="P48" s="18"/>
    </row>
    <row r="49" spans="1:24">
      <c r="A49" s="7" t="s">
        <v>1244</v>
      </c>
      <c r="B49" s="7"/>
      <c r="C49" s="7"/>
      <c r="D49" s="7"/>
      <c r="E49" s="7"/>
      <c r="F49" s="7"/>
      <c r="G49" s="7"/>
      <c r="H49" s="7"/>
      <c r="I49" s="7"/>
      <c r="L49" s="18"/>
      <c r="M49" s="18"/>
      <c r="N49" s="18"/>
      <c r="O49" s="18"/>
      <c r="P49" s="18"/>
    </row>
    <row r="50" spans="1:24">
      <c r="A50" s="3" t="s">
        <v>1201</v>
      </c>
      <c r="B50" s="7"/>
      <c r="C50" s="7"/>
      <c r="D50" s="7"/>
      <c r="E50" s="7"/>
      <c r="F50" s="7"/>
      <c r="G50" s="7"/>
      <c r="H50" s="7"/>
      <c r="I50" s="7"/>
      <c r="M50" s="18"/>
      <c r="N50" s="18"/>
      <c r="O50" s="18"/>
      <c r="P50" s="18"/>
    </row>
    <row r="51" spans="1:24">
      <c r="A51" s="7"/>
      <c r="B51" s="7"/>
      <c r="C51" s="7"/>
      <c r="D51" s="7"/>
      <c r="E51" s="7"/>
      <c r="F51" s="7"/>
      <c r="G51" s="7"/>
      <c r="H51" s="7"/>
      <c r="I51" s="7"/>
      <c r="L51" s="3"/>
      <c r="M51" s="18"/>
      <c r="N51" s="18"/>
      <c r="O51" s="18"/>
      <c r="P51" s="18"/>
    </row>
    <row r="52" spans="1:24">
      <c r="B52" s="30"/>
      <c r="C52" s="9" t="s">
        <v>1209</v>
      </c>
      <c r="D52" s="7"/>
      <c r="E52" s="7"/>
      <c r="F52" s="7"/>
      <c r="G52" s="7"/>
      <c r="H52" s="7"/>
      <c r="I52" s="7"/>
      <c r="J52" s="12"/>
      <c r="L52" s="12"/>
      <c r="M52" s="12"/>
      <c r="N52" s="12"/>
      <c r="O52" s="12"/>
      <c r="P52" s="12"/>
      <c r="Q52" s="12"/>
      <c r="R52" s="12"/>
      <c r="S52" s="7"/>
      <c r="T52" s="7"/>
    </row>
    <row r="53" spans="1:24">
      <c r="A53" s="30" t="s">
        <v>1188</v>
      </c>
      <c r="B53" s="30"/>
      <c r="C53" s="12"/>
      <c r="D53" s="126" t="s">
        <v>60</v>
      </c>
      <c r="E53" s="7"/>
      <c r="F53" s="7"/>
      <c r="G53" s="7"/>
      <c r="H53" s="7"/>
      <c r="I53" s="7"/>
      <c r="J53" s="341"/>
      <c r="K53" s="7"/>
      <c r="L53" s="342"/>
      <c r="M53" s="7"/>
      <c r="N53" s="342"/>
      <c r="O53" s="7"/>
      <c r="P53" s="341"/>
      <c r="Q53" s="7"/>
      <c r="R53" s="341"/>
      <c r="S53" s="7"/>
      <c r="T53" s="7"/>
    </row>
    <row r="54" spans="1:24">
      <c r="A54" s="30" t="s">
        <v>1189</v>
      </c>
      <c r="B54" s="30"/>
      <c r="C54" s="7"/>
      <c r="D54" s="27">
        <f>'ct &amp; wa ti 12-31-16'!E44/1000</f>
        <v>0</v>
      </c>
      <c r="E54" s="7"/>
      <c r="F54" s="7"/>
      <c r="G54" s="7"/>
      <c r="H54" s="7"/>
      <c r="I54" s="7"/>
      <c r="J54" s="175"/>
      <c r="K54" s="7"/>
      <c r="L54" s="175"/>
      <c r="M54" s="175"/>
      <c r="N54" s="175"/>
      <c r="O54" s="175"/>
      <c r="P54" s="279"/>
      <c r="Q54" s="175"/>
      <c r="R54" s="175"/>
      <c r="S54" s="7"/>
      <c r="T54" s="7"/>
    </row>
    <row r="55" spans="1:24">
      <c r="A55" s="7" t="s">
        <v>1190</v>
      </c>
      <c r="B55" s="30"/>
      <c r="C55" s="7"/>
      <c r="D55" s="19">
        <f>SUM('wa taxable income'!Q25:Q27)</f>
        <v>-4510.3864611348999</v>
      </c>
      <c r="E55" s="7"/>
      <c r="F55" s="7"/>
      <c r="G55" s="7"/>
      <c r="H55" s="7"/>
      <c r="I55" s="7"/>
      <c r="J55" s="69"/>
      <c r="K55" s="7"/>
      <c r="L55" s="69"/>
      <c r="M55" s="69"/>
      <c r="N55" s="69"/>
      <c r="O55" s="69"/>
      <c r="P55" s="127"/>
      <c r="Q55" s="69"/>
      <c r="R55" s="69"/>
      <c r="S55" s="7"/>
      <c r="T55" s="7"/>
    </row>
    <row r="56" spans="1:24" ht="13.5" thickBot="1">
      <c r="A56" s="7"/>
      <c r="B56" s="7"/>
      <c r="C56" s="7"/>
      <c r="D56" s="160">
        <f>SUM(D54:D55)</f>
        <v>-4510.3864611348999</v>
      </c>
      <c r="E56" s="7"/>
      <c r="F56" s="7"/>
      <c r="G56" s="7"/>
      <c r="H56" s="7"/>
      <c r="I56" s="7"/>
      <c r="J56" s="175"/>
      <c r="K56" s="7"/>
      <c r="L56" s="175"/>
      <c r="M56" s="291"/>
      <c r="N56" s="175"/>
      <c r="O56" s="69"/>
      <c r="P56" s="175"/>
      <c r="Q56" s="69"/>
      <c r="R56" s="175"/>
      <c r="S56" s="7"/>
      <c r="T56" s="12"/>
    </row>
    <row r="57" spans="1:24" ht="13.5" thickTop="1">
      <c r="B57" s="7"/>
      <c r="C57" s="7"/>
      <c r="E57" s="7"/>
      <c r="F57" s="7"/>
      <c r="G57" s="7"/>
      <c r="H57" s="7"/>
      <c r="I57" s="7"/>
      <c r="J57" s="293">
        <v>42004</v>
      </c>
      <c r="L57" s="69"/>
      <c r="M57" s="291"/>
      <c r="N57" s="69"/>
      <c r="O57" s="69"/>
      <c r="P57" s="69"/>
      <c r="Q57" s="69"/>
      <c r="R57" s="69"/>
      <c r="S57" s="7"/>
      <c r="T57" s="12"/>
    </row>
    <row r="58" spans="1:24">
      <c r="B58" s="7"/>
      <c r="C58" s="7"/>
      <c r="D58" s="126" t="s">
        <v>60</v>
      </c>
      <c r="F58" s="126" t="s">
        <v>104</v>
      </c>
      <c r="G58" s="13"/>
      <c r="H58" s="126" t="s">
        <v>388</v>
      </c>
      <c r="I58" s="13"/>
      <c r="J58" s="126" t="s">
        <v>60</v>
      </c>
      <c r="L58" s="38"/>
      <c r="M58" s="38"/>
      <c r="N58" s="38"/>
      <c r="O58" s="38"/>
      <c r="P58" s="38"/>
      <c r="Q58" s="69"/>
      <c r="R58" s="292"/>
      <c r="S58" s="7"/>
      <c r="T58" s="162"/>
      <c r="U58" s="7"/>
    </row>
    <row r="59" spans="1:24">
      <c r="A59" s="8" t="s">
        <v>387</v>
      </c>
      <c r="B59" s="7"/>
      <c r="C59" s="7"/>
      <c r="D59" s="15">
        <f>SUM(F59:H59)</f>
        <v>-1804.1545844539598</v>
      </c>
      <c r="F59" s="27">
        <f>D56*0.35</f>
        <v>-1578.6352613972149</v>
      </c>
      <c r="G59" s="7"/>
      <c r="H59" s="15">
        <f>D56*0.05</f>
        <v>-225.51932305674501</v>
      </c>
      <c r="I59" s="7"/>
      <c r="J59" s="15">
        <v>5018</v>
      </c>
      <c r="Q59" s="7"/>
      <c r="S59" s="7"/>
      <c r="T59" s="17"/>
      <c r="U59" s="7"/>
    </row>
    <row r="60" spans="1:24">
      <c r="A60" s="8" t="s">
        <v>966</v>
      </c>
      <c r="B60" s="7"/>
      <c r="C60" s="7"/>
      <c r="D60" s="69"/>
      <c r="F60" s="69"/>
      <c r="G60" s="69"/>
      <c r="H60" s="69"/>
      <c r="I60" s="69"/>
      <c r="J60" s="69"/>
      <c r="Q60" s="7"/>
      <c r="R60" s="76"/>
      <c r="S60" s="7"/>
      <c r="T60" s="7"/>
      <c r="U60" s="7"/>
      <c r="V60" s="19"/>
    </row>
    <row r="61" spans="1:24">
      <c r="A61" s="8" t="s">
        <v>967</v>
      </c>
      <c r="B61" s="7"/>
      <c r="C61" s="7"/>
      <c r="D61" s="69">
        <f t="shared" ref="D61:D67" si="2">SUM(F61:H61)</f>
        <v>-363.44600000000003</v>
      </c>
      <c r="F61" s="69"/>
      <c r="G61" s="69"/>
      <c r="H61" s="69">
        <f>-'state tax information'!AG56/1000</f>
        <v>-363.44600000000003</v>
      </c>
      <c r="I61" s="69"/>
      <c r="J61" s="69">
        <v>-71</v>
      </c>
      <c r="Q61" s="7"/>
      <c r="S61" s="7"/>
      <c r="T61" s="17"/>
      <c r="U61" s="12"/>
      <c r="V61" s="19"/>
      <c r="W61" s="7"/>
      <c r="X61" s="7"/>
    </row>
    <row r="62" spans="1:24">
      <c r="A62" s="8" t="s">
        <v>968</v>
      </c>
      <c r="B62" s="7"/>
      <c r="C62" s="7"/>
      <c r="D62" s="69">
        <f t="shared" si="2"/>
        <v>-229.75800000000001</v>
      </c>
      <c r="F62" s="69">
        <f>'ct &amp; wa ti 12-31-16'!K49/1000</f>
        <v>0</v>
      </c>
      <c r="G62" s="69"/>
      <c r="H62" s="69">
        <f>-'state tax information'!AE56/1000</f>
        <v>-229.75800000000001</v>
      </c>
      <c r="I62" s="69"/>
      <c r="J62" s="69">
        <f>-148-1305</f>
        <v>-1453</v>
      </c>
      <c r="Q62" s="7"/>
      <c r="S62" s="7"/>
      <c r="T62" s="12"/>
      <c r="U62" s="7"/>
      <c r="V62" s="12"/>
      <c r="W62" s="7"/>
      <c r="X62" s="7"/>
    </row>
    <row r="63" spans="1:24">
      <c r="A63" s="8" t="s">
        <v>969</v>
      </c>
      <c r="B63" s="7"/>
      <c r="C63" s="7"/>
      <c r="D63" s="69">
        <f t="shared" si="2"/>
        <v>-930.85581000000002</v>
      </c>
      <c r="F63" s="69">
        <f>-J29</f>
        <v>-753.14981</v>
      </c>
      <c r="G63" s="69"/>
      <c r="H63" s="69">
        <f>-J31</f>
        <v>-177.70599999999999</v>
      </c>
      <c r="I63" s="69"/>
      <c r="J63" s="69">
        <f>-3850-255</f>
        <v>-4105</v>
      </c>
      <c r="L63" s="13" t="s">
        <v>1251</v>
      </c>
      <c r="S63" s="7"/>
      <c r="T63" s="17"/>
      <c r="U63" s="7"/>
      <c r="V63" s="19"/>
      <c r="W63" s="7"/>
      <c r="X63" s="7"/>
    </row>
    <row r="64" spans="1:24">
      <c r="A64" s="8" t="s">
        <v>971</v>
      </c>
      <c r="B64" s="7"/>
      <c r="C64" s="7"/>
      <c r="D64" s="69">
        <f t="shared" si="2"/>
        <v>-72.683250000000001</v>
      </c>
      <c r="F64" s="69"/>
      <c r="G64" s="69"/>
      <c r="H64" s="69">
        <f>-'state tax information'!Y56/1000*0.75</f>
        <v>-72.683250000000001</v>
      </c>
      <c r="I64" s="69"/>
      <c r="J64" s="69">
        <v>-183</v>
      </c>
      <c r="L64" s="29" t="s">
        <v>1252</v>
      </c>
      <c r="N64" s="85">
        <v>2015</v>
      </c>
      <c r="O64" s="3"/>
      <c r="P64" s="85">
        <v>2014</v>
      </c>
      <c r="Q64" s="3"/>
      <c r="S64" s="7"/>
      <c r="T64" s="17"/>
      <c r="U64" s="7"/>
      <c r="V64" s="19"/>
      <c r="W64" s="7"/>
      <c r="X64" s="7"/>
    </row>
    <row r="65" spans="1:24">
      <c r="A65" s="8" t="s">
        <v>396</v>
      </c>
      <c r="D65" s="69">
        <f t="shared" si="2"/>
        <v>0</v>
      </c>
      <c r="F65" s="38">
        <f>'2016 provision'!D61</f>
        <v>0</v>
      </c>
      <c r="G65" s="38"/>
      <c r="H65" s="38"/>
      <c r="I65" s="69"/>
      <c r="J65" s="69">
        <v>-50</v>
      </c>
      <c r="N65" s="174">
        <v>168</v>
      </c>
      <c r="O65" s="3"/>
      <c r="P65" s="168">
        <v>192</v>
      </c>
      <c r="Q65" s="3"/>
      <c r="R65" s="76" t="s">
        <v>1191</v>
      </c>
      <c r="S65" s="7"/>
      <c r="T65" s="7"/>
      <c r="U65" s="7"/>
      <c r="V65" s="19"/>
      <c r="W65" s="7"/>
      <c r="X65" s="7"/>
    </row>
    <row r="66" spans="1:24">
      <c r="A66" s="8" t="s">
        <v>973</v>
      </c>
      <c r="B66" s="7"/>
      <c r="C66" s="7"/>
      <c r="D66" s="69">
        <f t="shared" si="2"/>
        <v>-2082.7429999999999</v>
      </c>
      <c r="F66" s="69">
        <f>+(2004098+78645)/-1000</f>
        <v>-2082.7429999999999</v>
      </c>
      <c r="G66" s="69"/>
      <c r="H66" s="69"/>
      <c r="I66" s="69"/>
      <c r="J66" s="69">
        <v>-3000</v>
      </c>
      <c r="L66" s="24">
        <f>J66-D66</f>
        <v>-917.25700000000006</v>
      </c>
      <c r="N66" s="38">
        <v>40</v>
      </c>
      <c r="O66" s="3"/>
      <c r="P66" s="43">
        <v>40</v>
      </c>
      <c r="Q66" s="3"/>
      <c r="R66" s="76" t="s">
        <v>1192</v>
      </c>
      <c r="S66" s="7"/>
      <c r="T66" s="17"/>
      <c r="U66" s="7"/>
      <c r="V66" s="17"/>
      <c r="W66" s="7"/>
      <c r="X66" s="7"/>
    </row>
    <row r="67" spans="1:24">
      <c r="A67" s="8" t="s">
        <v>970</v>
      </c>
      <c r="B67" s="7"/>
      <c r="C67" s="7"/>
      <c r="D67" s="69">
        <f t="shared" si="2"/>
        <v>-1102.6990000000001</v>
      </c>
      <c r="F67" s="69">
        <f>(1026857+18842)/-1000</f>
        <v>-1045.6990000000001</v>
      </c>
      <c r="G67" s="69"/>
      <c r="H67" s="69">
        <v>-57</v>
      </c>
      <c r="I67" s="69"/>
      <c r="J67" s="69">
        <f>-860-600</f>
        <v>-1460</v>
      </c>
      <c r="L67" s="24">
        <f>J67-D67</f>
        <v>-357.30099999999993</v>
      </c>
      <c r="N67" s="38">
        <v>65</v>
      </c>
      <c r="O67" s="3"/>
      <c r="P67" s="43">
        <v>123</v>
      </c>
      <c r="Q67" s="3"/>
      <c r="R67" s="76" t="s">
        <v>1193</v>
      </c>
      <c r="S67" s="7"/>
      <c r="T67" s="19"/>
      <c r="U67" s="7"/>
      <c r="V67" s="19"/>
      <c r="W67" s="7"/>
      <c r="X67" s="7"/>
    </row>
    <row r="68" spans="1:24">
      <c r="A68" s="8" t="s">
        <v>1212</v>
      </c>
      <c r="B68" s="7"/>
      <c r="C68" s="7"/>
      <c r="D68" s="69">
        <v>370</v>
      </c>
      <c r="F68" s="69"/>
      <c r="G68" s="69"/>
      <c r="H68" s="69"/>
      <c r="I68" s="69"/>
      <c r="J68" s="69">
        <v>-216</v>
      </c>
      <c r="N68" s="38">
        <v>171</v>
      </c>
      <c r="O68" s="3"/>
      <c r="P68" s="43">
        <v>26</v>
      </c>
      <c r="Q68" s="35"/>
      <c r="R68" s="76" t="s">
        <v>1194</v>
      </c>
      <c r="S68" s="7"/>
      <c r="T68" s="19"/>
      <c r="U68" s="7"/>
      <c r="V68" s="19"/>
      <c r="W68" s="7"/>
      <c r="X68" s="7"/>
    </row>
    <row r="69" spans="1:24" ht="13.5" thickBot="1">
      <c r="A69" s="154"/>
      <c r="B69" s="7"/>
      <c r="C69" s="7"/>
      <c r="D69" s="68">
        <f>SUM(D59:D68)</f>
        <v>-6216.3396444539594</v>
      </c>
      <c r="F69" s="68">
        <f>SUM(F59:F68)</f>
        <v>-5460.2270713972157</v>
      </c>
      <c r="G69" s="7"/>
      <c r="H69" s="68">
        <f>SUM(H59:H68)</f>
        <v>-1126.1125730567451</v>
      </c>
      <c r="I69" s="7"/>
      <c r="J69" s="68">
        <f>SUM(J59:J68)</f>
        <v>-5520</v>
      </c>
      <c r="L69" s="68">
        <f>SUM(L59:L68)</f>
        <v>-1274.558</v>
      </c>
      <c r="N69" s="165">
        <f>SUM(N65:N68)</f>
        <v>444</v>
      </c>
      <c r="O69" s="3"/>
      <c r="P69" s="165">
        <f>SUM(P65:P68)</f>
        <v>381</v>
      </c>
      <c r="Q69" s="35"/>
    </row>
    <row r="70" spans="1:24" ht="13.5" thickTop="1">
      <c r="A70" s="30"/>
      <c r="B70" s="7"/>
      <c r="C70" s="7"/>
      <c r="D70" s="294"/>
      <c r="E70" s="7"/>
      <c r="G70" s="7"/>
      <c r="H70" s="27"/>
      <c r="I70" s="7"/>
      <c r="K70" s="7"/>
      <c r="L70" s="7"/>
      <c r="M70" s="7"/>
      <c r="N70" s="7"/>
      <c r="O70" s="7"/>
      <c r="P70" s="7"/>
      <c r="Q70" s="7"/>
      <c r="R70" s="7"/>
      <c r="S70" s="7"/>
      <c r="T70" s="7"/>
    </row>
    <row r="71" spans="1:24">
      <c r="A71" s="30"/>
    </row>
    <row r="72" spans="1:24">
      <c r="A72" s="30"/>
      <c r="J72" s="38"/>
    </row>
    <row r="73" spans="1:24">
      <c r="J73" s="38"/>
    </row>
  </sheetData>
  <pageMargins left="0.2" right="0.2" top="0.2" bottom="0.36" header="0.17" footer="0.17"/>
  <pageSetup scale="66" orientation="landscape" r:id="rId1"/>
  <headerFooter>
    <oddFooter>&amp;L&amp;"Times New Roman,Regular"April 14, 2016&amp;C&amp;"Times New Roman,Regular"confidential and proprietary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L61"/>
  <sheetViews>
    <sheetView zoomScale="80" zoomScaleNormal="80" workbookViewId="0">
      <selection activeCell="O27" sqref="O27"/>
    </sheetView>
  </sheetViews>
  <sheetFormatPr defaultRowHeight="13"/>
  <cols>
    <col min="1" max="1" width="32.7265625" style="58" customWidth="1"/>
    <col min="2" max="2" width="4.81640625" style="58" customWidth="1"/>
    <col min="3" max="3" width="16.54296875" style="58" customWidth="1"/>
    <col min="4" max="4" width="1.26953125" style="58" customWidth="1"/>
    <col min="5" max="5" width="13" style="58" bestFit="1" customWidth="1"/>
    <col min="6" max="6" width="2.1796875" style="58" customWidth="1"/>
    <col min="7" max="7" width="12.54296875" style="58" customWidth="1"/>
    <col min="8" max="8" width="1.1796875" style="58" customWidth="1"/>
    <col min="9" max="9" width="9.26953125" style="58" bestFit="1" customWidth="1"/>
    <col min="10" max="10" width="0.81640625" style="58" customWidth="1"/>
    <col min="11" max="11" width="30.7265625" style="58" customWidth="1"/>
    <col min="12" max="12" width="1" style="58" customWidth="1"/>
    <col min="13" max="13" width="7.81640625" style="58" customWidth="1"/>
    <col min="14" max="14" width="0.7265625" style="58" customWidth="1"/>
    <col min="15" max="15" width="13.54296875" style="58" customWidth="1"/>
    <col min="16" max="16" width="0.7265625" style="58" customWidth="1"/>
    <col min="17" max="17" width="12.453125" style="58" customWidth="1"/>
    <col min="18" max="18" width="0.7265625" style="58" customWidth="1"/>
    <col min="19" max="19" width="9.54296875" style="58" bestFit="1" customWidth="1"/>
    <col min="20" max="20" width="0.81640625" style="58" customWidth="1"/>
    <col min="21" max="21" width="11.26953125" style="58" bestFit="1" customWidth="1"/>
    <col min="22" max="22" width="0.7265625" style="58" customWidth="1"/>
    <col min="23" max="23" width="18.453125" style="58" customWidth="1"/>
    <col min="24" max="24" width="5.7265625" style="58" customWidth="1"/>
    <col min="25" max="25" width="30.7265625" style="58" customWidth="1"/>
    <col min="26" max="26" width="1" style="58" customWidth="1"/>
    <col min="27" max="27" width="7.81640625" style="58" customWidth="1"/>
    <col min="28" max="28" width="0.7265625" style="58" customWidth="1"/>
    <col min="29" max="29" width="13.54296875" style="58" customWidth="1"/>
    <col min="30" max="30" width="0.7265625" style="58" customWidth="1"/>
    <col min="31" max="31" width="10.26953125" style="58" bestFit="1" customWidth="1"/>
    <col min="32" max="32" width="0.7265625" style="58" customWidth="1"/>
    <col min="33" max="33" width="9.54296875" style="58" bestFit="1" customWidth="1"/>
    <col min="34" max="34" width="0.81640625" style="58" customWidth="1"/>
    <col min="35" max="35" width="11.26953125" style="58" bestFit="1" customWidth="1"/>
    <col min="36" max="36" width="0.7265625" style="58" customWidth="1"/>
    <col min="37" max="37" width="18.453125" style="58" customWidth="1"/>
    <col min="38" max="38" width="13.453125" style="58" customWidth="1"/>
    <col min="39" max="204" width="9.1796875" style="58"/>
    <col min="205" max="205" width="34.1796875" style="58" customWidth="1"/>
    <col min="206" max="206" width="0.81640625" style="58" customWidth="1"/>
    <col min="207" max="207" width="16.26953125" style="58" bestFit="1" customWidth="1"/>
    <col min="208" max="208" width="1.1796875" style="58" customWidth="1"/>
    <col min="209" max="209" width="14.453125" style="58" bestFit="1" customWidth="1"/>
    <col min="210" max="210" width="1.1796875" style="58" customWidth="1"/>
    <col min="211" max="211" width="13.26953125" style="58" customWidth="1"/>
    <col min="212" max="212" width="0.81640625" style="58" customWidth="1"/>
    <col min="213" max="213" width="13" style="58" bestFit="1" customWidth="1"/>
    <col min="214" max="214" width="0.81640625" style="58" customWidth="1"/>
    <col min="215" max="215" width="14.26953125" style="58" bestFit="1" customWidth="1"/>
    <col min="216" max="216" width="3.81640625" style="58" customWidth="1"/>
    <col min="217" max="217" width="12.1796875" style="58" customWidth="1"/>
    <col min="218" max="218" width="0.7265625" style="58" customWidth="1"/>
    <col min="219" max="220" width="0" style="58" hidden="1" customWidth="1"/>
    <col min="221" max="221" width="14.26953125" style="58" bestFit="1" customWidth="1"/>
    <col min="222" max="222" width="0.7265625" style="58" customWidth="1"/>
    <col min="223" max="223" width="15.81640625" style="58" customWidth="1"/>
    <col min="224" max="224" width="1.1796875" style="58" customWidth="1"/>
    <col min="225" max="225" width="14.453125" style="58" customWidth="1"/>
    <col min="226" max="226" width="1" style="58" customWidth="1"/>
    <col min="227" max="227" width="0.54296875" style="58" customWidth="1"/>
    <col min="228" max="460" width="9.1796875" style="58"/>
    <col min="461" max="461" width="34.1796875" style="58" customWidth="1"/>
    <col min="462" max="462" width="0.81640625" style="58" customWidth="1"/>
    <col min="463" max="463" width="16.26953125" style="58" bestFit="1" customWidth="1"/>
    <col min="464" max="464" width="1.1796875" style="58" customWidth="1"/>
    <col min="465" max="465" width="14.453125" style="58" bestFit="1" customWidth="1"/>
    <col min="466" max="466" width="1.1796875" style="58" customWidth="1"/>
    <col min="467" max="467" width="13.26953125" style="58" customWidth="1"/>
    <col min="468" max="468" width="0.81640625" style="58" customWidth="1"/>
    <col min="469" max="469" width="13" style="58" bestFit="1" customWidth="1"/>
    <col min="470" max="470" width="0.81640625" style="58" customWidth="1"/>
    <col min="471" max="471" width="14.26953125" style="58" bestFit="1" customWidth="1"/>
    <col min="472" max="472" width="3.81640625" style="58" customWidth="1"/>
    <col min="473" max="473" width="12.1796875" style="58" customWidth="1"/>
    <col min="474" max="474" width="0.7265625" style="58" customWidth="1"/>
    <col min="475" max="476" width="0" style="58" hidden="1" customWidth="1"/>
    <col min="477" max="477" width="14.26953125" style="58" bestFit="1" customWidth="1"/>
    <col min="478" max="478" width="0.7265625" style="58" customWidth="1"/>
    <col min="479" max="479" width="15.81640625" style="58" customWidth="1"/>
    <col min="480" max="480" width="1.1796875" style="58" customWidth="1"/>
    <col min="481" max="481" width="14.453125" style="58" customWidth="1"/>
    <col min="482" max="482" width="1" style="58" customWidth="1"/>
    <col min="483" max="483" width="0.54296875" style="58" customWidth="1"/>
    <col min="484" max="716" width="9.1796875" style="58"/>
    <col min="717" max="717" width="34.1796875" style="58" customWidth="1"/>
    <col min="718" max="718" width="0.81640625" style="58" customWidth="1"/>
    <col min="719" max="719" width="16.26953125" style="58" bestFit="1" customWidth="1"/>
    <col min="720" max="720" width="1.1796875" style="58" customWidth="1"/>
    <col min="721" max="721" width="14.453125" style="58" bestFit="1" customWidth="1"/>
    <col min="722" max="722" width="1.1796875" style="58" customWidth="1"/>
    <col min="723" max="723" width="13.26953125" style="58" customWidth="1"/>
    <col min="724" max="724" width="0.81640625" style="58" customWidth="1"/>
    <col min="725" max="725" width="13" style="58" bestFit="1" customWidth="1"/>
    <col min="726" max="726" width="0.81640625" style="58" customWidth="1"/>
    <col min="727" max="727" width="14.26953125" style="58" bestFit="1" customWidth="1"/>
    <col min="728" max="728" width="3.81640625" style="58" customWidth="1"/>
    <col min="729" max="729" width="12.1796875" style="58" customWidth="1"/>
    <col min="730" max="730" width="0.7265625" style="58" customWidth="1"/>
    <col min="731" max="732" width="0" style="58" hidden="1" customWidth="1"/>
    <col min="733" max="733" width="14.26953125" style="58" bestFit="1" customWidth="1"/>
    <col min="734" max="734" width="0.7265625" style="58" customWidth="1"/>
    <col min="735" max="735" width="15.81640625" style="58" customWidth="1"/>
    <col min="736" max="736" width="1.1796875" style="58" customWidth="1"/>
    <col min="737" max="737" width="14.453125" style="58" customWidth="1"/>
    <col min="738" max="738" width="1" style="58" customWidth="1"/>
    <col min="739" max="739" width="0.54296875" style="58" customWidth="1"/>
    <col min="740" max="972" width="9.1796875" style="58"/>
    <col min="973" max="973" width="34.1796875" style="58" customWidth="1"/>
    <col min="974" max="974" width="0.81640625" style="58" customWidth="1"/>
    <col min="975" max="975" width="16.26953125" style="58" bestFit="1" customWidth="1"/>
    <col min="976" max="976" width="1.1796875" style="58" customWidth="1"/>
    <col min="977" max="977" width="14.453125" style="58" bestFit="1" customWidth="1"/>
    <col min="978" max="978" width="1.1796875" style="58" customWidth="1"/>
    <col min="979" max="979" width="13.26953125" style="58" customWidth="1"/>
    <col min="980" max="980" width="0.81640625" style="58" customWidth="1"/>
    <col min="981" max="981" width="13" style="58" bestFit="1" customWidth="1"/>
    <col min="982" max="982" width="0.81640625" style="58" customWidth="1"/>
    <col min="983" max="983" width="14.26953125" style="58" bestFit="1" customWidth="1"/>
    <col min="984" max="984" width="3.81640625" style="58" customWidth="1"/>
    <col min="985" max="985" width="12.1796875" style="58" customWidth="1"/>
    <col min="986" max="986" width="0.7265625" style="58" customWidth="1"/>
    <col min="987" max="988" width="0" style="58" hidden="1" customWidth="1"/>
    <col min="989" max="989" width="14.26953125" style="58" bestFit="1" customWidth="1"/>
    <col min="990" max="990" width="0.7265625" style="58" customWidth="1"/>
    <col min="991" max="991" width="15.81640625" style="58" customWidth="1"/>
    <col min="992" max="992" width="1.1796875" style="58" customWidth="1"/>
    <col min="993" max="993" width="14.453125" style="58" customWidth="1"/>
    <col min="994" max="994" width="1" style="58" customWidth="1"/>
    <col min="995" max="995" width="0.54296875" style="58" customWidth="1"/>
    <col min="996" max="1228" width="9.1796875" style="58"/>
    <col min="1229" max="1229" width="34.1796875" style="58" customWidth="1"/>
    <col min="1230" max="1230" width="0.81640625" style="58" customWidth="1"/>
    <col min="1231" max="1231" width="16.26953125" style="58" bestFit="1" customWidth="1"/>
    <col min="1232" max="1232" width="1.1796875" style="58" customWidth="1"/>
    <col min="1233" max="1233" width="14.453125" style="58" bestFit="1" customWidth="1"/>
    <col min="1234" max="1234" width="1.1796875" style="58" customWidth="1"/>
    <col min="1235" max="1235" width="13.26953125" style="58" customWidth="1"/>
    <col min="1236" max="1236" width="0.81640625" style="58" customWidth="1"/>
    <col min="1237" max="1237" width="13" style="58" bestFit="1" customWidth="1"/>
    <col min="1238" max="1238" width="0.81640625" style="58" customWidth="1"/>
    <col min="1239" max="1239" width="14.26953125" style="58" bestFit="1" customWidth="1"/>
    <col min="1240" max="1240" width="3.81640625" style="58" customWidth="1"/>
    <col min="1241" max="1241" width="12.1796875" style="58" customWidth="1"/>
    <col min="1242" max="1242" width="0.7265625" style="58" customWidth="1"/>
    <col min="1243" max="1244" width="0" style="58" hidden="1" customWidth="1"/>
    <col min="1245" max="1245" width="14.26953125" style="58" bestFit="1" customWidth="1"/>
    <col min="1246" max="1246" width="0.7265625" style="58" customWidth="1"/>
    <col min="1247" max="1247" width="15.81640625" style="58" customWidth="1"/>
    <col min="1248" max="1248" width="1.1796875" style="58" customWidth="1"/>
    <col min="1249" max="1249" width="14.453125" style="58" customWidth="1"/>
    <col min="1250" max="1250" width="1" style="58" customWidth="1"/>
    <col min="1251" max="1251" width="0.54296875" style="58" customWidth="1"/>
    <col min="1252" max="1484" width="9.1796875" style="58"/>
    <col min="1485" max="1485" width="34.1796875" style="58" customWidth="1"/>
    <col min="1486" max="1486" width="0.81640625" style="58" customWidth="1"/>
    <col min="1487" max="1487" width="16.26953125" style="58" bestFit="1" customWidth="1"/>
    <col min="1488" max="1488" width="1.1796875" style="58" customWidth="1"/>
    <col min="1489" max="1489" width="14.453125" style="58" bestFit="1" customWidth="1"/>
    <col min="1490" max="1490" width="1.1796875" style="58" customWidth="1"/>
    <col min="1491" max="1491" width="13.26953125" style="58" customWidth="1"/>
    <col min="1492" max="1492" width="0.81640625" style="58" customWidth="1"/>
    <col min="1493" max="1493" width="13" style="58" bestFit="1" customWidth="1"/>
    <col min="1494" max="1494" width="0.81640625" style="58" customWidth="1"/>
    <col min="1495" max="1495" width="14.26953125" style="58" bestFit="1" customWidth="1"/>
    <col min="1496" max="1496" width="3.81640625" style="58" customWidth="1"/>
    <col min="1497" max="1497" width="12.1796875" style="58" customWidth="1"/>
    <col min="1498" max="1498" width="0.7265625" style="58" customWidth="1"/>
    <col min="1499" max="1500" width="0" style="58" hidden="1" customWidth="1"/>
    <col min="1501" max="1501" width="14.26953125" style="58" bestFit="1" customWidth="1"/>
    <col min="1502" max="1502" width="0.7265625" style="58" customWidth="1"/>
    <col min="1503" max="1503" width="15.81640625" style="58" customWidth="1"/>
    <col min="1504" max="1504" width="1.1796875" style="58" customWidth="1"/>
    <col min="1505" max="1505" width="14.453125" style="58" customWidth="1"/>
    <col min="1506" max="1506" width="1" style="58" customWidth="1"/>
    <col min="1507" max="1507" width="0.54296875" style="58" customWidth="1"/>
    <col min="1508" max="1740" width="9.1796875" style="58"/>
    <col min="1741" max="1741" width="34.1796875" style="58" customWidth="1"/>
    <col min="1742" max="1742" width="0.81640625" style="58" customWidth="1"/>
    <col min="1743" max="1743" width="16.26953125" style="58" bestFit="1" customWidth="1"/>
    <col min="1744" max="1744" width="1.1796875" style="58" customWidth="1"/>
    <col min="1745" max="1745" width="14.453125" style="58" bestFit="1" customWidth="1"/>
    <col min="1746" max="1746" width="1.1796875" style="58" customWidth="1"/>
    <col min="1747" max="1747" width="13.26953125" style="58" customWidth="1"/>
    <col min="1748" max="1748" width="0.81640625" style="58" customWidth="1"/>
    <col min="1749" max="1749" width="13" style="58" bestFit="1" customWidth="1"/>
    <col min="1750" max="1750" width="0.81640625" style="58" customWidth="1"/>
    <col min="1751" max="1751" width="14.26953125" style="58" bestFit="1" customWidth="1"/>
    <col min="1752" max="1752" width="3.81640625" style="58" customWidth="1"/>
    <col min="1753" max="1753" width="12.1796875" style="58" customWidth="1"/>
    <col min="1754" max="1754" width="0.7265625" style="58" customWidth="1"/>
    <col min="1755" max="1756" width="0" style="58" hidden="1" customWidth="1"/>
    <col min="1757" max="1757" width="14.26953125" style="58" bestFit="1" customWidth="1"/>
    <col min="1758" max="1758" width="0.7265625" style="58" customWidth="1"/>
    <col min="1759" max="1759" width="15.81640625" style="58" customWidth="1"/>
    <col min="1760" max="1760" width="1.1796875" style="58" customWidth="1"/>
    <col min="1761" max="1761" width="14.453125" style="58" customWidth="1"/>
    <col min="1762" max="1762" width="1" style="58" customWidth="1"/>
    <col min="1763" max="1763" width="0.54296875" style="58" customWidth="1"/>
    <col min="1764" max="1996" width="9.1796875" style="58"/>
    <col min="1997" max="1997" width="34.1796875" style="58" customWidth="1"/>
    <col min="1998" max="1998" width="0.81640625" style="58" customWidth="1"/>
    <col min="1999" max="1999" width="16.26953125" style="58" bestFit="1" customWidth="1"/>
    <col min="2000" max="2000" width="1.1796875" style="58" customWidth="1"/>
    <col min="2001" max="2001" width="14.453125" style="58" bestFit="1" customWidth="1"/>
    <col min="2002" max="2002" width="1.1796875" style="58" customWidth="1"/>
    <col min="2003" max="2003" width="13.26953125" style="58" customWidth="1"/>
    <col min="2004" max="2004" width="0.81640625" style="58" customWidth="1"/>
    <col min="2005" max="2005" width="13" style="58" bestFit="1" customWidth="1"/>
    <col min="2006" max="2006" width="0.81640625" style="58" customWidth="1"/>
    <col min="2007" max="2007" width="14.26953125" style="58" bestFit="1" customWidth="1"/>
    <col min="2008" max="2008" width="3.81640625" style="58" customWidth="1"/>
    <col min="2009" max="2009" width="12.1796875" style="58" customWidth="1"/>
    <col min="2010" max="2010" width="0.7265625" style="58" customWidth="1"/>
    <col min="2011" max="2012" width="0" style="58" hidden="1" customWidth="1"/>
    <col min="2013" max="2013" width="14.26953125" style="58" bestFit="1" customWidth="1"/>
    <col min="2014" max="2014" width="0.7265625" style="58" customWidth="1"/>
    <col min="2015" max="2015" width="15.81640625" style="58" customWidth="1"/>
    <col min="2016" max="2016" width="1.1796875" style="58" customWidth="1"/>
    <col min="2017" max="2017" width="14.453125" style="58" customWidth="1"/>
    <col min="2018" max="2018" width="1" style="58" customWidth="1"/>
    <col min="2019" max="2019" width="0.54296875" style="58" customWidth="1"/>
    <col min="2020" max="2252" width="9.1796875" style="58"/>
    <col min="2253" max="2253" width="34.1796875" style="58" customWidth="1"/>
    <col min="2254" max="2254" width="0.81640625" style="58" customWidth="1"/>
    <col min="2255" max="2255" width="16.26953125" style="58" bestFit="1" customWidth="1"/>
    <col min="2256" max="2256" width="1.1796875" style="58" customWidth="1"/>
    <col min="2257" max="2257" width="14.453125" style="58" bestFit="1" customWidth="1"/>
    <col min="2258" max="2258" width="1.1796875" style="58" customWidth="1"/>
    <col min="2259" max="2259" width="13.26953125" style="58" customWidth="1"/>
    <col min="2260" max="2260" width="0.81640625" style="58" customWidth="1"/>
    <col min="2261" max="2261" width="13" style="58" bestFit="1" customWidth="1"/>
    <col min="2262" max="2262" width="0.81640625" style="58" customWidth="1"/>
    <col min="2263" max="2263" width="14.26953125" style="58" bestFit="1" customWidth="1"/>
    <col min="2264" max="2264" width="3.81640625" style="58" customWidth="1"/>
    <col min="2265" max="2265" width="12.1796875" style="58" customWidth="1"/>
    <col min="2266" max="2266" width="0.7265625" style="58" customWidth="1"/>
    <col min="2267" max="2268" width="0" style="58" hidden="1" customWidth="1"/>
    <col min="2269" max="2269" width="14.26953125" style="58" bestFit="1" customWidth="1"/>
    <col min="2270" max="2270" width="0.7265625" style="58" customWidth="1"/>
    <col min="2271" max="2271" width="15.81640625" style="58" customWidth="1"/>
    <col min="2272" max="2272" width="1.1796875" style="58" customWidth="1"/>
    <col min="2273" max="2273" width="14.453125" style="58" customWidth="1"/>
    <col min="2274" max="2274" width="1" style="58" customWidth="1"/>
    <col min="2275" max="2275" width="0.54296875" style="58" customWidth="1"/>
    <col min="2276" max="2508" width="9.1796875" style="58"/>
    <col min="2509" max="2509" width="34.1796875" style="58" customWidth="1"/>
    <col min="2510" max="2510" width="0.81640625" style="58" customWidth="1"/>
    <col min="2511" max="2511" width="16.26953125" style="58" bestFit="1" customWidth="1"/>
    <col min="2512" max="2512" width="1.1796875" style="58" customWidth="1"/>
    <col min="2513" max="2513" width="14.453125" style="58" bestFit="1" customWidth="1"/>
    <col min="2514" max="2514" width="1.1796875" style="58" customWidth="1"/>
    <col min="2515" max="2515" width="13.26953125" style="58" customWidth="1"/>
    <col min="2516" max="2516" width="0.81640625" style="58" customWidth="1"/>
    <col min="2517" max="2517" width="13" style="58" bestFit="1" customWidth="1"/>
    <col min="2518" max="2518" width="0.81640625" style="58" customWidth="1"/>
    <col min="2519" max="2519" width="14.26953125" style="58" bestFit="1" customWidth="1"/>
    <col min="2520" max="2520" width="3.81640625" style="58" customWidth="1"/>
    <col min="2521" max="2521" width="12.1796875" style="58" customWidth="1"/>
    <col min="2522" max="2522" width="0.7265625" style="58" customWidth="1"/>
    <col min="2523" max="2524" width="0" style="58" hidden="1" customWidth="1"/>
    <col min="2525" max="2525" width="14.26953125" style="58" bestFit="1" customWidth="1"/>
    <col min="2526" max="2526" width="0.7265625" style="58" customWidth="1"/>
    <col min="2527" max="2527" width="15.81640625" style="58" customWidth="1"/>
    <col min="2528" max="2528" width="1.1796875" style="58" customWidth="1"/>
    <col min="2529" max="2529" width="14.453125" style="58" customWidth="1"/>
    <col min="2530" max="2530" width="1" style="58" customWidth="1"/>
    <col min="2531" max="2531" width="0.54296875" style="58" customWidth="1"/>
    <col min="2532" max="2764" width="9.1796875" style="58"/>
    <col min="2765" max="2765" width="34.1796875" style="58" customWidth="1"/>
    <col min="2766" max="2766" width="0.81640625" style="58" customWidth="1"/>
    <col min="2767" max="2767" width="16.26953125" style="58" bestFit="1" customWidth="1"/>
    <col min="2768" max="2768" width="1.1796875" style="58" customWidth="1"/>
    <col min="2769" max="2769" width="14.453125" style="58" bestFit="1" customWidth="1"/>
    <col min="2770" max="2770" width="1.1796875" style="58" customWidth="1"/>
    <col min="2771" max="2771" width="13.26953125" style="58" customWidth="1"/>
    <col min="2772" max="2772" width="0.81640625" style="58" customWidth="1"/>
    <col min="2773" max="2773" width="13" style="58" bestFit="1" customWidth="1"/>
    <col min="2774" max="2774" width="0.81640625" style="58" customWidth="1"/>
    <col min="2775" max="2775" width="14.26953125" style="58" bestFit="1" customWidth="1"/>
    <col min="2776" max="2776" width="3.81640625" style="58" customWidth="1"/>
    <col min="2777" max="2777" width="12.1796875" style="58" customWidth="1"/>
    <col min="2778" max="2778" width="0.7265625" style="58" customWidth="1"/>
    <col min="2779" max="2780" width="0" style="58" hidden="1" customWidth="1"/>
    <col min="2781" max="2781" width="14.26953125" style="58" bestFit="1" customWidth="1"/>
    <col min="2782" max="2782" width="0.7265625" style="58" customWidth="1"/>
    <col min="2783" max="2783" width="15.81640625" style="58" customWidth="1"/>
    <col min="2784" max="2784" width="1.1796875" style="58" customWidth="1"/>
    <col min="2785" max="2785" width="14.453125" style="58" customWidth="1"/>
    <col min="2786" max="2786" width="1" style="58" customWidth="1"/>
    <col min="2787" max="2787" width="0.54296875" style="58" customWidth="1"/>
    <col min="2788" max="3020" width="9.1796875" style="58"/>
    <col min="3021" max="3021" width="34.1796875" style="58" customWidth="1"/>
    <col min="3022" max="3022" width="0.81640625" style="58" customWidth="1"/>
    <col min="3023" max="3023" width="16.26953125" style="58" bestFit="1" customWidth="1"/>
    <col min="3024" max="3024" width="1.1796875" style="58" customWidth="1"/>
    <col min="3025" max="3025" width="14.453125" style="58" bestFit="1" customWidth="1"/>
    <col min="3026" max="3026" width="1.1796875" style="58" customWidth="1"/>
    <col min="3027" max="3027" width="13.26953125" style="58" customWidth="1"/>
    <col min="3028" max="3028" width="0.81640625" style="58" customWidth="1"/>
    <col min="3029" max="3029" width="13" style="58" bestFit="1" customWidth="1"/>
    <col min="3030" max="3030" width="0.81640625" style="58" customWidth="1"/>
    <col min="3031" max="3031" width="14.26953125" style="58" bestFit="1" customWidth="1"/>
    <col min="3032" max="3032" width="3.81640625" style="58" customWidth="1"/>
    <col min="3033" max="3033" width="12.1796875" style="58" customWidth="1"/>
    <col min="3034" max="3034" width="0.7265625" style="58" customWidth="1"/>
    <col min="3035" max="3036" width="0" style="58" hidden="1" customWidth="1"/>
    <col min="3037" max="3037" width="14.26953125" style="58" bestFit="1" customWidth="1"/>
    <col min="3038" max="3038" width="0.7265625" style="58" customWidth="1"/>
    <col min="3039" max="3039" width="15.81640625" style="58" customWidth="1"/>
    <col min="3040" max="3040" width="1.1796875" style="58" customWidth="1"/>
    <col min="3041" max="3041" width="14.453125" style="58" customWidth="1"/>
    <col min="3042" max="3042" width="1" style="58" customWidth="1"/>
    <col min="3043" max="3043" width="0.54296875" style="58" customWidth="1"/>
    <col min="3044" max="3276" width="9.1796875" style="58"/>
    <col min="3277" max="3277" width="34.1796875" style="58" customWidth="1"/>
    <col min="3278" max="3278" width="0.81640625" style="58" customWidth="1"/>
    <col min="3279" max="3279" width="16.26953125" style="58" bestFit="1" customWidth="1"/>
    <col min="3280" max="3280" width="1.1796875" style="58" customWidth="1"/>
    <col min="3281" max="3281" width="14.453125" style="58" bestFit="1" customWidth="1"/>
    <col min="3282" max="3282" width="1.1796875" style="58" customWidth="1"/>
    <col min="3283" max="3283" width="13.26953125" style="58" customWidth="1"/>
    <col min="3284" max="3284" width="0.81640625" style="58" customWidth="1"/>
    <col min="3285" max="3285" width="13" style="58" bestFit="1" customWidth="1"/>
    <col min="3286" max="3286" width="0.81640625" style="58" customWidth="1"/>
    <col min="3287" max="3287" width="14.26953125" style="58" bestFit="1" customWidth="1"/>
    <col min="3288" max="3288" width="3.81640625" style="58" customWidth="1"/>
    <col min="3289" max="3289" width="12.1796875" style="58" customWidth="1"/>
    <col min="3290" max="3290" width="0.7265625" style="58" customWidth="1"/>
    <col min="3291" max="3292" width="0" style="58" hidden="1" customWidth="1"/>
    <col min="3293" max="3293" width="14.26953125" style="58" bestFit="1" customWidth="1"/>
    <col min="3294" max="3294" width="0.7265625" style="58" customWidth="1"/>
    <col min="3295" max="3295" width="15.81640625" style="58" customWidth="1"/>
    <col min="3296" max="3296" width="1.1796875" style="58" customWidth="1"/>
    <col min="3297" max="3297" width="14.453125" style="58" customWidth="1"/>
    <col min="3298" max="3298" width="1" style="58" customWidth="1"/>
    <col min="3299" max="3299" width="0.54296875" style="58" customWidth="1"/>
    <col min="3300" max="3532" width="9.1796875" style="58"/>
    <col min="3533" max="3533" width="34.1796875" style="58" customWidth="1"/>
    <col min="3534" max="3534" width="0.81640625" style="58" customWidth="1"/>
    <col min="3535" max="3535" width="16.26953125" style="58" bestFit="1" customWidth="1"/>
    <col min="3536" max="3536" width="1.1796875" style="58" customWidth="1"/>
    <col min="3537" max="3537" width="14.453125" style="58" bestFit="1" customWidth="1"/>
    <col min="3538" max="3538" width="1.1796875" style="58" customWidth="1"/>
    <col min="3539" max="3539" width="13.26953125" style="58" customWidth="1"/>
    <col min="3540" max="3540" width="0.81640625" style="58" customWidth="1"/>
    <col min="3541" max="3541" width="13" style="58" bestFit="1" customWidth="1"/>
    <col min="3542" max="3542" width="0.81640625" style="58" customWidth="1"/>
    <col min="3543" max="3543" width="14.26953125" style="58" bestFit="1" customWidth="1"/>
    <col min="3544" max="3544" width="3.81640625" style="58" customWidth="1"/>
    <col min="3545" max="3545" width="12.1796875" style="58" customWidth="1"/>
    <col min="3546" max="3546" width="0.7265625" style="58" customWidth="1"/>
    <col min="3547" max="3548" width="0" style="58" hidden="1" customWidth="1"/>
    <col min="3549" max="3549" width="14.26953125" style="58" bestFit="1" customWidth="1"/>
    <col min="3550" max="3550" width="0.7265625" style="58" customWidth="1"/>
    <col min="3551" max="3551" width="15.81640625" style="58" customWidth="1"/>
    <col min="3552" max="3552" width="1.1796875" style="58" customWidth="1"/>
    <col min="3553" max="3553" width="14.453125" style="58" customWidth="1"/>
    <col min="3554" max="3554" width="1" style="58" customWidth="1"/>
    <col min="3555" max="3555" width="0.54296875" style="58" customWidth="1"/>
    <col min="3556" max="3788" width="9.1796875" style="58"/>
    <col min="3789" max="3789" width="34.1796875" style="58" customWidth="1"/>
    <col min="3790" max="3790" width="0.81640625" style="58" customWidth="1"/>
    <col min="3791" max="3791" width="16.26953125" style="58" bestFit="1" customWidth="1"/>
    <col min="3792" max="3792" width="1.1796875" style="58" customWidth="1"/>
    <col min="3793" max="3793" width="14.453125" style="58" bestFit="1" customWidth="1"/>
    <col min="3794" max="3794" width="1.1796875" style="58" customWidth="1"/>
    <col min="3795" max="3795" width="13.26953125" style="58" customWidth="1"/>
    <col min="3796" max="3796" width="0.81640625" style="58" customWidth="1"/>
    <col min="3797" max="3797" width="13" style="58" bestFit="1" customWidth="1"/>
    <col min="3798" max="3798" width="0.81640625" style="58" customWidth="1"/>
    <col min="3799" max="3799" width="14.26953125" style="58" bestFit="1" customWidth="1"/>
    <col min="3800" max="3800" width="3.81640625" style="58" customWidth="1"/>
    <col min="3801" max="3801" width="12.1796875" style="58" customWidth="1"/>
    <col min="3802" max="3802" width="0.7265625" style="58" customWidth="1"/>
    <col min="3803" max="3804" width="0" style="58" hidden="1" customWidth="1"/>
    <col min="3805" max="3805" width="14.26953125" style="58" bestFit="1" customWidth="1"/>
    <col min="3806" max="3806" width="0.7265625" style="58" customWidth="1"/>
    <col min="3807" max="3807" width="15.81640625" style="58" customWidth="1"/>
    <col min="3808" max="3808" width="1.1796875" style="58" customWidth="1"/>
    <col min="3809" max="3809" width="14.453125" style="58" customWidth="1"/>
    <col min="3810" max="3810" width="1" style="58" customWidth="1"/>
    <col min="3811" max="3811" width="0.54296875" style="58" customWidth="1"/>
    <col min="3812" max="4044" width="9.1796875" style="58"/>
    <col min="4045" max="4045" width="34.1796875" style="58" customWidth="1"/>
    <col min="4046" max="4046" width="0.81640625" style="58" customWidth="1"/>
    <col min="4047" max="4047" width="16.26953125" style="58" bestFit="1" customWidth="1"/>
    <col min="4048" max="4048" width="1.1796875" style="58" customWidth="1"/>
    <col min="4049" max="4049" width="14.453125" style="58" bestFit="1" customWidth="1"/>
    <col min="4050" max="4050" width="1.1796875" style="58" customWidth="1"/>
    <col min="4051" max="4051" width="13.26953125" style="58" customWidth="1"/>
    <col min="4052" max="4052" width="0.81640625" style="58" customWidth="1"/>
    <col min="4053" max="4053" width="13" style="58" bestFit="1" customWidth="1"/>
    <col min="4054" max="4054" width="0.81640625" style="58" customWidth="1"/>
    <col min="4055" max="4055" width="14.26953125" style="58" bestFit="1" customWidth="1"/>
    <col min="4056" max="4056" width="3.81640625" style="58" customWidth="1"/>
    <col min="4057" max="4057" width="12.1796875" style="58" customWidth="1"/>
    <col min="4058" max="4058" width="0.7265625" style="58" customWidth="1"/>
    <col min="4059" max="4060" width="0" style="58" hidden="1" customWidth="1"/>
    <col min="4061" max="4061" width="14.26953125" style="58" bestFit="1" customWidth="1"/>
    <col min="4062" max="4062" width="0.7265625" style="58" customWidth="1"/>
    <col min="4063" max="4063" width="15.81640625" style="58" customWidth="1"/>
    <col min="4064" max="4064" width="1.1796875" style="58" customWidth="1"/>
    <col min="4065" max="4065" width="14.453125" style="58" customWidth="1"/>
    <col min="4066" max="4066" width="1" style="58" customWidth="1"/>
    <col min="4067" max="4067" width="0.54296875" style="58" customWidth="1"/>
    <col min="4068" max="4300" width="9.1796875" style="58"/>
    <col min="4301" max="4301" width="34.1796875" style="58" customWidth="1"/>
    <col min="4302" max="4302" width="0.81640625" style="58" customWidth="1"/>
    <col min="4303" max="4303" width="16.26953125" style="58" bestFit="1" customWidth="1"/>
    <col min="4304" max="4304" width="1.1796875" style="58" customWidth="1"/>
    <col min="4305" max="4305" width="14.453125" style="58" bestFit="1" customWidth="1"/>
    <col min="4306" max="4306" width="1.1796875" style="58" customWidth="1"/>
    <col min="4307" max="4307" width="13.26953125" style="58" customWidth="1"/>
    <col min="4308" max="4308" width="0.81640625" style="58" customWidth="1"/>
    <col min="4309" max="4309" width="13" style="58" bestFit="1" customWidth="1"/>
    <col min="4310" max="4310" width="0.81640625" style="58" customWidth="1"/>
    <col min="4311" max="4311" width="14.26953125" style="58" bestFit="1" customWidth="1"/>
    <col min="4312" max="4312" width="3.81640625" style="58" customWidth="1"/>
    <col min="4313" max="4313" width="12.1796875" style="58" customWidth="1"/>
    <col min="4314" max="4314" width="0.7265625" style="58" customWidth="1"/>
    <col min="4315" max="4316" width="0" style="58" hidden="1" customWidth="1"/>
    <col min="4317" max="4317" width="14.26953125" style="58" bestFit="1" customWidth="1"/>
    <col min="4318" max="4318" width="0.7265625" style="58" customWidth="1"/>
    <col min="4319" max="4319" width="15.81640625" style="58" customWidth="1"/>
    <col min="4320" max="4320" width="1.1796875" style="58" customWidth="1"/>
    <col min="4321" max="4321" width="14.453125" style="58" customWidth="1"/>
    <col min="4322" max="4322" width="1" style="58" customWidth="1"/>
    <col min="4323" max="4323" width="0.54296875" style="58" customWidth="1"/>
    <col min="4324" max="4556" width="9.1796875" style="58"/>
    <col min="4557" max="4557" width="34.1796875" style="58" customWidth="1"/>
    <col min="4558" max="4558" width="0.81640625" style="58" customWidth="1"/>
    <col min="4559" max="4559" width="16.26953125" style="58" bestFit="1" customWidth="1"/>
    <col min="4560" max="4560" width="1.1796875" style="58" customWidth="1"/>
    <col min="4561" max="4561" width="14.453125" style="58" bestFit="1" customWidth="1"/>
    <col min="4562" max="4562" width="1.1796875" style="58" customWidth="1"/>
    <col min="4563" max="4563" width="13.26953125" style="58" customWidth="1"/>
    <col min="4564" max="4564" width="0.81640625" style="58" customWidth="1"/>
    <col min="4565" max="4565" width="13" style="58" bestFit="1" customWidth="1"/>
    <col min="4566" max="4566" width="0.81640625" style="58" customWidth="1"/>
    <col min="4567" max="4567" width="14.26953125" style="58" bestFit="1" customWidth="1"/>
    <col min="4568" max="4568" width="3.81640625" style="58" customWidth="1"/>
    <col min="4569" max="4569" width="12.1796875" style="58" customWidth="1"/>
    <col min="4570" max="4570" width="0.7265625" style="58" customWidth="1"/>
    <col min="4571" max="4572" width="0" style="58" hidden="1" customWidth="1"/>
    <col min="4573" max="4573" width="14.26953125" style="58" bestFit="1" customWidth="1"/>
    <col min="4574" max="4574" width="0.7265625" style="58" customWidth="1"/>
    <col min="4575" max="4575" width="15.81640625" style="58" customWidth="1"/>
    <col min="4576" max="4576" width="1.1796875" style="58" customWidth="1"/>
    <col min="4577" max="4577" width="14.453125" style="58" customWidth="1"/>
    <col min="4578" max="4578" width="1" style="58" customWidth="1"/>
    <col min="4579" max="4579" width="0.54296875" style="58" customWidth="1"/>
    <col min="4580" max="4812" width="9.1796875" style="58"/>
    <col min="4813" max="4813" width="34.1796875" style="58" customWidth="1"/>
    <col min="4814" max="4814" width="0.81640625" style="58" customWidth="1"/>
    <col min="4815" max="4815" width="16.26953125" style="58" bestFit="1" customWidth="1"/>
    <col min="4816" max="4816" width="1.1796875" style="58" customWidth="1"/>
    <col min="4817" max="4817" width="14.453125" style="58" bestFit="1" customWidth="1"/>
    <col min="4818" max="4818" width="1.1796875" style="58" customWidth="1"/>
    <col min="4819" max="4819" width="13.26953125" style="58" customWidth="1"/>
    <col min="4820" max="4820" width="0.81640625" style="58" customWidth="1"/>
    <col min="4821" max="4821" width="13" style="58" bestFit="1" customWidth="1"/>
    <col min="4822" max="4822" width="0.81640625" style="58" customWidth="1"/>
    <col min="4823" max="4823" width="14.26953125" style="58" bestFit="1" customWidth="1"/>
    <col min="4824" max="4824" width="3.81640625" style="58" customWidth="1"/>
    <col min="4825" max="4825" width="12.1796875" style="58" customWidth="1"/>
    <col min="4826" max="4826" width="0.7265625" style="58" customWidth="1"/>
    <col min="4827" max="4828" width="0" style="58" hidden="1" customWidth="1"/>
    <col min="4829" max="4829" width="14.26953125" style="58" bestFit="1" customWidth="1"/>
    <col min="4830" max="4830" width="0.7265625" style="58" customWidth="1"/>
    <col min="4831" max="4831" width="15.81640625" style="58" customWidth="1"/>
    <col min="4832" max="4832" width="1.1796875" style="58" customWidth="1"/>
    <col min="4833" max="4833" width="14.453125" style="58" customWidth="1"/>
    <col min="4834" max="4834" width="1" style="58" customWidth="1"/>
    <col min="4835" max="4835" width="0.54296875" style="58" customWidth="1"/>
    <col min="4836" max="5068" width="9.1796875" style="58"/>
    <col min="5069" max="5069" width="34.1796875" style="58" customWidth="1"/>
    <col min="5070" max="5070" width="0.81640625" style="58" customWidth="1"/>
    <col min="5071" max="5071" width="16.26953125" style="58" bestFit="1" customWidth="1"/>
    <col min="5072" max="5072" width="1.1796875" style="58" customWidth="1"/>
    <col min="5073" max="5073" width="14.453125" style="58" bestFit="1" customWidth="1"/>
    <col min="5074" max="5074" width="1.1796875" style="58" customWidth="1"/>
    <col min="5075" max="5075" width="13.26953125" style="58" customWidth="1"/>
    <col min="5076" max="5076" width="0.81640625" style="58" customWidth="1"/>
    <col min="5077" max="5077" width="13" style="58" bestFit="1" customWidth="1"/>
    <col min="5078" max="5078" width="0.81640625" style="58" customWidth="1"/>
    <col min="5079" max="5079" width="14.26953125" style="58" bestFit="1" customWidth="1"/>
    <col min="5080" max="5080" width="3.81640625" style="58" customWidth="1"/>
    <col min="5081" max="5081" width="12.1796875" style="58" customWidth="1"/>
    <col min="5082" max="5082" width="0.7265625" style="58" customWidth="1"/>
    <col min="5083" max="5084" width="0" style="58" hidden="1" customWidth="1"/>
    <col min="5085" max="5085" width="14.26953125" style="58" bestFit="1" customWidth="1"/>
    <col min="5086" max="5086" width="0.7265625" style="58" customWidth="1"/>
    <col min="5087" max="5087" width="15.81640625" style="58" customWidth="1"/>
    <col min="5088" max="5088" width="1.1796875" style="58" customWidth="1"/>
    <col min="5089" max="5089" width="14.453125" style="58" customWidth="1"/>
    <col min="5090" max="5090" width="1" style="58" customWidth="1"/>
    <col min="5091" max="5091" width="0.54296875" style="58" customWidth="1"/>
    <col min="5092" max="5324" width="9.1796875" style="58"/>
    <col min="5325" max="5325" width="34.1796875" style="58" customWidth="1"/>
    <col min="5326" max="5326" width="0.81640625" style="58" customWidth="1"/>
    <col min="5327" max="5327" width="16.26953125" style="58" bestFit="1" customWidth="1"/>
    <col min="5328" max="5328" width="1.1796875" style="58" customWidth="1"/>
    <col min="5329" max="5329" width="14.453125" style="58" bestFit="1" customWidth="1"/>
    <col min="5330" max="5330" width="1.1796875" style="58" customWidth="1"/>
    <col min="5331" max="5331" width="13.26953125" style="58" customWidth="1"/>
    <col min="5332" max="5332" width="0.81640625" style="58" customWidth="1"/>
    <col min="5333" max="5333" width="13" style="58" bestFit="1" customWidth="1"/>
    <col min="5334" max="5334" width="0.81640625" style="58" customWidth="1"/>
    <col min="5335" max="5335" width="14.26953125" style="58" bestFit="1" customWidth="1"/>
    <col min="5336" max="5336" width="3.81640625" style="58" customWidth="1"/>
    <col min="5337" max="5337" width="12.1796875" style="58" customWidth="1"/>
    <col min="5338" max="5338" width="0.7265625" style="58" customWidth="1"/>
    <col min="5339" max="5340" width="0" style="58" hidden="1" customWidth="1"/>
    <col min="5341" max="5341" width="14.26953125" style="58" bestFit="1" customWidth="1"/>
    <col min="5342" max="5342" width="0.7265625" style="58" customWidth="1"/>
    <col min="5343" max="5343" width="15.81640625" style="58" customWidth="1"/>
    <col min="5344" max="5344" width="1.1796875" style="58" customWidth="1"/>
    <col min="5345" max="5345" width="14.453125" style="58" customWidth="1"/>
    <col min="5346" max="5346" width="1" style="58" customWidth="1"/>
    <col min="5347" max="5347" width="0.54296875" style="58" customWidth="1"/>
    <col min="5348" max="5580" width="9.1796875" style="58"/>
    <col min="5581" max="5581" width="34.1796875" style="58" customWidth="1"/>
    <col min="5582" max="5582" width="0.81640625" style="58" customWidth="1"/>
    <col min="5583" max="5583" width="16.26953125" style="58" bestFit="1" customWidth="1"/>
    <col min="5584" max="5584" width="1.1796875" style="58" customWidth="1"/>
    <col min="5585" max="5585" width="14.453125" style="58" bestFit="1" customWidth="1"/>
    <col min="5586" max="5586" width="1.1796875" style="58" customWidth="1"/>
    <col min="5587" max="5587" width="13.26953125" style="58" customWidth="1"/>
    <col min="5588" max="5588" width="0.81640625" style="58" customWidth="1"/>
    <col min="5589" max="5589" width="13" style="58" bestFit="1" customWidth="1"/>
    <col min="5590" max="5590" width="0.81640625" style="58" customWidth="1"/>
    <col min="5591" max="5591" width="14.26953125" style="58" bestFit="1" customWidth="1"/>
    <col min="5592" max="5592" width="3.81640625" style="58" customWidth="1"/>
    <col min="5593" max="5593" width="12.1796875" style="58" customWidth="1"/>
    <col min="5594" max="5594" width="0.7265625" style="58" customWidth="1"/>
    <col min="5595" max="5596" width="0" style="58" hidden="1" customWidth="1"/>
    <col min="5597" max="5597" width="14.26953125" style="58" bestFit="1" customWidth="1"/>
    <col min="5598" max="5598" width="0.7265625" style="58" customWidth="1"/>
    <col min="5599" max="5599" width="15.81640625" style="58" customWidth="1"/>
    <col min="5600" max="5600" width="1.1796875" style="58" customWidth="1"/>
    <col min="5601" max="5601" width="14.453125" style="58" customWidth="1"/>
    <col min="5602" max="5602" width="1" style="58" customWidth="1"/>
    <col min="5603" max="5603" width="0.54296875" style="58" customWidth="1"/>
    <col min="5604" max="5836" width="9.1796875" style="58"/>
    <col min="5837" max="5837" width="34.1796875" style="58" customWidth="1"/>
    <col min="5838" max="5838" width="0.81640625" style="58" customWidth="1"/>
    <col min="5839" max="5839" width="16.26953125" style="58" bestFit="1" customWidth="1"/>
    <col min="5840" max="5840" width="1.1796875" style="58" customWidth="1"/>
    <col min="5841" max="5841" width="14.453125" style="58" bestFit="1" customWidth="1"/>
    <col min="5842" max="5842" width="1.1796875" style="58" customWidth="1"/>
    <col min="5843" max="5843" width="13.26953125" style="58" customWidth="1"/>
    <col min="5844" max="5844" width="0.81640625" style="58" customWidth="1"/>
    <col min="5845" max="5845" width="13" style="58" bestFit="1" customWidth="1"/>
    <col min="5846" max="5846" width="0.81640625" style="58" customWidth="1"/>
    <col min="5847" max="5847" width="14.26953125" style="58" bestFit="1" customWidth="1"/>
    <col min="5848" max="5848" width="3.81640625" style="58" customWidth="1"/>
    <col min="5849" max="5849" width="12.1796875" style="58" customWidth="1"/>
    <col min="5850" max="5850" width="0.7265625" style="58" customWidth="1"/>
    <col min="5851" max="5852" width="0" style="58" hidden="1" customWidth="1"/>
    <col min="5853" max="5853" width="14.26953125" style="58" bestFit="1" customWidth="1"/>
    <col min="5854" max="5854" width="0.7265625" style="58" customWidth="1"/>
    <col min="5855" max="5855" width="15.81640625" style="58" customWidth="1"/>
    <col min="5856" max="5856" width="1.1796875" style="58" customWidth="1"/>
    <col min="5857" max="5857" width="14.453125" style="58" customWidth="1"/>
    <col min="5858" max="5858" width="1" style="58" customWidth="1"/>
    <col min="5859" max="5859" width="0.54296875" style="58" customWidth="1"/>
    <col min="5860" max="6092" width="9.1796875" style="58"/>
    <col min="6093" max="6093" width="34.1796875" style="58" customWidth="1"/>
    <col min="6094" max="6094" width="0.81640625" style="58" customWidth="1"/>
    <col min="6095" max="6095" width="16.26953125" style="58" bestFit="1" customWidth="1"/>
    <col min="6096" max="6096" width="1.1796875" style="58" customWidth="1"/>
    <col min="6097" max="6097" width="14.453125" style="58" bestFit="1" customWidth="1"/>
    <col min="6098" max="6098" width="1.1796875" style="58" customWidth="1"/>
    <col min="6099" max="6099" width="13.26953125" style="58" customWidth="1"/>
    <col min="6100" max="6100" width="0.81640625" style="58" customWidth="1"/>
    <col min="6101" max="6101" width="13" style="58" bestFit="1" customWidth="1"/>
    <col min="6102" max="6102" width="0.81640625" style="58" customWidth="1"/>
    <col min="6103" max="6103" width="14.26953125" style="58" bestFit="1" customWidth="1"/>
    <col min="6104" max="6104" width="3.81640625" style="58" customWidth="1"/>
    <col min="6105" max="6105" width="12.1796875" style="58" customWidth="1"/>
    <col min="6106" max="6106" width="0.7265625" style="58" customWidth="1"/>
    <col min="6107" max="6108" width="0" style="58" hidden="1" customWidth="1"/>
    <col min="6109" max="6109" width="14.26953125" style="58" bestFit="1" customWidth="1"/>
    <col min="6110" max="6110" width="0.7265625" style="58" customWidth="1"/>
    <col min="6111" max="6111" width="15.81640625" style="58" customWidth="1"/>
    <col min="6112" max="6112" width="1.1796875" style="58" customWidth="1"/>
    <col min="6113" max="6113" width="14.453125" style="58" customWidth="1"/>
    <col min="6114" max="6114" width="1" style="58" customWidth="1"/>
    <col min="6115" max="6115" width="0.54296875" style="58" customWidth="1"/>
    <col min="6116" max="6348" width="9.1796875" style="58"/>
    <col min="6349" max="6349" width="34.1796875" style="58" customWidth="1"/>
    <col min="6350" max="6350" width="0.81640625" style="58" customWidth="1"/>
    <col min="6351" max="6351" width="16.26953125" style="58" bestFit="1" customWidth="1"/>
    <col min="6352" max="6352" width="1.1796875" style="58" customWidth="1"/>
    <col min="6353" max="6353" width="14.453125" style="58" bestFit="1" customWidth="1"/>
    <col min="6354" max="6354" width="1.1796875" style="58" customWidth="1"/>
    <col min="6355" max="6355" width="13.26953125" style="58" customWidth="1"/>
    <col min="6356" max="6356" width="0.81640625" style="58" customWidth="1"/>
    <col min="6357" max="6357" width="13" style="58" bestFit="1" customWidth="1"/>
    <col min="6358" max="6358" width="0.81640625" style="58" customWidth="1"/>
    <col min="6359" max="6359" width="14.26953125" style="58" bestFit="1" customWidth="1"/>
    <col min="6360" max="6360" width="3.81640625" style="58" customWidth="1"/>
    <col min="6361" max="6361" width="12.1796875" style="58" customWidth="1"/>
    <col min="6362" max="6362" width="0.7265625" style="58" customWidth="1"/>
    <col min="6363" max="6364" width="0" style="58" hidden="1" customWidth="1"/>
    <col min="6365" max="6365" width="14.26953125" style="58" bestFit="1" customWidth="1"/>
    <col min="6366" max="6366" width="0.7265625" style="58" customWidth="1"/>
    <col min="6367" max="6367" width="15.81640625" style="58" customWidth="1"/>
    <col min="6368" max="6368" width="1.1796875" style="58" customWidth="1"/>
    <col min="6369" max="6369" width="14.453125" style="58" customWidth="1"/>
    <col min="6370" max="6370" width="1" style="58" customWidth="1"/>
    <col min="6371" max="6371" width="0.54296875" style="58" customWidth="1"/>
    <col min="6372" max="6604" width="9.1796875" style="58"/>
    <col min="6605" max="6605" width="34.1796875" style="58" customWidth="1"/>
    <col min="6606" max="6606" width="0.81640625" style="58" customWidth="1"/>
    <col min="6607" max="6607" width="16.26953125" style="58" bestFit="1" customWidth="1"/>
    <col min="6608" max="6608" width="1.1796875" style="58" customWidth="1"/>
    <col min="6609" max="6609" width="14.453125" style="58" bestFit="1" customWidth="1"/>
    <col min="6610" max="6610" width="1.1796875" style="58" customWidth="1"/>
    <col min="6611" max="6611" width="13.26953125" style="58" customWidth="1"/>
    <col min="6612" max="6612" width="0.81640625" style="58" customWidth="1"/>
    <col min="6613" max="6613" width="13" style="58" bestFit="1" customWidth="1"/>
    <col min="6614" max="6614" width="0.81640625" style="58" customWidth="1"/>
    <col min="6615" max="6615" width="14.26953125" style="58" bestFit="1" customWidth="1"/>
    <col min="6616" max="6616" width="3.81640625" style="58" customWidth="1"/>
    <col min="6617" max="6617" width="12.1796875" style="58" customWidth="1"/>
    <col min="6618" max="6618" width="0.7265625" style="58" customWidth="1"/>
    <col min="6619" max="6620" width="0" style="58" hidden="1" customWidth="1"/>
    <col min="6621" max="6621" width="14.26953125" style="58" bestFit="1" customWidth="1"/>
    <col min="6622" max="6622" width="0.7265625" style="58" customWidth="1"/>
    <col min="6623" max="6623" width="15.81640625" style="58" customWidth="1"/>
    <col min="6624" max="6624" width="1.1796875" style="58" customWidth="1"/>
    <col min="6625" max="6625" width="14.453125" style="58" customWidth="1"/>
    <col min="6626" max="6626" width="1" style="58" customWidth="1"/>
    <col min="6627" max="6627" width="0.54296875" style="58" customWidth="1"/>
    <col min="6628" max="6860" width="9.1796875" style="58"/>
    <col min="6861" max="6861" width="34.1796875" style="58" customWidth="1"/>
    <col min="6862" max="6862" width="0.81640625" style="58" customWidth="1"/>
    <col min="6863" max="6863" width="16.26953125" style="58" bestFit="1" customWidth="1"/>
    <col min="6864" max="6864" width="1.1796875" style="58" customWidth="1"/>
    <col min="6865" max="6865" width="14.453125" style="58" bestFit="1" customWidth="1"/>
    <col min="6866" max="6866" width="1.1796875" style="58" customWidth="1"/>
    <col min="6867" max="6867" width="13.26953125" style="58" customWidth="1"/>
    <col min="6868" max="6868" width="0.81640625" style="58" customWidth="1"/>
    <col min="6869" max="6869" width="13" style="58" bestFit="1" customWidth="1"/>
    <col min="6870" max="6870" width="0.81640625" style="58" customWidth="1"/>
    <col min="6871" max="6871" width="14.26953125" style="58" bestFit="1" customWidth="1"/>
    <col min="6872" max="6872" width="3.81640625" style="58" customWidth="1"/>
    <col min="6873" max="6873" width="12.1796875" style="58" customWidth="1"/>
    <col min="6874" max="6874" width="0.7265625" style="58" customWidth="1"/>
    <col min="6875" max="6876" width="0" style="58" hidden="1" customWidth="1"/>
    <col min="6877" max="6877" width="14.26953125" style="58" bestFit="1" customWidth="1"/>
    <col min="6878" max="6878" width="0.7265625" style="58" customWidth="1"/>
    <col min="6879" max="6879" width="15.81640625" style="58" customWidth="1"/>
    <col min="6880" max="6880" width="1.1796875" style="58" customWidth="1"/>
    <col min="6881" max="6881" width="14.453125" style="58" customWidth="1"/>
    <col min="6882" max="6882" width="1" style="58" customWidth="1"/>
    <col min="6883" max="6883" width="0.54296875" style="58" customWidth="1"/>
    <col min="6884" max="7116" width="9.1796875" style="58"/>
    <col min="7117" max="7117" width="34.1796875" style="58" customWidth="1"/>
    <col min="7118" max="7118" width="0.81640625" style="58" customWidth="1"/>
    <col min="7119" max="7119" width="16.26953125" style="58" bestFit="1" customWidth="1"/>
    <col min="7120" max="7120" width="1.1796875" style="58" customWidth="1"/>
    <col min="7121" max="7121" width="14.453125" style="58" bestFit="1" customWidth="1"/>
    <col min="7122" max="7122" width="1.1796875" style="58" customWidth="1"/>
    <col min="7123" max="7123" width="13.26953125" style="58" customWidth="1"/>
    <col min="7124" max="7124" width="0.81640625" style="58" customWidth="1"/>
    <col min="7125" max="7125" width="13" style="58" bestFit="1" customWidth="1"/>
    <col min="7126" max="7126" width="0.81640625" style="58" customWidth="1"/>
    <col min="7127" max="7127" width="14.26953125" style="58" bestFit="1" customWidth="1"/>
    <col min="7128" max="7128" width="3.81640625" style="58" customWidth="1"/>
    <col min="7129" max="7129" width="12.1796875" style="58" customWidth="1"/>
    <col min="7130" max="7130" width="0.7265625" style="58" customWidth="1"/>
    <col min="7131" max="7132" width="0" style="58" hidden="1" customWidth="1"/>
    <col min="7133" max="7133" width="14.26953125" style="58" bestFit="1" customWidth="1"/>
    <col min="7134" max="7134" width="0.7265625" style="58" customWidth="1"/>
    <col min="7135" max="7135" width="15.81640625" style="58" customWidth="1"/>
    <col min="7136" max="7136" width="1.1796875" style="58" customWidth="1"/>
    <col min="7137" max="7137" width="14.453125" style="58" customWidth="1"/>
    <col min="7138" max="7138" width="1" style="58" customWidth="1"/>
    <col min="7139" max="7139" width="0.54296875" style="58" customWidth="1"/>
    <col min="7140" max="7372" width="9.1796875" style="58"/>
    <col min="7373" max="7373" width="34.1796875" style="58" customWidth="1"/>
    <col min="7374" max="7374" width="0.81640625" style="58" customWidth="1"/>
    <col min="7375" max="7375" width="16.26953125" style="58" bestFit="1" customWidth="1"/>
    <col min="7376" max="7376" width="1.1796875" style="58" customWidth="1"/>
    <col min="7377" max="7377" width="14.453125" style="58" bestFit="1" customWidth="1"/>
    <col min="7378" max="7378" width="1.1796875" style="58" customWidth="1"/>
    <col min="7379" max="7379" width="13.26953125" style="58" customWidth="1"/>
    <col min="7380" max="7380" width="0.81640625" style="58" customWidth="1"/>
    <col min="7381" max="7381" width="13" style="58" bestFit="1" customWidth="1"/>
    <col min="7382" max="7382" width="0.81640625" style="58" customWidth="1"/>
    <col min="7383" max="7383" width="14.26953125" style="58" bestFit="1" customWidth="1"/>
    <col min="7384" max="7384" width="3.81640625" style="58" customWidth="1"/>
    <col min="7385" max="7385" width="12.1796875" style="58" customWidth="1"/>
    <col min="7386" max="7386" width="0.7265625" style="58" customWidth="1"/>
    <col min="7387" max="7388" width="0" style="58" hidden="1" customWidth="1"/>
    <col min="7389" max="7389" width="14.26953125" style="58" bestFit="1" customWidth="1"/>
    <col min="7390" max="7390" width="0.7265625" style="58" customWidth="1"/>
    <col min="7391" max="7391" width="15.81640625" style="58" customWidth="1"/>
    <col min="7392" max="7392" width="1.1796875" style="58" customWidth="1"/>
    <col min="7393" max="7393" width="14.453125" style="58" customWidth="1"/>
    <col min="7394" max="7394" width="1" style="58" customWidth="1"/>
    <col min="7395" max="7395" width="0.54296875" style="58" customWidth="1"/>
    <col min="7396" max="7628" width="9.1796875" style="58"/>
    <col min="7629" max="7629" width="34.1796875" style="58" customWidth="1"/>
    <col min="7630" max="7630" width="0.81640625" style="58" customWidth="1"/>
    <col min="7631" max="7631" width="16.26953125" style="58" bestFit="1" customWidth="1"/>
    <col min="7632" max="7632" width="1.1796875" style="58" customWidth="1"/>
    <col min="7633" max="7633" width="14.453125" style="58" bestFit="1" customWidth="1"/>
    <col min="7634" max="7634" width="1.1796875" style="58" customWidth="1"/>
    <col min="7635" max="7635" width="13.26953125" style="58" customWidth="1"/>
    <col min="7636" max="7636" width="0.81640625" style="58" customWidth="1"/>
    <col min="7637" max="7637" width="13" style="58" bestFit="1" customWidth="1"/>
    <col min="7638" max="7638" width="0.81640625" style="58" customWidth="1"/>
    <col min="7639" max="7639" width="14.26953125" style="58" bestFit="1" customWidth="1"/>
    <col min="7640" max="7640" width="3.81640625" style="58" customWidth="1"/>
    <col min="7641" max="7641" width="12.1796875" style="58" customWidth="1"/>
    <col min="7642" max="7642" width="0.7265625" style="58" customWidth="1"/>
    <col min="7643" max="7644" width="0" style="58" hidden="1" customWidth="1"/>
    <col min="7645" max="7645" width="14.26953125" style="58" bestFit="1" customWidth="1"/>
    <col min="7646" max="7646" width="0.7265625" style="58" customWidth="1"/>
    <col min="7647" max="7647" width="15.81640625" style="58" customWidth="1"/>
    <col min="7648" max="7648" width="1.1796875" style="58" customWidth="1"/>
    <col min="7649" max="7649" width="14.453125" style="58" customWidth="1"/>
    <col min="7650" max="7650" width="1" style="58" customWidth="1"/>
    <col min="7651" max="7651" width="0.54296875" style="58" customWidth="1"/>
    <col min="7652" max="7884" width="9.1796875" style="58"/>
    <col min="7885" max="7885" width="34.1796875" style="58" customWidth="1"/>
    <col min="7886" max="7886" width="0.81640625" style="58" customWidth="1"/>
    <col min="7887" max="7887" width="16.26953125" style="58" bestFit="1" customWidth="1"/>
    <col min="7888" max="7888" width="1.1796875" style="58" customWidth="1"/>
    <col min="7889" max="7889" width="14.453125" style="58" bestFit="1" customWidth="1"/>
    <col min="7890" max="7890" width="1.1796875" style="58" customWidth="1"/>
    <col min="7891" max="7891" width="13.26953125" style="58" customWidth="1"/>
    <col min="7892" max="7892" width="0.81640625" style="58" customWidth="1"/>
    <col min="7893" max="7893" width="13" style="58" bestFit="1" customWidth="1"/>
    <col min="7894" max="7894" width="0.81640625" style="58" customWidth="1"/>
    <col min="7895" max="7895" width="14.26953125" style="58" bestFit="1" customWidth="1"/>
    <col min="7896" max="7896" width="3.81640625" style="58" customWidth="1"/>
    <col min="7897" max="7897" width="12.1796875" style="58" customWidth="1"/>
    <col min="7898" max="7898" width="0.7265625" style="58" customWidth="1"/>
    <col min="7899" max="7900" width="0" style="58" hidden="1" customWidth="1"/>
    <col min="7901" max="7901" width="14.26953125" style="58" bestFit="1" customWidth="1"/>
    <col min="7902" max="7902" width="0.7265625" style="58" customWidth="1"/>
    <col min="7903" max="7903" width="15.81640625" style="58" customWidth="1"/>
    <col min="7904" max="7904" width="1.1796875" style="58" customWidth="1"/>
    <col min="7905" max="7905" width="14.453125" style="58" customWidth="1"/>
    <col min="7906" max="7906" width="1" style="58" customWidth="1"/>
    <col min="7907" max="7907" width="0.54296875" style="58" customWidth="1"/>
    <col min="7908" max="8140" width="9.1796875" style="58"/>
    <col min="8141" max="8141" width="34.1796875" style="58" customWidth="1"/>
    <col min="8142" max="8142" width="0.81640625" style="58" customWidth="1"/>
    <col min="8143" max="8143" width="16.26953125" style="58" bestFit="1" customWidth="1"/>
    <col min="8144" max="8144" width="1.1796875" style="58" customWidth="1"/>
    <col min="8145" max="8145" width="14.453125" style="58" bestFit="1" customWidth="1"/>
    <col min="8146" max="8146" width="1.1796875" style="58" customWidth="1"/>
    <col min="8147" max="8147" width="13.26953125" style="58" customWidth="1"/>
    <col min="8148" max="8148" width="0.81640625" style="58" customWidth="1"/>
    <col min="8149" max="8149" width="13" style="58" bestFit="1" customWidth="1"/>
    <col min="8150" max="8150" width="0.81640625" style="58" customWidth="1"/>
    <col min="8151" max="8151" width="14.26953125" style="58" bestFit="1" customWidth="1"/>
    <col min="8152" max="8152" width="3.81640625" style="58" customWidth="1"/>
    <col min="8153" max="8153" width="12.1796875" style="58" customWidth="1"/>
    <col min="8154" max="8154" width="0.7265625" style="58" customWidth="1"/>
    <col min="8155" max="8156" width="0" style="58" hidden="1" customWidth="1"/>
    <col min="8157" max="8157" width="14.26953125" style="58" bestFit="1" customWidth="1"/>
    <col min="8158" max="8158" width="0.7265625" style="58" customWidth="1"/>
    <col min="8159" max="8159" width="15.81640625" style="58" customWidth="1"/>
    <col min="8160" max="8160" width="1.1796875" style="58" customWidth="1"/>
    <col min="8161" max="8161" width="14.453125" style="58" customWidth="1"/>
    <col min="8162" max="8162" width="1" style="58" customWidth="1"/>
    <col min="8163" max="8163" width="0.54296875" style="58" customWidth="1"/>
    <col min="8164" max="8396" width="9.1796875" style="58"/>
    <col min="8397" max="8397" width="34.1796875" style="58" customWidth="1"/>
    <col min="8398" max="8398" width="0.81640625" style="58" customWidth="1"/>
    <col min="8399" max="8399" width="16.26953125" style="58" bestFit="1" customWidth="1"/>
    <col min="8400" max="8400" width="1.1796875" style="58" customWidth="1"/>
    <col min="8401" max="8401" width="14.453125" style="58" bestFit="1" customWidth="1"/>
    <col min="8402" max="8402" width="1.1796875" style="58" customWidth="1"/>
    <col min="8403" max="8403" width="13.26953125" style="58" customWidth="1"/>
    <col min="8404" max="8404" width="0.81640625" style="58" customWidth="1"/>
    <col min="8405" max="8405" width="13" style="58" bestFit="1" customWidth="1"/>
    <col min="8406" max="8406" width="0.81640625" style="58" customWidth="1"/>
    <col min="8407" max="8407" width="14.26953125" style="58" bestFit="1" customWidth="1"/>
    <col min="8408" max="8408" width="3.81640625" style="58" customWidth="1"/>
    <col min="8409" max="8409" width="12.1796875" style="58" customWidth="1"/>
    <col min="8410" max="8410" width="0.7265625" style="58" customWidth="1"/>
    <col min="8411" max="8412" width="0" style="58" hidden="1" customWidth="1"/>
    <col min="8413" max="8413" width="14.26953125" style="58" bestFit="1" customWidth="1"/>
    <col min="8414" max="8414" width="0.7265625" style="58" customWidth="1"/>
    <col min="8415" max="8415" width="15.81640625" style="58" customWidth="1"/>
    <col min="8416" max="8416" width="1.1796875" style="58" customWidth="1"/>
    <col min="8417" max="8417" width="14.453125" style="58" customWidth="1"/>
    <col min="8418" max="8418" width="1" style="58" customWidth="1"/>
    <col min="8419" max="8419" width="0.54296875" style="58" customWidth="1"/>
    <col min="8420" max="8652" width="9.1796875" style="58"/>
    <col min="8653" max="8653" width="34.1796875" style="58" customWidth="1"/>
    <col min="8654" max="8654" width="0.81640625" style="58" customWidth="1"/>
    <col min="8655" max="8655" width="16.26953125" style="58" bestFit="1" customWidth="1"/>
    <col min="8656" max="8656" width="1.1796875" style="58" customWidth="1"/>
    <col min="8657" max="8657" width="14.453125" style="58" bestFit="1" customWidth="1"/>
    <col min="8658" max="8658" width="1.1796875" style="58" customWidth="1"/>
    <col min="8659" max="8659" width="13.26953125" style="58" customWidth="1"/>
    <col min="8660" max="8660" width="0.81640625" style="58" customWidth="1"/>
    <col min="8661" max="8661" width="13" style="58" bestFit="1" customWidth="1"/>
    <col min="8662" max="8662" width="0.81640625" style="58" customWidth="1"/>
    <col min="8663" max="8663" width="14.26953125" style="58" bestFit="1" customWidth="1"/>
    <col min="8664" max="8664" width="3.81640625" style="58" customWidth="1"/>
    <col min="8665" max="8665" width="12.1796875" style="58" customWidth="1"/>
    <col min="8666" max="8666" width="0.7265625" style="58" customWidth="1"/>
    <col min="8667" max="8668" width="0" style="58" hidden="1" customWidth="1"/>
    <col min="8669" max="8669" width="14.26953125" style="58" bestFit="1" customWidth="1"/>
    <col min="8670" max="8670" width="0.7265625" style="58" customWidth="1"/>
    <col min="8671" max="8671" width="15.81640625" style="58" customWidth="1"/>
    <col min="8672" max="8672" width="1.1796875" style="58" customWidth="1"/>
    <col min="8673" max="8673" width="14.453125" style="58" customWidth="1"/>
    <col min="8674" max="8674" width="1" style="58" customWidth="1"/>
    <col min="8675" max="8675" width="0.54296875" style="58" customWidth="1"/>
    <col min="8676" max="8908" width="9.1796875" style="58"/>
    <col min="8909" max="8909" width="34.1796875" style="58" customWidth="1"/>
    <col min="8910" max="8910" width="0.81640625" style="58" customWidth="1"/>
    <col min="8911" max="8911" width="16.26953125" style="58" bestFit="1" customWidth="1"/>
    <col min="8912" max="8912" width="1.1796875" style="58" customWidth="1"/>
    <col min="8913" max="8913" width="14.453125" style="58" bestFit="1" customWidth="1"/>
    <col min="8914" max="8914" width="1.1796875" style="58" customWidth="1"/>
    <col min="8915" max="8915" width="13.26953125" style="58" customWidth="1"/>
    <col min="8916" max="8916" width="0.81640625" style="58" customWidth="1"/>
    <col min="8917" max="8917" width="13" style="58" bestFit="1" customWidth="1"/>
    <col min="8918" max="8918" width="0.81640625" style="58" customWidth="1"/>
    <col min="8919" max="8919" width="14.26953125" style="58" bestFit="1" customWidth="1"/>
    <col min="8920" max="8920" width="3.81640625" style="58" customWidth="1"/>
    <col min="8921" max="8921" width="12.1796875" style="58" customWidth="1"/>
    <col min="8922" max="8922" width="0.7265625" style="58" customWidth="1"/>
    <col min="8923" max="8924" width="0" style="58" hidden="1" customWidth="1"/>
    <col min="8925" max="8925" width="14.26953125" style="58" bestFit="1" customWidth="1"/>
    <col min="8926" max="8926" width="0.7265625" style="58" customWidth="1"/>
    <col min="8927" max="8927" width="15.81640625" style="58" customWidth="1"/>
    <col min="8928" max="8928" width="1.1796875" style="58" customWidth="1"/>
    <col min="8929" max="8929" width="14.453125" style="58" customWidth="1"/>
    <col min="8930" max="8930" width="1" style="58" customWidth="1"/>
    <col min="8931" max="8931" width="0.54296875" style="58" customWidth="1"/>
    <col min="8932" max="9164" width="9.1796875" style="58"/>
    <col min="9165" max="9165" width="34.1796875" style="58" customWidth="1"/>
    <col min="9166" max="9166" width="0.81640625" style="58" customWidth="1"/>
    <col min="9167" max="9167" width="16.26953125" style="58" bestFit="1" customWidth="1"/>
    <col min="9168" max="9168" width="1.1796875" style="58" customWidth="1"/>
    <col min="9169" max="9169" width="14.453125" style="58" bestFit="1" customWidth="1"/>
    <col min="9170" max="9170" width="1.1796875" style="58" customWidth="1"/>
    <col min="9171" max="9171" width="13.26953125" style="58" customWidth="1"/>
    <col min="9172" max="9172" width="0.81640625" style="58" customWidth="1"/>
    <col min="9173" max="9173" width="13" style="58" bestFit="1" customWidth="1"/>
    <col min="9174" max="9174" width="0.81640625" style="58" customWidth="1"/>
    <col min="9175" max="9175" width="14.26953125" style="58" bestFit="1" customWidth="1"/>
    <col min="9176" max="9176" width="3.81640625" style="58" customWidth="1"/>
    <col min="9177" max="9177" width="12.1796875" style="58" customWidth="1"/>
    <col min="9178" max="9178" width="0.7265625" style="58" customWidth="1"/>
    <col min="9179" max="9180" width="0" style="58" hidden="1" customWidth="1"/>
    <col min="9181" max="9181" width="14.26953125" style="58" bestFit="1" customWidth="1"/>
    <col min="9182" max="9182" width="0.7265625" style="58" customWidth="1"/>
    <col min="9183" max="9183" width="15.81640625" style="58" customWidth="1"/>
    <col min="9184" max="9184" width="1.1796875" style="58" customWidth="1"/>
    <col min="9185" max="9185" width="14.453125" style="58" customWidth="1"/>
    <col min="9186" max="9186" width="1" style="58" customWidth="1"/>
    <col min="9187" max="9187" width="0.54296875" style="58" customWidth="1"/>
    <col min="9188" max="9420" width="9.1796875" style="58"/>
    <col min="9421" max="9421" width="34.1796875" style="58" customWidth="1"/>
    <col min="9422" max="9422" width="0.81640625" style="58" customWidth="1"/>
    <col min="9423" max="9423" width="16.26953125" style="58" bestFit="1" customWidth="1"/>
    <col min="9424" max="9424" width="1.1796875" style="58" customWidth="1"/>
    <col min="9425" max="9425" width="14.453125" style="58" bestFit="1" customWidth="1"/>
    <col min="9426" max="9426" width="1.1796875" style="58" customWidth="1"/>
    <col min="9427" max="9427" width="13.26953125" style="58" customWidth="1"/>
    <col min="9428" max="9428" width="0.81640625" style="58" customWidth="1"/>
    <col min="9429" max="9429" width="13" style="58" bestFit="1" customWidth="1"/>
    <col min="9430" max="9430" width="0.81640625" style="58" customWidth="1"/>
    <col min="9431" max="9431" width="14.26953125" style="58" bestFit="1" customWidth="1"/>
    <col min="9432" max="9432" width="3.81640625" style="58" customWidth="1"/>
    <col min="9433" max="9433" width="12.1796875" style="58" customWidth="1"/>
    <col min="9434" max="9434" width="0.7265625" style="58" customWidth="1"/>
    <col min="9435" max="9436" width="0" style="58" hidden="1" customWidth="1"/>
    <col min="9437" max="9437" width="14.26953125" style="58" bestFit="1" customWidth="1"/>
    <col min="9438" max="9438" width="0.7265625" style="58" customWidth="1"/>
    <col min="9439" max="9439" width="15.81640625" style="58" customWidth="1"/>
    <col min="9440" max="9440" width="1.1796875" style="58" customWidth="1"/>
    <col min="9441" max="9441" width="14.453125" style="58" customWidth="1"/>
    <col min="9442" max="9442" width="1" style="58" customWidth="1"/>
    <col min="9443" max="9443" width="0.54296875" style="58" customWidth="1"/>
    <col min="9444" max="9676" width="9.1796875" style="58"/>
    <col min="9677" max="9677" width="34.1796875" style="58" customWidth="1"/>
    <col min="9678" max="9678" width="0.81640625" style="58" customWidth="1"/>
    <col min="9679" max="9679" width="16.26953125" style="58" bestFit="1" customWidth="1"/>
    <col min="9680" max="9680" width="1.1796875" style="58" customWidth="1"/>
    <col min="9681" max="9681" width="14.453125" style="58" bestFit="1" customWidth="1"/>
    <col min="9682" max="9682" width="1.1796875" style="58" customWidth="1"/>
    <col min="9683" max="9683" width="13.26953125" style="58" customWidth="1"/>
    <col min="9684" max="9684" width="0.81640625" style="58" customWidth="1"/>
    <col min="9685" max="9685" width="13" style="58" bestFit="1" customWidth="1"/>
    <col min="9686" max="9686" width="0.81640625" style="58" customWidth="1"/>
    <col min="9687" max="9687" width="14.26953125" style="58" bestFit="1" customWidth="1"/>
    <col min="9688" max="9688" width="3.81640625" style="58" customWidth="1"/>
    <col min="9689" max="9689" width="12.1796875" style="58" customWidth="1"/>
    <col min="9690" max="9690" width="0.7265625" style="58" customWidth="1"/>
    <col min="9691" max="9692" width="0" style="58" hidden="1" customWidth="1"/>
    <col min="9693" max="9693" width="14.26953125" style="58" bestFit="1" customWidth="1"/>
    <col min="9694" max="9694" width="0.7265625" style="58" customWidth="1"/>
    <col min="9695" max="9695" width="15.81640625" style="58" customWidth="1"/>
    <col min="9696" max="9696" width="1.1796875" style="58" customWidth="1"/>
    <col min="9697" max="9697" width="14.453125" style="58" customWidth="1"/>
    <col min="9698" max="9698" width="1" style="58" customWidth="1"/>
    <col min="9699" max="9699" width="0.54296875" style="58" customWidth="1"/>
    <col min="9700" max="9932" width="9.1796875" style="58"/>
    <col min="9933" max="9933" width="34.1796875" style="58" customWidth="1"/>
    <col min="9934" max="9934" width="0.81640625" style="58" customWidth="1"/>
    <col min="9935" max="9935" width="16.26953125" style="58" bestFit="1" customWidth="1"/>
    <col min="9936" max="9936" width="1.1796875" style="58" customWidth="1"/>
    <col min="9937" max="9937" width="14.453125" style="58" bestFit="1" customWidth="1"/>
    <col min="9938" max="9938" width="1.1796875" style="58" customWidth="1"/>
    <col min="9939" max="9939" width="13.26953125" style="58" customWidth="1"/>
    <col min="9940" max="9940" width="0.81640625" style="58" customWidth="1"/>
    <col min="9941" max="9941" width="13" style="58" bestFit="1" customWidth="1"/>
    <col min="9942" max="9942" width="0.81640625" style="58" customWidth="1"/>
    <col min="9943" max="9943" width="14.26953125" style="58" bestFit="1" customWidth="1"/>
    <col min="9944" max="9944" width="3.81640625" style="58" customWidth="1"/>
    <col min="9945" max="9945" width="12.1796875" style="58" customWidth="1"/>
    <col min="9946" max="9946" width="0.7265625" style="58" customWidth="1"/>
    <col min="9947" max="9948" width="0" style="58" hidden="1" customWidth="1"/>
    <col min="9949" max="9949" width="14.26953125" style="58" bestFit="1" customWidth="1"/>
    <col min="9950" max="9950" width="0.7265625" style="58" customWidth="1"/>
    <col min="9951" max="9951" width="15.81640625" style="58" customWidth="1"/>
    <col min="9952" max="9952" width="1.1796875" style="58" customWidth="1"/>
    <col min="9953" max="9953" width="14.453125" style="58" customWidth="1"/>
    <col min="9954" max="9954" width="1" style="58" customWidth="1"/>
    <col min="9955" max="9955" width="0.54296875" style="58" customWidth="1"/>
    <col min="9956" max="10188" width="9.1796875" style="58"/>
    <col min="10189" max="10189" width="34.1796875" style="58" customWidth="1"/>
    <col min="10190" max="10190" width="0.81640625" style="58" customWidth="1"/>
    <col min="10191" max="10191" width="16.26953125" style="58" bestFit="1" customWidth="1"/>
    <col min="10192" max="10192" width="1.1796875" style="58" customWidth="1"/>
    <col min="10193" max="10193" width="14.453125" style="58" bestFit="1" customWidth="1"/>
    <col min="10194" max="10194" width="1.1796875" style="58" customWidth="1"/>
    <col min="10195" max="10195" width="13.26953125" style="58" customWidth="1"/>
    <col min="10196" max="10196" width="0.81640625" style="58" customWidth="1"/>
    <col min="10197" max="10197" width="13" style="58" bestFit="1" customWidth="1"/>
    <col min="10198" max="10198" width="0.81640625" style="58" customWidth="1"/>
    <col min="10199" max="10199" width="14.26953125" style="58" bestFit="1" customWidth="1"/>
    <col min="10200" max="10200" width="3.81640625" style="58" customWidth="1"/>
    <col min="10201" max="10201" width="12.1796875" style="58" customWidth="1"/>
    <col min="10202" max="10202" width="0.7265625" style="58" customWidth="1"/>
    <col min="10203" max="10204" width="0" style="58" hidden="1" customWidth="1"/>
    <col min="10205" max="10205" width="14.26953125" style="58" bestFit="1" customWidth="1"/>
    <col min="10206" max="10206" width="0.7265625" style="58" customWidth="1"/>
    <col min="10207" max="10207" width="15.81640625" style="58" customWidth="1"/>
    <col min="10208" max="10208" width="1.1796875" style="58" customWidth="1"/>
    <col min="10209" max="10209" width="14.453125" style="58" customWidth="1"/>
    <col min="10210" max="10210" width="1" style="58" customWidth="1"/>
    <col min="10211" max="10211" width="0.54296875" style="58" customWidth="1"/>
    <col min="10212" max="10444" width="9.1796875" style="58"/>
    <col min="10445" max="10445" width="34.1796875" style="58" customWidth="1"/>
    <col min="10446" max="10446" width="0.81640625" style="58" customWidth="1"/>
    <col min="10447" max="10447" width="16.26953125" style="58" bestFit="1" customWidth="1"/>
    <col min="10448" max="10448" width="1.1796875" style="58" customWidth="1"/>
    <col min="10449" max="10449" width="14.453125" style="58" bestFit="1" customWidth="1"/>
    <col min="10450" max="10450" width="1.1796875" style="58" customWidth="1"/>
    <col min="10451" max="10451" width="13.26953125" style="58" customWidth="1"/>
    <col min="10452" max="10452" width="0.81640625" style="58" customWidth="1"/>
    <col min="10453" max="10453" width="13" style="58" bestFit="1" customWidth="1"/>
    <col min="10454" max="10454" width="0.81640625" style="58" customWidth="1"/>
    <col min="10455" max="10455" width="14.26953125" style="58" bestFit="1" customWidth="1"/>
    <col min="10456" max="10456" width="3.81640625" style="58" customWidth="1"/>
    <col min="10457" max="10457" width="12.1796875" style="58" customWidth="1"/>
    <col min="10458" max="10458" width="0.7265625" style="58" customWidth="1"/>
    <col min="10459" max="10460" width="0" style="58" hidden="1" customWidth="1"/>
    <col min="10461" max="10461" width="14.26953125" style="58" bestFit="1" customWidth="1"/>
    <col min="10462" max="10462" width="0.7265625" style="58" customWidth="1"/>
    <col min="10463" max="10463" width="15.81640625" style="58" customWidth="1"/>
    <col min="10464" max="10464" width="1.1796875" style="58" customWidth="1"/>
    <col min="10465" max="10465" width="14.453125" style="58" customWidth="1"/>
    <col min="10466" max="10466" width="1" style="58" customWidth="1"/>
    <col min="10467" max="10467" width="0.54296875" style="58" customWidth="1"/>
    <col min="10468" max="10700" width="9.1796875" style="58"/>
    <col min="10701" max="10701" width="34.1796875" style="58" customWidth="1"/>
    <col min="10702" max="10702" width="0.81640625" style="58" customWidth="1"/>
    <col min="10703" max="10703" width="16.26953125" style="58" bestFit="1" customWidth="1"/>
    <col min="10704" max="10704" width="1.1796875" style="58" customWidth="1"/>
    <col min="10705" max="10705" width="14.453125" style="58" bestFit="1" customWidth="1"/>
    <col min="10706" max="10706" width="1.1796875" style="58" customWidth="1"/>
    <col min="10707" max="10707" width="13.26953125" style="58" customWidth="1"/>
    <col min="10708" max="10708" width="0.81640625" style="58" customWidth="1"/>
    <col min="10709" max="10709" width="13" style="58" bestFit="1" customWidth="1"/>
    <col min="10710" max="10710" width="0.81640625" style="58" customWidth="1"/>
    <col min="10711" max="10711" width="14.26953125" style="58" bestFit="1" customWidth="1"/>
    <col min="10712" max="10712" width="3.81640625" style="58" customWidth="1"/>
    <col min="10713" max="10713" width="12.1796875" style="58" customWidth="1"/>
    <col min="10714" max="10714" width="0.7265625" style="58" customWidth="1"/>
    <col min="10715" max="10716" width="0" style="58" hidden="1" customWidth="1"/>
    <col min="10717" max="10717" width="14.26953125" style="58" bestFit="1" customWidth="1"/>
    <col min="10718" max="10718" width="0.7265625" style="58" customWidth="1"/>
    <col min="10719" max="10719" width="15.81640625" style="58" customWidth="1"/>
    <col min="10720" max="10720" width="1.1796875" style="58" customWidth="1"/>
    <col min="10721" max="10721" width="14.453125" style="58" customWidth="1"/>
    <col min="10722" max="10722" width="1" style="58" customWidth="1"/>
    <col min="10723" max="10723" width="0.54296875" style="58" customWidth="1"/>
    <col min="10724" max="10956" width="9.1796875" style="58"/>
    <col min="10957" max="10957" width="34.1796875" style="58" customWidth="1"/>
    <col min="10958" max="10958" width="0.81640625" style="58" customWidth="1"/>
    <col min="10959" max="10959" width="16.26953125" style="58" bestFit="1" customWidth="1"/>
    <col min="10960" max="10960" width="1.1796875" style="58" customWidth="1"/>
    <col min="10961" max="10961" width="14.453125" style="58" bestFit="1" customWidth="1"/>
    <col min="10962" max="10962" width="1.1796875" style="58" customWidth="1"/>
    <col min="10963" max="10963" width="13.26953125" style="58" customWidth="1"/>
    <col min="10964" max="10964" width="0.81640625" style="58" customWidth="1"/>
    <col min="10965" max="10965" width="13" style="58" bestFit="1" customWidth="1"/>
    <col min="10966" max="10966" width="0.81640625" style="58" customWidth="1"/>
    <col min="10967" max="10967" width="14.26953125" style="58" bestFit="1" customWidth="1"/>
    <col min="10968" max="10968" width="3.81640625" style="58" customWidth="1"/>
    <col min="10969" max="10969" width="12.1796875" style="58" customWidth="1"/>
    <col min="10970" max="10970" width="0.7265625" style="58" customWidth="1"/>
    <col min="10971" max="10972" width="0" style="58" hidden="1" customWidth="1"/>
    <col min="10973" max="10973" width="14.26953125" style="58" bestFit="1" customWidth="1"/>
    <col min="10974" max="10974" width="0.7265625" style="58" customWidth="1"/>
    <col min="10975" max="10975" width="15.81640625" style="58" customWidth="1"/>
    <col min="10976" max="10976" width="1.1796875" style="58" customWidth="1"/>
    <col min="10977" max="10977" width="14.453125" style="58" customWidth="1"/>
    <col min="10978" max="10978" width="1" style="58" customWidth="1"/>
    <col min="10979" max="10979" width="0.54296875" style="58" customWidth="1"/>
    <col min="10980" max="11212" width="9.1796875" style="58"/>
    <col min="11213" max="11213" width="34.1796875" style="58" customWidth="1"/>
    <col min="11214" max="11214" width="0.81640625" style="58" customWidth="1"/>
    <col min="11215" max="11215" width="16.26953125" style="58" bestFit="1" customWidth="1"/>
    <col min="11216" max="11216" width="1.1796875" style="58" customWidth="1"/>
    <col min="11217" max="11217" width="14.453125" style="58" bestFit="1" customWidth="1"/>
    <col min="11218" max="11218" width="1.1796875" style="58" customWidth="1"/>
    <col min="11219" max="11219" width="13.26953125" style="58" customWidth="1"/>
    <col min="11220" max="11220" width="0.81640625" style="58" customWidth="1"/>
    <col min="11221" max="11221" width="13" style="58" bestFit="1" customWidth="1"/>
    <col min="11222" max="11222" width="0.81640625" style="58" customWidth="1"/>
    <col min="11223" max="11223" width="14.26953125" style="58" bestFit="1" customWidth="1"/>
    <col min="11224" max="11224" width="3.81640625" style="58" customWidth="1"/>
    <col min="11225" max="11225" width="12.1796875" style="58" customWidth="1"/>
    <col min="11226" max="11226" width="0.7265625" style="58" customWidth="1"/>
    <col min="11227" max="11228" width="0" style="58" hidden="1" customWidth="1"/>
    <col min="11229" max="11229" width="14.26953125" style="58" bestFit="1" customWidth="1"/>
    <col min="11230" max="11230" width="0.7265625" style="58" customWidth="1"/>
    <col min="11231" max="11231" width="15.81640625" style="58" customWidth="1"/>
    <col min="11232" max="11232" width="1.1796875" style="58" customWidth="1"/>
    <col min="11233" max="11233" width="14.453125" style="58" customWidth="1"/>
    <col min="11234" max="11234" width="1" style="58" customWidth="1"/>
    <col min="11235" max="11235" width="0.54296875" style="58" customWidth="1"/>
    <col min="11236" max="11468" width="9.1796875" style="58"/>
    <col min="11469" max="11469" width="34.1796875" style="58" customWidth="1"/>
    <col min="11470" max="11470" width="0.81640625" style="58" customWidth="1"/>
    <col min="11471" max="11471" width="16.26953125" style="58" bestFit="1" customWidth="1"/>
    <col min="11472" max="11472" width="1.1796875" style="58" customWidth="1"/>
    <col min="11473" max="11473" width="14.453125" style="58" bestFit="1" customWidth="1"/>
    <col min="11474" max="11474" width="1.1796875" style="58" customWidth="1"/>
    <col min="11475" max="11475" width="13.26953125" style="58" customWidth="1"/>
    <col min="11476" max="11476" width="0.81640625" style="58" customWidth="1"/>
    <col min="11477" max="11477" width="13" style="58" bestFit="1" customWidth="1"/>
    <col min="11478" max="11478" width="0.81640625" style="58" customWidth="1"/>
    <col min="11479" max="11479" width="14.26953125" style="58" bestFit="1" customWidth="1"/>
    <col min="11480" max="11480" width="3.81640625" style="58" customWidth="1"/>
    <col min="11481" max="11481" width="12.1796875" style="58" customWidth="1"/>
    <col min="11482" max="11482" width="0.7265625" style="58" customWidth="1"/>
    <col min="11483" max="11484" width="0" style="58" hidden="1" customWidth="1"/>
    <col min="11485" max="11485" width="14.26953125" style="58" bestFit="1" customWidth="1"/>
    <col min="11486" max="11486" width="0.7265625" style="58" customWidth="1"/>
    <col min="11487" max="11487" width="15.81640625" style="58" customWidth="1"/>
    <col min="11488" max="11488" width="1.1796875" style="58" customWidth="1"/>
    <col min="11489" max="11489" width="14.453125" style="58" customWidth="1"/>
    <col min="11490" max="11490" width="1" style="58" customWidth="1"/>
    <col min="11491" max="11491" width="0.54296875" style="58" customWidth="1"/>
    <col min="11492" max="11724" width="9.1796875" style="58"/>
    <col min="11725" max="11725" width="34.1796875" style="58" customWidth="1"/>
    <col min="11726" max="11726" width="0.81640625" style="58" customWidth="1"/>
    <col min="11727" max="11727" width="16.26953125" style="58" bestFit="1" customWidth="1"/>
    <col min="11728" max="11728" width="1.1796875" style="58" customWidth="1"/>
    <col min="11729" max="11729" width="14.453125" style="58" bestFit="1" customWidth="1"/>
    <col min="11730" max="11730" width="1.1796875" style="58" customWidth="1"/>
    <col min="11731" max="11731" width="13.26953125" style="58" customWidth="1"/>
    <col min="11732" max="11732" width="0.81640625" style="58" customWidth="1"/>
    <col min="11733" max="11733" width="13" style="58" bestFit="1" customWidth="1"/>
    <col min="11734" max="11734" width="0.81640625" style="58" customWidth="1"/>
    <col min="11735" max="11735" width="14.26953125" style="58" bestFit="1" customWidth="1"/>
    <col min="11736" max="11736" width="3.81640625" style="58" customWidth="1"/>
    <col min="11737" max="11737" width="12.1796875" style="58" customWidth="1"/>
    <col min="11738" max="11738" width="0.7265625" style="58" customWidth="1"/>
    <col min="11739" max="11740" width="0" style="58" hidden="1" customWidth="1"/>
    <col min="11741" max="11741" width="14.26953125" style="58" bestFit="1" customWidth="1"/>
    <col min="11742" max="11742" width="0.7265625" style="58" customWidth="1"/>
    <col min="11743" max="11743" width="15.81640625" style="58" customWidth="1"/>
    <col min="11744" max="11744" width="1.1796875" style="58" customWidth="1"/>
    <col min="11745" max="11745" width="14.453125" style="58" customWidth="1"/>
    <col min="11746" max="11746" width="1" style="58" customWidth="1"/>
    <col min="11747" max="11747" width="0.54296875" style="58" customWidth="1"/>
    <col min="11748" max="11980" width="9.1796875" style="58"/>
    <col min="11981" max="11981" width="34.1796875" style="58" customWidth="1"/>
    <col min="11982" max="11982" width="0.81640625" style="58" customWidth="1"/>
    <col min="11983" max="11983" width="16.26953125" style="58" bestFit="1" customWidth="1"/>
    <col min="11984" max="11984" width="1.1796875" style="58" customWidth="1"/>
    <col min="11985" max="11985" width="14.453125" style="58" bestFit="1" customWidth="1"/>
    <col min="11986" max="11986" width="1.1796875" style="58" customWidth="1"/>
    <col min="11987" max="11987" width="13.26953125" style="58" customWidth="1"/>
    <col min="11988" max="11988" width="0.81640625" style="58" customWidth="1"/>
    <col min="11989" max="11989" width="13" style="58" bestFit="1" customWidth="1"/>
    <col min="11990" max="11990" width="0.81640625" style="58" customWidth="1"/>
    <col min="11991" max="11991" width="14.26953125" style="58" bestFit="1" customWidth="1"/>
    <col min="11992" max="11992" width="3.81640625" style="58" customWidth="1"/>
    <col min="11993" max="11993" width="12.1796875" style="58" customWidth="1"/>
    <col min="11994" max="11994" width="0.7265625" style="58" customWidth="1"/>
    <col min="11995" max="11996" width="0" style="58" hidden="1" customWidth="1"/>
    <col min="11997" max="11997" width="14.26953125" style="58" bestFit="1" customWidth="1"/>
    <col min="11998" max="11998" width="0.7265625" style="58" customWidth="1"/>
    <col min="11999" max="11999" width="15.81640625" style="58" customWidth="1"/>
    <col min="12000" max="12000" width="1.1796875" style="58" customWidth="1"/>
    <col min="12001" max="12001" width="14.453125" style="58" customWidth="1"/>
    <col min="12002" max="12002" width="1" style="58" customWidth="1"/>
    <col min="12003" max="12003" width="0.54296875" style="58" customWidth="1"/>
    <col min="12004" max="12236" width="9.1796875" style="58"/>
    <col min="12237" max="12237" width="34.1796875" style="58" customWidth="1"/>
    <col min="12238" max="12238" width="0.81640625" style="58" customWidth="1"/>
    <col min="12239" max="12239" width="16.26953125" style="58" bestFit="1" customWidth="1"/>
    <col min="12240" max="12240" width="1.1796875" style="58" customWidth="1"/>
    <col min="12241" max="12241" width="14.453125" style="58" bestFit="1" customWidth="1"/>
    <col min="12242" max="12242" width="1.1796875" style="58" customWidth="1"/>
    <col min="12243" max="12243" width="13.26953125" style="58" customWidth="1"/>
    <col min="12244" max="12244" width="0.81640625" style="58" customWidth="1"/>
    <col min="12245" max="12245" width="13" style="58" bestFit="1" customWidth="1"/>
    <col min="12246" max="12246" width="0.81640625" style="58" customWidth="1"/>
    <col min="12247" max="12247" width="14.26953125" style="58" bestFit="1" customWidth="1"/>
    <col min="12248" max="12248" width="3.81640625" style="58" customWidth="1"/>
    <col min="12249" max="12249" width="12.1796875" style="58" customWidth="1"/>
    <col min="12250" max="12250" width="0.7265625" style="58" customWidth="1"/>
    <col min="12251" max="12252" width="0" style="58" hidden="1" customWidth="1"/>
    <col min="12253" max="12253" width="14.26953125" style="58" bestFit="1" customWidth="1"/>
    <col min="12254" max="12254" width="0.7265625" style="58" customWidth="1"/>
    <col min="12255" max="12255" width="15.81640625" style="58" customWidth="1"/>
    <col min="12256" max="12256" width="1.1796875" style="58" customWidth="1"/>
    <col min="12257" max="12257" width="14.453125" style="58" customWidth="1"/>
    <col min="12258" max="12258" width="1" style="58" customWidth="1"/>
    <col min="12259" max="12259" width="0.54296875" style="58" customWidth="1"/>
    <col min="12260" max="12492" width="9.1796875" style="58"/>
    <col min="12493" max="12493" width="34.1796875" style="58" customWidth="1"/>
    <col min="12494" max="12494" width="0.81640625" style="58" customWidth="1"/>
    <col min="12495" max="12495" width="16.26953125" style="58" bestFit="1" customWidth="1"/>
    <col min="12496" max="12496" width="1.1796875" style="58" customWidth="1"/>
    <col min="12497" max="12497" width="14.453125" style="58" bestFit="1" customWidth="1"/>
    <col min="12498" max="12498" width="1.1796875" style="58" customWidth="1"/>
    <col min="12499" max="12499" width="13.26953125" style="58" customWidth="1"/>
    <col min="12500" max="12500" width="0.81640625" style="58" customWidth="1"/>
    <col min="12501" max="12501" width="13" style="58" bestFit="1" customWidth="1"/>
    <col min="12502" max="12502" width="0.81640625" style="58" customWidth="1"/>
    <col min="12503" max="12503" width="14.26953125" style="58" bestFit="1" customWidth="1"/>
    <col min="12504" max="12504" width="3.81640625" style="58" customWidth="1"/>
    <col min="12505" max="12505" width="12.1796875" style="58" customWidth="1"/>
    <col min="12506" max="12506" width="0.7265625" style="58" customWidth="1"/>
    <col min="12507" max="12508" width="0" style="58" hidden="1" customWidth="1"/>
    <col min="12509" max="12509" width="14.26953125" style="58" bestFit="1" customWidth="1"/>
    <col min="12510" max="12510" width="0.7265625" style="58" customWidth="1"/>
    <col min="12511" max="12511" width="15.81640625" style="58" customWidth="1"/>
    <col min="12512" max="12512" width="1.1796875" style="58" customWidth="1"/>
    <col min="12513" max="12513" width="14.453125" style="58" customWidth="1"/>
    <col min="12514" max="12514" width="1" style="58" customWidth="1"/>
    <col min="12515" max="12515" width="0.54296875" style="58" customWidth="1"/>
    <col min="12516" max="12748" width="9.1796875" style="58"/>
    <col min="12749" max="12749" width="34.1796875" style="58" customWidth="1"/>
    <col min="12750" max="12750" width="0.81640625" style="58" customWidth="1"/>
    <col min="12751" max="12751" width="16.26953125" style="58" bestFit="1" customWidth="1"/>
    <col min="12752" max="12752" width="1.1796875" style="58" customWidth="1"/>
    <col min="12753" max="12753" width="14.453125" style="58" bestFit="1" customWidth="1"/>
    <col min="12754" max="12754" width="1.1796875" style="58" customWidth="1"/>
    <col min="12755" max="12755" width="13.26953125" style="58" customWidth="1"/>
    <col min="12756" max="12756" width="0.81640625" style="58" customWidth="1"/>
    <col min="12757" max="12757" width="13" style="58" bestFit="1" customWidth="1"/>
    <col min="12758" max="12758" width="0.81640625" style="58" customWidth="1"/>
    <col min="12759" max="12759" width="14.26953125" style="58" bestFit="1" customWidth="1"/>
    <col min="12760" max="12760" width="3.81640625" style="58" customWidth="1"/>
    <col min="12761" max="12761" width="12.1796875" style="58" customWidth="1"/>
    <col min="12762" max="12762" width="0.7265625" style="58" customWidth="1"/>
    <col min="12763" max="12764" width="0" style="58" hidden="1" customWidth="1"/>
    <col min="12765" max="12765" width="14.26953125" style="58" bestFit="1" customWidth="1"/>
    <col min="12766" max="12766" width="0.7265625" style="58" customWidth="1"/>
    <col min="12767" max="12767" width="15.81640625" style="58" customWidth="1"/>
    <col min="12768" max="12768" width="1.1796875" style="58" customWidth="1"/>
    <col min="12769" max="12769" width="14.453125" style="58" customWidth="1"/>
    <col min="12770" max="12770" width="1" style="58" customWidth="1"/>
    <col min="12771" max="12771" width="0.54296875" style="58" customWidth="1"/>
    <col min="12772" max="13004" width="9.1796875" style="58"/>
    <col min="13005" max="13005" width="34.1796875" style="58" customWidth="1"/>
    <col min="13006" max="13006" width="0.81640625" style="58" customWidth="1"/>
    <col min="13007" max="13007" width="16.26953125" style="58" bestFit="1" customWidth="1"/>
    <col min="13008" max="13008" width="1.1796875" style="58" customWidth="1"/>
    <col min="13009" max="13009" width="14.453125" style="58" bestFit="1" customWidth="1"/>
    <col min="13010" max="13010" width="1.1796875" style="58" customWidth="1"/>
    <col min="13011" max="13011" width="13.26953125" style="58" customWidth="1"/>
    <col min="13012" max="13012" width="0.81640625" style="58" customWidth="1"/>
    <col min="13013" max="13013" width="13" style="58" bestFit="1" customWidth="1"/>
    <col min="13014" max="13014" width="0.81640625" style="58" customWidth="1"/>
    <col min="13015" max="13015" width="14.26953125" style="58" bestFit="1" customWidth="1"/>
    <col min="13016" max="13016" width="3.81640625" style="58" customWidth="1"/>
    <col min="13017" max="13017" width="12.1796875" style="58" customWidth="1"/>
    <col min="13018" max="13018" width="0.7265625" style="58" customWidth="1"/>
    <col min="13019" max="13020" width="0" style="58" hidden="1" customWidth="1"/>
    <col min="13021" max="13021" width="14.26953125" style="58" bestFit="1" customWidth="1"/>
    <col min="13022" max="13022" width="0.7265625" style="58" customWidth="1"/>
    <col min="13023" max="13023" width="15.81640625" style="58" customWidth="1"/>
    <col min="13024" max="13024" width="1.1796875" style="58" customWidth="1"/>
    <col min="13025" max="13025" width="14.453125" style="58" customWidth="1"/>
    <col min="13026" max="13026" width="1" style="58" customWidth="1"/>
    <col min="13027" max="13027" width="0.54296875" style="58" customWidth="1"/>
    <col min="13028" max="13260" width="9.1796875" style="58"/>
    <col min="13261" max="13261" width="34.1796875" style="58" customWidth="1"/>
    <col min="13262" max="13262" width="0.81640625" style="58" customWidth="1"/>
    <col min="13263" max="13263" width="16.26953125" style="58" bestFit="1" customWidth="1"/>
    <col min="13264" max="13264" width="1.1796875" style="58" customWidth="1"/>
    <col min="13265" max="13265" width="14.453125" style="58" bestFit="1" customWidth="1"/>
    <col min="13266" max="13266" width="1.1796875" style="58" customWidth="1"/>
    <col min="13267" max="13267" width="13.26953125" style="58" customWidth="1"/>
    <col min="13268" max="13268" width="0.81640625" style="58" customWidth="1"/>
    <col min="13269" max="13269" width="13" style="58" bestFit="1" customWidth="1"/>
    <col min="13270" max="13270" width="0.81640625" style="58" customWidth="1"/>
    <col min="13271" max="13271" width="14.26953125" style="58" bestFit="1" customWidth="1"/>
    <col min="13272" max="13272" width="3.81640625" style="58" customWidth="1"/>
    <col min="13273" max="13273" width="12.1796875" style="58" customWidth="1"/>
    <col min="13274" max="13274" width="0.7265625" style="58" customWidth="1"/>
    <col min="13275" max="13276" width="0" style="58" hidden="1" customWidth="1"/>
    <col min="13277" max="13277" width="14.26953125" style="58" bestFit="1" customWidth="1"/>
    <col min="13278" max="13278" width="0.7265625" style="58" customWidth="1"/>
    <col min="13279" max="13279" width="15.81640625" style="58" customWidth="1"/>
    <col min="13280" max="13280" width="1.1796875" style="58" customWidth="1"/>
    <col min="13281" max="13281" width="14.453125" style="58" customWidth="1"/>
    <col min="13282" max="13282" width="1" style="58" customWidth="1"/>
    <col min="13283" max="13283" width="0.54296875" style="58" customWidth="1"/>
    <col min="13284" max="13516" width="9.1796875" style="58"/>
    <col min="13517" max="13517" width="34.1796875" style="58" customWidth="1"/>
    <col min="13518" max="13518" width="0.81640625" style="58" customWidth="1"/>
    <col min="13519" max="13519" width="16.26953125" style="58" bestFit="1" customWidth="1"/>
    <col min="13520" max="13520" width="1.1796875" style="58" customWidth="1"/>
    <col min="13521" max="13521" width="14.453125" style="58" bestFit="1" customWidth="1"/>
    <col min="13522" max="13522" width="1.1796875" style="58" customWidth="1"/>
    <col min="13523" max="13523" width="13.26953125" style="58" customWidth="1"/>
    <col min="13524" max="13524" width="0.81640625" style="58" customWidth="1"/>
    <col min="13525" max="13525" width="13" style="58" bestFit="1" customWidth="1"/>
    <col min="13526" max="13526" width="0.81640625" style="58" customWidth="1"/>
    <col min="13527" max="13527" width="14.26953125" style="58" bestFit="1" customWidth="1"/>
    <col min="13528" max="13528" width="3.81640625" style="58" customWidth="1"/>
    <col min="13529" max="13529" width="12.1796875" style="58" customWidth="1"/>
    <col min="13530" max="13530" width="0.7265625" style="58" customWidth="1"/>
    <col min="13531" max="13532" width="0" style="58" hidden="1" customWidth="1"/>
    <col min="13533" max="13533" width="14.26953125" style="58" bestFit="1" customWidth="1"/>
    <col min="13534" max="13534" width="0.7265625" style="58" customWidth="1"/>
    <col min="13535" max="13535" width="15.81640625" style="58" customWidth="1"/>
    <col min="13536" max="13536" width="1.1796875" style="58" customWidth="1"/>
    <col min="13537" max="13537" width="14.453125" style="58" customWidth="1"/>
    <col min="13538" max="13538" width="1" style="58" customWidth="1"/>
    <col min="13539" max="13539" width="0.54296875" style="58" customWidth="1"/>
    <col min="13540" max="13772" width="9.1796875" style="58"/>
    <col min="13773" max="13773" width="34.1796875" style="58" customWidth="1"/>
    <col min="13774" max="13774" width="0.81640625" style="58" customWidth="1"/>
    <col min="13775" max="13775" width="16.26953125" style="58" bestFit="1" customWidth="1"/>
    <col min="13776" max="13776" width="1.1796875" style="58" customWidth="1"/>
    <col min="13777" max="13777" width="14.453125" style="58" bestFit="1" customWidth="1"/>
    <col min="13778" max="13778" width="1.1796875" style="58" customWidth="1"/>
    <col min="13779" max="13779" width="13.26953125" style="58" customWidth="1"/>
    <col min="13780" max="13780" width="0.81640625" style="58" customWidth="1"/>
    <col min="13781" max="13781" width="13" style="58" bestFit="1" customWidth="1"/>
    <col min="13782" max="13782" width="0.81640625" style="58" customWidth="1"/>
    <col min="13783" max="13783" width="14.26953125" style="58" bestFit="1" customWidth="1"/>
    <col min="13784" max="13784" width="3.81640625" style="58" customWidth="1"/>
    <col min="13785" max="13785" width="12.1796875" style="58" customWidth="1"/>
    <col min="13786" max="13786" width="0.7265625" style="58" customWidth="1"/>
    <col min="13787" max="13788" width="0" style="58" hidden="1" customWidth="1"/>
    <col min="13789" max="13789" width="14.26953125" style="58" bestFit="1" customWidth="1"/>
    <col min="13790" max="13790" width="0.7265625" style="58" customWidth="1"/>
    <col min="13791" max="13791" width="15.81640625" style="58" customWidth="1"/>
    <col min="13792" max="13792" width="1.1796875" style="58" customWidth="1"/>
    <col min="13793" max="13793" width="14.453125" style="58" customWidth="1"/>
    <col min="13794" max="13794" width="1" style="58" customWidth="1"/>
    <col min="13795" max="13795" width="0.54296875" style="58" customWidth="1"/>
    <col min="13796" max="14028" width="9.1796875" style="58"/>
    <col min="14029" max="14029" width="34.1796875" style="58" customWidth="1"/>
    <col min="14030" max="14030" width="0.81640625" style="58" customWidth="1"/>
    <col min="14031" max="14031" width="16.26953125" style="58" bestFit="1" customWidth="1"/>
    <col min="14032" max="14032" width="1.1796875" style="58" customWidth="1"/>
    <col min="14033" max="14033" width="14.453125" style="58" bestFit="1" customWidth="1"/>
    <col min="14034" max="14034" width="1.1796875" style="58" customWidth="1"/>
    <col min="14035" max="14035" width="13.26953125" style="58" customWidth="1"/>
    <col min="14036" max="14036" width="0.81640625" style="58" customWidth="1"/>
    <col min="14037" max="14037" width="13" style="58" bestFit="1" customWidth="1"/>
    <col min="14038" max="14038" width="0.81640625" style="58" customWidth="1"/>
    <col min="14039" max="14039" width="14.26953125" style="58" bestFit="1" customWidth="1"/>
    <col min="14040" max="14040" width="3.81640625" style="58" customWidth="1"/>
    <col min="14041" max="14041" width="12.1796875" style="58" customWidth="1"/>
    <col min="14042" max="14042" width="0.7265625" style="58" customWidth="1"/>
    <col min="14043" max="14044" width="0" style="58" hidden="1" customWidth="1"/>
    <col min="14045" max="14045" width="14.26953125" style="58" bestFit="1" customWidth="1"/>
    <col min="14046" max="14046" width="0.7265625" style="58" customWidth="1"/>
    <col min="14047" max="14047" width="15.81640625" style="58" customWidth="1"/>
    <col min="14048" max="14048" width="1.1796875" style="58" customWidth="1"/>
    <col min="14049" max="14049" width="14.453125" style="58" customWidth="1"/>
    <col min="14050" max="14050" width="1" style="58" customWidth="1"/>
    <col min="14051" max="14051" width="0.54296875" style="58" customWidth="1"/>
    <col min="14052" max="14284" width="9.1796875" style="58"/>
    <col min="14285" max="14285" width="34.1796875" style="58" customWidth="1"/>
    <col min="14286" max="14286" width="0.81640625" style="58" customWidth="1"/>
    <col min="14287" max="14287" width="16.26953125" style="58" bestFit="1" customWidth="1"/>
    <col min="14288" max="14288" width="1.1796875" style="58" customWidth="1"/>
    <col min="14289" max="14289" width="14.453125" style="58" bestFit="1" customWidth="1"/>
    <col min="14290" max="14290" width="1.1796875" style="58" customWidth="1"/>
    <col min="14291" max="14291" width="13.26953125" style="58" customWidth="1"/>
    <col min="14292" max="14292" width="0.81640625" style="58" customWidth="1"/>
    <col min="14293" max="14293" width="13" style="58" bestFit="1" customWidth="1"/>
    <col min="14294" max="14294" width="0.81640625" style="58" customWidth="1"/>
    <col min="14295" max="14295" width="14.26953125" style="58" bestFit="1" customWidth="1"/>
    <col min="14296" max="14296" width="3.81640625" style="58" customWidth="1"/>
    <col min="14297" max="14297" width="12.1796875" style="58" customWidth="1"/>
    <col min="14298" max="14298" width="0.7265625" style="58" customWidth="1"/>
    <col min="14299" max="14300" width="0" style="58" hidden="1" customWidth="1"/>
    <col min="14301" max="14301" width="14.26953125" style="58" bestFit="1" customWidth="1"/>
    <col min="14302" max="14302" width="0.7265625" style="58" customWidth="1"/>
    <col min="14303" max="14303" width="15.81640625" style="58" customWidth="1"/>
    <col min="14304" max="14304" width="1.1796875" style="58" customWidth="1"/>
    <col min="14305" max="14305" width="14.453125" style="58" customWidth="1"/>
    <col min="14306" max="14306" width="1" style="58" customWidth="1"/>
    <col min="14307" max="14307" width="0.54296875" style="58" customWidth="1"/>
    <col min="14308" max="14540" width="9.1796875" style="58"/>
    <col min="14541" max="14541" width="34.1796875" style="58" customWidth="1"/>
    <col min="14542" max="14542" width="0.81640625" style="58" customWidth="1"/>
    <col min="14543" max="14543" width="16.26953125" style="58" bestFit="1" customWidth="1"/>
    <col min="14544" max="14544" width="1.1796875" style="58" customWidth="1"/>
    <col min="14545" max="14545" width="14.453125" style="58" bestFit="1" customWidth="1"/>
    <col min="14546" max="14546" width="1.1796875" style="58" customWidth="1"/>
    <col min="14547" max="14547" width="13.26953125" style="58" customWidth="1"/>
    <col min="14548" max="14548" width="0.81640625" style="58" customWidth="1"/>
    <col min="14549" max="14549" width="13" style="58" bestFit="1" customWidth="1"/>
    <col min="14550" max="14550" width="0.81640625" style="58" customWidth="1"/>
    <col min="14551" max="14551" width="14.26953125" style="58" bestFit="1" customWidth="1"/>
    <col min="14552" max="14552" width="3.81640625" style="58" customWidth="1"/>
    <col min="14553" max="14553" width="12.1796875" style="58" customWidth="1"/>
    <col min="14554" max="14554" width="0.7265625" style="58" customWidth="1"/>
    <col min="14555" max="14556" width="0" style="58" hidden="1" customWidth="1"/>
    <col min="14557" max="14557" width="14.26953125" style="58" bestFit="1" customWidth="1"/>
    <col min="14558" max="14558" width="0.7265625" style="58" customWidth="1"/>
    <col min="14559" max="14559" width="15.81640625" style="58" customWidth="1"/>
    <col min="14560" max="14560" width="1.1796875" style="58" customWidth="1"/>
    <col min="14561" max="14561" width="14.453125" style="58" customWidth="1"/>
    <col min="14562" max="14562" width="1" style="58" customWidth="1"/>
    <col min="14563" max="14563" width="0.54296875" style="58" customWidth="1"/>
    <col min="14564" max="14796" width="9.1796875" style="58"/>
    <col min="14797" max="14797" width="34.1796875" style="58" customWidth="1"/>
    <col min="14798" max="14798" width="0.81640625" style="58" customWidth="1"/>
    <col min="14799" max="14799" width="16.26953125" style="58" bestFit="1" customWidth="1"/>
    <col min="14800" max="14800" width="1.1796875" style="58" customWidth="1"/>
    <col min="14801" max="14801" width="14.453125" style="58" bestFit="1" customWidth="1"/>
    <col min="14802" max="14802" width="1.1796875" style="58" customWidth="1"/>
    <col min="14803" max="14803" width="13.26953125" style="58" customWidth="1"/>
    <col min="14804" max="14804" width="0.81640625" style="58" customWidth="1"/>
    <col min="14805" max="14805" width="13" style="58" bestFit="1" customWidth="1"/>
    <col min="14806" max="14806" width="0.81640625" style="58" customWidth="1"/>
    <col min="14807" max="14807" width="14.26953125" style="58" bestFit="1" customWidth="1"/>
    <col min="14808" max="14808" width="3.81640625" style="58" customWidth="1"/>
    <col min="14809" max="14809" width="12.1796875" style="58" customWidth="1"/>
    <col min="14810" max="14810" width="0.7265625" style="58" customWidth="1"/>
    <col min="14811" max="14812" width="0" style="58" hidden="1" customWidth="1"/>
    <col min="14813" max="14813" width="14.26953125" style="58" bestFit="1" customWidth="1"/>
    <col min="14814" max="14814" width="0.7265625" style="58" customWidth="1"/>
    <col min="14815" max="14815" width="15.81640625" style="58" customWidth="1"/>
    <col min="14816" max="14816" width="1.1796875" style="58" customWidth="1"/>
    <col min="14817" max="14817" width="14.453125" style="58" customWidth="1"/>
    <col min="14818" max="14818" width="1" style="58" customWidth="1"/>
    <col min="14819" max="14819" width="0.54296875" style="58" customWidth="1"/>
    <col min="14820" max="15052" width="9.1796875" style="58"/>
    <col min="15053" max="15053" width="34.1796875" style="58" customWidth="1"/>
    <col min="15054" max="15054" width="0.81640625" style="58" customWidth="1"/>
    <col min="15055" max="15055" width="16.26953125" style="58" bestFit="1" customWidth="1"/>
    <col min="15056" max="15056" width="1.1796875" style="58" customWidth="1"/>
    <col min="15057" max="15057" width="14.453125" style="58" bestFit="1" customWidth="1"/>
    <col min="15058" max="15058" width="1.1796875" style="58" customWidth="1"/>
    <col min="15059" max="15059" width="13.26953125" style="58" customWidth="1"/>
    <col min="15060" max="15060" width="0.81640625" style="58" customWidth="1"/>
    <col min="15061" max="15061" width="13" style="58" bestFit="1" customWidth="1"/>
    <col min="15062" max="15062" width="0.81640625" style="58" customWidth="1"/>
    <col min="15063" max="15063" width="14.26953125" style="58" bestFit="1" customWidth="1"/>
    <col min="15064" max="15064" width="3.81640625" style="58" customWidth="1"/>
    <col min="15065" max="15065" width="12.1796875" style="58" customWidth="1"/>
    <col min="15066" max="15066" width="0.7265625" style="58" customWidth="1"/>
    <col min="15067" max="15068" width="0" style="58" hidden="1" customWidth="1"/>
    <col min="15069" max="15069" width="14.26953125" style="58" bestFit="1" customWidth="1"/>
    <col min="15070" max="15070" width="0.7265625" style="58" customWidth="1"/>
    <col min="15071" max="15071" width="15.81640625" style="58" customWidth="1"/>
    <col min="15072" max="15072" width="1.1796875" style="58" customWidth="1"/>
    <col min="15073" max="15073" width="14.453125" style="58" customWidth="1"/>
    <col min="15074" max="15074" width="1" style="58" customWidth="1"/>
    <col min="15075" max="15075" width="0.54296875" style="58" customWidth="1"/>
    <col min="15076" max="15308" width="9.1796875" style="58"/>
    <col min="15309" max="15309" width="34.1796875" style="58" customWidth="1"/>
    <col min="15310" max="15310" width="0.81640625" style="58" customWidth="1"/>
    <col min="15311" max="15311" width="16.26953125" style="58" bestFit="1" customWidth="1"/>
    <col min="15312" max="15312" width="1.1796875" style="58" customWidth="1"/>
    <col min="15313" max="15313" width="14.453125" style="58" bestFit="1" customWidth="1"/>
    <col min="15314" max="15314" width="1.1796875" style="58" customWidth="1"/>
    <col min="15315" max="15315" width="13.26953125" style="58" customWidth="1"/>
    <col min="15316" max="15316" width="0.81640625" style="58" customWidth="1"/>
    <col min="15317" max="15317" width="13" style="58" bestFit="1" customWidth="1"/>
    <col min="15318" max="15318" width="0.81640625" style="58" customWidth="1"/>
    <col min="15319" max="15319" width="14.26953125" style="58" bestFit="1" customWidth="1"/>
    <col min="15320" max="15320" width="3.81640625" style="58" customWidth="1"/>
    <col min="15321" max="15321" width="12.1796875" style="58" customWidth="1"/>
    <col min="15322" max="15322" width="0.7265625" style="58" customWidth="1"/>
    <col min="15323" max="15324" width="0" style="58" hidden="1" customWidth="1"/>
    <col min="15325" max="15325" width="14.26953125" style="58" bestFit="1" customWidth="1"/>
    <col min="15326" max="15326" width="0.7265625" style="58" customWidth="1"/>
    <col min="15327" max="15327" width="15.81640625" style="58" customWidth="1"/>
    <col min="15328" max="15328" width="1.1796875" style="58" customWidth="1"/>
    <col min="15329" max="15329" width="14.453125" style="58" customWidth="1"/>
    <col min="15330" max="15330" width="1" style="58" customWidth="1"/>
    <col min="15331" max="15331" width="0.54296875" style="58" customWidth="1"/>
    <col min="15332" max="15564" width="9.1796875" style="58"/>
    <col min="15565" max="15565" width="34.1796875" style="58" customWidth="1"/>
    <col min="15566" max="15566" width="0.81640625" style="58" customWidth="1"/>
    <col min="15567" max="15567" width="16.26953125" style="58" bestFit="1" customWidth="1"/>
    <col min="15568" max="15568" width="1.1796875" style="58" customWidth="1"/>
    <col min="15569" max="15569" width="14.453125" style="58" bestFit="1" customWidth="1"/>
    <col min="15570" max="15570" width="1.1796875" style="58" customWidth="1"/>
    <col min="15571" max="15571" width="13.26953125" style="58" customWidth="1"/>
    <col min="15572" max="15572" width="0.81640625" style="58" customWidth="1"/>
    <col min="15573" max="15573" width="13" style="58" bestFit="1" customWidth="1"/>
    <col min="15574" max="15574" width="0.81640625" style="58" customWidth="1"/>
    <col min="15575" max="15575" width="14.26953125" style="58" bestFit="1" customWidth="1"/>
    <col min="15576" max="15576" width="3.81640625" style="58" customWidth="1"/>
    <col min="15577" max="15577" width="12.1796875" style="58" customWidth="1"/>
    <col min="15578" max="15578" width="0.7265625" style="58" customWidth="1"/>
    <col min="15579" max="15580" width="0" style="58" hidden="1" customWidth="1"/>
    <col min="15581" max="15581" width="14.26953125" style="58" bestFit="1" customWidth="1"/>
    <col min="15582" max="15582" width="0.7265625" style="58" customWidth="1"/>
    <col min="15583" max="15583" width="15.81640625" style="58" customWidth="1"/>
    <col min="15584" max="15584" width="1.1796875" style="58" customWidth="1"/>
    <col min="15585" max="15585" width="14.453125" style="58" customWidth="1"/>
    <col min="15586" max="15586" width="1" style="58" customWidth="1"/>
    <col min="15587" max="15587" width="0.54296875" style="58" customWidth="1"/>
    <col min="15588" max="15820" width="9.1796875" style="58"/>
    <col min="15821" max="15821" width="34.1796875" style="58" customWidth="1"/>
    <col min="15822" max="15822" width="0.81640625" style="58" customWidth="1"/>
    <col min="15823" max="15823" width="16.26953125" style="58" bestFit="1" customWidth="1"/>
    <col min="15824" max="15824" width="1.1796875" style="58" customWidth="1"/>
    <col min="15825" max="15825" width="14.453125" style="58" bestFit="1" customWidth="1"/>
    <col min="15826" max="15826" width="1.1796875" style="58" customWidth="1"/>
    <col min="15827" max="15827" width="13.26953125" style="58" customWidth="1"/>
    <col min="15828" max="15828" width="0.81640625" style="58" customWidth="1"/>
    <col min="15829" max="15829" width="13" style="58" bestFit="1" customWidth="1"/>
    <col min="15830" max="15830" width="0.81640625" style="58" customWidth="1"/>
    <col min="15831" max="15831" width="14.26953125" style="58" bestFit="1" customWidth="1"/>
    <col min="15832" max="15832" width="3.81640625" style="58" customWidth="1"/>
    <col min="15833" max="15833" width="12.1796875" style="58" customWidth="1"/>
    <col min="15834" max="15834" width="0.7265625" style="58" customWidth="1"/>
    <col min="15835" max="15836" width="0" style="58" hidden="1" customWidth="1"/>
    <col min="15837" max="15837" width="14.26953125" style="58" bestFit="1" customWidth="1"/>
    <col min="15838" max="15838" width="0.7265625" style="58" customWidth="1"/>
    <col min="15839" max="15839" width="15.81640625" style="58" customWidth="1"/>
    <col min="15840" max="15840" width="1.1796875" style="58" customWidth="1"/>
    <col min="15841" max="15841" width="14.453125" style="58" customWidth="1"/>
    <col min="15842" max="15842" width="1" style="58" customWidth="1"/>
    <col min="15843" max="15843" width="0.54296875" style="58" customWidth="1"/>
    <col min="15844" max="16076" width="9.1796875" style="58"/>
    <col min="16077" max="16077" width="34.1796875" style="58" customWidth="1"/>
    <col min="16078" max="16078" width="0.81640625" style="58" customWidth="1"/>
    <col min="16079" max="16079" width="16.26953125" style="58" bestFit="1" customWidth="1"/>
    <col min="16080" max="16080" width="1.1796875" style="58" customWidth="1"/>
    <col min="16081" max="16081" width="14.453125" style="58" bestFit="1" customWidth="1"/>
    <col min="16082" max="16082" width="1.1796875" style="58" customWidth="1"/>
    <col min="16083" max="16083" width="13.26953125" style="58" customWidth="1"/>
    <col min="16084" max="16084" width="0.81640625" style="58" customWidth="1"/>
    <col min="16085" max="16085" width="13" style="58" bestFit="1" customWidth="1"/>
    <col min="16086" max="16086" width="0.81640625" style="58" customWidth="1"/>
    <col min="16087" max="16087" width="14.26953125" style="58" bestFit="1" customWidth="1"/>
    <col min="16088" max="16088" width="3.81640625" style="58" customWidth="1"/>
    <col min="16089" max="16089" width="12.1796875" style="58" customWidth="1"/>
    <col min="16090" max="16090" width="0.7265625" style="58" customWidth="1"/>
    <col min="16091" max="16092" width="0" style="58" hidden="1" customWidth="1"/>
    <col min="16093" max="16093" width="14.26953125" style="58" bestFit="1" customWidth="1"/>
    <col min="16094" max="16094" width="0.7265625" style="58" customWidth="1"/>
    <col min="16095" max="16095" width="15.81640625" style="58" customWidth="1"/>
    <col min="16096" max="16096" width="1.1796875" style="58" customWidth="1"/>
    <col min="16097" max="16097" width="14.453125" style="58" customWidth="1"/>
    <col min="16098" max="16098" width="1" style="58" customWidth="1"/>
    <col min="16099" max="16099" width="0.54296875" style="58" customWidth="1"/>
    <col min="16100" max="16384" width="9.1796875" style="58"/>
  </cols>
  <sheetData>
    <row r="1" spans="1:37" s="63" customFormat="1">
      <c r="A1" s="71"/>
      <c r="B1" s="71"/>
      <c r="C1" s="71"/>
      <c r="D1" s="74" t="s">
        <v>12</v>
      </c>
      <c r="E1" s="71"/>
      <c r="F1" s="71"/>
      <c r="G1" s="71"/>
    </row>
    <row r="2" spans="1:37" s="63" customFormat="1">
      <c r="A2" s="71"/>
      <c r="B2" s="71"/>
      <c r="C2" s="71"/>
      <c r="D2" s="72" t="s">
        <v>111</v>
      </c>
      <c r="E2" s="71"/>
      <c r="F2" s="71"/>
      <c r="G2" s="71"/>
    </row>
    <row r="3" spans="1:37" s="61" customFormat="1" ht="14">
      <c r="A3" s="71"/>
      <c r="B3" s="71"/>
      <c r="C3" s="71"/>
      <c r="D3" s="75" t="s">
        <v>112</v>
      </c>
      <c r="E3" s="71"/>
      <c r="F3" s="71"/>
      <c r="G3" s="71"/>
      <c r="H3" s="71"/>
      <c r="K3" s="182"/>
      <c r="L3" s="182"/>
      <c r="O3" s="283" t="s">
        <v>375</v>
      </c>
      <c r="P3" s="183"/>
      <c r="Y3" s="182"/>
      <c r="Z3" s="182"/>
      <c r="AC3" s="283" t="s">
        <v>375</v>
      </c>
      <c r="AD3" s="183"/>
    </row>
    <row r="4" spans="1:37" s="61" customFormat="1">
      <c r="A4" s="71"/>
      <c r="B4" s="71"/>
      <c r="C4" s="71"/>
      <c r="D4" s="71"/>
      <c r="E4" s="71"/>
      <c r="F4" s="71"/>
      <c r="G4" s="71"/>
      <c r="H4" s="71"/>
      <c r="K4" s="3"/>
      <c r="L4" s="3"/>
      <c r="M4" s="3"/>
      <c r="N4" s="3"/>
      <c r="O4" s="284" t="s">
        <v>376</v>
      </c>
      <c r="P4" s="5"/>
      <c r="Q4" s="5"/>
      <c r="Y4" s="3"/>
      <c r="Z4" s="3"/>
      <c r="AA4" s="3"/>
      <c r="AB4" s="3"/>
      <c r="AC4" s="284" t="s">
        <v>376</v>
      </c>
      <c r="AD4" s="5"/>
      <c r="AE4" s="5"/>
    </row>
    <row r="5" spans="1:37" s="59" customFormat="1">
      <c r="A5" s="25"/>
      <c r="B5" s="25"/>
      <c r="C5" s="29" t="s">
        <v>113</v>
      </c>
      <c r="D5" s="29"/>
      <c r="E5" s="25"/>
      <c r="F5" s="25"/>
      <c r="G5" s="25"/>
      <c r="H5" s="63"/>
      <c r="I5" s="110"/>
      <c r="J5" s="110"/>
      <c r="K5" s="3"/>
      <c r="L5" s="3"/>
      <c r="M5" s="3"/>
      <c r="N5" s="3"/>
      <c r="O5" s="284" t="s">
        <v>382</v>
      </c>
      <c r="P5" s="5"/>
      <c r="Q5" s="5"/>
      <c r="V5" s="110"/>
      <c r="W5" s="110"/>
      <c r="X5" s="110"/>
      <c r="Y5" s="3"/>
      <c r="Z5" s="3"/>
      <c r="AA5" s="3"/>
      <c r="AB5" s="3"/>
      <c r="AC5" s="284" t="s">
        <v>382</v>
      </c>
      <c r="AD5" s="5"/>
      <c r="AE5" s="5"/>
      <c r="AJ5" s="110"/>
      <c r="AK5" s="110"/>
    </row>
    <row r="6" spans="1:37" s="59" customFormat="1">
      <c r="A6" s="8"/>
      <c r="B6" s="8"/>
      <c r="C6" s="8"/>
      <c r="D6" s="8"/>
      <c r="E6" s="25"/>
      <c r="F6" s="29" t="s">
        <v>61</v>
      </c>
      <c r="G6" s="25"/>
      <c r="H6" s="63"/>
      <c r="I6" s="110"/>
      <c r="J6" s="110"/>
      <c r="K6" s="3"/>
      <c r="L6" s="3"/>
      <c r="M6" s="3"/>
      <c r="N6" s="3"/>
      <c r="O6" s="5"/>
      <c r="P6" s="5"/>
      <c r="Q6" s="5"/>
      <c r="V6" s="110"/>
      <c r="W6" s="110"/>
      <c r="X6" s="110"/>
      <c r="Y6" s="3"/>
      <c r="Z6" s="3"/>
      <c r="AA6" s="3"/>
      <c r="AB6" s="3"/>
      <c r="AC6" s="5"/>
      <c r="AD6" s="5"/>
      <c r="AE6" s="5"/>
      <c r="AJ6" s="110"/>
      <c r="AK6" s="110"/>
    </row>
    <row r="7" spans="1:37" s="59" customFormat="1" ht="14">
      <c r="A7" s="65" t="s">
        <v>62</v>
      </c>
      <c r="B7" s="8"/>
      <c r="C7" s="8"/>
      <c r="D7" s="8"/>
      <c r="E7" s="29" t="s">
        <v>63</v>
      </c>
      <c r="F7" s="13"/>
      <c r="G7" s="29" t="s">
        <v>64</v>
      </c>
      <c r="H7" s="63"/>
      <c r="I7" s="110"/>
      <c r="J7" s="110"/>
      <c r="K7" s="285" t="s">
        <v>377</v>
      </c>
      <c r="L7" s="184"/>
      <c r="M7" s="184"/>
      <c r="N7" s="184"/>
      <c r="O7" s="184"/>
      <c r="P7" s="184"/>
      <c r="Q7" s="184"/>
      <c r="V7" s="110"/>
      <c r="W7" s="110"/>
      <c r="X7" s="110"/>
      <c r="Y7" s="285" t="s">
        <v>377</v>
      </c>
      <c r="Z7" s="184"/>
      <c r="AA7" s="184"/>
      <c r="AB7" s="184"/>
      <c r="AC7" s="184"/>
      <c r="AD7" s="184"/>
      <c r="AE7" s="184"/>
      <c r="AJ7" s="110"/>
      <c r="AK7" s="110"/>
    </row>
    <row r="8" spans="1:37" ht="14">
      <c r="A8" s="8" t="s">
        <v>65</v>
      </c>
      <c r="B8" s="8"/>
      <c r="C8" s="16">
        <v>23042.61</v>
      </c>
      <c r="D8" s="16"/>
      <c r="E8" s="8"/>
      <c r="F8" s="8"/>
      <c r="G8" s="8"/>
      <c r="H8" s="63"/>
      <c r="I8" s="110"/>
      <c r="J8" s="110"/>
      <c r="K8" s="285" t="s">
        <v>458</v>
      </c>
      <c r="L8" s="184"/>
      <c r="M8" s="184"/>
      <c r="N8" s="184"/>
      <c r="O8" s="184"/>
      <c r="P8" s="184"/>
      <c r="Q8" s="184"/>
      <c r="V8" s="110"/>
      <c r="W8" s="110"/>
      <c r="X8" s="110"/>
      <c r="Y8" s="285" t="s">
        <v>458</v>
      </c>
      <c r="Z8" s="184"/>
      <c r="AA8" s="184"/>
      <c r="AB8" s="184"/>
      <c r="AC8" s="184"/>
      <c r="AD8" s="184"/>
      <c r="AE8" s="184"/>
      <c r="AJ8" s="110"/>
      <c r="AK8" s="110"/>
    </row>
    <row r="9" spans="1:37" ht="14">
      <c r="A9" s="8" t="s">
        <v>66</v>
      </c>
      <c r="B9" s="8"/>
      <c r="C9" s="20">
        <v>19772.292000000001</v>
      </c>
      <c r="D9" s="17"/>
      <c r="E9" s="8"/>
      <c r="F9" s="8"/>
      <c r="G9" s="8"/>
      <c r="H9" s="63"/>
      <c r="I9" s="63"/>
      <c r="J9" s="63"/>
      <c r="K9" s="285" t="s">
        <v>459</v>
      </c>
      <c r="L9" s="184"/>
      <c r="M9" s="184"/>
      <c r="N9" s="184"/>
      <c r="O9" s="184"/>
      <c r="P9" s="184"/>
      <c r="Q9" s="184"/>
      <c r="V9" s="63"/>
      <c r="W9" s="63"/>
      <c r="X9" s="63"/>
      <c r="Y9" s="285" t="s">
        <v>459</v>
      </c>
      <c r="Z9" s="184"/>
      <c r="AA9" s="184"/>
      <c r="AB9" s="184"/>
      <c r="AC9" s="184"/>
      <c r="AD9" s="184"/>
      <c r="AE9" s="184"/>
      <c r="AJ9" s="63"/>
      <c r="AK9" s="63"/>
    </row>
    <row r="10" spans="1:37" ht="14">
      <c r="A10" s="8" t="s">
        <v>67</v>
      </c>
      <c r="B10" s="8"/>
      <c r="C10" s="66">
        <f>C8-C9</f>
        <v>3270.3179999999993</v>
      </c>
      <c r="D10" s="17"/>
      <c r="E10" s="16">
        <v>-1856</v>
      </c>
      <c r="F10" s="16"/>
      <c r="G10" s="16">
        <v>5126.3180000000002</v>
      </c>
      <c r="H10" s="63"/>
      <c r="I10" s="116"/>
      <c r="J10" s="116"/>
      <c r="K10" s="285" t="s">
        <v>460</v>
      </c>
      <c r="L10" s="184"/>
      <c r="M10" s="184"/>
      <c r="N10" s="184"/>
      <c r="O10" s="184"/>
      <c r="P10" s="184"/>
      <c r="Q10" s="184"/>
      <c r="V10" s="116"/>
      <c r="W10" s="116"/>
      <c r="X10" s="116"/>
      <c r="Y10" s="285" t="s">
        <v>460</v>
      </c>
      <c r="Z10" s="184"/>
      <c r="AA10" s="184"/>
      <c r="AB10" s="184"/>
      <c r="AC10" s="184"/>
      <c r="AD10" s="184"/>
      <c r="AE10" s="184"/>
      <c r="AJ10" s="116"/>
      <c r="AK10" s="116"/>
    </row>
    <row r="11" spans="1:37" ht="14">
      <c r="A11" s="8" t="s">
        <v>68</v>
      </c>
      <c r="B11" s="8"/>
      <c r="C11" s="18">
        <v>-31336.334999999999</v>
      </c>
      <c r="D11" s="18"/>
      <c r="E11" s="8"/>
      <c r="F11" s="8"/>
      <c r="G11" s="8"/>
      <c r="H11" s="73"/>
      <c r="I11" s="63"/>
      <c r="J11" s="63"/>
      <c r="K11" s="285" t="s">
        <v>461</v>
      </c>
      <c r="L11" s="184"/>
      <c r="M11" s="184"/>
      <c r="N11" s="184"/>
      <c r="O11" s="184"/>
      <c r="P11" s="184"/>
      <c r="Q11" s="184"/>
      <c r="V11" s="63"/>
      <c r="W11" s="63"/>
      <c r="X11" s="63"/>
      <c r="Y11" s="285" t="s">
        <v>461</v>
      </c>
      <c r="Z11" s="184"/>
      <c r="AA11" s="184"/>
      <c r="AB11" s="184"/>
      <c r="AC11" s="184"/>
      <c r="AD11" s="184"/>
      <c r="AE11" s="184"/>
      <c r="AJ11" s="63"/>
      <c r="AK11" s="63"/>
    </row>
    <row r="12" spans="1:37">
      <c r="A12" s="8" t="s">
        <v>69</v>
      </c>
      <c r="B12" s="8"/>
      <c r="C12" s="18">
        <v>28989.870999999999</v>
      </c>
      <c r="D12" s="18"/>
      <c r="E12" s="18">
        <v>-128</v>
      </c>
      <c r="F12" s="8"/>
      <c r="G12" s="24">
        <v>-2218.4639999999999</v>
      </c>
      <c r="H12" s="71"/>
      <c r="I12" s="116"/>
      <c r="J12" s="116"/>
      <c r="K12" s="90"/>
      <c r="L12" s="3"/>
      <c r="M12" s="3"/>
      <c r="N12" s="3"/>
      <c r="O12" s="3"/>
      <c r="P12" s="3"/>
      <c r="Q12" s="3"/>
      <c r="V12" s="116"/>
      <c r="W12" s="116"/>
      <c r="X12" s="116"/>
      <c r="Y12" s="90"/>
      <c r="Z12" s="3"/>
      <c r="AA12" s="3"/>
      <c r="AB12" s="3"/>
      <c r="AC12" s="3"/>
      <c r="AD12" s="3"/>
      <c r="AE12" s="3"/>
      <c r="AJ12" s="116"/>
      <c r="AK12" s="116"/>
    </row>
    <row r="13" spans="1:37">
      <c r="A13" s="8" t="s">
        <v>70</v>
      </c>
      <c r="B13" s="8"/>
      <c r="C13" s="66">
        <f>SUM(C11:C12)</f>
        <v>-2346.4639999999999</v>
      </c>
      <c r="D13" s="17"/>
      <c r="E13" s="25"/>
      <c r="F13" s="8"/>
      <c r="G13" s="25"/>
      <c r="H13" s="62"/>
      <c r="I13" s="63"/>
      <c r="J13" s="63"/>
      <c r="K13" s="29"/>
      <c r="L13" s="25"/>
      <c r="M13" s="25"/>
      <c r="N13" s="25"/>
      <c r="O13" s="29" t="s">
        <v>1768</v>
      </c>
      <c r="P13" s="118"/>
      <c r="Q13" s="85"/>
      <c r="R13" s="119"/>
      <c r="S13" s="119"/>
      <c r="V13" s="63"/>
      <c r="W13" s="63"/>
      <c r="X13" s="63"/>
      <c r="Y13" s="29"/>
      <c r="Z13" s="25"/>
      <c r="AA13" s="25"/>
      <c r="AB13" s="25"/>
      <c r="AC13" s="29" t="s">
        <v>474</v>
      </c>
      <c r="AD13" s="118"/>
      <c r="AE13" s="85"/>
      <c r="AF13" s="119"/>
      <c r="AG13" s="119"/>
      <c r="AJ13" s="63"/>
      <c r="AK13" s="63"/>
    </row>
    <row r="14" spans="1:37">
      <c r="A14" s="8" t="s">
        <v>114</v>
      </c>
      <c r="B14" s="8"/>
      <c r="C14" s="67">
        <f>C10+C13</f>
        <v>923.85399999999936</v>
      </c>
      <c r="D14" s="17"/>
      <c r="E14" s="67">
        <f>SUM(E10:E13)</f>
        <v>-1984</v>
      </c>
      <c r="F14" s="18"/>
      <c r="G14" s="67">
        <f>SUM(G10:G13)</f>
        <v>2907.8540000000003</v>
      </c>
      <c r="H14" s="73"/>
      <c r="I14" s="116"/>
      <c r="J14" s="116"/>
      <c r="O14" s="181" t="s">
        <v>440</v>
      </c>
      <c r="P14" s="114"/>
      <c r="Q14" s="181" t="s">
        <v>473</v>
      </c>
      <c r="V14" s="116"/>
      <c r="W14" s="116"/>
      <c r="X14" s="116"/>
      <c r="AC14" s="181" t="s">
        <v>440</v>
      </c>
      <c r="AD14" s="114"/>
      <c r="AE14" s="181" t="s">
        <v>473</v>
      </c>
      <c r="AJ14" s="116"/>
      <c r="AK14" s="116"/>
    </row>
    <row r="15" spans="1:37">
      <c r="A15" s="8" t="s">
        <v>68</v>
      </c>
      <c r="B15" s="13"/>
      <c r="C15" s="18">
        <v>-9948.7469999999994</v>
      </c>
      <c r="D15" s="18"/>
      <c r="E15" s="8"/>
      <c r="F15" s="8"/>
      <c r="G15" s="8"/>
      <c r="H15" s="73"/>
      <c r="I15" s="63"/>
      <c r="J15" s="63"/>
      <c r="K15" s="8" t="s">
        <v>378</v>
      </c>
      <c r="L15" s="8"/>
      <c r="M15" s="179">
        <v>0.67</v>
      </c>
      <c r="N15" s="7"/>
      <c r="O15" s="121">
        <f>(Q17/0.67)-O16</f>
        <v>2972.7444029850744</v>
      </c>
      <c r="P15" s="3"/>
      <c r="Q15" s="176"/>
      <c r="V15" s="63"/>
      <c r="W15" s="63"/>
      <c r="X15" s="63"/>
      <c r="Y15" s="8" t="s">
        <v>378</v>
      </c>
      <c r="Z15" s="8"/>
      <c r="AA15" s="179">
        <v>0.67</v>
      </c>
      <c r="AB15" s="7"/>
      <c r="AC15" s="121">
        <f>(AE17/0.67)-AC16</f>
        <v>31108.955223880595</v>
      </c>
      <c r="AD15" s="3"/>
      <c r="AE15" s="176"/>
      <c r="AJ15" s="63"/>
      <c r="AK15" s="63"/>
    </row>
    <row r="16" spans="1:37" ht="13.5">
      <c r="A16" s="8" t="s">
        <v>69</v>
      </c>
      <c r="B16" s="8"/>
      <c r="C16" s="18">
        <v>12794.540999999999</v>
      </c>
      <c r="D16" s="18"/>
      <c r="E16" s="18">
        <v>-132.833</v>
      </c>
      <c r="F16" s="8"/>
      <c r="G16" s="24">
        <v>2978.627</v>
      </c>
      <c r="H16" s="73"/>
      <c r="I16" s="116"/>
      <c r="J16" s="116"/>
      <c r="K16" s="8" t="s">
        <v>379</v>
      </c>
      <c r="L16" s="8"/>
      <c r="M16" s="12" t="s">
        <v>471</v>
      </c>
      <c r="N16" s="7"/>
      <c r="O16" s="180"/>
      <c r="P16"/>
      <c r="Q16" s="57"/>
      <c r="R16" s="75"/>
      <c r="S16" s="75"/>
      <c r="T16" s="75"/>
      <c r="U16" s="75"/>
      <c r="V16" s="116"/>
      <c r="W16" s="116"/>
      <c r="X16" s="116"/>
      <c r="Y16" s="8" t="s">
        <v>379</v>
      </c>
      <c r="Z16" s="8"/>
      <c r="AA16" s="12" t="s">
        <v>471</v>
      </c>
      <c r="AB16" s="7"/>
      <c r="AC16" s="180"/>
      <c r="AD16"/>
      <c r="AE16" s="57"/>
      <c r="AF16" s="75"/>
      <c r="AG16" s="75"/>
      <c r="AH16" s="75"/>
      <c r="AI16" s="75"/>
      <c r="AJ16" s="116"/>
      <c r="AK16" s="116"/>
    </row>
    <row r="17" spans="1:38">
      <c r="A17" s="8" t="s">
        <v>456</v>
      </c>
      <c r="B17" s="8"/>
      <c r="C17" s="66">
        <f>SUM(C15:C16)</f>
        <v>2845.7939999999999</v>
      </c>
      <c r="D17" s="17"/>
      <c r="E17" s="25"/>
      <c r="F17" s="8"/>
      <c r="G17" s="25"/>
      <c r="H17" s="73"/>
      <c r="I17" s="63"/>
      <c r="J17" s="63"/>
      <c r="K17" s="8" t="s">
        <v>380</v>
      </c>
      <c r="L17" s="8"/>
      <c r="M17" s="7"/>
      <c r="N17" s="7"/>
      <c r="O17" s="43">
        <f>SUM(O15:O16)</f>
        <v>2972.7444029850744</v>
      </c>
      <c r="P17"/>
      <c r="Q17" s="53">
        <f>7966955/4/1000</f>
        <v>1991.73875</v>
      </c>
      <c r="R17" s="63"/>
      <c r="T17" s="63"/>
      <c r="U17" s="120"/>
      <c r="V17" s="63"/>
      <c r="W17" s="63"/>
      <c r="X17" s="63"/>
      <c r="Y17" s="8" t="s">
        <v>380</v>
      </c>
      <c r="Z17" s="8"/>
      <c r="AA17" s="7"/>
      <c r="AB17" s="7"/>
      <c r="AC17" s="43">
        <f>SUM(AC15:AC16)</f>
        <v>31108.955223880595</v>
      </c>
      <c r="AD17"/>
      <c r="AE17" s="53">
        <v>20843</v>
      </c>
      <c r="AF17" s="63"/>
      <c r="AH17" s="63"/>
      <c r="AI17" s="120"/>
      <c r="AJ17" s="63"/>
      <c r="AK17" s="63"/>
      <c r="AL17" s="60"/>
    </row>
    <row r="18" spans="1:38">
      <c r="A18" s="8" t="s">
        <v>115</v>
      </c>
      <c r="B18" s="8"/>
      <c r="C18" s="67">
        <f>C14+C17</f>
        <v>3769.6479999999992</v>
      </c>
      <c r="D18" s="69"/>
      <c r="E18" s="67">
        <f>SUM(E14:E17)</f>
        <v>-2116.8330000000001</v>
      </c>
      <c r="F18" s="18"/>
      <c r="G18" s="67">
        <f>SUM(G14:G17)</f>
        <v>5886.4809999999998</v>
      </c>
      <c r="H18" s="73"/>
      <c r="I18" s="117"/>
      <c r="J18" s="116"/>
      <c r="K18" s="8" t="s">
        <v>1769</v>
      </c>
      <c r="L18" s="8"/>
      <c r="M18" s="12" t="s">
        <v>471</v>
      </c>
      <c r="N18" s="7"/>
      <c r="O18" s="43">
        <f>-AA25/1000</f>
        <v>0</v>
      </c>
      <c r="P18"/>
      <c r="Q18" s="122"/>
      <c r="R18" s="63"/>
      <c r="S18" s="64"/>
      <c r="T18" s="63"/>
      <c r="U18" s="120"/>
      <c r="V18" s="117"/>
      <c r="W18" s="117"/>
      <c r="X18" s="117"/>
      <c r="Y18" s="8" t="s">
        <v>462</v>
      </c>
      <c r="Z18" s="8"/>
      <c r="AA18" s="12" t="s">
        <v>471</v>
      </c>
      <c r="AB18" s="7"/>
      <c r="AC18" s="43">
        <v>-10795</v>
      </c>
      <c r="AD18"/>
      <c r="AE18" s="122"/>
      <c r="AF18" s="63"/>
      <c r="AG18" s="64"/>
      <c r="AH18" s="63"/>
      <c r="AI18" s="120"/>
      <c r="AJ18" s="117"/>
      <c r="AK18" s="117"/>
      <c r="AL18" s="60"/>
    </row>
    <row r="19" spans="1:38">
      <c r="A19" s="8" t="s">
        <v>68</v>
      </c>
      <c r="B19" s="8"/>
      <c r="C19" s="69">
        <v>-13671.835685862799</v>
      </c>
      <c r="D19" s="69"/>
      <c r="E19" s="69"/>
      <c r="F19" s="38"/>
      <c r="G19" s="69"/>
      <c r="H19" s="73"/>
      <c r="I19" s="63"/>
      <c r="J19" s="63"/>
      <c r="K19" s="8" t="s">
        <v>1770</v>
      </c>
      <c r="L19" s="8"/>
      <c r="M19" s="12" t="s">
        <v>471</v>
      </c>
      <c r="N19" s="7"/>
      <c r="O19" s="43">
        <f>-AA26/1000</f>
        <v>0</v>
      </c>
      <c r="P19"/>
      <c r="Q19" s="53"/>
      <c r="R19" s="63"/>
      <c r="S19" s="64"/>
      <c r="T19" s="63"/>
      <c r="U19" s="120"/>
      <c r="V19" s="63"/>
      <c r="W19" s="63"/>
      <c r="X19" s="63"/>
      <c r="Y19" s="8" t="s">
        <v>463</v>
      </c>
      <c r="Z19" s="8"/>
      <c r="AA19" s="12" t="s">
        <v>471</v>
      </c>
      <c r="AB19" s="7"/>
      <c r="AC19" s="43">
        <v>-4300</v>
      </c>
      <c r="AD19"/>
      <c r="AE19" s="53"/>
      <c r="AF19" s="63"/>
      <c r="AG19" s="64"/>
      <c r="AH19" s="63"/>
      <c r="AI19" s="120"/>
      <c r="AJ19" s="63"/>
      <c r="AK19" s="63"/>
      <c r="AL19" s="60"/>
    </row>
    <row r="20" spans="1:38">
      <c r="A20" s="8" t="s">
        <v>69</v>
      </c>
      <c r="B20" s="8"/>
      <c r="C20" s="38">
        <v>15001.163</v>
      </c>
      <c r="D20" s="38"/>
      <c r="E20" s="38">
        <v>-138.453330289577</v>
      </c>
      <c r="F20" s="38"/>
      <c r="G20" s="38">
        <v>1467.78107858254</v>
      </c>
      <c r="H20" s="73"/>
      <c r="I20" s="116"/>
      <c r="J20" s="116"/>
      <c r="K20" s="8" t="s">
        <v>1771</v>
      </c>
      <c r="L20" s="8"/>
      <c r="M20" s="12" t="s">
        <v>471</v>
      </c>
      <c r="N20" s="7"/>
      <c r="O20" s="43">
        <f>-AA27/1000</f>
        <v>0</v>
      </c>
      <c r="P20"/>
      <c r="Q20" s="53"/>
      <c r="R20" s="63"/>
      <c r="S20" s="64"/>
      <c r="T20" s="63"/>
      <c r="U20" s="120"/>
      <c r="V20" s="116"/>
      <c r="W20" s="116"/>
      <c r="X20" s="116"/>
      <c r="Y20" s="8" t="s">
        <v>464</v>
      </c>
      <c r="Z20" s="8"/>
      <c r="AA20" s="12" t="s">
        <v>471</v>
      </c>
      <c r="AB20" s="7"/>
      <c r="AC20" s="43">
        <v>-7257</v>
      </c>
      <c r="AD20"/>
      <c r="AE20" s="53"/>
      <c r="AF20" s="63"/>
      <c r="AG20" s="64"/>
      <c r="AH20" s="63"/>
      <c r="AI20" s="120"/>
      <c r="AJ20" s="116"/>
      <c r="AK20" s="116"/>
      <c r="AL20" s="60"/>
    </row>
    <row r="21" spans="1:38" ht="13.5" thickBot="1">
      <c r="A21" s="8" t="s">
        <v>456</v>
      </c>
      <c r="B21" s="8"/>
      <c r="C21" s="66">
        <f>SUM(C19:C20)</f>
        <v>1329.327314137201</v>
      </c>
      <c r="D21" s="69"/>
      <c r="E21" s="70"/>
      <c r="F21" s="38"/>
      <c r="G21" s="70"/>
      <c r="H21" s="63"/>
      <c r="I21" s="63"/>
      <c r="J21" s="63"/>
      <c r="K21" s="8" t="s">
        <v>1772</v>
      </c>
      <c r="L21" s="8"/>
      <c r="M21" s="7" t="s">
        <v>472</v>
      </c>
      <c r="N21" s="7"/>
      <c r="O21" s="165">
        <f>SUM(O17:O20)</f>
        <v>2972.7444029850744</v>
      </c>
      <c r="P21"/>
      <c r="Q21" s="53"/>
      <c r="R21" s="63"/>
      <c r="S21" s="121"/>
      <c r="T21" s="63"/>
      <c r="U21" s="120"/>
      <c r="V21" s="63"/>
      <c r="W21" s="63"/>
      <c r="X21" s="63"/>
      <c r="Y21" s="8" t="s">
        <v>465</v>
      </c>
      <c r="Z21" s="8"/>
      <c r="AA21" s="7" t="s">
        <v>472</v>
      </c>
      <c r="AB21" s="7"/>
      <c r="AC21" s="165">
        <f>SUM(AC17:AC20)</f>
        <v>8756.9552238805954</v>
      </c>
      <c r="AD21"/>
      <c r="AE21" s="53"/>
      <c r="AF21" s="63"/>
      <c r="AG21" s="121"/>
      <c r="AH21" s="63"/>
      <c r="AI21" s="120"/>
      <c r="AJ21" s="63"/>
      <c r="AK21" s="63"/>
    </row>
    <row r="22" spans="1:38" ht="13.5" thickTop="1">
      <c r="A22" s="8" t="s">
        <v>116</v>
      </c>
      <c r="B22" s="8"/>
      <c r="C22" s="67">
        <f>C18+C21</f>
        <v>5098.9753141372003</v>
      </c>
      <c r="D22" s="69"/>
      <c r="E22" s="67">
        <f>SUM(E18:E21)</f>
        <v>-2255.2863302895771</v>
      </c>
      <c r="F22" s="18"/>
      <c r="G22" s="67">
        <f>SUM(G18:G21)</f>
        <v>7354.2620785825402</v>
      </c>
      <c r="H22" s="63"/>
      <c r="I22" s="117"/>
      <c r="J22" s="117"/>
      <c r="K22" s="63"/>
      <c r="P22"/>
      <c r="Q22" s="90"/>
      <c r="R22" s="63"/>
      <c r="S22" s="75"/>
      <c r="T22" s="63"/>
      <c r="U22" s="63"/>
      <c r="V22" s="117"/>
      <c r="W22" s="117"/>
      <c r="X22" s="117"/>
      <c r="Y22" s="63"/>
      <c r="AD22"/>
      <c r="AE22" s="90"/>
      <c r="AF22" s="63"/>
      <c r="AG22" s="75"/>
      <c r="AH22" s="63"/>
      <c r="AI22" s="63"/>
      <c r="AJ22" s="117"/>
      <c r="AK22" s="117"/>
      <c r="AL22" s="60"/>
    </row>
    <row r="23" spans="1:38">
      <c r="A23" s="8" t="s">
        <v>68</v>
      </c>
      <c r="B23" s="8"/>
      <c r="C23" s="69">
        <v>-16149.423405574413</v>
      </c>
      <c r="D23" s="69"/>
      <c r="E23" s="69"/>
      <c r="F23" s="69"/>
      <c r="G23" s="69"/>
      <c r="H23" s="63"/>
      <c r="I23" s="63"/>
      <c r="J23" s="63"/>
      <c r="K23" s="25" t="s">
        <v>1773</v>
      </c>
      <c r="L23" s="7"/>
      <c r="M23" s="7"/>
      <c r="N23" s="7"/>
      <c r="O23" s="43" t="s">
        <v>440</v>
      </c>
      <c r="P23"/>
      <c r="Q23" s="85" t="s">
        <v>475</v>
      </c>
      <c r="R23" s="114"/>
      <c r="S23" s="115" t="s">
        <v>99</v>
      </c>
      <c r="T23" s="114"/>
      <c r="U23" s="115" t="s">
        <v>79</v>
      </c>
      <c r="V23" s="63"/>
      <c r="W23" s="63"/>
      <c r="X23" s="63"/>
      <c r="Y23" s="25" t="s">
        <v>470</v>
      </c>
      <c r="Z23" s="7"/>
      <c r="AA23" s="7"/>
      <c r="AB23" s="7"/>
      <c r="AC23" s="43" t="s">
        <v>440</v>
      </c>
      <c r="AD23"/>
      <c r="AE23" s="85" t="s">
        <v>475</v>
      </c>
      <c r="AF23" s="114"/>
      <c r="AG23" s="115" t="s">
        <v>99</v>
      </c>
      <c r="AH23" s="114"/>
      <c r="AI23" s="115" t="s">
        <v>79</v>
      </c>
      <c r="AJ23" s="63"/>
      <c r="AK23" s="63"/>
    </row>
    <row r="24" spans="1:38">
      <c r="A24" s="8" t="s">
        <v>69</v>
      </c>
      <c r="B24" s="8"/>
      <c r="C24" s="69">
        <v>19990.111960000002</v>
      </c>
      <c r="D24" s="38"/>
      <c r="E24" s="38"/>
      <c r="F24" s="38"/>
      <c r="G24" s="38">
        <f>SUM(C23:C24)</f>
        <v>3840.6885544255892</v>
      </c>
      <c r="I24" s="116"/>
      <c r="J24" s="116"/>
      <c r="K24" s="3" t="s">
        <v>1774</v>
      </c>
      <c r="L24" s="3"/>
      <c r="M24" s="7"/>
      <c r="N24" s="7"/>
      <c r="O24" s="168">
        <f>O21</f>
        <v>2972.7444029850744</v>
      </c>
      <c r="P24"/>
      <c r="Q24" s="43">
        <f>O24*0.67</f>
        <v>1991.73875</v>
      </c>
      <c r="S24" s="112">
        <v>1040</v>
      </c>
      <c r="U24" s="113">
        <f>Q24-S24</f>
        <v>951.73874999999998</v>
      </c>
      <c r="V24" s="116"/>
      <c r="W24" s="116"/>
      <c r="X24" s="116"/>
      <c r="Y24" s="3" t="s">
        <v>466</v>
      </c>
      <c r="Z24" s="3"/>
      <c r="AA24" s="7"/>
      <c r="AB24" s="7"/>
      <c r="AC24" s="168">
        <f>AC21</f>
        <v>8756.9552238805954</v>
      </c>
      <c r="AD24"/>
      <c r="AE24" s="43">
        <f>AC24*0.67</f>
        <v>5867.1599999999989</v>
      </c>
      <c r="AG24" s="112">
        <v>3832</v>
      </c>
      <c r="AI24" s="113">
        <f>AE24-AG24</f>
        <v>2035.1599999999989</v>
      </c>
      <c r="AJ24" s="116"/>
      <c r="AK24" s="116"/>
    </row>
    <row r="25" spans="1:38">
      <c r="A25" s="8" t="s">
        <v>456</v>
      </c>
      <c r="B25" s="8"/>
      <c r="C25" s="66">
        <f>SUM(C23:C24)</f>
        <v>3840.6885544255892</v>
      </c>
      <c r="D25" s="69"/>
      <c r="E25" s="70"/>
      <c r="F25" s="38"/>
      <c r="G25" s="70"/>
      <c r="H25" s="73"/>
      <c r="I25" s="63"/>
      <c r="J25" s="63"/>
      <c r="K25" s="3" t="s">
        <v>1775</v>
      </c>
      <c r="L25" s="3"/>
      <c r="M25" s="3"/>
      <c r="N25" s="3"/>
      <c r="O25" s="38">
        <f>'ct &amp; wa ti 12-31-16'!J34/1000</f>
        <v>1527.190547336055</v>
      </c>
      <c r="P25"/>
      <c r="Q25" s="43">
        <f>O25*0.67</f>
        <v>1023.217666715157</v>
      </c>
      <c r="S25" s="112">
        <v>844</v>
      </c>
      <c r="U25" s="113">
        <f>Q25-S25</f>
        <v>179.21766671515695</v>
      </c>
      <c r="V25" s="63"/>
      <c r="W25" s="63"/>
      <c r="X25" s="63"/>
      <c r="Y25" s="3" t="s">
        <v>467</v>
      </c>
      <c r="Z25" s="3"/>
      <c r="AA25" s="3"/>
      <c r="AB25" s="3"/>
      <c r="AC25" s="38">
        <v>7069</v>
      </c>
      <c r="AD25"/>
      <c r="AE25" s="43">
        <f>AC25*0.67</f>
        <v>4736.2300000000005</v>
      </c>
      <c r="AG25" s="112">
        <v>3103</v>
      </c>
      <c r="AI25" s="113">
        <f>AE25-AG25</f>
        <v>1633.2300000000005</v>
      </c>
      <c r="AJ25" s="63"/>
      <c r="AK25" s="63"/>
    </row>
    <row r="26" spans="1:38">
      <c r="A26" s="8" t="s">
        <v>117</v>
      </c>
      <c r="B26" s="8"/>
      <c r="C26" s="67">
        <v>8940</v>
      </c>
      <c r="D26" s="69"/>
      <c r="E26" s="69"/>
      <c r="F26" s="38"/>
      <c r="G26" s="69"/>
      <c r="H26" s="73"/>
      <c r="I26" s="117"/>
      <c r="J26" s="117"/>
      <c r="K26" s="3" t="s">
        <v>1776</v>
      </c>
      <c r="L26" s="3"/>
      <c r="M26" s="3"/>
      <c r="N26" s="3"/>
      <c r="O26" s="38">
        <f>'ct &amp; wa ti 12-31-16'!K34/1000</f>
        <v>151.50797686467413</v>
      </c>
      <c r="P26"/>
      <c r="Q26" s="43">
        <f>O26*0.67</f>
        <v>101.51034449933168</v>
      </c>
      <c r="S26" s="112">
        <v>-1750</v>
      </c>
      <c r="U26" s="113">
        <f>Q26-S26</f>
        <v>1851.5103444993317</v>
      </c>
      <c r="V26" s="117"/>
      <c r="W26" s="117"/>
      <c r="X26" s="117"/>
      <c r="Y26" s="3" t="s">
        <v>468</v>
      </c>
      <c r="Z26" s="3"/>
      <c r="AA26" s="3"/>
      <c r="AB26" s="3"/>
      <c r="AC26" s="38">
        <v>7128</v>
      </c>
      <c r="AD26"/>
      <c r="AE26" s="43">
        <f>AC26*0.67</f>
        <v>4775.76</v>
      </c>
      <c r="AG26" s="112">
        <v>2443</v>
      </c>
      <c r="AI26" s="113">
        <f>AE26-AG26</f>
        <v>2332.7600000000002</v>
      </c>
      <c r="AJ26" s="117"/>
      <c r="AK26" s="117"/>
    </row>
    <row r="27" spans="1:38">
      <c r="A27" s="8" t="s">
        <v>68</v>
      </c>
      <c r="B27" s="8"/>
      <c r="C27" s="67">
        <f>-AG28</f>
        <v>-20230</v>
      </c>
      <c r="D27" s="69"/>
      <c r="E27" s="69"/>
      <c r="F27" s="38"/>
      <c r="G27" s="69"/>
      <c r="H27" s="73"/>
      <c r="I27" s="73"/>
      <c r="J27" s="73"/>
      <c r="K27" s="3" t="s">
        <v>1777</v>
      </c>
      <c r="L27" s="3"/>
      <c r="M27" s="3"/>
      <c r="N27" s="3"/>
      <c r="O27" s="70">
        <f>'ct &amp; wa ti 12-31-16'!L34/1000</f>
        <v>-8410.6186154468487</v>
      </c>
      <c r="P27"/>
      <c r="Q27" s="43">
        <f>O27*0.67</f>
        <v>-5635.114472349389</v>
      </c>
      <c r="S27" s="112">
        <f>-'wa tb - 2016'!D501/1000</f>
        <v>-9606.931749999887</v>
      </c>
      <c r="U27" s="113">
        <f>Q27-S27</f>
        <v>3971.817277650498</v>
      </c>
      <c r="V27" s="73"/>
      <c r="W27" s="73"/>
      <c r="X27" s="73"/>
      <c r="Y27" s="3" t="s">
        <v>469</v>
      </c>
      <c r="Z27" s="3"/>
      <c r="AA27" s="3"/>
      <c r="AB27" s="3"/>
      <c r="AC27" s="70">
        <v>-679</v>
      </c>
      <c r="AD27"/>
      <c r="AE27" s="43">
        <f>AC27*0.67</f>
        <v>-454.93</v>
      </c>
      <c r="AG27" s="112">
        <f>20230-AG26-AG25-AG24</f>
        <v>10852</v>
      </c>
      <c r="AI27" s="113">
        <f>AE27-AG27</f>
        <v>-11306.93</v>
      </c>
      <c r="AJ27" s="73"/>
      <c r="AK27" s="73"/>
    </row>
    <row r="28" spans="1:38" ht="13.5" thickBot="1">
      <c r="A28" s="8" t="s">
        <v>69</v>
      </c>
      <c r="B28" s="8"/>
      <c r="C28" s="69">
        <f>AE28</f>
        <v>14924.22</v>
      </c>
      <c r="D28" s="69"/>
      <c r="E28" s="69"/>
      <c r="F28" s="38"/>
      <c r="G28" s="69"/>
      <c r="H28" s="73"/>
      <c r="I28" s="73"/>
      <c r="J28" s="73"/>
      <c r="K28" s="3" t="s">
        <v>381</v>
      </c>
      <c r="L28" s="3"/>
      <c r="M28" s="3"/>
      <c r="N28" s="3"/>
      <c r="O28" s="160">
        <f>SUM(O24:O27)</f>
        <v>-3759.1756882610453</v>
      </c>
      <c r="P28"/>
      <c r="Q28" s="165">
        <f>SUM(Q24:Q27)</f>
        <v>-2518.6477111349004</v>
      </c>
      <c r="R28" s="176"/>
      <c r="S28" s="165">
        <f>SUM(S24:S27)</f>
        <v>-9472.931749999887</v>
      </c>
      <c r="T28" s="176"/>
      <c r="U28" s="165">
        <f>SUM(U24:U27)</f>
        <v>6954.2840388649865</v>
      </c>
      <c r="V28" s="73"/>
      <c r="W28" s="73"/>
      <c r="X28" s="73"/>
      <c r="Y28" s="3" t="s">
        <v>381</v>
      </c>
      <c r="Z28" s="3"/>
      <c r="AA28" s="3"/>
      <c r="AB28" s="3"/>
      <c r="AC28" s="160">
        <f>SUM(AC24:AC27)</f>
        <v>22274.955223880595</v>
      </c>
      <c r="AD28"/>
      <c r="AE28" s="165">
        <f>SUM(AE24:AE27)</f>
        <v>14924.22</v>
      </c>
      <c r="AF28" s="176"/>
      <c r="AG28" s="165">
        <f>SUM(AG24:AG27)</f>
        <v>20230</v>
      </c>
      <c r="AH28" s="176"/>
      <c r="AI28" s="165">
        <f>SUM(AI24:AI27)</f>
        <v>-5305.7800000000007</v>
      </c>
      <c r="AJ28" s="73"/>
      <c r="AK28" s="73"/>
    </row>
    <row r="29" spans="1:38" ht="13.5" thickTop="1">
      <c r="A29" s="8" t="s">
        <v>456</v>
      </c>
      <c r="B29" s="8"/>
      <c r="C29" s="66">
        <f>SUM(C27:C28)</f>
        <v>-5305.7800000000007</v>
      </c>
      <c r="D29" s="69"/>
      <c r="E29" s="69"/>
      <c r="F29" s="38"/>
      <c r="G29" s="69"/>
      <c r="K29" s="3"/>
      <c r="L29" s="3"/>
      <c r="M29" s="178"/>
      <c r="N29" s="178"/>
      <c r="O29" s="340"/>
      <c r="P29"/>
      <c r="Q29"/>
      <c r="S29" s="114"/>
      <c r="Y29" s="3"/>
      <c r="Z29" s="3"/>
      <c r="AA29" s="178"/>
      <c r="AB29" s="178"/>
      <c r="AC29" s="340"/>
      <c r="AD29"/>
      <c r="AE29"/>
      <c r="AG29" s="114"/>
    </row>
    <row r="30" spans="1:38">
      <c r="A30" s="8" t="s">
        <v>457</v>
      </c>
      <c r="B30" s="8"/>
      <c r="C30" s="66">
        <f>C26+C29</f>
        <v>3634.2199999999993</v>
      </c>
      <c r="D30" s="69"/>
      <c r="E30" s="69"/>
      <c r="F30" s="38"/>
      <c r="G30" s="69"/>
      <c r="O30" s="75"/>
      <c r="S30" s="131"/>
      <c r="U30" s="113"/>
      <c r="AC30" s="75"/>
      <c r="AG30" s="131"/>
      <c r="AI30" s="113"/>
    </row>
    <row r="31" spans="1:38">
      <c r="A31" s="8" t="s">
        <v>68</v>
      </c>
      <c r="B31" s="8"/>
      <c r="C31" s="69">
        <f>-S28</f>
        <v>9472.931749999887</v>
      </c>
      <c r="D31" s="69"/>
      <c r="E31" s="69"/>
      <c r="F31" s="69"/>
      <c r="G31" s="69"/>
    </row>
    <row r="32" spans="1:38">
      <c r="A32" s="8" t="s">
        <v>69</v>
      </c>
      <c r="B32" s="8"/>
      <c r="C32" s="69">
        <f>Q28</f>
        <v>-2518.6477111349004</v>
      </c>
      <c r="D32" s="38"/>
      <c r="E32" s="38"/>
      <c r="F32" s="38"/>
      <c r="G32" s="38">
        <f>SUM(C31:C32)</f>
        <v>6954.2840388649865</v>
      </c>
    </row>
    <row r="33" spans="1:7">
      <c r="A33" s="8" t="s">
        <v>456</v>
      </c>
      <c r="B33" s="8"/>
      <c r="C33" s="66">
        <f>C31-C32</f>
        <v>11991.579461134788</v>
      </c>
      <c r="D33" s="69"/>
      <c r="E33" s="70"/>
      <c r="F33" s="38"/>
      <c r="G33" s="70"/>
    </row>
    <row r="34" spans="1:7" ht="13.5" thickBot="1">
      <c r="A34" s="8" t="s">
        <v>2271</v>
      </c>
      <c r="B34" s="8"/>
      <c r="C34" s="160">
        <f>C30+C33</f>
        <v>15625.799461134788</v>
      </c>
      <c r="D34" s="15"/>
      <c r="E34" s="160">
        <f>SUM(E31:E33)</f>
        <v>0</v>
      </c>
      <c r="F34" s="174"/>
      <c r="G34" s="160">
        <f>SUM(G31:G33)</f>
        <v>6954.2840388649865</v>
      </c>
    </row>
    <row r="35" spans="1:7" ht="13.5" thickTop="1"/>
    <row r="47" spans="1:7" ht="13.5">
      <c r="A47" s="560" t="s">
        <v>1767</v>
      </c>
    </row>
    <row r="48" spans="1:7">
      <c r="C48" s="58" t="s">
        <v>1245</v>
      </c>
    </row>
    <row r="49" spans="1:7">
      <c r="F49" s="58" t="s">
        <v>61</v>
      </c>
    </row>
    <row r="50" spans="1:7">
      <c r="A50" s="346" t="s">
        <v>62</v>
      </c>
      <c r="E50" s="58" t="s">
        <v>63</v>
      </c>
      <c r="G50" s="58" t="s">
        <v>64</v>
      </c>
    </row>
    <row r="51" spans="1:7">
      <c r="A51" s="58" t="s">
        <v>65</v>
      </c>
      <c r="C51" s="347">
        <v>23042610</v>
      </c>
    </row>
    <row r="52" spans="1:7">
      <c r="A52" s="58" t="s">
        <v>66</v>
      </c>
      <c r="C52" s="113">
        <v>19772292</v>
      </c>
    </row>
    <row r="53" spans="1:7">
      <c r="A53" s="58" t="s">
        <v>67</v>
      </c>
      <c r="C53" s="113">
        <v>3270318</v>
      </c>
      <c r="E53" s="347">
        <v>-1856000</v>
      </c>
      <c r="F53" s="347"/>
      <c r="G53" s="347">
        <v>5126318</v>
      </c>
    </row>
    <row r="54" spans="1:7">
      <c r="A54" s="58" t="s">
        <v>68</v>
      </c>
      <c r="C54" s="113">
        <v>-31336335</v>
      </c>
    </row>
    <row r="55" spans="1:7">
      <c r="A55" s="58" t="s">
        <v>69</v>
      </c>
      <c r="C55" s="113">
        <v>28989871</v>
      </c>
      <c r="E55" s="113">
        <v>-128000</v>
      </c>
      <c r="G55" s="113">
        <v>-2218464</v>
      </c>
    </row>
    <row r="56" spans="1:7">
      <c r="A56" s="58" t="s">
        <v>70</v>
      </c>
      <c r="C56" s="113">
        <v>-2346464</v>
      </c>
    </row>
    <row r="57" spans="1:7">
      <c r="A57" s="58" t="s">
        <v>1246</v>
      </c>
      <c r="C57" s="113">
        <v>923854</v>
      </c>
      <c r="D57" s="113"/>
      <c r="E57" s="113">
        <v>-1984000</v>
      </c>
      <c r="F57" s="113"/>
      <c r="G57" s="113">
        <v>2907854</v>
      </c>
    </row>
    <row r="58" spans="1:7">
      <c r="A58" s="58" t="s">
        <v>68</v>
      </c>
      <c r="C58" s="113">
        <v>-15047580.740000037</v>
      </c>
    </row>
    <row r="59" spans="1:7">
      <c r="A59" s="58" t="s">
        <v>69</v>
      </c>
      <c r="C59" s="113">
        <v>12794541.222901713</v>
      </c>
      <c r="E59" s="113">
        <v>-132833</v>
      </c>
      <c r="G59" s="113">
        <v>-2120206.5170983244</v>
      </c>
    </row>
    <row r="60" spans="1:7">
      <c r="A60" s="58" t="s">
        <v>70</v>
      </c>
      <c r="C60" s="113">
        <v>-2253039.5170983244</v>
      </c>
    </row>
    <row r="61" spans="1:7">
      <c r="A61" s="58" t="s">
        <v>1247</v>
      </c>
      <c r="C61" s="347">
        <v>-1329185.5170983244</v>
      </c>
      <c r="D61" s="347"/>
      <c r="E61" s="347">
        <v>-2116833</v>
      </c>
      <c r="F61" s="347"/>
      <c r="G61" s="347">
        <v>787647.48290167563</v>
      </c>
    </row>
  </sheetData>
  <pageMargins left="0.2" right="0.2" top="0.17" bottom="0.37" header="0.17" footer="0.17"/>
  <pageSetup scale="68" orientation="landscape" r:id="rId1"/>
  <headerFooter>
    <oddFooter>&amp;L&amp;"Times New Roman,Regular"April 14, 2016&amp;C&amp;"Times New Roman,Regular"confidential and proprietary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M69"/>
  <sheetViews>
    <sheetView topLeftCell="A6" zoomScale="80" zoomScaleNormal="80" workbookViewId="0">
      <selection activeCell="L25" sqref="L25"/>
    </sheetView>
  </sheetViews>
  <sheetFormatPr defaultRowHeight="12.5"/>
  <cols>
    <col min="1" max="1" width="12.54296875" style="1" customWidth="1"/>
    <col min="2" max="2" width="12.26953125" style="1" bestFit="1" customWidth="1"/>
    <col min="3" max="3" width="22" style="1" customWidth="1"/>
    <col min="4" max="4" width="18" style="1" bestFit="1" customWidth="1"/>
    <col min="5" max="5" width="11.26953125" style="1" bestFit="1" customWidth="1"/>
    <col min="6" max="6" width="13" style="1" bestFit="1" customWidth="1"/>
    <col min="7" max="7" width="4.26953125" style="1" customWidth="1"/>
    <col min="8" max="8" width="16.7265625" style="1" customWidth="1"/>
    <col min="9" max="9" width="7.1796875" style="1" customWidth="1"/>
    <col min="10" max="10" width="17.26953125" style="1" customWidth="1"/>
    <col min="11" max="11" width="18.81640625" style="1" customWidth="1"/>
    <col min="12" max="12" width="20.1796875" style="1" customWidth="1"/>
    <col min="13" max="13" width="10.81640625" style="1" bestFit="1" customWidth="1"/>
    <col min="14" max="14" width="17.26953125" style="1" customWidth="1"/>
    <col min="15" max="15" width="13" style="1" bestFit="1" customWidth="1"/>
    <col min="16" max="16" width="0.81640625" style="1" customWidth="1"/>
    <col min="17" max="17" width="10.7265625" style="1" bestFit="1" customWidth="1"/>
    <col min="18" max="18" width="1.453125" style="1" customWidth="1"/>
    <col min="19" max="251" width="9.1796875" style="1"/>
    <col min="252" max="252" width="7.7265625" style="1" customWidth="1"/>
    <col min="253" max="253" width="12.54296875" style="1" customWidth="1"/>
    <col min="254" max="254" width="12.26953125" style="1" bestFit="1" customWidth="1"/>
    <col min="255" max="255" width="10.453125" style="1" customWidth="1"/>
    <col min="256" max="256" width="9.1796875" style="1"/>
    <col min="257" max="258" width="11.26953125" style="1" bestFit="1" customWidth="1"/>
    <col min="259" max="259" width="4.26953125" style="1" customWidth="1"/>
    <col min="260" max="260" width="18.26953125" style="1" customWidth="1"/>
    <col min="261" max="261" width="9.1796875" style="1"/>
    <col min="262" max="262" width="20" style="1" customWidth="1"/>
    <col min="263" max="263" width="21.7265625" style="1" customWidth="1"/>
    <col min="264" max="264" width="18.453125" style="1" customWidth="1"/>
    <col min="265" max="265" width="15.81640625" style="1" customWidth="1"/>
    <col min="266" max="266" width="9.1796875" style="1"/>
    <col min="267" max="267" width="18.7265625" style="1" customWidth="1"/>
    <col min="268" max="268" width="15.26953125" style="1" customWidth="1"/>
    <col min="269" max="507" width="9.1796875" style="1"/>
    <col min="508" max="508" width="7.7265625" style="1" customWidth="1"/>
    <col min="509" max="509" width="12.54296875" style="1" customWidth="1"/>
    <col min="510" max="510" width="12.26953125" style="1" bestFit="1" customWidth="1"/>
    <col min="511" max="511" width="10.453125" style="1" customWidth="1"/>
    <col min="512" max="512" width="9.1796875" style="1"/>
    <col min="513" max="514" width="11.26953125" style="1" bestFit="1" customWidth="1"/>
    <col min="515" max="515" width="4.26953125" style="1" customWidth="1"/>
    <col min="516" max="516" width="18.26953125" style="1" customWidth="1"/>
    <col min="517" max="517" width="9.1796875" style="1"/>
    <col min="518" max="518" width="20" style="1" customWidth="1"/>
    <col min="519" max="519" width="21.7265625" style="1" customWidth="1"/>
    <col min="520" max="520" width="18.453125" style="1" customWidth="1"/>
    <col min="521" max="521" width="15.81640625" style="1" customWidth="1"/>
    <col min="522" max="522" width="9.1796875" style="1"/>
    <col min="523" max="523" width="18.7265625" style="1" customWidth="1"/>
    <col min="524" max="524" width="15.26953125" style="1" customWidth="1"/>
    <col min="525" max="763" width="9.1796875" style="1"/>
    <col min="764" max="764" width="7.7265625" style="1" customWidth="1"/>
    <col min="765" max="765" width="12.54296875" style="1" customWidth="1"/>
    <col min="766" max="766" width="12.26953125" style="1" bestFit="1" customWidth="1"/>
    <col min="767" max="767" width="10.453125" style="1" customWidth="1"/>
    <col min="768" max="768" width="9.1796875" style="1"/>
    <col min="769" max="770" width="11.26953125" style="1" bestFit="1" customWidth="1"/>
    <col min="771" max="771" width="4.26953125" style="1" customWidth="1"/>
    <col min="772" max="772" width="18.26953125" style="1" customWidth="1"/>
    <col min="773" max="773" width="9.1796875" style="1"/>
    <col min="774" max="774" width="20" style="1" customWidth="1"/>
    <col min="775" max="775" width="21.7265625" style="1" customWidth="1"/>
    <col min="776" max="776" width="18.453125" style="1" customWidth="1"/>
    <col min="777" max="777" width="15.81640625" style="1" customWidth="1"/>
    <col min="778" max="778" width="9.1796875" style="1"/>
    <col min="779" max="779" width="18.7265625" style="1" customWidth="1"/>
    <col min="780" max="780" width="15.26953125" style="1" customWidth="1"/>
    <col min="781" max="1019" width="9.1796875" style="1"/>
    <col min="1020" max="1020" width="7.7265625" style="1" customWidth="1"/>
    <col min="1021" max="1021" width="12.54296875" style="1" customWidth="1"/>
    <col min="1022" max="1022" width="12.26953125" style="1" bestFit="1" customWidth="1"/>
    <col min="1023" max="1023" width="10.453125" style="1" customWidth="1"/>
    <col min="1024" max="1024" width="9.1796875" style="1"/>
    <col min="1025" max="1026" width="11.26953125" style="1" bestFit="1" customWidth="1"/>
    <col min="1027" max="1027" width="4.26953125" style="1" customWidth="1"/>
    <col min="1028" max="1028" width="18.26953125" style="1" customWidth="1"/>
    <col min="1029" max="1029" width="9.1796875" style="1"/>
    <col min="1030" max="1030" width="20" style="1" customWidth="1"/>
    <col min="1031" max="1031" width="21.7265625" style="1" customWidth="1"/>
    <col min="1032" max="1032" width="18.453125" style="1" customWidth="1"/>
    <col min="1033" max="1033" width="15.81640625" style="1" customWidth="1"/>
    <col min="1034" max="1034" width="9.1796875" style="1"/>
    <col min="1035" max="1035" width="18.7265625" style="1" customWidth="1"/>
    <col min="1036" max="1036" width="15.26953125" style="1" customWidth="1"/>
    <col min="1037" max="1275" width="9.1796875" style="1"/>
    <col min="1276" max="1276" width="7.7265625" style="1" customWidth="1"/>
    <col min="1277" max="1277" width="12.54296875" style="1" customWidth="1"/>
    <col min="1278" max="1278" width="12.26953125" style="1" bestFit="1" customWidth="1"/>
    <col min="1279" max="1279" width="10.453125" style="1" customWidth="1"/>
    <col min="1280" max="1280" width="9.1796875" style="1"/>
    <col min="1281" max="1282" width="11.26953125" style="1" bestFit="1" customWidth="1"/>
    <col min="1283" max="1283" width="4.26953125" style="1" customWidth="1"/>
    <col min="1284" max="1284" width="18.26953125" style="1" customWidth="1"/>
    <col min="1285" max="1285" width="9.1796875" style="1"/>
    <col min="1286" max="1286" width="20" style="1" customWidth="1"/>
    <col min="1287" max="1287" width="21.7265625" style="1" customWidth="1"/>
    <col min="1288" max="1288" width="18.453125" style="1" customWidth="1"/>
    <col min="1289" max="1289" width="15.81640625" style="1" customWidth="1"/>
    <col min="1290" max="1290" width="9.1796875" style="1"/>
    <col min="1291" max="1291" width="18.7265625" style="1" customWidth="1"/>
    <col min="1292" max="1292" width="15.26953125" style="1" customWidth="1"/>
    <col min="1293" max="1531" width="9.1796875" style="1"/>
    <col min="1532" max="1532" width="7.7265625" style="1" customWidth="1"/>
    <col min="1533" max="1533" width="12.54296875" style="1" customWidth="1"/>
    <col min="1534" max="1534" width="12.26953125" style="1" bestFit="1" customWidth="1"/>
    <col min="1535" max="1535" width="10.453125" style="1" customWidth="1"/>
    <col min="1536" max="1536" width="9.1796875" style="1"/>
    <col min="1537" max="1538" width="11.26953125" style="1" bestFit="1" customWidth="1"/>
    <col min="1539" max="1539" width="4.26953125" style="1" customWidth="1"/>
    <col min="1540" max="1540" width="18.26953125" style="1" customWidth="1"/>
    <col min="1541" max="1541" width="9.1796875" style="1"/>
    <col min="1542" max="1542" width="20" style="1" customWidth="1"/>
    <col min="1543" max="1543" width="21.7265625" style="1" customWidth="1"/>
    <col min="1544" max="1544" width="18.453125" style="1" customWidth="1"/>
    <col min="1545" max="1545" width="15.81640625" style="1" customWidth="1"/>
    <col min="1546" max="1546" width="9.1796875" style="1"/>
    <col min="1547" max="1547" width="18.7265625" style="1" customWidth="1"/>
    <col min="1548" max="1548" width="15.26953125" style="1" customWidth="1"/>
    <col min="1549" max="1787" width="9.1796875" style="1"/>
    <col min="1788" max="1788" width="7.7265625" style="1" customWidth="1"/>
    <col min="1789" max="1789" width="12.54296875" style="1" customWidth="1"/>
    <col min="1790" max="1790" width="12.26953125" style="1" bestFit="1" customWidth="1"/>
    <col min="1791" max="1791" width="10.453125" style="1" customWidth="1"/>
    <col min="1792" max="1792" width="9.1796875" style="1"/>
    <col min="1793" max="1794" width="11.26953125" style="1" bestFit="1" customWidth="1"/>
    <col min="1795" max="1795" width="4.26953125" style="1" customWidth="1"/>
    <col min="1796" max="1796" width="18.26953125" style="1" customWidth="1"/>
    <col min="1797" max="1797" width="9.1796875" style="1"/>
    <col min="1798" max="1798" width="20" style="1" customWidth="1"/>
    <col min="1799" max="1799" width="21.7265625" style="1" customWidth="1"/>
    <col min="1800" max="1800" width="18.453125" style="1" customWidth="1"/>
    <col min="1801" max="1801" width="15.81640625" style="1" customWidth="1"/>
    <col min="1802" max="1802" width="9.1796875" style="1"/>
    <col min="1803" max="1803" width="18.7265625" style="1" customWidth="1"/>
    <col min="1804" max="1804" width="15.26953125" style="1" customWidth="1"/>
    <col min="1805" max="2043" width="9.1796875" style="1"/>
    <col min="2044" max="2044" width="7.7265625" style="1" customWidth="1"/>
    <col min="2045" max="2045" width="12.54296875" style="1" customWidth="1"/>
    <col min="2046" max="2046" width="12.26953125" style="1" bestFit="1" customWidth="1"/>
    <col min="2047" max="2047" width="10.453125" style="1" customWidth="1"/>
    <col min="2048" max="2048" width="9.1796875" style="1"/>
    <col min="2049" max="2050" width="11.26953125" style="1" bestFit="1" customWidth="1"/>
    <col min="2051" max="2051" width="4.26953125" style="1" customWidth="1"/>
    <col min="2052" max="2052" width="18.26953125" style="1" customWidth="1"/>
    <col min="2053" max="2053" width="9.1796875" style="1"/>
    <col min="2054" max="2054" width="20" style="1" customWidth="1"/>
    <col min="2055" max="2055" width="21.7265625" style="1" customWidth="1"/>
    <col min="2056" max="2056" width="18.453125" style="1" customWidth="1"/>
    <col min="2057" max="2057" width="15.81640625" style="1" customWidth="1"/>
    <col min="2058" max="2058" width="9.1796875" style="1"/>
    <col min="2059" max="2059" width="18.7265625" style="1" customWidth="1"/>
    <col min="2060" max="2060" width="15.26953125" style="1" customWidth="1"/>
    <col min="2061" max="2299" width="9.1796875" style="1"/>
    <col min="2300" max="2300" width="7.7265625" style="1" customWidth="1"/>
    <col min="2301" max="2301" width="12.54296875" style="1" customWidth="1"/>
    <col min="2302" max="2302" width="12.26953125" style="1" bestFit="1" customWidth="1"/>
    <col min="2303" max="2303" width="10.453125" style="1" customWidth="1"/>
    <col min="2304" max="2304" width="9.1796875" style="1"/>
    <col min="2305" max="2306" width="11.26953125" style="1" bestFit="1" customWidth="1"/>
    <col min="2307" max="2307" width="4.26953125" style="1" customWidth="1"/>
    <col min="2308" max="2308" width="18.26953125" style="1" customWidth="1"/>
    <col min="2309" max="2309" width="9.1796875" style="1"/>
    <col min="2310" max="2310" width="20" style="1" customWidth="1"/>
    <col min="2311" max="2311" width="21.7265625" style="1" customWidth="1"/>
    <col min="2312" max="2312" width="18.453125" style="1" customWidth="1"/>
    <col min="2313" max="2313" width="15.81640625" style="1" customWidth="1"/>
    <col min="2314" max="2314" width="9.1796875" style="1"/>
    <col min="2315" max="2315" width="18.7265625" style="1" customWidth="1"/>
    <col min="2316" max="2316" width="15.26953125" style="1" customWidth="1"/>
    <col min="2317" max="2555" width="9.1796875" style="1"/>
    <col min="2556" max="2556" width="7.7265625" style="1" customWidth="1"/>
    <col min="2557" max="2557" width="12.54296875" style="1" customWidth="1"/>
    <col min="2558" max="2558" width="12.26953125" style="1" bestFit="1" customWidth="1"/>
    <col min="2559" max="2559" width="10.453125" style="1" customWidth="1"/>
    <col min="2560" max="2560" width="9.1796875" style="1"/>
    <col min="2561" max="2562" width="11.26953125" style="1" bestFit="1" customWidth="1"/>
    <col min="2563" max="2563" width="4.26953125" style="1" customWidth="1"/>
    <col min="2564" max="2564" width="18.26953125" style="1" customWidth="1"/>
    <col min="2565" max="2565" width="9.1796875" style="1"/>
    <col min="2566" max="2566" width="20" style="1" customWidth="1"/>
    <col min="2567" max="2567" width="21.7265625" style="1" customWidth="1"/>
    <col min="2568" max="2568" width="18.453125" style="1" customWidth="1"/>
    <col min="2569" max="2569" width="15.81640625" style="1" customWidth="1"/>
    <col min="2570" max="2570" width="9.1796875" style="1"/>
    <col min="2571" max="2571" width="18.7265625" style="1" customWidth="1"/>
    <col min="2572" max="2572" width="15.26953125" style="1" customWidth="1"/>
    <col min="2573" max="2811" width="9.1796875" style="1"/>
    <col min="2812" max="2812" width="7.7265625" style="1" customWidth="1"/>
    <col min="2813" max="2813" width="12.54296875" style="1" customWidth="1"/>
    <col min="2814" max="2814" width="12.26953125" style="1" bestFit="1" customWidth="1"/>
    <col min="2815" max="2815" width="10.453125" style="1" customWidth="1"/>
    <col min="2816" max="2816" width="9.1796875" style="1"/>
    <col min="2817" max="2818" width="11.26953125" style="1" bestFit="1" customWidth="1"/>
    <col min="2819" max="2819" width="4.26953125" style="1" customWidth="1"/>
    <col min="2820" max="2820" width="18.26953125" style="1" customWidth="1"/>
    <col min="2821" max="2821" width="9.1796875" style="1"/>
    <col min="2822" max="2822" width="20" style="1" customWidth="1"/>
    <col min="2823" max="2823" width="21.7265625" style="1" customWidth="1"/>
    <col min="2824" max="2824" width="18.453125" style="1" customWidth="1"/>
    <col min="2825" max="2825" width="15.81640625" style="1" customWidth="1"/>
    <col min="2826" max="2826" width="9.1796875" style="1"/>
    <col min="2827" max="2827" width="18.7265625" style="1" customWidth="1"/>
    <col min="2828" max="2828" width="15.26953125" style="1" customWidth="1"/>
    <col min="2829" max="3067" width="9.1796875" style="1"/>
    <col min="3068" max="3068" width="7.7265625" style="1" customWidth="1"/>
    <col min="3069" max="3069" width="12.54296875" style="1" customWidth="1"/>
    <col min="3070" max="3070" width="12.26953125" style="1" bestFit="1" customWidth="1"/>
    <col min="3071" max="3071" width="10.453125" style="1" customWidth="1"/>
    <col min="3072" max="3072" width="9.1796875" style="1"/>
    <col min="3073" max="3074" width="11.26953125" style="1" bestFit="1" customWidth="1"/>
    <col min="3075" max="3075" width="4.26953125" style="1" customWidth="1"/>
    <col min="3076" max="3076" width="18.26953125" style="1" customWidth="1"/>
    <col min="3077" max="3077" width="9.1796875" style="1"/>
    <col min="3078" max="3078" width="20" style="1" customWidth="1"/>
    <col min="3079" max="3079" width="21.7265625" style="1" customWidth="1"/>
    <col min="3080" max="3080" width="18.453125" style="1" customWidth="1"/>
    <col min="3081" max="3081" width="15.81640625" style="1" customWidth="1"/>
    <col min="3082" max="3082" width="9.1796875" style="1"/>
    <col min="3083" max="3083" width="18.7265625" style="1" customWidth="1"/>
    <col min="3084" max="3084" width="15.26953125" style="1" customWidth="1"/>
    <col min="3085" max="3323" width="9.1796875" style="1"/>
    <col min="3324" max="3324" width="7.7265625" style="1" customWidth="1"/>
    <col min="3325" max="3325" width="12.54296875" style="1" customWidth="1"/>
    <col min="3326" max="3326" width="12.26953125" style="1" bestFit="1" customWidth="1"/>
    <col min="3327" max="3327" width="10.453125" style="1" customWidth="1"/>
    <col min="3328" max="3328" width="9.1796875" style="1"/>
    <col min="3329" max="3330" width="11.26953125" style="1" bestFit="1" customWidth="1"/>
    <col min="3331" max="3331" width="4.26953125" style="1" customWidth="1"/>
    <col min="3332" max="3332" width="18.26953125" style="1" customWidth="1"/>
    <col min="3333" max="3333" width="9.1796875" style="1"/>
    <col min="3334" max="3334" width="20" style="1" customWidth="1"/>
    <col min="3335" max="3335" width="21.7265625" style="1" customWidth="1"/>
    <col min="3336" max="3336" width="18.453125" style="1" customWidth="1"/>
    <col min="3337" max="3337" width="15.81640625" style="1" customWidth="1"/>
    <col min="3338" max="3338" width="9.1796875" style="1"/>
    <col min="3339" max="3339" width="18.7265625" style="1" customWidth="1"/>
    <col min="3340" max="3340" width="15.26953125" style="1" customWidth="1"/>
    <col min="3341" max="3579" width="9.1796875" style="1"/>
    <col min="3580" max="3580" width="7.7265625" style="1" customWidth="1"/>
    <col min="3581" max="3581" width="12.54296875" style="1" customWidth="1"/>
    <col min="3582" max="3582" width="12.26953125" style="1" bestFit="1" customWidth="1"/>
    <col min="3583" max="3583" width="10.453125" style="1" customWidth="1"/>
    <col min="3584" max="3584" width="9.1796875" style="1"/>
    <col min="3585" max="3586" width="11.26953125" style="1" bestFit="1" customWidth="1"/>
    <col min="3587" max="3587" width="4.26953125" style="1" customWidth="1"/>
    <col min="3588" max="3588" width="18.26953125" style="1" customWidth="1"/>
    <col min="3589" max="3589" width="9.1796875" style="1"/>
    <col min="3590" max="3590" width="20" style="1" customWidth="1"/>
    <col min="3591" max="3591" width="21.7265625" style="1" customWidth="1"/>
    <col min="3592" max="3592" width="18.453125" style="1" customWidth="1"/>
    <col min="3593" max="3593" width="15.81640625" style="1" customWidth="1"/>
    <col min="3594" max="3594" width="9.1796875" style="1"/>
    <col min="3595" max="3595" width="18.7265625" style="1" customWidth="1"/>
    <col min="3596" max="3596" width="15.26953125" style="1" customWidth="1"/>
    <col min="3597" max="3835" width="9.1796875" style="1"/>
    <col min="3836" max="3836" width="7.7265625" style="1" customWidth="1"/>
    <col min="3837" max="3837" width="12.54296875" style="1" customWidth="1"/>
    <col min="3838" max="3838" width="12.26953125" style="1" bestFit="1" customWidth="1"/>
    <col min="3839" max="3839" width="10.453125" style="1" customWidth="1"/>
    <col min="3840" max="3840" width="9.1796875" style="1"/>
    <col min="3841" max="3842" width="11.26953125" style="1" bestFit="1" customWidth="1"/>
    <col min="3843" max="3843" width="4.26953125" style="1" customWidth="1"/>
    <col min="3844" max="3844" width="18.26953125" style="1" customWidth="1"/>
    <col min="3845" max="3845" width="9.1796875" style="1"/>
    <col min="3846" max="3846" width="20" style="1" customWidth="1"/>
    <col min="3847" max="3847" width="21.7265625" style="1" customWidth="1"/>
    <col min="3848" max="3848" width="18.453125" style="1" customWidth="1"/>
    <col min="3849" max="3849" width="15.81640625" style="1" customWidth="1"/>
    <col min="3850" max="3850" width="9.1796875" style="1"/>
    <col min="3851" max="3851" width="18.7265625" style="1" customWidth="1"/>
    <col min="3852" max="3852" width="15.26953125" style="1" customWidth="1"/>
    <col min="3853" max="4091" width="9.1796875" style="1"/>
    <col min="4092" max="4092" width="7.7265625" style="1" customWidth="1"/>
    <col min="4093" max="4093" width="12.54296875" style="1" customWidth="1"/>
    <col min="4094" max="4094" width="12.26953125" style="1" bestFit="1" customWidth="1"/>
    <col min="4095" max="4095" width="10.453125" style="1" customWidth="1"/>
    <col min="4096" max="4096" width="9.1796875" style="1"/>
    <col min="4097" max="4098" width="11.26953125" style="1" bestFit="1" customWidth="1"/>
    <col min="4099" max="4099" width="4.26953125" style="1" customWidth="1"/>
    <col min="4100" max="4100" width="18.26953125" style="1" customWidth="1"/>
    <col min="4101" max="4101" width="9.1796875" style="1"/>
    <col min="4102" max="4102" width="20" style="1" customWidth="1"/>
    <col min="4103" max="4103" width="21.7265625" style="1" customWidth="1"/>
    <col min="4104" max="4104" width="18.453125" style="1" customWidth="1"/>
    <col min="4105" max="4105" width="15.81640625" style="1" customWidth="1"/>
    <col min="4106" max="4106" width="9.1796875" style="1"/>
    <col min="4107" max="4107" width="18.7265625" style="1" customWidth="1"/>
    <col min="4108" max="4108" width="15.26953125" style="1" customWidth="1"/>
    <col min="4109" max="4347" width="9.1796875" style="1"/>
    <col min="4348" max="4348" width="7.7265625" style="1" customWidth="1"/>
    <col min="4349" max="4349" width="12.54296875" style="1" customWidth="1"/>
    <col min="4350" max="4350" width="12.26953125" style="1" bestFit="1" customWidth="1"/>
    <col min="4351" max="4351" width="10.453125" style="1" customWidth="1"/>
    <col min="4352" max="4352" width="9.1796875" style="1"/>
    <col min="4353" max="4354" width="11.26953125" style="1" bestFit="1" customWidth="1"/>
    <col min="4355" max="4355" width="4.26953125" style="1" customWidth="1"/>
    <col min="4356" max="4356" width="18.26953125" style="1" customWidth="1"/>
    <col min="4357" max="4357" width="9.1796875" style="1"/>
    <col min="4358" max="4358" width="20" style="1" customWidth="1"/>
    <col min="4359" max="4359" width="21.7265625" style="1" customWidth="1"/>
    <col min="4360" max="4360" width="18.453125" style="1" customWidth="1"/>
    <col min="4361" max="4361" width="15.81640625" style="1" customWidth="1"/>
    <col min="4362" max="4362" width="9.1796875" style="1"/>
    <col min="4363" max="4363" width="18.7265625" style="1" customWidth="1"/>
    <col min="4364" max="4364" width="15.26953125" style="1" customWidth="1"/>
    <col min="4365" max="4603" width="9.1796875" style="1"/>
    <col min="4604" max="4604" width="7.7265625" style="1" customWidth="1"/>
    <col min="4605" max="4605" width="12.54296875" style="1" customWidth="1"/>
    <col min="4606" max="4606" width="12.26953125" style="1" bestFit="1" customWidth="1"/>
    <col min="4607" max="4607" width="10.453125" style="1" customWidth="1"/>
    <col min="4608" max="4608" width="9.1796875" style="1"/>
    <col min="4609" max="4610" width="11.26953125" style="1" bestFit="1" customWidth="1"/>
    <col min="4611" max="4611" width="4.26953125" style="1" customWidth="1"/>
    <col min="4612" max="4612" width="18.26953125" style="1" customWidth="1"/>
    <col min="4613" max="4613" width="9.1796875" style="1"/>
    <col min="4614" max="4614" width="20" style="1" customWidth="1"/>
    <col min="4615" max="4615" width="21.7265625" style="1" customWidth="1"/>
    <col min="4616" max="4616" width="18.453125" style="1" customWidth="1"/>
    <col min="4617" max="4617" width="15.81640625" style="1" customWidth="1"/>
    <col min="4618" max="4618" width="9.1796875" style="1"/>
    <col min="4619" max="4619" width="18.7265625" style="1" customWidth="1"/>
    <col min="4620" max="4620" width="15.26953125" style="1" customWidth="1"/>
    <col min="4621" max="4859" width="9.1796875" style="1"/>
    <col min="4860" max="4860" width="7.7265625" style="1" customWidth="1"/>
    <col min="4861" max="4861" width="12.54296875" style="1" customWidth="1"/>
    <col min="4862" max="4862" width="12.26953125" style="1" bestFit="1" customWidth="1"/>
    <col min="4863" max="4863" width="10.453125" style="1" customWidth="1"/>
    <col min="4864" max="4864" width="9.1796875" style="1"/>
    <col min="4865" max="4866" width="11.26953125" style="1" bestFit="1" customWidth="1"/>
    <col min="4867" max="4867" width="4.26953125" style="1" customWidth="1"/>
    <col min="4868" max="4868" width="18.26953125" style="1" customWidth="1"/>
    <col min="4869" max="4869" width="9.1796875" style="1"/>
    <col min="4870" max="4870" width="20" style="1" customWidth="1"/>
    <col min="4871" max="4871" width="21.7265625" style="1" customWidth="1"/>
    <col min="4872" max="4872" width="18.453125" style="1" customWidth="1"/>
    <col min="4873" max="4873" width="15.81640625" style="1" customWidth="1"/>
    <col min="4874" max="4874" width="9.1796875" style="1"/>
    <col min="4875" max="4875" width="18.7265625" style="1" customWidth="1"/>
    <col min="4876" max="4876" width="15.26953125" style="1" customWidth="1"/>
    <col min="4877" max="5115" width="9.1796875" style="1"/>
    <col min="5116" max="5116" width="7.7265625" style="1" customWidth="1"/>
    <col min="5117" max="5117" width="12.54296875" style="1" customWidth="1"/>
    <col min="5118" max="5118" width="12.26953125" style="1" bestFit="1" customWidth="1"/>
    <col min="5119" max="5119" width="10.453125" style="1" customWidth="1"/>
    <col min="5120" max="5120" width="9.1796875" style="1"/>
    <col min="5121" max="5122" width="11.26953125" style="1" bestFit="1" customWidth="1"/>
    <col min="5123" max="5123" width="4.26953125" style="1" customWidth="1"/>
    <col min="5124" max="5124" width="18.26953125" style="1" customWidth="1"/>
    <col min="5125" max="5125" width="9.1796875" style="1"/>
    <col min="5126" max="5126" width="20" style="1" customWidth="1"/>
    <col min="5127" max="5127" width="21.7265625" style="1" customWidth="1"/>
    <col min="5128" max="5128" width="18.453125" style="1" customWidth="1"/>
    <col min="5129" max="5129" width="15.81640625" style="1" customWidth="1"/>
    <col min="5130" max="5130" width="9.1796875" style="1"/>
    <col min="5131" max="5131" width="18.7265625" style="1" customWidth="1"/>
    <col min="5132" max="5132" width="15.26953125" style="1" customWidth="1"/>
    <col min="5133" max="5371" width="9.1796875" style="1"/>
    <col min="5372" max="5372" width="7.7265625" style="1" customWidth="1"/>
    <col min="5373" max="5373" width="12.54296875" style="1" customWidth="1"/>
    <col min="5374" max="5374" width="12.26953125" style="1" bestFit="1" customWidth="1"/>
    <col min="5375" max="5375" width="10.453125" style="1" customWidth="1"/>
    <col min="5376" max="5376" width="9.1796875" style="1"/>
    <col min="5377" max="5378" width="11.26953125" style="1" bestFit="1" customWidth="1"/>
    <col min="5379" max="5379" width="4.26953125" style="1" customWidth="1"/>
    <col min="5380" max="5380" width="18.26953125" style="1" customWidth="1"/>
    <col min="5381" max="5381" width="9.1796875" style="1"/>
    <col min="5382" max="5382" width="20" style="1" customWidth="1"/>
    <col min="5383" max="5383" width="21.7265625" style="1" customWidth="1"/>
    <col min="5384" max="5384" width="18.453125" style="1" customWidth="1"/>
    <col min="5385" max="5385" width="15.81640625" style="1" customWidth="1"/>
    <col min="5386" max="5386" width="9.1796875" style="1"/>
    <col min="5387" max="5387" width="18.7265625" style="1" customWidth="1"/>
    <col min="5388" max="5388" width="15.26953125" style="1" customWidth="1"/>
    <col min="5389" max="5627" width="9.1796875" style="1"/>
    <col min="5628" max="5628" width="7.7265625" style="1" customWidth="1"/>
    <col min="5629" max="5629" width="12.54296875" style="1" customWidth="1"/>
    <col min="5630" max="5630" width="12.26953125" style="1" bestFit="1" customWidth="1"/>
    <col min="5631" max="5631" width="10.453125" style="1" customWidth="1"/>
    <col min="5632" max="5632" width="9.1796875" style="1"/>
    <col min="5633" max="5634" width="11.26953125" style="1" bestFit="1" customWidth="1"/>
    <col min="5635" max="5635" width="4.26953125" style="1" customWidth="1"/>
    <col min="5636" max="5636" width="18.26953125" style="1" customWidth="1"/>
    <col min="5637" max="5637" width="9.1796875" style="1"/>
    <col min="5638" max="5638" width="20" style="1" customWidth="1"/>
    <col min="5639" max="5639" width="21.7265625" style="1" customWidth="1"/>
    <col min="5640" max="5640" width="18.453125" style="1" customWidth="1"/>
    <col min="5641" max="5641" width="15.81640625" style="1" customWidth="1"/>
    <col min="5642" max="5642" width="9.1796875" style="1"/>
    <col min="5643" max="5643" width="18.7265625" style="1" customWidth="1"/>
    <col min="5644" max="5644" width="15.26953125" style="1" customWidth="1"/>
    <col min="5645" max="5883" width="9.1796875" style="1"/>
    <col min="5884" max="5884" width="7.7265625" style="1" customWidth="1"/>
    <col min="5885" max="5885" width="12.54296875" style="1" customWidth="1"/>
    <col min="5886" max="5886" width="12.26953125" style="1" bestFit="1" customWidth="1"/>
    <col min="5887" max="5887" width="10.453125" style="1" customWidth="1"/>
    <col min="5888" max="5888" width="9.1796875" style="1"/>
    <col min="5889" max="5890" width="11.26953125" style="1" bestFit="1" customWidth="1"/>
    <col min="5891" max="5891" width="4.26953125" style="1" customWidth="1"/>
    <col min="5892" max="5892" width="18.26953125" style="1" customWidth="1"/>
    <col min="5893" max="5893" width="9.1796875" style="1"/>
    <col min="5894" max="5894" width="20" style="1" customWidth="1"/>
    <col min="5895" max="5895" width="21.7265625" style="1" customWidth="1"/>
    <col min="5896" max="5896" width="18.453125" style="1" customWidth="1"/>
    <col min="5897" max="5897" width="15.81640625" style="1" customWidth="1"/>
    <col min="5898" max="5898" width="9.1796875" style="1"/>
    <col min="5899" max="5899" width="18.7265625" style="1" customWidth="1"/>
    <col min="5900" max="5900" width="15.26953125" style="1" customWidth="1"/>
    <col min="5901" max="6139" width="9.1796875" style="1"/>
    <col min="6140" max="6140" width="7.7265625" style="1" customWidth="1"/>
    <col min="6141" max="6141" width="12.54296875" style="1" customWidth="1"/>
    <col min="6142" max="6142" width="12.26953125" style="1" bestFit="1" customWidth="1"/>
    <col min="6143" max="6143" width="10.453125" style="1" customWidth="1"/>
    <col min="6144" max="6144" width="9.1796875" style="1"/>
    <col min="6145" max="6146" width="11.26953125" style="1" bestFit="1" customWidth="1"/>
    <col min="6147" max="6147" width="4.26953125" style="1" customWidth="1"/>
    <col min="6148" max="6148" width="18.26953125" style="1" customWidth="1"/>
    <col min="6149" max="6149" width="9.1796875" style="1"/>
    <col min="6150" max="6150" width="20" style="1" customWidth="1"/>
    <col min="6151" max="6151" width="21.7265625" style="1" customWidth="1"/>
    <col min="6152" max="6152" width="18.453125" style="1" customWidth="1"/>
    <col min="6153" max="6153" width="15.81640625" style="1" customWidth="1"/>
    <col min="6154" max="6154" width="9.1796875" style="1"/>
    <col min="6155" max="6155" width="18.7265625" style="1" customWidth="1"/>
    <col min="6156" max="6156" width="15.26953125" style="1" customWidth="1"/>
    <col min="6157" max="6395" width="9.1796875" style="1"/>
    <col min="6396" max="6396" width="7.7265625" style="1" customWidth="1"/>
    <col min="6397" max="6397" width="12.54296875" style="1" customWidth="1"/>
    <col min="6398" max="6398" width="12.26953125" style="1" bestFit="1" customWidth="1"/>
    <col min="6399" max="6399" width="10.453125" style="1" customWidth="1"/>
    <col min="6400" max="6400" width="9.1796875" style="1"/>
    <col min="6401" max="6402" width="11.26953125" style="1" bestFit="1" customWidth="1"/>
    <col min="6403" max="6403" width="4.26953125" style="1" customWidth="1"/>
    <col min="6404" max="6404" width="18.26953125" style="1" customWidth="1"/>
    <col min="6405" max="6405" width="9.1796875" style="1"/>
    <col min="6406" max="6406" width="20" style="1" customWidth="1"/>
    <col min="6407" max="6407" width="21.7265625" style="1" customWidth="1"/>
    <col min="6408" max="6408" width="18.453125" style="1" customWidth="1"/>
    <col min="6409" max="6409" width="15.81640625" style="1" customWidth="1"/>
    <col min="6410" max="6410" width="9.1796875" style="1"/>
    <col min="6411" max="6411" width="18.7265625" style="1" customWidth="1"/>
    <col min="6412" max="6412" width="15.26953125" style="1" customWidth="1"/>
    <col min="6413" max="6651" width="9.1796875" style="1"/>
    <col min="6652" max="6652" width="7.7265625" style="1" customWidth="1"/>
    <col min="6653" max="6653" width="12.54296875" style="1" customWidth="1"/>
    <col min="6654" max="6654" width="12.26953125" style="1" bestFit="1" customWidth="1"/>
    <col min="6655" max="6655" width="10.453125" style="1" customWidth="1"/>
    <col min="6656" max="6656" width="9.1796875" style="1"/>
    <col min="6657" max="6658" width="11.26953125" style="1" bestFit="1" customWidth="1"/>
    <col min="6659" max="6659" width="4.26953125" style="1" customWidth="1"/>
    <col min="6660" max="6660" width="18.26953125" style="1" customWidth="1"/>
    <col min="6661" max="6661" width="9.1796875" style="1"/>
    <col min="6662" max="6662" width="20" style="1" customWidth="1"/>
    <col min="6663" max="6663" width="21.7265625" style="1" customWidth="1"/>
    <col min="6664" max="6664" width="18.453125" style="1" customWidth="1"/>
    <col min="6665" max="6665" width="15.81640625" style="1" customWidth="1"/>
    <col min="6666" max="6666" width="9.1796875" style="1"/>
    <col min="6667" max="6667" width="18.7265625" style="1" customWidth="1"/>
    <col min="6668" max="6668" width="15.26953125" style="1" customWidth="1"/>
    <col min="6669" max="6907" width="9.1796875" style="1"/>
    <col min="6908" max="6908" width="7.7265625" style="1" customWidth="1"/>
    <col min="6909" max="6909" width="12.54296875" style="1" customWidth="1"/>
    <col min="6910" max="6910" width="12.26953125" style="1" bestFit="1" customWidth="1"/>
    <col min="6911" max="6911" width="10.453125" style="1" customWidth="1"/>
    <col min="6912" max="6912" width="9.1796875" style="1"/>
    <col min="6913" max="6914" width="11.26953125" style="1" bestFit="1" customWidth="1"/>
    <col min="6915" max="6915" width="4.26953125" style="1" customWidth="1"/>
    <col min="6916" max="6916" width="18.26953125" style="1" customWidth="1"/>
    <col min="6917" max="6917" width="9.1796875" style="1"/>
    <col min="6918" max="6918" width="20" style="1" customWidth="1"/>
    <col min="6919" max="6919" width="21.7265625" style="1" customWidth="1"/>
    <col min="6920" max="6920" width="18.453125" style="1" customWidth="1"/>
    <col min="6921" max="6921" width="15.81640625" style="1" customWidth="1"/>
    <col min="6922" max="6922" width="9.1796875" style="1"/>
    <col min="6923" max="6923" width="18.7265625" style="1" customWidth="1"/>
    <col min="6924" max="6924" width="15.26953125" style="1" customWidth="1"/>
    <col min="6925" max="7163" width="9.1796875" style="1"/>
    <col min="7164" max="7164" width="7.7265625" style="1" customWidth="1"/>
    <col min="7165" max="7165" width="12.54296875" style="1" customWidth="1"/>
    <col min="7166" max="7166" width="12.26953125" style="1" bestFit="1" customWidth="1"/>
    <col min="7167" max="7167" width="10.453125" style="1" customWidth="1"/>
    <col min="7168" max="7168" width="9.1796875" style="1"/>
    <col min="7169" max="7170" width="11.26953125" style="1" bestFit="1" customWidth="1"/>
    <col min="7171" max="7171" width="4.26953125" style="1" customWidth="1"/>
    <col min="7172" max="7172" width="18.26953125" style="1" customWidth="1"/>
    <col min="7173" max="7173" width="9.1796875" style="1"/>
    <col min="7174" max="7174" width="20" style="1" customWidth="1"/>
    <col min="7175" max="7175" width="21.7265625" style="1" customWidth="1"/>
    <col min="7176" max="7176" width="18.453125" style="1" customWidth="1"/>
    <col min="7177" max="7177" width="15.81640625" style="1" customWidth="1"/>
    <col min="7178" max="7178" width="9.1796875" style="1"/>
    <col min="7179" max="7179" width="18.7265625" style="1" customWidth="1"/>
    <col min="7180" max="7180" width="15.26953125" style="1" customWidth="1"/>
    <col min="7181" max="7419" width="9.1796875" style="1"/>
    <col min="7420" max="7420" width="7.7265625" style="1" customWidth="1"/>
    <col min="7421" max="7421" width="12.54296875" style="1" customWidth="1"/>
    <col min="7422" max="7422" width="12.26953125" style="1" bestFit="1" customWidth="1"/>
    <col min="7423" max="7423" width="10.453125" style="1" customWidth="1"/>
    <col min="7424" max="7424" width="9.1796875" style="1"/>
    <col min="7425" max="7426" width="11.26953125" style="1" bestFit="1" customWidth="1"/>
    <col min="7427" max="7427" width="4.26953125" style="1" customWidth="1"/>
    <col min="7428" max="7428" width="18.26953125" style="1" customWidth="1"/>
    <col min="7429" max="7429" width="9.1796875" style="1"/>
    <col min="7430" max="7430" width="20" style="1" customWidth="1"/>
    <col min="7431" max="7431" width="21.7265625" style="1" customWidth="1"/>
    <col min="7432" max="7432" width="18.453125" style="1" customWidth="1"/>
    <col min="7433" max="7433" width="15.81640625" style="1" customWidth="1"/>
    <col min="7434" max="7434" width="9.1796875" style="1"/>
    <col min="7435" max="7435" width="18.7265625" style="1" customWidth="1"/>
    <col min="7436" max="7436" width="15.26953125" style="1" customWidth="1"/>
    <col min="7437" max="7675" width="9.1796875" style="1"/>
    <col min="7676" max="7676" width="7.7265625" style="1" customWidth="1"/>
    <col min="7677" max="7677" width="12.54296875" style="1" customWidth="1"/>
    <col min="7678" max="7678" width="12.26953125" style="1" bestFit="1" customWidth="1"/>
    <col min="7679" max="7679" width="10.453125" style="1" customWidth="1"/>
    <col min="7680" max="7680" width="9.1796875" style="1"/>
    <col min="7681" max="7682" width="11.26953125" style="1" bestFit="1" customWidth="1"/>
    <col min="7683" max="7683" width="4.26953125" style="1" customWidth="1"/>
    <col min="7684" max="7684" width="18.26953125" style="1" customWidth="1"/>
    <col min="7685" max="7685" width="9.1796875" style="1"/>
    <col min="7686" max="7686" width="20" style="1" customWidth="1"/>
    <col min="7687" max="7687" width="21.7265625" style="1" customWidth="1"/>
    <col min="7688" max="7688" width="18.453125" style="1" customWidth="1"/>
    <col min="7689" max="7689" width="15.81640625" style="1" customWidth="1"/>
    <col min="7690" max="7690" width="9.1796875" style="1"/>
    <col min="7691" max="7691" width="18.7265625" style="1" customWidth="1"/>
    <col min="7692" max="7692" width="15.26953125" style="1" customWidth="1"/>
    <col min="7693" max="7931" width="9.1796875" style="1"/>
    <col min="7932" max="7932" width="7.7265625" style="1" customWidth="1"/>
    <col min="7933" max="7933" width="12.54296875" style="1" customWidth="1"/>
    <col min="7934" max="7934" width="12.26953125" style="1" bestFit="1" customWidth="1"/>
    <col min="7935" max="7935" width="10.453125" style="1" customWidth="1"/>
    <col min="7936" max="7936" width="9.1796875" style="1"/>
    <col min="7937" max="7938" width="11.26953125" style="1" bestFit="1" customWidth="1"/>
    <col min="7939" max="7939" width="4.26953125" style="1" customWidth="1"/>
    <col min="7940" max="7940" width="18.26953125" style="1" customWidth="1"/>
    <col min="7941" max="7941" width="9.1796875" style="1"/>
    <col min="7942" max="7942" width="20" style="1" customWidth="1"/>
    <col min="7943" max="7943" width="21.7265625" style="1" customWidth="1"/>
    <col min="7944" max="7944" width="18.453125" style="1" customWidth="1"/>
    <col min="7945" max="7945" width="15.81640625" style="1" customWidth="1"/>
    <col min="7946" max="7946" width="9.1796875" style="1"/>
    <col min="7947" max="7947" width="18.7265625" style="1" customWidth="1"/>
    <col min="7948" max="7948" width="15.26953125" style="1" customWidth="1"/>
    <col min="7949" max="8187" width="9.1796875" style="1"/>
    <col min="8188" max="8188" width="7.7265625" style="1" customWidth="1"/>
    <col min="8189" max="8189" width="12.54296875" style="1" customWidth="1"/>
    <col min="8190" max="8190" width="12.26953125" style="1" bestFit="1" customWidth="1"/>
    <col min="8191" max="8191" width="10.453125" style="1" customWidth="1"/>
    <col min="8192" max="8192" width="9.1796875" style="1"/>
    <col min="8193" max="8194" width="11.26953125" style="1" bestFit="1" customWidth="1"/>
    <col min="8195" max="8195" width="4.26953125" style="1" customWidth="1"/>
    <col min="8196" max="8196" width="18.26953125" style="1" customWidth="1"/>
    <col min="8197" max="8197" width="9.1796875" style="1"/>
    <col min="8198" max="8198" width="20" style="1" customWidth="1"/>
    <col min="8199" max="8199" width="21.7265625" style="1" customWidth="1"/>
    <col min="8200" max="8200" width="18.453125" style="1" customWidth="1"/>
    <col min="8201" max="8201" width="15.81640625" style="1" customWidth="1"/>
    <col min="8202" max="8202" width="9.1796875" style="1"/>
    <col min="8203" max="8203" width="18.7265625" style="1" customWidth="1"/>
    <col min="8204" max="8204" width="15.26953125" style="1" customWidth="1"/>
    <col min="8205" max="8443" width="9.1796875" style="1"/>
    <col min="8444" max="8444" width="7.7265625" style="1" customWidth="1"/>
    <col min="8445" max="8445" width="12.54296875" style="1" customWidth="1"/>
    <col min="8446" max="8446" width="12.26953125" style="1" bestFit="1" customWidth="1"/>
    <col min="8447" max="8447" width="10.453125" style="1" customWidth="1"/>
    <col min="8448" max="8448" width="9.1796875" style="1"/>
    <col min="8449" max="8450" width="11.26953125" style="1" bestFit="1" customWidth="1"/>
    <col min="8451" max="8451" width="4.26953125" style="1" customWidth="1"/>
    <col min="8452" max="8452" width="18.26953125" style="1" customWidth="1"/>
    <col min="8453" max="8453" width="9.1796875" style="1"/>
    <col min="8454" max="8454" width="20" style="1" customWidth="1"/>
    <col min="8455" max="8455" width="21.7265625" style="1" customWidth="1"/>
    <col min="8456" max="8456" width="18.453125" style="1" customWidth="1"/>
    <col min="8457" max="8457" width="15.81640625" style="1" customWidth="1"/>
    <col min="8458" max="8458" width="9.1796875" style="1"/>
    <col min="8459" max="8459" width="18.7265625" style="1" customWidth="1"/>
    <col min="8460" max="8460" width="15.26953125" style="1" customWidth="1"/>
    <col min="8461" max="8699" width="9.1796875" style="1"/>
    <col min="8700" max="8700" width="7.7265625" style="1" customWidth="1"/>
    <col min="8701" max="8701" width="12.54296875" style="1" customWidth="1"/>
    <col min="8702" max="8702" width="12.26953125" style="1" bestFit="1" customWidth="1"/>
    <col min="8703" max="8703" width="10.453125" style="1" customWidth="1"/>
    <col min="8704" max="8704" width="9.1796875" style="1"/>
    <col min="8705" max="8706" width="11.26953125" style="1" bestFit="1" customWidth="1"/>
    <col min="8707" max="8707" width="4.26953125" style="1" customWidth="1"/>
    <col min="8708" max="8708" width="18.26953125" style="1" customWidth="1"/>
    <col min="8709" max="8709" width="9.1796875" style="1"/>
    <col min="8710" max="8710" width="20" style="1" customWidth="1"/>
    <col min="8711" max="8711" width="21.7265625" style="1" customWidth="1"/>
    <col min="8712" max="8712" width="18.453125" style="1" customWidth="1"/>
    <col min="8713" max="8713" width="15.81640625" style="1" customWidth="1"/>
    <col min="8714" max="8714" width="9.1796875" style="1"/>
    <col min="8715" max="8715" width="18.7265625" style="1" customWidth="1"/>
    <col min="8716" max="8716" width="15.26953125" style="1" customWidth="1"/>
    <col min="8717" max="8955" width="9.1796875" style="1"/>
    <col min="8956" max="8956" width="7.7265625" style="1" customWidth="1"/>
    <col min="8957" max="8957" width="12.54296875" style="1" customWidth="1"/>
    <col min="8958" max="8958" width="12.26953125" style="1" bestFit="1" customWidth="1"/>
    <col min="8959" max="8959" width="10.453125" style="1" customWidth="1"/>
    <col min="8960" max="8960" width="9.1796875" style="1"/>
    <col min="8961" max="8962" width="11.26953125" style="1" bestFit="1" customWidth="1"/>
    <col min="8963" max="8963" width="4.26953125" style="1" customWidth="1"/>
    <col min="8964" max="8964" width="18.26953125" style="1" customWidth="1"/>
    <col min="8965" max="8965" width="9.1796875" style="1"/>
    <col min="8966" max="8966" width="20" style="1" customWidth="1"/>
    <col min="8967" max="8967" width="21.7265625" style="1" customWidth="1"/>
    <col min="8968" max="8968" width="18.453125" style="1" customWidth="1"/>
    <col min="8969" max="8969" width="15.81640625" style="1" customWidth="1"/>
    <col min="8970" max="8970" width="9.1796875" style="1"/>
    <col min="8971" max="8971" width="18.7265625" style="1" customWidth="1"/>
    <col min="8972" max="8972" width="15.26953125" style="1" customWidth="1"/>
    <col min="8973" max="9211" width="9.1796875" style="1"/>
    <col min="9212" max="9212" width="7.7265625" style="1" customWidth="1"/>
    <col min="9213" max="9213" width="12.54296875" style="1" customWidth="1"/>
    <col min="9214" max="9214" width="12.26953125" style="1" bestFit="1" customWidth="1"/>
    <col min="9215" max="9215" width="10.453125" style="1" customWidth="1"/>
    <col min="9216" max="9216" width="9.1796875" style="1"/>
    <col min="9217" max="9218" width="11.26953125" style="1" bestFit="1" customWidth="1"/>
    <col min="9219" max="9219" width="4.26953125" style="1" customWidth="1"/>
    <col min="9220" max="9220" width="18.26953125" style="1" customWidth="1"/>
    <col min="9221" max="9221" width="9.1796875" style="1"/>
    <col min="9222" max="9222" width="20" style="1" customWidth="1"/>
    <col min="9223" max="9223" width="21.7265625" style="1" customWidth="1"/>
    <col min="9224" max="9224" width="18.453125" style="1" customWidth="1"/>
    <col min="9225" max="9225" width="15.81640625" style="1" customWidth="1"/>
    <col min="9226" max="9226" width="9.1796875" style="1"/>
    <col min="9227" max="9227" width="18.7265625" style="1" customWidth="1"/>
    <col min="9228" max="9228" width="15.26953125" style="1" customWidth="1"/>
    <col min="9229" max="9467" width="9.1796875" style="1"/>
    <col min="9468" max="9468" width="7.7265625" style="1" customWidth="1"/>
    <col min="9469" max="9469" width="12.54296875" style="1" customWidth="1"/>
    <col min="9470" max="9470" width="12.26953125" style="1" bestFit="1" customWidth="1"/>
    <col min="9471" max="9471" width="10.453125" style="1" customWidth="1"/>
    <col min="9472" max="9472" width="9.1796875" style="1"/>
    <col min="9473" max="9474" width="11.26953125" style="1" bestFit="1" customWidth="1"/>
    <col min="9475" max="9475" width="4.26953125" style="1" customWidth="1"/>
    <col min="9476" max="9476" width="18.26953125" style="1" customWidth="1"/>
    <col min="9477" max="9477" width="9.1796875" style="1"/>
    <col min="9478" max="9478" width="20" style="1" customWidth="1"/>
    <col min="9479" max="9479" width="21.7265625" style="1" customWidth="1"/>
    <col min="9480" max="9480" width="18.453125" style="1" customWidth="1"/>
    <col min="9481" max="9481" width="15.81640625" style="1" customWidth="1"/>
    <col min="9482" max="9482" width="9.1796875" style="1"/>
    <col min="9483" max="9483" width="18.7265625" style="1" customWidth="1"/>
    <col min="9484" max="9484" width="15.26953125" style="1" customWidth="1"/>
    <col min="9485" max="9723" width="9.1796875" style="1"/>
    <col min="9724" max="9724" width="7.7265625" style="1" customWidth="1"/>
    <col min="9725" max="9725" width="12.54296875" style="1" customWidth="1"/>
    <col min="9726" max="9726" width="12.26953125" style="1" bestFit="1" customWidth="1"/>
    <col min="9727" max="9727" width="10.453125" style="1" customWidth="1"/>
    <col min="9728" max="9728" width="9.1796875" style="1"/>
    <col min="9729" max="9730" width="11.26953125" style="1" bestFit="1" customWidth="1"/>
    <col min="9731" max="9731" width="4.26953125" style="1" customWidth="1"/>
    <col min="9732" max="9732" width="18.26953125" style="1" customWidth="1"/>
    <col min="9733" max="9733" width="9.1796875" style="1"/>
    <col min="9734" max="9734" width="20" style="1" customWidth="1"/>
    <col min="9735" max="9735" width="21.7265625" style="1" customWidth="1"/>
    <col min="9736" max="9736" width="18.453125" style="1" customWidth="1"/>
    <col min="9737" max="9737" width="15.81640625" style="1" customWidth="1"/>
    <col min="9738" max="9738" width="9.1796875" style="1"/>
    <col min="9739" max="9739" width="18.7265625" style="1" customWidth="1"/>
    <col min="9740" max="9740" width="15.26953125" style="1" customWidth="1"/>
    <col min="9741" max="9979" width="9.1796875" style="1"/>
    <col min="9980" max="9980" width="7.7265625" style="1" customWidth="1"/>
    <col min="9981" max="9981" width="12.54296875" style="1" customWidth="1"/>
    <col min="9982" max="9982" width="12.26953125" style="1" bestFit="1" customWidth="1"/>
    <col min="9983" max="9983" width="10.453125" style="1" customWidth="1"/>
    <col min="9984" max="9984" width="9.1796875" style="1"/>
    <col min="9985" max="9986" width="11.26953125" style="1" bestFit="1" customWidth="1"/>
    <col min="9987" max="9987" width="4.26953125" style="1" customWidth="1"/>
    <col min="9988" max="9988" width="18.26953125" style="1" customWidth="1"/>
    <col min="9989" max="9989" width="9.1796875" style="1"/>
    <col min="9990" max="9990" width="20" style="1" customWidth="1"/>
    <col min="9991" max="9991" width="21.7265625" style="1" customWidth="1"/>
    <col min="9992" max="9992" width="18.453125" style="1" customWidth="1"/>
    <col min="9993" max="9993" width="15.81640625" style="1" customWidth="1"/>
    <col min="9994" max="9994" width="9.1796875" style="1"/>
    <col min="9995" max="9995" width="18.7265625" style="1" customWidth="1"/>
    <col min="9996" max="9996" width="15.26953125" style="1" customWidth="1"/>
    <col min="9997" max="10235" width="9.1796875" style="1"/>
    <col min="10236" max="10236" width="7.7265625" style="1" customWidth="1"/>
    <col min="10237" max="10237" width="12.54296875" style="1" customWidth="1"/>
    <col min="10238" max="10238" width="12.26953125" style="1" bestFit="1" customWidth="1"/>
    <col min="10239" max="10239" width="10.453125" style="1" customWidth="1"/>
    <col min="10240" max="10240" width="9.1796875" style="1"/>
    <col min="10241" max="10242" width="11.26953125" style="1" bestFit="1" customWidth="1"/>
    <col min="10243" max="10243" width="4.26953125" style="1" customWidth="1"/>
    <col min="10244" max="10244" width="18.26953125" style="1" customWidth="1"/>
    <col min="10245" max="10245" width="9.1796875" style="1"/>
    <col min="10246" max="10246" width="20" style="1" customWidth="1"/>
    <col min="10247" max="10247" width="21.7265625" style="1" customWidth="1"/>
    <col min="10248" max="10248" width="18.453125" style="1" customWidth="1"/>
    <col min="10249" max="10249" width="15.81640625" style="1" customWidth="1"/>
    <col min="10250" max="10250" width="9.1796875" style="1"/>
    <col min="10251" max="10251" width="18.7265625" style="1" customWidth="1"/>
    <col min="10252" max="10252" width="15.26953125" style="1" customWidth="1"/>
    <col min="10253" max="10491" width="9.1796875" style="1"/>
    <col min="10492" max="10492" width="7.7265625" style="1" customWidth="1"/>
    <col min="10493" max="10493" width="12.54296875" style="1" customWidth="1"/>
    <col min="10494" max="10494" width="12.26953125" style="1" bestFit="1" customWidth="1"/>
    <col min="10495" max="10495" width="10.453125" style="1" customWidth="1"/>
    <col min="10496" max="10496" width="9.1796875" style="1"/>
    <col min="10497" max="10498" width="11.26953125" style="1" bestFit="1" customWidth="1"/>
    <col min="10499" max="10499" width="4.26953125" style="1" customWidth="1"/>
    <col min="10500" max="10500" width="18.26953125" style="1" customWidth="1"/>
    <col min="10501" max="10501" width="9.1796875" style="1"/>
    <col min="10502" max="10502" width="20" style="1" customWidth="1"/>
    <col min="10503" max="10503" width="21.7265625" style="1" customWidth="1"/>
    <col min="10504" max="10504" width="18.453125" style="1" customWidth="1"/>
    <col min="10505" max="10505" width="15.81640625" style="1" customWidth="1"/>
    <col min="10506" max="10506" width="9.1796875" style="1"/>
    <col min="10507" max="10507" width="18.7265625" style="1" customWidth="1"/>
    <col min="10508" max="10508" width="15.26953125" style="1" customWidth="1"/>
    <col min="10509" max="10747" width="9.1796875" style="1"/>
    <col min="10748" max="10748" width="7.7265625" style="1" customWidth="1"/>
    <col min="10749" max="10749" width="12.54296875" style="1" customWidth="1"/>
    <col min="10750" max="10750" width="12.26953125" style="1" bestFit="1" customWidth="1"/>
    <col min="10751" max="10751" width="10.453125" style="1" customWidth="1"/>
    <col min="10752" max="10752" width="9.1796875" style="1"/>
    <col min="10753" max="10754" width="11.26953125" style="1" bestFit="1" customWidth="1"/>
    <col min="10755" max="10755" width="4.26953125" style="1" customWidth="1"/>
    <col min="10756" max="10756" width="18.26953125" style="1" customWidth="1"/>
    <col min="10757" max="10757" width="9.1796875" style="1"/>
    <col min="10758" max="10758" width="20" style="1" customWidth="1"/>
    <col min="10759" max="10759" width="21.7265625" style="1" customWidth="1"/>
    <col min="10760" max="10760" width="18.453125" style="1" customWidth="1"/>
    <col min="10761" max="10761" width="15.81640625" style="1" customWidth="1"/>
    <col min="10762" max="10762" width="9.1796875" style="1"/>
    <col min="10763" max="10763" width="18.7265625" style="1" customWidth="1"/>
    <col min="10764" max="10764" width="15.26953125" style="1" customWidth="1"/>
    <col min="10765" max="11003" width="9.1796875" style="1"/>
    <col min="11004" max="11004" width="7.7265625" style="1" customWidth="1"/>
    <col min="11005" max="11005" width="12.54296875" style="1" customWidth="1"/>
    <col min="11006" max="11006" width="12.26953125" style="1" bestFit="1" customWidth="1"/>
    <col min="11007" max="11007" width="10.453125" style="1" customWidth="1"/>
    <col min="11008" max="11008" width="9.1796875" style="1"/>
    <col min="11009" max="11010" width="11.26953125" style="1" bestFit="1" customWidth="1"/>
    <col min="11011" max="11011" width="4.26953125" style="1" customWidth="1"/>
    <col min="11012" max="11012" width="18.26953125" style="1" customWidth="1"/>
    <col min="11013" max="11013" width="9.1796875" style="1"/>
    <col min="11014" max="11014" width="20" style="1" customWidth="1"/>
    <col min="11015" max="11015" width="21.7265625" style="1" customWidth="1"/>
    <col min="11016" max="11016" width="18.453125" style="1" customWidth="1"/>
    <col min="11017" max="11017" width="15.81640625" style="1" customWidth="1"/>
    <col min="11018" max="11018" width="9.1796875" style="1"/>
    <col min="11019" max="11019" width="18.7265625" style="1" customWidth="1"/>
    <col min="11020" max="11020" width="15.26953125" style="1" customWidth="1"/>
    <col min="11021" max="11259" width="9.1796875" style="1"/>
    <col min="11260" max="11260" width="7.7265625" style="1" customWidth="1"/>
    <col min="11261" max="11261" width="12.54296875" style="1" customWidth="1"/>
    <col min="11262" max="11262" width="12.26953125" style="1" bestFit="1" customWidth="1"/>
    <col min="11263" max="11263" width="10.453125" style="1" customWidth="1"/>
    <col min="11264" max="11264" width="9.1796875" style="1"/>
    <col min="11265" max="11266" width="11.26953125" style="1" bestFit="1" customWidth="1"/>
    <col min="11267" max="11267" width="4.26953125" style="1" customWidth="1"/>
    <col min="11268" max="11268" width="18.26953125" style="1" customWidth="1"/>
    <col min="11269" max="11269" width="9.1796875" style="1"/>
    <col min="11270" max="11270" width="20" style="1" customWidth="1"/>
    <col min="11271" max="11271" width="21.7265625" style="1" customWidth="1"/>
    <col min="11272" max="11272" width="18.453125" style="1" customWidth="1"/>
    <col min="11273" max="11273" width="15.81640625" style="1" customWidth="1"/>
    <col min="11274" max="11274" width="9.1796875" style="1"/>
    <col min="11275" max="11275" width="18.7265625" style="1" customWidth="1"/>
    <col min="11276" max="11276" width="15.26953125" style="1" customWidth="1"/>
    <col min="11277" max="11515" width="9.1796875" style="1"/>
    <col min="11516" max="11516" width="7.7265625" style="1" customWidth="1"/>
    <col min="11517" max="11517" width="12.54296875" style="1" customWidth="1"/>
    <col min="11518" max="11518" width="12.26953125" style="1" bestFit="1" customWidth="1"/>
    <col min="11519" max="11519" width="10.453125" style="1" customWidth="1"/>
    <col min="11520" max="11520" width="9.1796875" style="1"/>
    <col min="11521" max="11522" width="11.26953125" style="1" bestFit="1" customWidth="1"/>
    <col min="11523" max="11523" width="4.26953125" style="1" customWidth="1"/>
    <col min="11524" max="11524" width="18.26953125" style="1" customWidth="1"/>
    <col min="11525" max="11525" width="9.1796875" style="1"/>
    <col min="11526" max="11526" width="20" style="1" customWidth="1"/>
    <col min="11527" max="11527" width="21.7265625" style="1" customWidth="1"/>
    <col min="11528" max="11528" width="18.453125" style="1" customWidth="1"/>
    <col min="11529" max="11529" width="15.81640625" style="1" customWidth="1"/>
    <col min="11530" max="11530" width="9.1796875" style="1"/>
    <col min="11531" max="11531" width="18.7265625" style="1" customWidth="1"/>
    <col min="11532" max="11532" width="15.26953125" style="1" customWidth="1"/>
    <col min="11533" max="11771" width="9.1796875" style="1"/>
    <col min="11772" max="11772" width="7.7265625" style="1" customWidth="1"/>
    <col min="11773" max="11773" width="12.54296875" style="1" customWidth="1"/>
    <col min="11774" max="11774" width="12.26953125" style="1" bestFit="1" customWidth="1"/>
    <col min="11775" max="11775" width="10.453125" style="1" customWidth="1"/>
    <col min="11776" max="11776" width="9.1796875" style="1"/>
    <col min="11777" max="11778" width="11.26953125" style="1" bestFit="1" customWidth="1"/>
    <col min="11779" max="11779" width="4.26953125" style="1" customWidth="1"/>
    <col min="11780" max="11780" width="18.26953125" style="1" customWidth="1"/>
    <col min="11781" max="11781" width="9.1796875" style="1"/>
    <col min="11782" max="11782" width="20" style="1" customWidth="1"/>
    <col min="11783" max="11783" width="21.7265625" style="1" customWidth="1"/>
    <col min="11784" max="11784" width="18.453125" style="1" customWidth="1"/>
    <col min="11785" max="11785" width="15.81640625" style="1" customWidth="1"/>
    <col min="11786" max="11786" width="9.1796875" style="1"/>
    <col min="11787" max="11787" width="18.7265625" style="1" customWidth="1"/>
    <col min="11788" max="11788" width="15.26953125" style="1" customWidth="1"/>
    <col min="11789" max="12027" width="9.1796875" style="1"/>
    <col min="12028" max="12028" width="7.7265625" style="1" customWidth="1"/>
    <col min="12029" max="12029" width="12.54296875" style="1" customWidth="1"/>
    <col min="12030" max="12030" width="12.26953125" style="1" bestFit="1" customWidth="1"/>
    <col min="12031" max="12031" width="10.453125" style="1" customWidth="1"/>
    <col min="12032" max="12032" width="9.1796875" style="1"/>
    <col min="12033" max="12034" width="11.26953125" style="1" bestFit="1" customWidth="1"/>
    <col min="12035" max="12035" width="4.26953125" style="1" customWidth="1"/>
    <col min="12036" max="12036" width="18.26953125" style="1" customWidth="1"/>
    <col min="12037" max="12037" width="9.1796875" style="1"/>
    <col min="12038" max="12038" width="20" style="1" customWidth="1"/>
    <col min="12039" max="12039" width="21.7265625" style="1" customWidth="1"/>
    <col min="12040" max="12040" width="18.453125" style="1" customWidth="1"/>
    <col min="12041" max="12041" width="15.81640625" style="1" customWidth="1"/>
    <col min="12042" max="12042" width="9.1796875" style="1"/>
    <col min="12043" max="12043" width="18.7265625" style="1" customWidth="1"/>
    <col min="12044" max="12044" width="15.26953125" style="1" customWidth="1"/>
    <col min="12045" max="12283" width="9.1796875" style="1"/>
    <col min="12284" max="12284" width="7.7265625" style="1" customWidth="1"/>
    <col min="12285" max="12285" width="12.54296875" style="1" customWidth="1"/>
    <col min="12286" max="12286" width="12.26953125" style="1" bestFit="1" customWidth="1"/>
    <col min="12287" max="12287" width="10.453125" style="1" customWidth="1"/>
    <col min="12288" max="12288" width="9.1796875" style="1"/>
    <col min="12289" max="12290" width="11.26953125" style="1" bestFit="1" customWidth="1"/>
    <col min="12291" max="12291" width="4.26953125" style="1" customWidth="1"/>
    <col min="12292" max="12292" width="18.26953125" style="1" customWidth="1"/>
    <col min="12293" max="12293" width="9.1796875" style="1"/>
    <col min="12294" max="12294" width="20" style="1" customWidth="1"/>
    <col min="12295" max="12295" width="21.7265625" style="1" customWidth="1"/>
    <col min="12296" max="12296" width="18.453125" style="1" customWidth="1"/>
    <col min="12297" max="12297" width="15.81640625" style="1" customWidth="1"/>
    <col min="12298" max="12298" width="9.1796875" style="1"/>
    <col min="12299" max="12299" width="18.7265625" style="1" customWidth="1"/>
    <col min="12300" max="12300" width="15.26953125" style="1" customWidth="1"/>
    <col min="12301" max="12539" width="9.1796875" style="1"/>
    <col min="12540" max="12540" width="7.7265625" style="1" customWidth="1"/>
    <col min="12541" max="12541" width="12.54296875" style="1" customWidth="1"/>
    <col min="12542" max="12542" width="12.26953125" style="1" bestFit="1" customWidth="1"/>
    <col min="12543" max="12543" width="10.453125" style="1" customWidth="1"/>
    <col min="12544" max="12544" width="9.1796875" style="1"/>
    <col min="12545" max="12546" width="11.26953125" style="1" bestFit="1" customWidth="1"/>
    <col min="12547" max="12547" width="4.26953125" style="1" customWidth="1"/>
    <col min="12548" max="12548" width="18.26953125" style="1" customWidth="1"/>
    <col min="12549" max="12549" width="9.1796875" style="1"/>
    <col min="12550" max="12550" width="20" style="1" customWidth="1"/>
    <col min="12551" max="12551" width="21.7265625" style="1" customWidth="1"/>
    <col min="12552" max="12552" width="18.453125" style="1" customWidth="1"/>
    <col min="12553" max="12553" width="15.81640625" style="1" customWidth="1"/>
    <col min="12554" max="12554" width="9.1796875" style="1"/>
    <col min="12555" max="12555" width="18.7265625" style="1" customWidth="1"/>
    <col min="12556" max="12556" width="15.26953125" style="1" customWidth="1"/>
    <col min="12557" max="12795" width="9.1796875" style="1"/>
    <col min="12796" max="12796" width="7.7265625" style="1" customWidth="1"/>
    <col min="12797" max="12797" width="12.54296875" style="1" customWidth="1"/>
    <col min="12798" max="12798" width="12.26953125" style="1" bestFit="1" customWidth="1"/>
    <col min="12799" max="12799" width="10.453125" style="1" customWidth="1"/>
    <col min="12800" max="12800" width="9.1796875" style="1"/>
    <col min="12801" max="12802" width="11.26953125" style="1" bestFit="1" customWidth="1"/>
    <col min="12803" max="12803" width="4.26953125" style="1" customWidth="1"/>
    <col min="12804" max="12804" width="18.26953125" style="1" customWidth="1"/>
    <col min="12805" max="12805" width="9.1796875" style="1"/>
    <col min="12806" max="12806" width="20" style="1" customWidth="1"/>
    <col min="12807" max="12807" width="21.7265625" style="1" customWidth="1"/>
    <col min="12808" max="12808" width="18.453125" style="1" customWidth="1"/>
    <col min="12809" max="12809" width="15.81640625" style="1" customWidth="1"/>
    <col min="12810" max="12810" width="9.1796875" style="1"/>
    <col min="12811" max="12811" width="18.7265625" style="1" customWidth="1"/>
    <col min="12812" max="12812" width="15.26953125" style="1" customWidth="1"/>
    <col min="12813" max="13051" width="9.1796875" style="1"/>
    <col min="13052" max="13052" width="7.7265625" style="1" customWidth="1"/>
    <col min="13053" max="13053" width="12.54296875" style="1" customWidth="1"/>
    <col min="13054" max="13054" width="12.26953125" style="1" bestFit="1" customWidth="1"/>
    <col min="13055" max="13055" width="10.453125" style="1" customWidth="1"/>
    <col min="13056" max="13056" width="9.1796875" style="1"/>
    <col min="13057" max="13058" width="11.26953125" style="1" bestFit="1" customWidth="1"/>
    <col min="13059" max="13059" width="4.26953125" style="1" customWidth="1"/>
    <col min="13060" max="13060" width="18.26953125" style="1" customWidth="1"/>
    <col min="13061" max="13061" width="9.1796875" style="1"/>
    <col min="13062" max="13062" width="20" style="1" customWidth="1"/>
    <col min="13063" max="13063" width="21.7265625" style="1" customWidth="1"/>
    <col min="13064" max="13064" width="18.453125" style="1" customWidth="1"/>
    <col min="13065" max="13065" width="15.81640625" style="1" customWidth="1"/>
    <col min="13066" max="13066" width="9.1796875" style="1"/>
    <col min="13067" max="13067" width="18.7265625" style="1" customWidth="1"/>
    <col min="13068" max="13068" width="15.26953125" style="1" customWidth="1"/>
    <col min="13069" max="13307" width="9.1796875" style="1"/>
    <col min="13308" max="13308" width="7.7265625" style="1" customWidth="1"/>
    <col min="13309" max="13309" width="12.54296875" style="1" customWidth="1"/>
    <col min="13310" max="13310" width="12.26953125" style="1" bestFit="1" customWidth="1"/>
    <col min="13311" max="13311" width="10.453125" style="1" customWidth="1"/>
    <col min="13312" max="13312" width="9.1796875" style="1"/>
    <col min="13313" max="13314" width="11.26953125" style="1" bestFit="1" customWidth="1"/>
    <col min="13315" max="13315" width="4.26953125" style="1" customWidth="1"/>
    <col min="13316" max="13316" width="18.26953125" style="1" customWidth="1"/>
    <col min="13317" max="13317" width="9.1796875" style="1"/>
    <col min="13318" max="13318" width="20" style="1" customWidth="1"/>
    <col min="13319" max="13319" width="21.7265625" style="1" customWidth="1"/>
    <col min="13320" max="13320" width="18.453125" style="1" customWidth="1"/>
    <col min="13321" max="13321" width="15.81640625" style="1" customWidth="1"/>
    <col min="13322" max="13322" width="9.1796875" style="1"/>
    <col min="13323" max="13323" width="18.7265625" style="1" customWidth="1"/>
    <col min="13324" max="13324" width="15.26953125" style="1" customWidth="1"/>
    <col min="13325" max="13563" width="9.1796875" style="1"/>
    <col min="13564" max="13564" width="7.7265625" style="1" customWidth="1"/>
    <col min="13565" max="13565" width="12.54296875" style="1" customWidth="1"/>
    <col min="13566" max="13566" width="12.26953125" style="1" bestFit="1" customWidth="1"/>
    <col min="13567" max="13567" width="10.453125" style="1" customWidth="1"/>
    <col min="13568" max="13568" width="9.1796875" style="1"/>
    <col min="13569" max="13570" width="11.26953125" style="1" bestFit="1" customWidth="1"/>
    <col min="13571" max="13571" width="4.26953125" style="1" customWidth="1"/>
    <col min="13572" max="13572" width="18.26953125" style="1" customWidth="1"/>
    <col min="13573" max="13573" width="9.1796875" style="1"/>
    <col min="13574" max="13574" width="20" style="1" customWidth="1"/>
    <col min="13575" max="13575" width="21.7265625" style="1" customWidth="1"/>
    <col min="13576" max="13576" width="18.453125" style="1" customWidth="1"/>
    <col min="13577" max="13577" width="15.81640625" style="1" customWidth="1"/>
    <col min="13578" max="13578" width="9.1796875" style="1"/>
    <col min="13579" max="13579" width="18.7265625" style="1" customWidth="1"/>
    <col min="13580" max="13580" width="15.26953125" style="1" customWidth="1"/>
    <col min="13581" max="13819" width="9.1796875" style="1"/>
    <col min="13820" max="13820" width="7.7265625" style="1" customWidth="1"/>
    <col min="13821" max="13821" width="12.54296875" style="1" customWidth="1"/>
    <col min="13822" max="13822" width="12.26953125" style="1" bestFit="1" customWidth="1"/>
    <col min="13823" max="13823" width="10.453125" style="1" customWidth="1"/>
    <col min="13824" max="13824" width="9.1796875" style="1"/>
    <col min="13825" max="13826" width="11.26953125" style="1" bestFit="1" customWidth="1"/>
    <col min="13827" max="13827" width="4.26953125" style="1" customWidth="1"/>
    <col min="13828" max="13828" width="18.26953125" style="1" customWidth="1"/>
    <col min="13829" max="13829" width="9.1796875" style="1"/>
    <col min="13830" max="13830" width="20" style="1" customWidth="1"/>
    <col min="13831" max="13831" width="21.7265625" style="1" customWidth="1"/>
    <col min="13832" max="13832" width="18.453125" style="1" customWidth="1"/>
    <col min="13833" max="13833" width="15.81640625" style="1" customWidth="1"/>
    <col min="13834" max="13834" width="9.1796875" style="1"/>
    <col min="13835" max="13835" width="18.7265625" style="1" customWidth="1"/>
    <col min="13836" max="13836" width="15.26953125" style="1" customWidth="1"/>
    <col min="13837" max="14075" width="9.1796875" style="1"/>
    <col min="14076" max="14076" width="7.7265625" style="1" customWidth="1"/>
    <col min="14077" max="14077" width="12.54296875" style="1" customWidth="1"/>
    <col min="14078" max="14078" width="12.26953125" style="1" bestFit="1" customWidth="1"/>
    <col min="14079" max="14079" width="10.453125" style="1" customWidth="1"/>
    <col min="14080" max="14080" width="9.1796875" style="1"/>
    <col min="14081" max="14082" width="11.26953125" style="1" bestFit="1" customWidth="1"/>
    <col min="14083" max="14083" width="4.26953125" style="1" customWidth="1"/>
    <col min="14084" max="14084" width="18.26953125" style="1" customWidth="1"/>
    <col min="14085" max="14085" width="9.1796875" style="1"/>
    <col min="14086" max="14086" width="20" style="1" customWidth="1"/>
    <col min="14087" max="14087" width="21.7265625" style="1" customWidth="1"/>
    <col min="14088" max="14088" width="18.453125" style="1" customWidth="1"/>
    <col min="14089" max="14089" width="15.81640625" style="1" customWidth="1"/>
    <col min="14090" max="14090" width="9.1796875" style="1"/>
    <col min="14091" max="14091" width="18.7265625" style="1" customWidth="1"/>
    <col min="14092" max="14092" width="15.26953125" style="1" customWidth="1"/>
    <col min="14093" max="14331" width="9.1796875" style="1"/>
    <col min="14332" max="14332" width="7.7265625" style="1" customWidth="1"/>
    <col min="14333" max="14333" width="12.54296875" style="1" customWidth="1"/>
    <col min="14334" max="14334" width="12.26953125" style="1" bestFit="1" customWidth="1"/>
    <col min="14335" max="14335" width="10.453125" style="1" customWidth="1"/>
    <col min="14336" max="14336" width="9.1796875" style="1"/>
    <col min="14337" max="14338" width="11.26953125" style="1" bestFit="1" customWidth="1"/>
    <col min="14339" max="14339" width="4.26953125" style="1" customWidth="1"/>
    <col min="14340" max="14340" width="18.26953125" style="1" customWidth="1"/>
    <col min="14341" max="14341" width="9.1796875" style="1"/>
    <col min="14342" max="14342" width="20" style="1" customWidth="1"/>
    <col min="14343" max="14343" width="21.7265625" style="1" customWidth="1"/>
    <col min="14344" max="14344" width="18.453125" style="1" customWidth="1"/>
    <col min="14345" max="14345" width="15.81640625" style="1" customWidth="1"/>
    <col min="14346" max="14346" width="9.1796875" style="1"/>
    <col min="14347" max="14347" width="18.7265625" style="1" customWidth="1"/>
    <col min="14348" max="14348" width="15.26953125" style="1" customWidth="1"/>
    <col min="14349" max="14587" width="9.1796875" style="1"/>
    <col min="14588" max="14588" width="7.7265625" style="1" customWidth="1"/>
    <col min="14589" max="14589" width="12.54296875" style="1" customWidth="1"/>
    <col min="14590" max="14590" width="12.26953125" style="1" bestFit="1" customWidth="1"/>
    <col min="14591" max="14591" width="10.453125" style="1" customWidth="1"/>
    <col min="14592" max="14592" width="9.1796875" style="1"/>
    <col min="14593" max="14594" width="11.26953125" style="1" bestFit="1" customWidth="1"/>
    <col min="14595" max="14595" width="4.26953125" style="1" customWidth="1"/>
    <col min="14596" max="14596" width="18.26953125" style="1" customWidth="1"/>
    <col min="14597" max="14597" width="9.1796875" style="1"/>
    <col min="14598" max="14598" width="20" style="1" customWidth="1"/>
    <col min="14599" max="14599" width="21.7265625" style="1" customWidth="1"/>
    <col min="14600" max="14600" width="18.453125" style="1" customWidth="1"/>
    <col min="14601" max="14601" width="15.81640625" style="1" customWidth="1"/>
    <col min="14602" max="14602" width="9.1796875" style="1"/>
    <col min="14603" max="14603" width="18.7265625" style="1" customWidth="1"/>
    <col min="14604" max="14604" width="15.26953125" style="1" customWidth="1"/>
    <col min="14605" max="14843" width="9.1796875" style="1"/>
    <col min="14844" max="14844" width="7.7265625" style="1" customWidth="1"/>
    <col min="14845" max="14845" width="12.54296875" style="1" customWidth="1"/>
    <col min="14846" max="14846" width="12.26953125" style="1" bestFit="1" customWidth="1"/>
    <col min="14847" max="14847" width="10.453125" style="1" customWidth="1"/>
    <col min="14848" max="14848" width="9.1796875" style="1"/>
    <col min="14849" max="14850" width="11.26953125" style="1" bestFit="1" customWidth="1"/>
    <col min="14851" max="14851" width="4.26953125" style="1" customWidth="1"/>
    <col min="14852" max="14852" width="18.26953125" style="1" customWidth="1"/>
    <col min="14853" max="14853" width="9.1796875" style="1"/>
    <col min="14854" max="14854" width="20" style="1" customWidth="1"/>
    <col min="14855" max="14855" width="21.7265625" style="1" customWidth="1"/>
    <col min="14856" max="14856" width="18.453125" style="1" customWidth="1"/>
    <col min="14857" max="14857" width="15.81640625" style="1" customWidth="1"/>
    <col min="14858" max="14858" width="9.1796875" style="1"/>
    <col min="14859" max="14859" width="18.7265625" style="1" customWidth="1"/>
    <col min="14860" max="14860" width="15.26953125" style="1" customWidth="1"/>
    <col min="14861" max="15099" width="9.1796875" style="1"/>
    <col min="15100" max="15100" width="7.7265625" style="1" customWidth="1"/>
    <col min="15101" max="15101" width="12.54296875" style="1" customWidth="1"/>
    <col min="15102" max="15102" width="12.26953125" style="1" bestFit="1" customWidth="1"/>
    <col min="15103" max="15103" width="10.453125" style="1" customWidth="1"/>
    <col min="15104" max="15104" width="9.1796875" style="1"/>
    <col min="15105" max="15106" width="11.26953125" style="1" bestFit="1" customWidth="1"/>
    <col min="15107" max="15107" width="4.26953125" style="1" customWidth="1"/>
    <col min="15108" max="15108" width="18.26953125" style="1" customWidth="1"/>
    <col min="15109" max="15109" width="9.1796875" style="1"/>
    <col min="15110" max="15110" width="20" style="1" customWidth="1"/>
    <col min="15111" max="15111" width="21.7265625" style="1" customWidth="1"/>
    <col min="15112" max="15112" width="18.453125" style="1" customWidth="1"/>
    <col min="15113" max="15113" width="15.81640625" style="1" customWidth="1"/>
    <col min="15114" max="15114" width="9.1796875" style="1"/>
    <col min="15115" max="15115" width="18.7265625" style="1" customWidth="1"/>
    <col min="15116" max="15116" width="15.26953125" style="1" customWidth="1"/>
    <col min="15117" max="15355" width="9.1796875" style="1"/>
    <col min="15356" max="15356" width="7.7265625" style="1" customWidth="1"/>
    <col min="15357" max="15357" width="12.54296875" style="1" customWidth="1"/>
    <col min="15358" max="15358" width="12.26953125" style="1" bestFit="1" customWidth="1"/>
    <col min="15359" max="15359" width="10.453125" style="1" customWidth="1"/>
    <col min="15360" max="15360" width="9.1796875" style="1"/>
    <col min="15361" max="15362" width="11.26953125" style="1" bestFit="1" customWidth="1"/>
    <col min="15363" max="15363" width="4.26953125" style="1" customWidth="1"/>
    <col min="15364" max="15364" width="18.26953125" style="1" customWidth="1"/>
    <col min="15365" max="15365" width="9.1796875" style="1"/>
    <col min="15366" max="15366" width="20" style="1" customWidth="1"/>
    <col min="15367" max="15367" width="21.7265625" style="1" customWidth="1"/>
    <col min="15368" max="15368" width="18.453125" style="1" customWidth="1"/>
    <col min="15369" max="15369" width="15.81640625" style="1" customWidth="1"/>
    <col min="15370" max="15370" width="9.1796875" style="1"/>
    <col min="15371" max="15371" width="18.7265625" style="1" customWidth="1"/>
    <col min="15372" max="15372" width="15.26953125" style="1" customWidth="1"/>
    <col min="15373" max="15611" width="9.1796875" style="1"/>
    <col min="15612" max="15612" width="7.7265625" style="1" customWidth="1"/>
    <col min="15613" max="15613" width="12.54296875" style="1" customWidth="1"/>
    <col min="15614" max="15614" width="12.26953125" style="1" bestFit="1" customWidth="1"/>
    <col min="15615" max="15615" width="10.453125" style="1" customWidth="1"/>
    <col min="15616" max="15616" width="9.1796875" style="1"/>
    <col min="15617" max="15618" width="11.26953125" style="1" bestFit="1" customWidth="1"/>
    <col min="15619" max="15619" width="4.26953125" style="1" customWidth="1"/>
    <col min="15620" max="15620" width="18.26953125" style="1" customWidth="1"/>
    <col min="15621" max="15621" width="9.1796875" style="1"/>
    <col min="15622" max="15622" width="20" style="1" customWidth="1"/>
    <col min="15623" max="15623" width="21.7265625" style="1" customWidth="1"/>
    <col min="15624" max="15624" width="18.453125" style="1" customWidth="1"/>
    <col min="15625" max="15625" width="15.81640625" style="1" customWidth="1"/>
    <col min="15626" max="15626" width="9.1796875" style="1"/>
    <col min="15627" max="15627" width="18.7265625" style="1" customWidth="1"/>
    <col min="15628" max="15628" width="15.26953125" style="1" customWidth="1"/>
    <col min="15629" max="15867" width="9.1796875" style="1"/>
    <col min="15868" max="15868" width="7.7265625" style="1" customWidth="1"/>
    <col min="15869" max="15869" width="12.54296875" style="1" customWidth="1"/>
    <col min="15870" max="15870" width="12.26953125" style="1" bestFit="1" customWidth="1"/>
    <col min="15871" max="15871" width="10.453125" style="1" customWidth="1"/>
    <col min="15872" max="15872" width="9.1796875" style="1"/>
    <col min="15873" max="15874" width="11.26953125" style="1" bestFit="1" customWidth="1"/>
    <col min="15875" max="15875" width="4.26953125" style="1" customWidth="1"/>
    <col min="15876" max="15876" width="18.26953125" style="1" customWidth="1"/>
    <col min="15877" max="15877" width="9.1796875" style="1"/>
    <col min="15878" max="15878" width="20" style="1" customWidth="1"/>
    <col min="15879" max="15879" width="21.7265625" style="1" customWidth="1"/>
    <col min="15880" max="15880" width="18.453125" style="1" customWidth="1"/>
    <col min="15881" max="15881" width="15.81640625" style="1" customWidth="1"/>
    <col min="15882" max="15882" width="9.1796875" style="1"/>
    <col min="15883" max="15883" width="18.7265625" style="1" customWidth="1"/>
    <col min="15884" max="15884" width="15.26953125" style="1" customWidth="1"/>
    <col min="15885" max="16123" width="9.1796875" style="1"/>
    <col min="16124" max="16124" width="7.7265625" style="1" customWidth="1"/>
    <col min="16125" max="16125" width="12.54296875" style="1" customWidth="1"/>
    <col min="16126" max="16126" width="12.26953125" style="1" bestFit="1" customWidth="1"/>
    <col min="16127" max="16127" width="10.453125" style="1" customWidth="1"/>
    <col min="16128" max="16128" width="9.1796875" style="1"/>
    <col min="16129" max="16130" width="11.26953125" style="1" bestFit="1" customWidth="1"/>
    <col min="16131" max="16131" width="4.26953125" style="1" customWidth="1"/>
    <col min="16132" max="16132" width="18.26953125" style="1" customWidth="1"/>
    <col min="16133" max="16133" width="9.1796875" style="1"/>
    <col min="16134" max="16134" width="20" style="1" customWidth="1"/>
    <col min="16135" max="16135" width="21.7265625" style="1" customWidth="1"/>
    <col min="16136" max="16136" width="18.453125" style="1" customWidth="1"/>
    <col min="16137" max="16137" width="15.81640625" style="1" customWidth="1"/>
    <col min="16138" max="16138" width="9.1796875" style="1"/>
    <col min="16139" max="16139" width="18.7265625" style="1" customWidth="1"/>
    <col min="16140" max="16140" width="15.26953125" style="1" customWidth="1"/>
    <col min="16141" max="16384" width="9.1796875" style="1"/>
  </cols>
  <sheetData>
    <row r="1" spans="1:12" ht="13">
      <c r="A1" s="312" t="s">
        <v>1215</v>
      </c>
    </row>
    <row r="2" spans="1:12" ht="13">
      <c r="A2" s="312" t="s">
        <v>1216</v>
      </c>
    </row>
    <row r="3" spans="1:12" ht="13">
      <c r="A3" s="312" t="s">
        <v>1778</v>
      </c>
      <c r="H3" s="324"/>
    </row>
    <row r="4" spans="1:12" ht="13">
      <c r="A4" s="561" t="s">
        <v>1782</v>
      </c>
      <c r="H4" s="296" t="s">
        <v>1779</v>
      </c>
    </row>
    <row r="5" spans="1:12" ht="13">
      <c r="H5" s="295" t="s">
        <v>10</v>
      </c>
      <c r="J5" s="296" t="s">
        <v>1217</v>
      </c>
      <c r="K5" s="296" t="s">
        <v>1218</v>
      </c>
      <c r="L5" s="296" t="s">
        <v>1219</v>
      </c>
    </row>
    <row r="6" spans="1:12" ht="13.5" thickBot="1">
      <c r="H6" s="295" t="s">
        <v>1220</v>
      </c>
      <c r="J6" s="297" t="s">
        <v>1780</v>
      </c>
      <c r="K6" s="297" t="s">
        <v>1781</v>
      </c>
      <c r="L6" s="295" t="s">
        <v>1221</v>
      </c>
    </row>
    <row r="7" spans="1:12" ht="13">
      <c r="H7" s="298">
        <v>42735</v>
      </c>
      <c r="J7" s="299">
        <v>42551</v>
      </c>
      <c r="K7" s="300">
        <v>42643</v>
      </c>
      <c r="L7" s="298">
        <v>42735</v>
      </c>
    </row>
    <row r="8" spans="1:12" ht="13">
      <c r="H8" s="301"/>
      <c r="J8" s="302"/>
      <c r="K8" s="303"/>
      <c r="L8" s="301"/>
    </row>
    <row r="9" spans="1:12">
      <c r="A9" s="129" t="s">
        <v>1222</v>
      </c>
      <c r="B9" s="129"/>
      <c r="C9" s="129"/>
      <c r="D9" s="129"/>
      <c r="E9" s="129"/>
      <c r="H9" s="304">
        <f>SUM(J9:L9)</f>
        <v>-10512928.749999886</v>
      </c>
      <c r="I9" s="129"/>
      <c r="J9" s="305">
        <v>844235</v>
      </c>
      <c r="K9" s="306">
        <v>-1750232</v>
      </c>
      <c r="L9" s="307">
        <f>-'wa tb - 2016'!D501</f>
        <v>-9606931.7499998864</v>
      </c>
    </row>
    <row r="10" spans="1:12">
      <c r="A10" s="129" t="s">
        <v>1223</v>
      </c>
      <c r="B10" s="129"/>
      <c r="C10" s="129"/>
      <c r="D10" s="129"/>
      <c r="E10" s="129"/>
      <c r="H10" s="308">
        <v>0</v>
      </c>
      <c r="J10" s="305"/>
      <c r="K10" s="306"/>
      <c r="L10" s="309">
        <v>0</v>
      </c>
    </row>
    <row r="11" spans="1:12" ht="13">
      <c r="B11" s="310"/>
      <c r="D11" s="310" t="s">
        <v>1224</v>
      </c>
      <c r="E11" s="310"/>
      <c r="H11" s="311">
        <f>SUM(H9:H10)</f>
        <v>-10512928.749999886</v>
      </c>
      <c r="J11" s="311">
        <f>SUM(J9:J10)</f>
        <v>844235</v>
      </c>
      <c r="K11" s="311">
        <f>SUM(K9:K10)</f>
        <v>-1750232</v>
      </c>
      <c r="L11" s="311">
        <f>SUM(L9:L10)</f>
        <v>-9606931.7499998864</v>
      </c>
    </row>
    <row r="12" spans="1:12" ht="13">
      <c r="A12" s="312" t="s">
        <v>1225</v>
      </c>
      <c r="B12" s="312"/>
      <c r="C12" s="312"/>
      <c r="D12" s="312"/>
      <c r="E12" s="312"/>
      <c r="H12" s="313"/>
      <c r="J12" s="314"/>
      <c r="K12" s="583"/>
      <c r="L12" s="582"/>
    </row>
    <row r="13" spans="1:12">
      <c r="A13" s="1" t="s">
        <v>1226</v>
      </c>
      <c r="H13" s="315">
        <f>SUM(J13:L13)</f>
        <v>100741</v>
      </c>
      <c r="I13" s="129"/>
      <c r="J13" s="316">
        <v>35388</v>
      </c>
      <c r="K13" s="305">
        <v>31833</v>
      </c>
      <c r="L13" s="317">
        <v>33520</v>
      </c>
    </row>
    <row r="14" spans="1:12">
      <c r="A14" s="589" t="s">
        <v>1784</v>
      </c>
      <c r="H14" s="315">
        <f t="shared" ref="H14:H15" si="0">SUM(J14:L14)</f>
        <v>22440</v>
      </c>
      <c r="I14" s="129"/>
      <c r="J14" s="590">
        <v>7480</v>
      </c>
      <c r="K14" s="584">
        <v>7480</v>
      </c>
      <c r="L14" s="562">
        <v>7480</v>
      </c>
    </row>
    <row r="15" spans="1:12">
      <c r="A15" s="589" t="s">
        <v>1785</v>
      </c>
      <c r="H15" s="315">
        <f t="shared" si="0"/>
        <v>-64206</v>
      </c>
      <c r="I15" s="129"/>
      <c r="J15" s="590">
        <v>-21402</v>
      </c>
      <c r="K15" s="584">
        <v>-21402</v>
      </c>
      <c r="L15" s="562">
        <v>-21402</v>
      </c>
    </row>
    <row r="16" spans="1:12">
      <c r="A16" s="1" t="s">
        <v>1227</v>
      </c>
      <c r="H16" s="315">
        <f t="shared" ref="H16:H31" si="1">SUM(J16:L16)</f>
        <v>69952</v>
      </c>
      <c r="I16" s="129"/>
      <c r="J16" s="318">
        <v>617109</v>
      </c>
      <c r="K16" s="305">
        <v>-666284</v>
      </c>
      <c r="L16" s="307">
        <v>119127</v>
      </c>
    </row>
    <row r="17" spans="1:12">
      <c r="A17" s="1" t="s">
        <v>98</v>
      </c>
      <c r="H17" s="315">
        <f t="shared" si="1"/>
        <v>-352556</v>
      </c>
      <c r="I17" s="129"/>
      <c r="J17" s="316">
        <v>402904</v>
      </c>
      <c r="K17" s="305">
        <v>207052</v>
      </c>
      <c r="L17" s="317">
        <v>-962512</v>
      </c>
    </row>
    <row r="18" spans="1:12">
      <c r="A18" s="679" t="s">
        <v>1243</v>
      </c>
      <c r="B18" s="680"/>
      <c r="C18" s="680"/>
      <c r="D18" s="680"/>
      <c r="E18" s="680"/>
      <c r="F18" s="680"/>
      <c r="H18" s="315">
        <f t="shared" si="1"/>
        <v>-117042</v>
      </c>
      <c r="I18" s="129"/>
      <c r="J18" s="568">
        <v>-39014</v>
      </c>
      <c r="K18" s="592">
        <v>-39014</v>
      </c>
      <c r="L18" s="580">
        <v>-39014</v>
      </c>
    </row>
    <row r="19" spans="1:12">
      <c r="A19" s="1" t="s">
        <v>1228</v>
      </c>
      <c r="H19" s="315">
        <f t="shared" si="1"/>
        <v>-197958.60219123258</v>
      </c>
      <c r="I19" s="129"/>
      <c r="J19" s="574">
        <v>-6026.4526639449177</v>
      </c>
      <c r="K19" s="592">
        <v>-92246.684735325951</v>
      </c>
      <c r="L19" s="579">
        <v>-99685.464791961713</v>
      </c>
    </row>
    <row r="20" spans="1:12" ht="13">
      <c r="A20" s="312" t="s">
        <v>1229</v>
      </c>
      <c r="B20" s="312"/>
      <c r="C20" s="312" t="s">
        <v>1230</v>
      </c>
      <c r="H20" s="315">
        <f t="shared" si="1"/>
        <v>-63593.169055000064</v>
      </c>
      <c r="J20" s="576">
        <v>-121768</v>
      </c>
      <c r="K20" s="584">
        <v>37007.661599999999</v>
      </c>
      <c r="L20" s="578">
        <v>21167.169344999944</v>
      </c>
    </row>
    <row r="21" spans="1:12">
      <c r="A21" s="1" t="s">
        <v>1231</v>
      </c>
      <c r="H21" s="315">
        <f t="shared" si="1"/>
        <v>-353841.69999999995</v>
      </c>
      <c r="I21" s="129"/>
      <c r="J21" s="585">
        <v>-289</v>
      </c>
      <c r="K21" s="584">
        <v>306938</v>
      </c>
      <c r="L21" s="577">
        <v>-660490.69999999995</v>
      </c>
    </row>
    <row r="22" spans="1:12">
      <c r="A22" s="129" t="s">
        <v>1232</v>
      </c>
      <c r="H22" s="315">
        <f t="shared" si="1"/>
        <v>258564.08999999997</v>
      </c>
      <c r="I22" s="129"/>
      <c r="J22" s="586">
        <v>24116</v>
      </c>
      <c r="K22" s="584">
        <v>-277245</v>
      </c>
      <c r="L22" s="567">
        <v>511693.08999999997</v>
      </c>
    </row>
    <row r="23" spans="1:12">
      <c r="A23" s="319" t="s">
        <v>1233</v>
      </c>
      <c r="H23" s="315">
        <f t="shared" si="1"/>
        <v>48600</v>
      </c>
      <c r="I23" s="129"/>
      <c r="J23" s="316">
        <v>0</v>
      </c>
      <c r="K23" s="305">
        <v>48600</v>
      </c>
      <c r="L23" s="317">
        <v>0</v>
      </c>
    </row>
    <row r="24" spans="1:12">
      <c r="A24" s="319" t="s">
        <v>1234</v>
      </c>
      <c r="H24" s="315">
        <f t="shared" si="1"/>
        <v>1711334.04</v>
      </c>
      <c r="I24" s="129"/>
      <c r="J24" s="588">
        <v>-1073828</v>
      </c>
      <c r="K24" s="584">
        <v>465525</v>
      </c>
      <c r="L24" s="563">
        <f>2319637.04</f>
        <v>2319637.04</v>
      </c>
    </row>
    <row r="25" spans="1:12">
      <c r="A25" s="1" t="s">
        <v>1235</v>
      </c>
      <c r="D25" s="320" t="s">
        <v>1230</v>
      </c>
      <c r="E25" s="321"/>
      <c r="H25" s="315">
        <f t="shared" si="1"/>
        <v>0</v>
      </c>
      <c r="I25" s="129"/>
      <c r="J25" s="305">
        <v>0</v>
      </c>
      <c r="K25" s="305">
        <v>0</v>
      </c>
      <c r="L25" s="307">
        <v>0</v>
      </c>
    </row>
    <row r="26" spans="1:12">
      <c r="A26" s="1" t="s">
        <v>1236</v>
      </c>
      <c r="H26" s="315">
        <f t="shared" si="1"/>
        <v>43357</v>
      </c>
      <c r="I26" s="129"/>
      <c r="J26" s="305">
        <v>41475</v>
      </c>
      <c r="K26" s="305">
        <v>992</v>
      </c>
      <c r="L26" s="307">
        <v>890</v>
      </c>
    </row>
    <row r="27" spans="1:12">
      <c r="A27" s="591" t="s">
        <v>1786</v>
      </c>
      <c r="H27" s="315">
        <f t="shared" si="1"/>
        <v>105000</v>
      </c>
      <c r="I27" s="129"/>
      <c r="J27" s="305"/>
      <c r="K27" s="305">
        <v>35000</v>
      </c>
      <c r="L27" s="307">
        <v>70000</v>
      </c>
    </row>
    <row r="28" spans="1:12">
      <c r="A28" s="129" t="s">
        <v>1237</v>
      </c>
      <c r="B28" s="129"/>
      <c r="C28" s="129"/>
      <c r="D28" s="129"/>
      <c r="E28" s="129"/>
      <c r="H28" s="315">
        <f t="shared" si="1"/>
        <v>945000</v>
      </c>
      <c r="I28" s="129"/>
      <c r="J28" s="316">
        <v>315000</v>
      </c>
      <c r="K28" s="305">
        <v>315000</v>
      </c>
      <c r="L28" s="317">
        <v>315000</v>
      </c>
    </row>
    <row r="29" spans="1:12">
      <c r="A29" s="1" t="s">
        <v>1238</v>
      </c>
      <c r="H29" s="315">
        <f t="shared" si="1"/>
        <v>-563806</v>
      </c>
      <c r="I29" s="129"/>
      <c r="J29" s="305">
        <v>46506</v>
      </c>
      <c r="K29" s="305">
        <v>39003</v>
      </c>
      <c r="L29" s="307">
        <v>-649315</v>
      </c>
    </row>
    <row r="30" spans="1:12">
      <c r="A30" s="319" t="s">
        <v>1783</v>
      </c>
      <c r="H30" s="315">
        <f t="shared" si="1"/>
        <v>132000</v>
      </c>
      <c r="I30" s="129"/>
      <c r="J30" s="305">
        <v>44000</v>
      </c>
      <c r="K30" s="305">
        <v>44000</v>
      </c>
      <c r="L30" s="307">
        <v>44000</v>
      </c>
    </row>
    <row r="31" spans="1:12">
      <c r="A31" s="1" t="s">
        <v>1239</v>
      </c>
      <c r="H31" s="315">
        <f t="shared" si="1"/>
        <v>2057024</v>
      </c>
      <c r="I31" s="129"/>
      <c r="J31" s="316">
        <v>411305</v>
      </c>
      <c r="K31" s="581">
        <v>1459501</v>
      </c>
      <c r="L31" s="322">
        <v>186218</v>
      </c>
    </row>
    <row r="32" spans="1:12" ht="13">
      <c r="A32" s="325" t="s">
        <v>1240</v>
      </c>
      <c r="B32" s="325"/>
      <c r="C32" s="325"/>
      <c r="D32" s="325"/>
      <c r="E32" s="325"/>
      <c r="H32" s="311">
        <f>SUM(H13:H31)</f>
        <v>3781008.6587537676</v>
      </c>
      <c r="J32" s="311">
        <f>SUM(J13:J31)</f>
        <v>682955.54733605508</v>
      </c>
      <c r="K32" s="311">
        <f>SUM(K13:K31)</f>
        <v>1901739.9768646741</v>
      </c>
      <c r="L32" s="311">
        <f>SUM(L13:L31)</f>
        <v>1196313.134553038</v>
      </c>
    </row>
    <row r="33" spans="1:13" ht="13">
      <c r="A33" s="325"/>
      <c r="B33" s="325"/>
      <c r="C33" s="325"/>
      <c r="D33" s="325"/>
      <c r="E33" s="325"/>
      <c r="H33" s="326"/>
      <c r="J33" s="327"/>
      <c r="K33" s="328"/>
      <c r="L33" s="329"/>
    </row>
    <row r="34" spans="1:13" ht="13">
      <c r="D34" s="310" t="s">
        <v>1241</v>
      </c>
      <c r="E34" s="310"/>
      <c r="H34" s="330">
        <f>H11+H32</f>
        <v>-6731920.0912461188</v>
      </c>
      <c r="J34" s="330">
        <f>J11+J32</f>
        <v>1527190.547336055</v>
      </c>
      <c r="K34" s="330">
        <f>K11+K32</f>
        <v>151507.97686467413</v>
      </c>
      <c r="L34" s="330">
        <f>L11+L32</f>
        <v>-8410618.6154468488</v>
      </c>
    </row>
    <row r="35" spans="1:13" ht="13.5" thickBot="1">
      <c r="J35" s="331"/>
      <c r="K35" s="332"/>
      <c r="L35" s="333"/>
    </row>
    <row r="36" spans="1:13" ht="13.5" thickBot="1">
      <c r="A36" s="334" t="s">
        <v>1242</v>
      </c>
      <c r="C36" s="1" t="s">
        <v>1230</v>
      </c>
      <c r="D36" s="335" t="s">
        <v>1230</v>
      </c>
      <c r="F36" s="336">
        <f>652410/973253</f>
        <v>0.67033957254691223</v>
      </c>
      <c r="H36" s="337">
        <f>H34*F36</f>
        <v>-4512672.4363858933</v>
      </c>
      <c r="J36" s="338">
        <v>0</v>
      </c>
      <c r="K36" s="332"/>
      <c r="L36" s="333"/>
    </row>
    <row r="37" spans="1:13" ht="13">
      <c r="D37" s="1" t="s">
        <v>1230</v>
      </c>
      <c r="F37" s="339"/>
      <c r="G37" s="109"/>
      <c r="H37" s="323"/>
    </row>
    <row r="39" spans="1:13">
      <c r="A39" s="109"/>
      <c r="B39" s="109"/>
      <c r="C39" s="109"/>
      <c r="D39" s="109"/>
      <c r="E39" s="109"/>
      <c r="F39" s="109"/>
      <c r="G39" s="109"/>
      <c r="H39" s="109"/>
      <c r="I39" s="109"/>
      <c r="J39" s="109"/>
      <c r="K39" s="109"/>
      <c r="L39" s="109"/>
      <c r="M39" s="109"/>
    </row>
    <row r="40" spans="1:13">
      <c r="A40" s="109"/>
      <c r="B40" s="109"/>
      <c r="C40" s="109"/>
      <c r="D40" s="109"/>
      <c r="E40" s="109"/>
      <c r="F40" s="109"/>
      <c r="G40" s="109"/>
      <c r="H40" s="109"/>
      <c r="I40" s="109"/>
      <c r="J40" s="109"/>
      <c r="K40" s="109"/>
      <c r="L40" s="109"/>
      <c r="M40" s="109"/>
    </row>
    <row r="41" spans="1:13" ht="13">
      <c r="A41" s="571"/>
      <c r="B41" s="109"/>
      <c r="C41" s="109"/>
      <c r="D41" s="109"/>
      <c r="E41" s="109"/>
      <c r="F41" s="109"/>
      <c r="G41" s="109"/>
      <c r="H41" s="572"/>
      <c r="I41" s="109"/>
      <c r="J41" s="109"/>
      <c r="K41" s="109"/>
      <c r="L41" s="109"/>
      <c r="M41" s="109"/>
    </row>
    <row r="42" spans="1:13" ht="13">
      <c r="A42" s="571"/>
      <c r="B42" s="109"/>
      <c r="C42" s="109"/>
      <c r="D42" s="109"/>
      <c r="E42" s="109"/>
      <c r="F42" s="109"/>
      <c r="G42" s="109"/>
      <c r="H42" s="109"/>
      <c r="I42" s="572"/>
      <c r="J42" s="109"/>
      <c r="K42" s="109"/>
      <c r="L42" s="109"/>
      <c r="M42" s="109"/>
    </row>
    <row r="43" spans="1:13">
      <c r="A43" s="109"/>
      <c r="B43" s="109"/>
      <c r="C43" s="109"/>
      <c r="D43" s="109"/>
      <c r="E43" s="573"/>
      <c r="F43" s="109"/>
      <c r="G43" s="109"/>
      <c r="H43" s="109"/>
      <c r="I43" s="109"/>
      <c r="J43" s="109"/>
      <c r="K43" s="109"/>
      <c r="L43" s="109"/>
      <c r="M43" s="109"/>
    </row>
    <row r="44" spans="1:13">
      <c r="A44" s="109"/>
      <c r="B44" s="109"/>
      <c r="C44" s="109"/>
      <c r="D44" s="572"/>
      <c r="E44" s="572"/>
      <c r="F44" s="109"/>
      <c r="G44" s="109"/>
      <c r="H44" s="109"/>
      <c r="I44" s="109"/>
      <c r="J44" s="109"/>
      <c r="K44" s="109"/>
      <c r="L44" s="109"/>
      <c r="M44" s="109"/>
    </row>
    <row r="45" spans="1:13">
      <c r="A45" s="109"/>
      <c r="B45" s="109"/>
      <c r="C45" s="109"/>
      <c r="D45" s="572"/>
      <c r="E45" s="572"/>
      <c r="F45" s="109"/>
      <c r="G45" s="109"/>
      <c r="H45" s="109"/>
      <c r="I45" s="109"/>
      <c r="J45" s="109"/>
      <c r="K45" s="572"/>
      <c r="L45" s="109"/>
      <c r="M45" s="109"/>
    </row>
    <row r="46" spans="1:13">
      <c r="A46" s="109"/>
      <c r="B46" s="109"/>
      <c r="C46" s="109"/>
      <c r="D46" s="572"/>
      <c r="E46" s="572"/>
      <c r="F46" s="109"/>
      <c r="G46" s="109"/>
      <c r="H46" s="109"/>
      <c r="I46" s="109"/>
      <c r="J46" s="109"/>
      <c r="K46" s="566"/>
      <c r="L46" s="575"/>
      <c r="M46" s="109"/>
    </row>
    <row r="47" spans="1:13">
      <c r="A47" s="109"/>
      <c r="B47" s="109"/>
      <c r="C47" s="109"/>
      <c r="D47" s="572"/>
      <c r="E47" s="572"/>
      <c r="F47" s="109"/>
      <c r="G47" s="109"/>
      <c r="H47" s="109"/>
      <c r="I47" s="109"/>
      <c r="J47" s="109"/>
      <c r="K47" s="572"/>
      <c r="L47" s="564"/>
      <c r="M47" s="109"/>
    </row>
    <row r="48" spans="1:13">
      <c r="A48" s="109"/>
      <c r="B48" s="109"/>
      <c r="C48" s="109"/>
      <c r="D48" s="572"/>
      <c r="E48" s="572"/>
      <c r="F48" s="109"/>
      <c r="G48" s="109"/>
      <c r="H48" s="109"/>
      <c r="I48" s="109"/>
      <c r="J48" s="109"/>
      <c r="K48" s="572"/>
      <c r="L48" s="109"/>
      <c r="M48" s="109"/>
    </row>
    <row r="49" spans="1:13">
      <c r="A49" s="109"/>
      <c r="B49" s="109"/>
      <c r="C49" s="109"/>
      <c r="D49" s="109"/>
      <c r="E49" s="565"/>
      <c r="F49" s="109"/>
      <c r="G49" s="109"/>
      <c r="H49" s="109"/>
      <c r="I49" s="109"/>
      <c r="J49" s="109"/>
      <c r="K49" s="572"/>
      <c r="L49" s="109"/>
      <c r="M49" s="109"/>
    </row>
    <row r="50" spans="1:13">
      <c r="A50" s="109"/>
      <c r="B50" s="109"/>
      <c r="C50" s="109"/>
      <c r="D50" s="109"/>
      <c r="E50" s="572"/>
      <c r="F50" s="109"/>
      <c r="G50" s="109"/>
      <c r="H50" s="109"/>
      <c r="I50" s="109"/>
      <c r="J50" s="109"/>
      <c r="K50" s="572"/>
      <c r="L50" s="109"/>
      <c r="M50" s="109"/>
    </row>
    <row r="51" spans="1:13">
      <c r="A51" s="109"/>
      <c r="B51" s="109"/>
      <c r="C51" s="109"/>
      <c r="D51" s="109"/>
      <c r="E51" s="566"/>
      <c r="F51" s="109"/>
      <c r="G51" s="109"/>
      <c r="H51" s="109"/>
      <c r="I51" s="109"/>
      <c r="J51" s="109"/>
      <c r="K51" s="572"/>
      <c r="L51" s="109"/>
      <c r="M51" s="109"/>
    </row>
    <row r="52" spans="1:13">
      <c r="A52" s="109"/>
      <c r="B52" s="109"/>
      <c r="C52" s="109"/>
      <c r="D52" s="109"/>
      <c r="E52" s="572"/>
      <c r="F52" s="109"/>
      <c r="G52" s="109"/>
      <c r="H52" s="109"/>
      <c r="I52" s="109"/>
      <c r="J52" s="109"/>
      <c r="K52" s="572"/>
      <c r="L52" s="109"/>
      <c r="M52" s="109"/>
    </row>
    <row r="53" spans="1:13">
      <c r="A53" s="109"/>
      <c r="B53" s="109"/>
      <c r="C53" s="109"/>
      <c r="D53" s="109"/>
      <c r="E53" s="566"/>
      <c r="F53" s="109"/>
      <c r="G53" s="109"/>
      <c r="H53" s="109"/>
      <c r="I53" s="109"/>
      <c r="J53" s="109"/>
      <c r="K53" s="572"/>
      <c r="L53" s="109"/>
      <c r="M53" s="109"/>
    </row>
    <row r="54" spans="1:13">
      <c r="A54" s="109"/>
      <c r="B54" s="109"/>
      <c r="C54" s="109"/>
      <c r="D54" s="109"/>
      <c r="E54" s="572"/>
      <c r="F54" s="109"/>
      <c r="G54" s="109"/>
      <c r="H54" s="109"/>
      <c r="I54" s="109"/>
      <c r="J54" s="109"/>
      <c r="K54" s="572"/>
      <c r="L54" s="109"/>
      <c r="M54" s="109"/>
    </row>
    <row r="55" spans="1:13">
      <c r="A55" s="109"/>
      <c r="B55" s="109"/>
      <c r="C55" s="109"/>
      <c r="D55" s="572"/>
      <c r="E55" s="572"/>
      <c r="F55" s="109"/>
      <c r="G55" s="109"/>
      <c r="H55" s="109"/>
      <c r="I55" s="109"/>
      <c r="J55" s="109"/>
      <c r="K55" s="572"/>
      <c r="L55" s="109"/>
      <c r="M55" s="109"/>
    </row>
    <row r="56" spans="1:13">
      <c r="A56" s="109"/>
      <c r="B56" s="109"/>
      <c r="C56" s="109"/>
      <c r="D56" s="572"/>
      <c r="E56" s="572"/>
      <c r="F56" s="109"/>
      <c r="G56" s="109"/>
      <c r="H56" s="109"/>
      <c r="I56" s="109"/>
      <c r="J56" s="109"/>
      <c r="K56" s="572"/>
      <c r="L56" s="109"/>
      <c r="M56" s="109"/>
    </row>
    <row r="57" spans="1:13">
      <c r="A57" s="109"/>
      <c r="B57" s="109"/>
      <c r="C57" s="109"/>
      <c r="D57" s="572"/>
      <c r="E57" s="572"/>
      <c r="F57" s="109"/>
      <c r="G57" s="109"/>
      <c r="H57" s="109"/>
      <c r="I57" s="109"/>
      <c r="J57" s="109"/>
      <c r="K57" s="572"/>
      <c r="L57" s="109"/>
      <c r="M57" s="109"/>
    </row>
    <row r="58" spans="1:13">
      <c r="A58" s="109"/>
      <c r="B58" s="109"/>
      <c r="C58" s="109"/>
      <c r="D58" s="109"/>
      <c r="E58" s="572"/>
      <c r="F58" s="109"/>
      <c r="G58" s="109"/>
      <c r="H58" s="109"/>
      <c r="I58" s="109"/>
      <c r="J58" s="109"/>
      <c r="K58" s="572"/>
      <c r="L58" s="572"/>
      <c r="M58" s="109"/>
    </row>
    <row r="59" spans="1:13">
      <c r="A59" s="109"/>
      <c r="B59" s="109"/>
      <c r="C59" s="109"/>
      <c r="D59" s="109"/>
      <c r="E59" s="572"/>
      <c r="F59" s="109"/>
      <c r="G59" s="109"/>
      <c r="H59" s="109"/>
      <c r="I59" s="109"/>
      <c r="J59" s="109"/>
      <c r="K59" s="572"/>
      <c r="L59" s="109"/>
      <c r="M59" s="109"/>
    </row>
    <row r="60" spans="1:13">
      <c r="A60" s="109"/>
      <c r="B60" s="109"/>
      <c r="C60" s="109"/>
      <c r="D60" s="109"/>
      <c r="E60" s="572"/>
      <c r="F60" s="109"/>
      <c r="G60" s="109"/>
      <c r="H60" s="109"/>
      <c r="I60" s="109"/>
      <c r="J60" s="109"/>
      <c r="K60" s="572"/>
      <c r="L60" s="109"/>
      <c r="M60" s="109"/>
    </row>
    <row r="61" spans="1:13">
      <c r="A61" s="109"/>
      <c r="B61" s="109"/>
      <c r="C61" s="109"/>
      <c r="D61" s="109"/>
      <c r="E61" s="572"/>
      <c r="F61" s="109"/>
      <c r="G61" s="109"/>
      <c r="H61" s="109"/>
      <c r="I61" s="109"/>
      <c r="J61" s="572"/>
      <c r="K61" s="109"/>
      <c r="L61" s="109"/>
      <c r="M61" s="109"/>
    </row>
    <row r="62" spans="1:13">
      <c r="A62" s="109"/>
      <c r="B62" s="109"/>
      <c r="C62" s="109"/>
      <c r="D62" s="109"/>
      <c r="E62" s="572"/>
      <c r="F62" s="109"/>
      <c r="G62" s="109"/>
      <c r="H62" s="109"/>
      <c r="I62" s="109"/>
      <c r="J62" s="570"/>
      <c r="K62" s="564"/>
      <c r="L62" s="109"/>
      <c r="M62" s="109"/>
    </row>
    <row r="63" spans="1:13">
      <c r="A63" s="109"/>
      <c r="B63" s="109"/>
      <c r="C63" s="109"/>
      <c r="D63" s="109"/>
      <c r="E63" s="109"/>
      <c r="F63" s="109"/>
      <c r="G63" s="109"/>
      <c r="H63" s="109"/>
      <c r="I63" s="109"/>
      <c r="J63" s="109"/>
      <c r="K63" s="109"/>
      <c r="L63" s="109"/>
      <c r="M63" s="109"/>
    </row>
    <row r="64" spans="1:13">
      <c r="A64" s="109"/>
      <c r="B64" s="109"/>
      <c r="C64" s="109"/>
      <c r="D64" s="109"/>
      <c r="E64" s="109"/>
      <c r="F64" s="109"/>
      <c r="G64" s="109"/>
      <c r="H64" s="109"/>
      <c r="I64" s="109"/>
      <c r="J64" s="109"/>
      <c r="K64" s="109"/>
      <c r="L64" s="109"/>
      <c r="M64" s="109"/>
    </row>
    <row r="65" spans="1:13">
      <c r="A65" s="109"/>
      <c r="B65" s="109"/>
      <c r="C65" s="109"/>
      <c r="D65" s="109"/>
      <c r="E65" s="109"/>
      <c r="F65" s="109"/>
      <c r="G65" s="109"/>
      <c r="H65" s="109"/>
      <c r="I65" s="109"/>
      <c r="J65" s="109"/>
      <c r="K65" s="109"/>
      <c r="L65" s="109"/>
      <c r="M65" s="109"/>
    </row>
    <row r="66" spans="1:13">
      <c r="A66" s="109"/>
      <c r="B66" s="109"/>
      <c r="C66" s="109"/>
      <c r="D66" s="109"/>
      <c r="E66" s="109"/>
      <c r="F66" s="109"/>
      <c r="G66" s="109"/>
      <c r="H66" s="109"/>
      <c r="I66" s="109"/>
      <c r="J66" s="109"/>
      <c r="K66" s="109"/>
      <c r="L66" s="109"/>
      <c r="M66" s="109"/>
    </row>
    <row r="67" spans="1:13">
      <c r="A67" s="109"/>
      <c r="B67" s="109"/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</row>
    <row r="68" spans="1:13">
      <c r="A68" s="109"/>
      <c r="B68" s="109"/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</row>
    <row r="69" spans="1:13">
      <c r="A69" s="109"/>
      <c r="B69" s="109"/>
      <c r="C69" s="109"/>
      <c r="D69" s="109"/>
      <c r="E69" s="109"/>
      <c r="F69" s="109"/>
      <c r="G69" s="109"/>
      <c r="H69" s="109"/>
      <c r="I69" s="109"/>
      <c r="J69" s="109"/>
      <c r="K69" s="109"/>
      <c r="L69" s="109"/>
      <c r="M69" s="109"/>
    </row>
  </sheetData>
  <mergeCells count="1">
    <mergeCell ref="A18:F18"/>
  </mergeCells>
  <pageMargins left="0.17" right="0.12" top="0.33" bottom="0.3" header="0.21" footer="0.17"/>
  <pageSetup scale="56" orientation="portrait" r:id="rId1"/>
  <headerFooter>
    <oddFooter>&amp;L&amp;"Times New Roman,Regular"&amp;Z&amp;F&amp;R&amp;A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I69"/>
  <sheetViews>
    <sheetView zoomScale="80" zoomScaleNormal="80" workbookViewId="0">
      <pane xSplit="19" ySplit="30" topLeftCell="T49" activePane="bottomRight" state="frozen"/>
      <selection pane="topRight" activeCell="T1" sqref="T1"/>
      <selection pane="bottomLeft" activeCell="A31" sqref="A31"/>
      <selection pane="bottomRight" activeCell="V6" sqref="V6"/>
    </sheetView>
  </sheetViews>
  <sheetFormatPr defaultRowHeight="13"/>
  <cols>
    <col min="1" max="1" width="12.26953125" style="3" bestFit="1" customWidth="1"/>
    <col min="2" max="2" width="1.26953125" style="3" customWidth="1"/>
    <col min="3" max="3" width="55.81640625" style="3" hidden="1" customWidth="1"/>
    <col min="4" max="4" width="27.7265625" style="3" bestFit="1" customWidth="1"/>
    <col min="5" max="5" width="26.453125" style="3" customWidth="1"/>
    <col min="6" max="6" width="18.26953125" style="3" customWidth="1"/>
    <col min="7" max="7" width="1.54296875" style="3" customWidth="1"/>
    <col min="8" max="8" width="13.81640625" style="38" bestFit="1" customWidth="1"/>
    <col min="9" max="9" width="1.7265625" style="38" customWidth="1"/>
    <col min="10" max="10" width="13.81640625" style="38" bestFit="1" customWidth="1"/>
    <col min="11" max="11" width="0.7265625" style="38" customWidth="1"/>
    <col min="12" max="12" width="12" style="38" bestFit="1" customWidth="1"/>
    <col min="13" max="13" width="0.7265625" style="43" customWidth="1"/>
    <col min="14" max="14" width="12" style="43" bestFit="1" customWidth="1"/>
    <col min="15" max="15" width="1.26953125" style="43" customWidth="1"/>
    <col min="16" max="16" width="11.26953125" style="43" bestFit="1" customWidth="1"/>
    <col min="17" max="17" width="0.7265625" style="43" customWidth="1"/>
    <col min="18" max="18" width="11.26953125" style="43" customWidth="1"/>
    <col min="19" max="19" width="1" style="43" customWidth="1"/>
    <col min="20" max="20" width="11" style="43" customWidth="1"/>
    <col min="21" max="21" width="0.81640625" style="43" customWidth="1"/>
    <col min="22" max="22" width="12.81640625" style="43" customWidth="1"/>
    <col min="23" max="23" width="0.81640625" style="43" customWidth="1"/>
    <col min="24" max="24" width="13.7265625" style="38" customWidth="1"/>
    <col min="25" max="25" width="1.1796875" style="43" customWidth="1"/>
    <col min="26" max="26" width="9.1796875" style="53"/>
    <col min="27" max="27" width="0.81640625" style="53" customWidth="1"/>
    <col min="28" max="28" width="9.1796875" style="53"/>
    <col min="29" max="29" width="1.1796875" style="43" customWidth="1"/>
    <col min="30" max="31" width="11.26953125" style="43" bestFit="1" customWidth="1"/>
    <col min="32" max="32" width="1.1796875" style="43" customWidth="1"/>
    <col min="33" max="33" width="9.1796875" style="3"/>
    <col min="34" max="34" width="1.26953125" style="3" customWidth="1"/>
    <col min="35" max="35" width="11.26953125" style="3" bestFit="1" customWidth="1"/>
    <col min="36" max="40" width="9.1796875" style="3"/>
    <col min="41" max="41" width="13.81640625" style="3" bestFit="1" customWidth="1"/>
    <col min="42" max="261" width="9.1796875" style="3"/>
    <col min="262" max="262" width="12.26953125" style="3" bestFit="1" customWidth="1"/>
    <col min="263" max="263" width="5" style="3" bestFit="1" customWidth="1"/>
    <col min="264" max="264" width="63.81640625" style="3" bestFit="1" customWidth="1"/>
    <col min="265" max="265" width="55.81640625" style="3" bestFit="1" customWidth="1"/>
    <col min="266" max="266" width="67" style="3" bestFit="1" customWidth="1"/>
    <col min="267" max="267" width="12.81640625" style="3" bestFit="1" customWidth="1"/>
    <col min="268" max="268" width="13" style="3" bestFit="1" customWidth="1"/>
    <col min="269" max="517" width="9.1796875" style="3"/>
    <col min="518" max="518" width="12.26953125" style="3" bestFit="1" customWidth="1"/>
    <col min="519" max="519" width="5" style="3" bestFit="1" customWidth="1"/>
    <col min="520" max="520" width="63.81640625" style="3" bestFit="1" customWidth="1"/>
    <col min="521" max="521" width="55.81640625" style="3" bestFit="1" customWidth="1"/>
    <col min="522" max="522" width="67" style="3" bestFit="1" customWidth="1"/>
    <col min="523" max="523" width="12.81640625" style="3" bestFit="1" customWidth="1"/>
    <col min="524" max="524" width="13" style="3" bestFit="1" customWidth="1"/>
    <col min="525" max="773" width="9.1796875" style="3"/>
    <col min="774" max="774" width="12.26953125" style="3" bestFit="1" customWidth="1"/>
    <col min="775" max="775" width="5" style="3" bestFit="1" customWidth="1"/>
    <col min="776" max="776" width="63.81640625" style="3" bestFit="1" customWidth="1"/>
    <col min="777" max="777" width="55.81640625" style="3" bestFit="1" customWidth="1"/>
    <col min="778" max="778" width="67" style="3" bestFit="1" customWidth="1"/>
    <col min="779" max="779" width="12.81640625" style="3" bestFit="1" customWidth="1"/>
    <col min="780" max="780" width="13" style="3" bestFit="1" customWidth="1"/>
    <col min="781" max="1029" width="9.1796875" style="3"/>
    <col min="1030" max="1030" width="12.26953125" style="3" bestFit="1" customWidth="1"/>
    <col min="1031" max="1031" width="5" style="3" bestFit="1" customWidth="1"/>
    <col min="1032" max="1032" width="63.81640625" style="3" bestFit="1" customWidth="1"/>
    <col min="1033" max="1033" width="55.81640625" style="3" bestFit="1" customWidth="1"/>
    <col min="1034" max="1034" width="67" style="3" bestFit="1" customWidth="1"/>
    <col min="1035" max="1035" width="12.81640625" style="3" bestFit="1" customWidth="1"/>
    <col min="1036" max="1036" width="13" style="3" bestFit="1" customWidth="1"/>
    <col min="1037" max="1285" width="9.1796875" style="3"/>
    <col min="1286" max="1286" width="12.26953125" style="3" bestFit="1" customWidth="1"/>
    <col min="1287" max="1287" width="5" style="3" bestFit="1" customWidth="1"/>
    <col min="1288" max="1288" width="63.81640625" style="3" bestFit="1" customWidth="1"/>
    <col min="1289" max="1289" width="55.81640625" style="3" bestFit="1" customWidth="1"/>
    <col min="1290" max="1290" width="67" style="3" bestFit="1" customWidth="1"/>
    <col min="1291" max="1291" width="12.81640625" style="3" bestFit="1" customWidth="1"/>
    <col min="1292" max="1292" width="13" style="3" bestFit="1" customWidth="1"/>
    <col min="1293" max="1541" width="9.1796875" style="3"/>
    <col min="1542" max="1542" width="12.26953125" style="3" bestFit="1" customWidth="1"/>
    <col min="1543" max="1543" width="5" style="3" bestFit="1" customWidth="1"/>
    <col min="1544" max="1544" width="63.81640625" style="3" bestFit="1" customWidth="1"/>
    <col min="1545" max="1545" width="55.81640625" style="3" bestFit="1" customWidth="1"/>
    <col min="1546" max="1546" width="67" style="3" bestFit="1" customWidth="1"/>
    <col min="1547" max="1547" width="12.81640625" style="3" bestFit="1" customWidth="1"/>
    <col min="1548" max="1548" width="13" style="3" bestFit="1" customWidth="1"/>
    <col min="1549" max="1797" width="9.1796875" style="3"/>
    <col min="1798" max="1798" width="12.26953125" style="3" bestFit="1" customWidth="1"/>
    <col min="1799" max="1799" width="5" style="3" bestFit="1" customWidth="1"/>
    <col min="1800" max="1800" width="63.81640625" style="3" bestFit="1" customWidth="1"/>
    <col min="1801" max="1801" width="55.81640625" style="3" bestFit="1" customWidth="1"/>
    <col min="1802" max="1802" width="67" style="3" bestFit="1" customWidth="1"/>
    <col min="1803" max="1803" width="12.81640625" style="3" bestFit="1" customWidth="1"/>
    <col min="1804" max="1804" width="13" style="3" bestFit="1" customWidth="1"/>
    <col min="1805" max="2053" width="9.1796875" style="3"/>
    <col min="2054" max="2054" width="12.26953125" style="3" bestFit="1" customWidth="1"/>
    <col min="2055" max="2055" width="5" style="3" bestFit="1" customWidth="1"/>
    <col min="2056" max="2056" width="63.81640625" style="3" bestFit="1" customWidth="1"/>
    <col min="2057" max="2057" width="55.81640625" style="3" bestFit="1" customWidth="1"/>
    <col min="2058" max="2058" width="67" style="3" bestFit="1" customWidth="1"/>
    <col min="2059" max="2059" width="12.81640625" style="3" bestFit="1" customWidth="1"/>
    <col min="2060" max="2060" width="13" style="3" bestFit="1" customWidth="1"/>
    <col min="2061" max="2309" width="9.1796875" style="3"/>
    <col min="2310" max="2310" width="12.26953125" style="3" bestFit="1" customWidth="1"/>
    <col min="2311" max="2311" width="5" style="3" bestFit="1" customWidth="1"/>
    <col min="2312" max="2312" width="63.81640625" style="3" bestFit="1" customWidth="1"/>
    <col min="2313" max="2313" width="55.81640625" style="3" bestFit="1" customWidth="1"/>
    <col min="2314" max="2314" width="67" style="3" bestFit="1" customWidth="1"/>
    <col min="2315" max="2315" width="12.81640625" style="3" bestFit="1" customWidth="1"/>
    <col min="2316" max="2316" width="13" style="3" bestFit="1" customWidth="1"/>
    <col min="2317" max="2565" width="9.1796875" style="3"/>
    <col min="2566" max="2566" width="12.26953125" style="3" bestFit="1" customWidth="1"/>
    <col min="2567" max="2567" width="5" style="3" bestFit="1" customWidth="1"/>
    <col min="2568" max="2568" width="63.81640625" style="3" bestFit="1" customWidth="1"/>
    <col min="2569" max="2569" width="55.81640625" style="3" bestFit="1" customWidth="1"/>
    <col min="2570" max="2570" width="67" style="3" bestFit="1" customWidth="1"/>
    <col min="2571" max="2571" width="12.81640625" style="3" bestFit="1" customWidth="1"/>
    <col min="2572" max="2572" width="13" style="3" bestFit="1" customWidth="1"/>
    <col min="2573" max="2821" width="9.1796875" style="3"/>
    <col min="2822" max="2822" width="12.26953125" style="3" bestFit="1" customWidth="1"/>
    <col min="2823" max="2823" width="5" style="3" bestFit="1" customWidth="1"/>
    <col min="2824" max="2824" width="63.81640625" style="3" bestFit="1" customWidth="1"/>
    <col min="2825" max="2825" width="55.81640625" style="3" bestFit="1" customWidth="1"/>
    <col min="2826" max="2826" width="67" style="3" bestFit="1" customWidth="1"/>
    <col min="2827" max="2827" width="12.81640625" style="3" bestFit="1" customWidth="1"/>
    <col min="2828" max="2828" width="13" style="3" bestFit="1" customWidth="1"/>
    <col min="2829" max="3077" width="9.1796875" style="3"/>
    <col min="3078" max="3078" width="12.26953125" style="3" bestFit="1" customWidth="1"/>
    <col min="3079" max="3079" width="5" style="3" bestFit="1" customWidth="1"/>
    <col min="3080" max="3080" width="63.81640625" style="3" bestFit="1" customWidth="1"/>
    <col min="3081" max="3081" width="55.81640625" style="3" bestFit="1" customWidth="1"/>
    <col min="3082" max="3082" width="67" style="3" bestFit="1" customWidth="1"/>
    <col min="3083" max="3083" width="12.81640625" style="3" bestFit="1" customWidth="1"/>
    <col min="3084" max="3084" width="13" style="3" bestFit="1" customWidth="1"/>
    <col min="3085" max="3333" width="9.1796875" style="3"/>
    <col min="3334" max="3334" width="12.26953125" style="3" bestFit="1" customWidth="1"/>
    <col min="3335" max="3335" width="5" style="3" bestFit="1" customWidth="1"/>
    <col min="3336" max="3336" width="63.81640625" style="3" bestFit="1" customWidth="1"/>
    <col min="3337" max="3337" width="55.81640625" style="3" bestFit="1" customWidth="1"/>
    <col min="3338" max="3338" width="67" style="3" bestFit="1" customWidth="1"/>
    <col min="3339" max="3339" width="12.81640625" style="3" bestFit="1" customWidth="1"/>
    <col min="3340" max="3340" width="13" style="3" bestFit="1" customWidth="1"/>
    <col min="3341" max="3589" width="9.1796875" style="3"/>
    <col min="3590" max="3590" width="12.26953125" style="3" bestFit="1" customWidth="1"/>
    <col min="3591" max="3591" width="5" style="3" bestFit="1" customWidth="1"/>
    <col min="3592" max="3592" width="63.81640625" style="3" bestFit="1" customWidth="1"/>
    <col min="3593" max="3593" width="55.81640625" style="3" bestFit="1" customWidth="1"/>
    <col min="3594" max="3594" width="67" style="3" bestFit="1" customWidth="1"/>
    <col min="3595" max="3595" width="12.81640625" style="3" bestFit="1" customWidth="1"/>
    <col min="3596" max="3596" width="13" style="3" bestFit="1" customWidth="1"/>
    <col min="3597" max="3845" width="9.1796875" style="3"/>
    <col min="3846" max="3846" width="12.26953125" style="3" bestFit="1" customWidth="1"/>
    <col min="3847" max="3847" width="5" style="3" bestFit="1" customWidth="1"/>
    <col min="3848" max="3848" width="63.81640625" style="3" bestFit="1" customWidth="1"/>
    <col min="3849" max="3849" width="55.81640625" style="3" bestFit="1" customWidth="1"/>
    <col min="3850" max="3850" width="67" style="3" bestFit="1" customWidth="1"/>
    <col min="3851" max="3851" width="12.81640625" style="3" bestFit="1" customWidth="1"/>
    <col min="3852" max="3852" width="13" style="3" bestFit="1" customWidth="1"/>
    <col min="3853" max="4101" width="9.1796875" style="3"/>
    <col min="4102" max="4102" width="12.26953125" style="3" bestFit="1" customWidth="1"/>
    <col min="4103" max="4103" width="5" style="3" bestFit="1" customWidth="1"/>
    <col min="4104" max="4104" width="63.81640625" style="3" bestFit="1" customWidth="1"/>
    <col min="4105" max="4105" width="55.81640625" style="3" bestFit="1" customWidth="1"/>
    <col min="4106" max="4106" width="67" style="3" bestFit="1" customWidth="1"/>
    <col min="4107" max="4107" width="12.81640625" style="3" bestFit="1" customWidth="1"/>
    <col min="4108" max="4108" width="13" style="3" bestFit="1" customWidth="1"/>
    <col min="4109" max="4357" width="9.1796875" style="3"/>
    <col min="4358" max="4358" width="12.26953125" style="3" bestFit="1" customWidth="1"/>
    <col min="4359" max="4359" width="5" style="3" bestFit="1" customWidth="1"/>
    <col min="4360" max="4360" width="63.81640625" style="3" bestFit="1" customWidth="1"/>
    <col min="4361" max="4361" width="55.81640625" style="3" bestFit="1" customWidth="1"/>
    <col min="4362" max="4362" width="67" style="3" bestFit="1" customWidth="1"/>
    <col min="4363" max="4363" width="12.81640625" style="3" bestFit="1" customWidth="1"/>
    <col min="4364" max="4364" width="13" style="3" bestFit="1" customWidth="1"/>
    <col min="4365" max="4613" width="9.1796875" style="3"/>
    <col min="4614" max="4614" width="12.26953125" style="3" bestFit="1" customWidth="1"/>
    <col min="4615" max="4615" width="5" style="3" bestFit="1" customWidth="1"/>
    <col min="4616" max="4616" width="63.81640625" style="3" bestFit="1" customWidth="1"/>
    <col min="4617" max="4617" width="55.81640625" style="3" bestFit="1" customWidth="1"/>
    <col min="4618" max="4618" width="67" style="3" bestFit="1" customWidth="1"/>
    <col min="4619" max="4619" width="12.81640625" style="3" bestFit="1" customWidth="1"/>
    <col min="4620" max="4620" width="13" style="3" bestFit="1" customWidth="1"/>
    <col min="4621" max="4869" width="9.1796875" style="3"/>
    <col min="4870" max="4870" width="12.26953125" style="3" bestFit="1" customWidth="1"/>
    <col min="4871" max="4871" width="5" style="3" bestFit="1" customWidth="1"/>
    <col min="4872" max="4872" width="63.81640625" style="3" bestFit="1" customWidth="1"/>
    <col min="4873" max="4873" width="55.81640625" style="3" bestFit="1" customWidth="1"/>
    <col min="4874" max="4874" width="67" style="3" bestFit="1" customWidth="1"/>
    <col min="4875" max="4875" width="12.81640625" style="3" bestFit="1" customWidth="1"/>
    <col min="4876" max="4876" width="13" style="3" bestFit="1" customWidth="1"/>
    <col min="4877" max="5125" width="9.1796875" style="3"/>
    <col min="5126" max="5126" width="12.26953125" style="3" bestFit="1" customWidth="1"/>
    <col min="5127" max="5127" width="5" style="3" bestFit="1" customWidth="1"/>
    <col min="5128" max="5128" width="63.81640625" style="3" bestFit="1" customWidth="1"/>
    <col min="5129" max="5129" width="55.81640625" style="3" bestFit="1" customWidth="1"/>
    <col min="5130" max="5130" width="67" style="3" bestFit="1" customWidth="1"/>
    <col min="5131" max="5131" width="12.81640625" style="3" bestFit="1" customWidth="1"/>
    <col min="5132" max="5132" width="13" style="3" bestFit="1" customWidth="1"/>
    <col min="5133" max="5381" width="9.1796875" style="3"/>
    <col min="5382" max="5382" width="12.26953125" style="3" bestFit="1" customWidth="1"/>
    <col min="5383" max="5383" width="5" style="3" bestFit="1" customWidth="1"/>
    <col min="5384" max="5384" width="63.81640625" style="3" bestFit="1" customWidth="1"/>
    <col min="5385" max="5385" width="55.81640625" style="3" bestFit="1" customWidth="1"/>
    <col min="5386" max="5386" width="67" style="3" bestFit="1" customWidth="1"/>
    <col min="5387" max="5387" width="12.81640625" style="3" bestFit="1" customWidth="1"/>
    <col min="5388" max="5388" width="13" style="3" bestFit="1" customWidth="1"/>
    <col min="5389" max="5637" width="9.1796875" style="3"/>
    <col min="5638" max="5638" width="12.26953125" style="3" bestFit="1" customWidth="1"/>
    <col min="5639" max="5639" width="5" style="3" bestFit="1" customWidth="1"/>
    <col min="5640" max="5640" width="63.81640625" style="3" bestFit="1" customWidth="1"/>
    <col min="5641" max="5641" width="55.81640625" style="3" bestFit="1" customWidth="1"/>
    <col min="5642" max="5642" width="67" style="3" bestFit="1" customWidth="1"/>
    <col min="5643" max="5643" width="12.81640625" style="3" bestFit="1" customWidth="1"/>
    <col min="5644" max="5644" width="13" style="3" bestFit="1" customWidth="1"/>
    <col min="5645" max="5893" width="9.1796875" style="3"/>
    <col min="5894" max="5894" width="12.26953125" style="3" bestFit="1" customWidth="1"/>
    <col min="5895" max="5895" width="5" style="3" bestFit="1" customWidth="1"/>
    <col min="5896" max="5896" width="63.81640625" style="3" bestFit="1" customWidth="1"/>
    <col min="5897" max="5897" width="55.81640625" style="3" bestFit="1" customWidth="1"/>
    <col min="5898" max="5898" width="67" style="3" bestFit="1" customWidth="1"/>
    <col min="5899" max="5899" width="12.81640625" style="3" bestFit="1" customWidth="1"/>
    <col min="5900" max="5900" width="13" style="3" bestFit="1" customWidth="1"/>
    <col min="5901" max="6149" width="9.1796875" style="3"/>
    <col min="6150" max="6150" width="12.26953125" style="3" bestFit="1" customWidth="1"/>
    <col min="6151" max="6151" width="5" style="3" bestFit="1" customWidth="1"/>
    <col min="6152" max="6152" width="63.81640625" style="3" bestFit="1" customWidth="1"/>
    <col min="6153" max="6153" width="55.81640625" style="3" bestFit="1" customWidth="1"/>
    <col min="6154" max="6154" width="67" style="3" bestFit="1" customWidth="1"/>
    <col min="6155" max="6155" width="12.81640625" style="3" bestFit="1" customWidth="1"/>
    <col min="6156" max="6156" width="13" style="3" bestFit="1" customWidth="1"/>
    <col min="6157" max="6405" width="9.1796875" style="3"/>
    <col min="6406" max="6406" width="12.26953125" style="3" bestFit="1" customWidth="1"/>
    <col min="6407" max="6407" width="5" style="3" bestFit="1" customWidth="1"/>
    <col min="6408" max="6408" width="63.81640625" style="3" bestFit="1" customWidth="1"/>
    <col min="6409" max="6409" width="55.81640625" style="3" bestFit="1" customWidth="1"/>
    <col min="6410" max="6410" width="67" style="3" bestFit="1" customWidth="1"/>
    <col min="6411" max="6411" width="12.81640625" style="3" bestFit="1" customWidth="1"/>
    <col min="6412" max="6412" width="13" style="3" bestFit="1" customWidth="1"/>
    <col min="6413" max="6661" width="9.1796875" style="3"/>
    <col min="6662" max="6662" width="12.26953125" style="3" bestFit="1" customWidth="1"/>
    <col min="6663" max="6663" width="5" style="3" bestFit="1" customWidth="1"/>
    <col min="6664" max="6664" width="63.81640625" style="3" bestFit="1" customWidth="1"/>
    <col min="6665" max="6665" width="55.81640625" style="3" bestFit="1" customWidth="1"/>
    <col min="6666" max="6666" width="67" style="3" bestFit="1" customWidth="1"/>
    <col min="6667" max="6667" width="12.81640625" style="3" bestFit="1" customWidth="1"/>
    <col min="6668" max="6668" width="13" style="3" bestFit="1" customWidth="1"/>
    <col min="6669" max="6917" width="9.1796875" style="3"/>
    <col min="6918" max="6918" width="12.26953125" style="3" bestFit="1" customWidth="1"/>
    <col min="6919" max="6919" width="5" style="3" bestFit="1" customWidth="1"/>
    <col min="6920" max="6920" width="63.81640625" style="3" bestFit="1" customWidth="1"/>
    <col min="6921" max="6921" width="55.81640625" style="3" bestFit="1" customWidth="1"/>
    <col min="6922" max="6922" width="67" style="3" bestFit="1" customWidth="1"/>
    <col min="6923" max="6923" width="12.81640625" style="3" bestFit="1" customWidth="1"/>
    <col min="6924" max="6924" width="13" style="3" bestFit="1" customWidth="1"/>
    <col min="6925" max="7173" width="9.1796875" style="3"/>
    <col min="7174" max="7174" width="12.26953125" style="3" bestFit="1" customWidth="1"/>
    <col min="7175" max="7175" width="5" style="3" bestFit="1" customWidth="1"/>
    <col min="7176" max="7176" width="63.81640625" style="3" bestFit="1" customWidth="1"/>
    <col min="7177" max="7177" width="55.81640625" style="3" bestFit="1" customWidth="1"/>
    <col min="7178" max="7178" width="67" style="3" bestFit="1" customWidth="1"/>
    <col min="7179" max="7179" width="12.81640625" style="3" bestFit="1" customWidth="1"/>
    <col min="7180" max="7180" width="13" style="3" bestFit="1" customWidth="1"/>
    <col min="7181" max="7429" width="9.1796875" style="3"/>
    <col min="7430" max="7430" width="12.26953125" style="3" bestFit="1" customWidth="1"/>
    <col min="7431" max="7431" width="5" style="3" bestFit="1" customWidth="1"/>
    <col min="7432" max="7432" width="63.81640625" style="3" bestFit="1" customWidth="1"/>
    <col min="7433" max="7433" width="55.81640625" style="3" bestFit="1" customWidth="1"/>
    <col min="7434" max="7434" width="67" style="3" bestFit="1" customWidth="1"/>
    <col min="7435" max="7435" width="12.81640625" style="3" bestFit="1" customWidth="1"/>
    <col min="7436" max="7436" width="13" style="3" bestFit="1" customWidth="1"/>
    <col min="7437" max="7685" width="9.1796875" style="3"/>
    <col min="7686" max="7686" width="12.26953125" style="3" bestFit="1" customWidth="1"/>
    <col min="7687" max="7687" width="5" style="3" bestFit="1" customWidth="1"/>
    <col min="7688" max="7688" width="63.81640625" style="3" bestFit="1" customWidth="1"/>
    <col min="7689" max="7689" width="55.81640625" style="3" bestFit="1" customWidth="1"/>
    <col min="7690" max="7690" width="67" style="3" bestFit="1" customWidth="1"/>
    <col min="7691" max="7691" width="12.81640625" style="3" bestFit="1" customWidth="1"/>
    <col min="7692" max="7692" width="13" style="3" bestFit="1" customWidth="1"/>
    <col min="7693" max="7941" width="9.1796875" style="3"/>
    <col min="7942" max="7942" width="12.26953125" style="3" bestFit="1" customWidth="1"/>
    <col min="7943" max="7943" width="5" style="3" bestFit="1" customWidth="1"/>
    <col min="7944" max="7944" width="63.81640625" style="3" bestFit="1" customWidth="1"/>
    <col min="7945" max="7945" width="55.81640625" style="3" bestFit="1" customWidth="1"/>
    <col min="7946" max="7946" width="67" style="3" bestFit="1" customWidth="1"/>
    <col min="7947" max="7947" width="12.81640625" style="3" bestFit="1" customWidth="1"/>
    <col min="7948" max="7948" width="13" style="3" bestFit="1" customWidth="1"/>
    <col min="7949" max="8197" width="9.1796875" style="3"/>
    <col min="8198" max="8198" width="12.26953125" style="3" bestFit="1" customWidth="1"/>
    <col min="8199" max="8199" width="5" style="3" bestFit="1" customWidth="1"/>
    <col min="8200" max="8200" width="63.81640625" style="3" bestFit="1" customWidth="1"/>
    <col min="8201" max="8201" width="55.81640625" style="3" bestFit="1" customWidth="1"/>
    <col min="8202" max="8202" width="67" style="3" bestFit="1" customWidth="1"/>
    <col min="8203" max="8203" width="12.81640625" style="3" bestFit="1" customWidth="1"/>
    <col min="8204" max="8204" width="13" style="3" bestFit="1" customWidth="1"/>
    <col min="8205" max="8453" width="9.1796875" style="3"/>
    <col min="8454" max="8454" width="12.26953125" style="3" bestFit="1" customWidth="1"/>
    <col min="8455" max="8455" width="5" style="3" bestFit="1" customWidth="1"/>
    <col min="8456" max="8456" width="63.81640625" style="3" bestFit="1" customWidth="1"/>
    <col min="8457" max="8457" width="55.81640625" style="3" bestFit="1" customWidth="1"/>
    <col min="8458" max="8458" width="67" style="3" bestFit="1" customWidth="1"/>
    <col min="8459" max="8459" width="12.81640625" style="3" bestFit="1" customWidth="1"/>
    <col min="8460" max="8460" width="13" style="3" bestFit="1" customWidth="1"/>
    <col min="8461" max="8709" width="9.1796875" style="3"/>
    <col min="8710" max="8710" width="12.26953125" style="3" bestFit="1" customWidth="1"/>
    <col min="8711" max="8711" width="5" style="3" bestFit="1" customWidth="1"/>
    <col min="8712" max="8712" width="63.81640625" style="3" bestFit="1" customWidth="1"/>
    <col min="8713" max="8713" width="55.81640625" style="3" bestFit="1" customWidth="1"/>
    <col min="8714" max="8714" width="67" style="3" bestFit="1" customWidth="1"/>
    <col min="8715" max="8715" width="12.81640625" style="3" bestFit="1" customWidth="1"/>
    <col min="8716" max="8716" width="13" style="3" bestFit="1" customWidth="1"/>
    <col min="8717" max="8965" width="9.1796875" style="3"/>
    <col min="8966" max="8966" width="12.26953125" style="3" bestFit="1" customWidth="1"/>
    <col min="8967" max="8967" width="5" style="3" bestFit="1" customWidth="1"/>
    <col min="8968" max="8968" width="63.81640625" style="3" bestFit="1" customWidth="1"/>
    <col min="8969" max="8969" width="55.81640625" style="3" bestFit="1" customWidth="1"/>
    <col min="8970" max="8970" width="67" style="3" bestFit="1" customWidth="1"/>
    <col min="8971" max="8971" width="12.81640625" style="3" bestFit="1" customWidth="1"/>
    <col min="8972" max="8972" width="13" style="3" bestFit="1" customWidth="1"/>
    <col min="8973" max="9221" width="9.1796875" style="3"/>
    <col min="9222" max="9222" width="12.26953125" style="3" bestFit="1" customWidth="1"/>
    <col min="9223" max="9223" width="5" style="3" bestFit="1" customWidth="1"/>
    <col min="9224" max="9224" width="63.81640625" style="3" bestFit="1" customWidth="1"/>
    <col min="9225" max="9225" width="55.81640625" style="3" bestFit="1" customWidth="1"/>
    <col min="9226" max="9226" width="67" style="3" bestFit="1" customWidth="1"/>
    <col min="9227" max="9227" width="12.81640625" style="3" bestFit="1" customWidth="1"/>
    <col min="9228" max="9228" width="13" style="3" bestFit="1" customWidth="1"/>
    <col min="9229" max="9477" width="9.1796875" style="3"/>
    <col min="9478" max="9478" width="12.26953125" style="3" bestFit="1" customWidth="1"/>
    <col min="9479" max="9479" width="5" style="3" bestFit="1" customWidth="1"/>
    <col min="9480" max="9480" width="63.81640625" style="3" bestFit="1" customWidth="1"/>
    <col min="9481" max="9481" width="55.81640625" style="3" bestFit="1" customWidth="1"/>
    <col min="9482" max="9482" width="67" style="3" bestFit="1" customWidth="1"/>
    <col min="9483" max="9483" width="12.81640625" style="3" bestFit="1" customWidth="1"/>
    <col min="9484" max="9484" width="13" style="3" bestFit="1" customWidth="1"/>
    <col min="9485" max="9733" width="9.1796875" style="3"/>
    <col min="9734" max="9734" width="12.26953125" style="3" bestFit="1" customWidth="1"/>
    <col min="9735" max="9735" width="5" style="3" bestFit="1" customWidth="1"/>
    <col min="9736" max="9736" width="63.81640625" style="3" bestFit="1" customWidth="1"/>
    <col min="9737" max="9737" width="55.81640625" style="3" bestFit="1" customWidth="1"/>
    <col min="9738" max="9738" width="67" style="3" bestFit="1" customWidth="1"/>
    <col min="9739" max="9739" width="12.81640625" style="3" bestFit="1" customWidth="1"/>
    <col min="9740" max="9740" width="13" style="3" bestFit="1" customWidth="1"/>
    <col min="9741" max="9989" width="9.1796875" style="3"/>
    <col min="9990" max="9990" width="12.26953125" style="3" bestFit="1" customWidth="1"/>
    <col min="9991" max="9991" width="5" style="3" bestFit="1" customWidth="1"/>
    <col min="9992" max="9992" width="63.81640625" style="3" bestFit="1" customWidth="1"/>
    <col min="9993" max="9993" width="55.81640625" style="3" bestFit="1" customWidth="1"/>
    <col min="9994" max="9994" width="67" style="3" bestFit="1" customWidth="1"/>
    <col min="9995" max="9995" width="12.81640625" style="3" bestFit="1" customWidth="1"/>
    <col min="9996" max="9996" width="13" style="3" bestFit="1" customWidth="1"/>
    <col min="9997" max="10245" width="9.1796875" style="3"/>
    <col min="10246" max="10246" width="12.26953125" style="3" bestFit="1" customWidth="1"/>
    <col min="10247" max="10247" width="5" style="3" bestFit="1" customWidth="1"/>
    <col min="10248" max="10248" width="63.81640625" style="3" bestFit="1" customWidth="1"/>
    <col min="10249" max="10249" width="55.81640625" style="3" bestFit="1" customWidth="1"/>
    <col min="10250" max="10250" width="67" style="3" bestFit="1" customWidth="1"/>
    <col min="10251" max="10251" width="12.81640625" style="3" bestFit="1" customWidth="1"/>
    <col min="10252" max="10252" width="13" style="3" bestFit="1" customWidth="1"/>
    <col min="10253" max="10501" width="9.1796875" style="3"/>
    <col min="10502" max="10502" width="12.26953125" style="3" bestFit="1" customWidth="1"/>
    <col min="10503" max="10503" width="5" style="3" bestFit="1" customWidth="1"/>
    <col min="10504" max="10504" width="63.81640625" style="3" bestFit="1" customWidth="1"/>
    <col min="10505" max="10505" width="55.81640625" style="3" bestFit="1" customWidth="1"/>
    <col min="10506" max="10506" width="67" style="3" bestFit="1" customWidth="1"/>
    <col min="10507" max="10507" width="12.81640625" style="3" bestFit="1" customWidth="1"/>
    <col min="10508" max="10508" width="13" style="3" bestFit="1" customWidth="1"/>
    <col min="10509" max="10757" width="9.1796875" style="3"/>
    <col min="10758" max="10758" width="12.26953125" style="3" bestFit="1" customWidth="1"/>
    <col min="10759" max="10759" width="5" style="3" bestFit="1" customWidth="1"/>
    <col min="10760" max="10760" width="63.81640625" style="3" bestFit="1" customWidth="1"/>
    <col min="10761" max="10761" width="55.81640625" style="3" bestFit="1" customWidth="1"/>
    <col min="10762" max="10762" width="67" style="3" bestFit="1" customWidth="1"/>
    <col min="10763" max="10763" width="12.81640625" style="3" bestFit="1" customWidth="1"/>
    <col min="10764" max="10764" width="13" style="3" bestFit="1" customWidth="1"/>
    <col min="10765" max="11013" width="9.1796875" style="3"/>
    <col min="11014" max="11014" width="12.26953125" style="3" bestFit="1" customWidth="1"/>
    <col min="11015" max="11015" width="5" style="3" bestFit="1" customWidth="1"/>
    <col min="11016" max="11016" width="63.81640625" style="3" bestFit="1" customWidth="1"/>
    <col min="11017" max="11017" width="55.81640625" style="3" bestFit="1" customWidth="1"/>
    <col min="11018" max="11018" width="67" style="3" bestFit="1" customWidth="1"/>
    <col min="11019" max="11019" width="12.81640625" style="3" bestFit="1" customWidth="1"/>
    <col min="11020" max="11020" width="13" style="3" bestFit="1" customWidth="1"/>
    <col min="11021" max="11269" width="9.1796875" style="3"/>
    <col min="11270" max="11270" width="12.26953125" style="3" bestFit="1" customWidth="1"/>
    <col min="11271" max="11271" width="5" style="3" bestFit="1" customWidth="1"/>
    <col min="11272" max="11272" width="63.81640625" style="3" bestFit="1" customWidth="1"/>
    <col min="11273" max="11273" width="55.81640625" style="3" bestFit="1" customWidth="1"/>
    <col min="11274" max="11274" width="67" style="3" bestFit="1" customWidth="1"/>
    <col min="11275" max="11275" width="12.81640625" style="3" bestFit="1" customWidth="1"/>
    <col min="11276" max="11276" width="13" style="3" bestFit="1" customWidth="1"/>
    <col min="11277" max="11525" width="9.1796875" style="3"/>
    <col min="11526" max="11526" width="12.26953125" style="3" bestFit="1" customWidth="1"/>
    <col min="11527" max="11527" width="5" style="3" bestFit="1" customWidth="1"/>
    <col min="11528" max="11528" width="63.81640625" style="3" bestFit="1" customWidth="1"/>
    <col min="11529" max="11529" width="55.81640625" style="3" bestFit="1" customWidth="1"/>
    <col min="11530" max="11530" width="67" style="3" bestFit="1" customWidth="1"/>
    <col min="11531" max="11531" width="12.81640625" style="3" bestFit="1" customWidth="1"/>
    <col min="11532" max="11532" width="13" style="3" bestFit="1" customWidth="1"/>
    <col min="11533" max="11781" width="9.1796875" style="3"/>
    <col min="11782" max="11782" width="12.26953125" style="3" bestFit="1" customWidth="1"/>
    <col min="11783" max="11783" width="5" style="3" bestFit="1" customWidth="1"/>
    <col min="11784" max="11784" width="63.81640625" style="3" bestFit="1" customWidth="1"/>
    <col min="11785" max="11785" width="55.81640625" style="3" bestFit="1" customWidth="1"/>
    <col min="11786" max="11786" width="67" style="3" bestFit="1" customWidth="1"/>
    <col min="11787" max="11787" width="12.81640625" style="3" bestFit="1" customWidth="1"/>
    <col min="11788" max="11788" width="13" style="3" bestFit="1" customWidth="1"/>
    <col min="11789" max="12037" width="9.1796875" style="3"/>
    <col min="12038" max="12038" width="12.26953125" style="3" bestFit="1" customWidth="1"/>
    <col min="12039" max="12039" width="5" style="3" bestFit="1" customWidth="1"/>
    <col min="12040" max="12040" width="63.81640625" style="3" bestFit="1" customWidth="1"/>
    <col min="12041" max="12041" width="55.81640625" style="3" bestFit="1" customWidth="1"/>
    <col min="12042" max="12042" width="67" style="3" bestFit="1" customWidth="1"/>
    <col min="12043" max="12043" width="12.81640625" style="3" bestFit="1" customWidth="1"/>
    <col min="12044" max="12044" width="13" style="3" bestFit="1" customWidth="1"/>
    <col min="12045" max="12293" width="9.1796875" style="3"/>
    <col min="12294" max="12294" width="12.26953125" style="3" bestFit="1" customWidth="1"/>
    <col min="12295" max="12295" width="5" style="3" bestFit="1" customWidth="1"/>
    <col min="12296" max="12296" width="63.81640625" style="3" bestFit="1" customWidth="1"/>
    <col min="12297" max="12297" width="55.81640625" style="3" bestFit="1" customWidth="1"/>
    <col min="12298" max="12298" width="67" style="3" bestFit="1" customWidth="1"/>
    <col min="12299" max="12299" width="12.81640625" style="3" bestFit="1" customWidth="1"/>
    <col min="12300" max="12300" width="13" style="3" bestFit="1" customWidth="1"/>
    <col min="12301" max="12549" width="9.1796875" style="3"/>
    <col min="12550" max="12550" width="12.26953125" style="3" bestFit="1" customWidth="1"/>
    <col min="12551" max="12551" width="5" style="3" bestFit="1" customWidth="1"/>
    <col min="12552" max="12552" width="63.81640625" style="3" bestFit="1" customWidth="1"/>
    <col min="12553" max="12553" width="55.81640625" style="3" bestFit="1" customWidth="1"/>
    <col min="12554" max="12554" width="67" style="3" bestFit="1" customWidth="1"/>
    <col min="12555" max="12555" width="12.81640625" style="3" bestFit="1" customWidth="1"/>
    <col min="12556" max="12556" width="13" style="3" bestFit="1" customWidth="1"/>
    <col min="12557" max="12805" width="9.1796875" style="3"/>
    <col min="12806" max="12806" width="12.26953125" style="3" bestFit="1" customWidth="1"/>
    <col min="12807" max="12807" width="5" style="3" bestFit="1" customWidth="1"/>
    <col min="12808" max="12808" width="63.81640625" style="3" bestFit="1" customWidth="1"/>
    <col min="12809" max="12809" width="55.81640625" style="3" bestFit="1" customWidth="1"/>
    <col min="12810" max="12810" width="67" style="3" bestFit="1" customWidth="1"/>
    <col min="12811" max="12811" width="12.81640625" style="3" bestFit="1" customWidth="1"/>
    <col min="12812" max="12812" width="13" style="3" bestFit="1" customWidth="1"/>
    <col min="12813" max="13061" width="9.1796875" style="3"/>
    <col min="13062" max="13062" width="12.26953125" style="3" bestFit="1" customWidth="1"/>
    <col min="13063" max="13063" width="5" style="3" bestFit="1" customWidth="1"/>
    <col min="13064" max="13064" width="63.81640625" style="3" bestFit="1" customWidth="1"/>
    <col min="13065" max="13065" width="55.81640625" style="3" bestFit="1" customWidth="1"/>
    <col min="13066" max="13066" width="67" style="3" bestFit="1" customWidth="1"/>
    <col min="13067" max="13067" width="12.81640625" style="3" bestFit="1" customWidth="1"/>
    <col min="13068" max="13068" width="13" style="3" bestFit="1" customWidth="1"/>
    <col min="13069" max="13317" width="9.1796875" style="3"/>
    <col min="13318" max="13318" width="12.26953125" style="3" bestFit="1" customWidth="1"/>
    <col min="13319" max="13319" width="5" style="3" bestFit="1" customWidth="1"/>
    <col min="13320" max="13320" width="63.81640625" style="3" bestFit="1" customWidth="1"/>
    <col min="13321" max="13321" width="55.81640625" style="3" bestFit="1" customWidth="1"/>
    <col min="13322" max="13322" width="67" style="3" bestFit="1" customWidth="1"/>
    <col min="13323" max="13323" width="12.81640625" style="3" bestFit="1" customWidth="1"/>
    <col min="13324" max="13324" width="13" style="3" bestFit="1" customWidth="1"/>
    <col min="13325" max="13573" width="9.1796875" style="3"/>
    <col min="13574" max="13574" width="12.26953125" style="3" bestFit="1" customWidth="1"/>
    <col min="13575" max="13575" width="5" style="3" bestFit="1" customWidth="1"/>
    <col min="13576" max="13576" width="63.81640625" style="3" bestFit="1" customWidth="1"/>
    <col min="13577" max="13577" width="55.81640625" style="3" bestFit="1" customWidth="1"/>
    <col min="13578" max="13578" width="67" style="3" bestFit="1" customWidth="1"/>
    <col min="13579" max="13579" width="12.81640625" style="3" bestFit="1" customWidth="1"/>
    <col min="13580" max="13580" width="13" style="3" bestFit="1" customWidth="1"/>
    <col min="13581" max="13829" width="9.1796875" style="3"/>
    <col min="13830" max="13830" width="12.26953125" style="3" bestFit="1" customWidth="1"/>
    <col min="13831" max="13831" width="5" style="3" bestFit="1" customWidth="1"/>
    <col min="13832" max="13832" width="63.81640625" style="3" bestFit="1" customWidth="1"/>
    <col min="13833" max="13833" width="55.81640625" style="3" bestFit="1" customWidth="1"/>
    <col min="13834" max="13834" width="67" style="3" bestFit="1" customWidth="1"/>
    <col min="13835" max="13835" width="12.81640625" style="3" bestFit="1" customWidth="1"/>
    <col min="13836" max="13836" width="13" style="3" bestFit="1" customWidth="1"/>
    <col min="13837" max="14085" width="9.1796875" style="3"/>
    <col min="14086" max="14086" width="12.26953125" style="3" bestFit="1" customWidth="1"/>
    <col min="14087" max="14087" width="5" style="3" bestFit="1" customWidth="1"/>
    <col min="14088" max="14088" width="63.81640625" style="3" bestFit="1" customWidth="1"/>
    <col min="14089" max="14089" width="55.81640625" style="3" bestFit="1" customWidth="1"/>
    <col min="14090" max="14090" width="67" style="3" bestFit="1" customWidth="1"/>
    <col min="14091" max="14091" width="12.81640625" style="3" bestFit="1" customWidth="1"/>
    <col min="14092" max="14092" width="13" style="3" bestFit="1" customWidth="1"/>
    <col min="14093" max="14341" width="9.1796875" style="3"/>
    <col min="14342" max="14342" width="12.26953125" style="3" bestFit="1" customWidth="1"/>
    <col min="14343" max="14343" width="5" style="3" bestFit="1" customWidth="1"/>
    <col min="14344" max="14344" width="63.81640625" style="3" bestFit="1" customWidth="1"/>
    <col min="14345" max="14345" width="55.81640625" style="3" bestFit="1" customWidth="1"/>
    <col min="14346" max="14346" width="67" style="3" bestFit="1" customWidth="1"/>
    <col min="14347" max="14347" width="12.81640625" style="3" bestFit="1" customWidth="1"/>
    <col min="14348" max="14348" width="13" style="3" bestFit="1" customWidth="1"/>
    <col min="14349" max="14597" width="9.1796875" style="3"/>
    <col min="14598" max="14598" width="12.26953125" style="3" bestFit="1" customWidth="1"/>
    <col min="14599" max="14599" width="5" style="3" bestFit="1" customWidth="1"/>
    <col min="14600" max="14600" width="63.81640625" style="3" bestFit="1" customWidth="1"/>
    <col min="14601" max="14601" width="55.81640625" style="3" bestFit="1" customWidth="1"/>
    <col min="14602" max="14602" width="67" style="3" bestFit="1" customWidth="1"/>
    <col min="14603" max="14603" width="12.81640625" style="3" bestFit="1" customWidth="1"/>
    <col min="14604" max="14604" width="13" style="3" bestFit="1" customWidth="1"/>
    <col min="14605" max="14853" width="9.1796875" style="3"/>
    <col min="14854" max="14854" width="12.26953125" style="3" bestFit="1" customWidth="1"/>
    <col min="14855" max="14855" width="5" style="3" bestFit="1" customWidth="1"/>
    <col min="14856" max="14856" width="63.81640625" style="3" bestFit="1" customWidth="1"/>
    <col min="14857" max="14857" width="55.81640625" style="3" bestFit="1" customWidth="1"/>
    <col min="14858" max="14858" width="67" style="3" bestFit="1" customWidth="1"/>
    <col min="14859" max="14859" width="12.81640625" style="3" bestFit="1" customWidth="1"/>
    <col min="14860" max="14860" width="13" style="3" bestFit="1" customWidth="1"/>
    <col min="14861" max="15109" width="9.1796875" style="3"/>
    <col min="15110" max="15110" width="12.26953125" style="3" bestFit="1" customWidth="1"/>
    <col min="15111" max="15111" width="5" style="3" bestFit="1" customWidth="1"/>
    <col min="15112" max="15112" width="63.81640625" style="3" bestFit="1" customWidth="1"/>
    <col min="15113" max="15113" width="55.81640625" style="3" bestFit="1" customWidth="1"/>
    <col min="15114" max="15114" width="67" style="3" bestFit="1" customWidth="1"/>
    <col min="15115" max="15115" width="12.81640625" style="3" bestFit="1" customWidth="1"/>
    <col min="15116" max="15116" width="13" style="3" bestFit="1" customWidth="1"/>
    <col min="15117" max="15365" width="9.1796875" style="3"/>
    <col min="15366" max="15366" width="12.26953125" style="3" bestFit="1" customWidth="1"/>
    <col min="15367" max="15367" width="5" style="3" bestFit="1" customWidth="1"/>
    <col min="15368" max="15368" width="63.81640625" style="3" bestFit="1" customWidth="1"/>
    <col min="15369" max="15369" width="55.81640625" style="3" bestFit="1" customWidth="1"/>
    <col min="15370" max="15370" width="67" style="3" bestFit="1" customWidth="1"/>
    <col min="15371" max="15371" width="12.81640625" style="3" bestFit="1" customWidth="1"/>
    <col min="15372" max="15372" width="13" style="3" bestFit="1" customWidth="1"/>
    <col min="15373" max="15621" width="9.1796875" style="3"/>
    <col min="15622" max="15622" width="12.26953125" style="3" bestFit="1" customWidth="1"/>
    <col min="15623" max="15623" width="5" style="3" bestFit="1" customWidth="1"/>
    <col min="15624" max="15624" width="63.81640625" style="3" bestFit="1" customWidth="1"/>
    <col min="15625" max="15625" width="55.81640625" style="3" bestFit="1" customWidth="1"/>
    <col min="15626" max="15626" width="67" style="3" bestFit="1" customWidth="1"/>
    <col min="15627" max="15627" width="12.81640625" style="3" bestFit="1" customWidth="1"/>
    <col min="15628" max="15628" width="13" style="3" bestFit="1" customWidth="1"/>
    <col min="15629" max="15877" width="9.1796875" style="3"/>
    <col min="15878" max="15878" width="12.26953125" style="3" bestFit="1" customWidth="1"/>
    <col min="15879" max="15879" width="5" style="3" bestFit="1" customWidth="1"/>
    <col min="15880" max="15880" width="63.81640625" style="3" bestFit="1" customWidth="1"/>
    <col min="15881" max="15881" width="55.81640625" style="3" bestFit="1" customWidth="1"/>
    <col min="15882" max="15882" width="67" style="3" bestFit="1" customWidth="1"/>
    <col min="15883" max="15883" width="12.81640625" style="3" bestFit="1" customWidth="1"/>
    <col min="15884" max="15884" width="13" style="3" bestFit="1" customWidth="1"/>
    <col min="15885" max="16133" width="9.1796875" style="3"/>
    <col min="16134" max="16134" width="12.26953125" style="3" bestFit="1" customWidth="1"/>
    <col min="16135" max="16135" width="5" style="3" bestFit="1" customWidth="1"/>
    <col min="16136" max="16136" width="63.81640625" style="3" bestFit="1" customWidth="1"/>
    <col min="16137" max="16137" width="55.81640625" style="3" bestFit="1" customWidth="1"/>
    <col min="16138" max="16138" width="67" style="3" bestFit="1" customWidth="1"/>
    <col min="16139" max="16139" width="12.81640625" style="3" bestFit="1" customWidth="1"/>
    <col min="16140" max="16140" width="13" style="3" bestFit="1" customWidth="1"/>
    <col min="16141" max="16384" width="9.1796875" style="3"/>
  </cols>
  <sheetData>
    <row r="1" spans="1:35">
      <c r="G1" s="6" t="s">
        <v>12</v>
      </c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AF1" s="3"/>
    </row>
    <row r="2" spans="1:35">
      <c r="G2" s="6" t="s">
        <v>109</v>
      </c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AF2" s="3"/>
    </row>
    <row r="3" spans="1:35">
      <c r="G3" s="5" t="s">
        <v>1730</v>
      </c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AF3" s="3"/>
    </row>
    <row r="4" spans="1:35">
      <c r="L4" s="52" t="s">
        <v>579</v>
      </c>
      <c r="N4" s="39"/>
      <c r="O4" s="39"/>
      <c r="P4" s="44"/>
      <c r="Q4" s="44" t="s">
        <v>104</v>
      </c>
      <c r="R4" s="44"/>
      <c r="S4" s="39"/>
      <c r="T4" s="44"/>
      <c r="U4" s="44"/>
      <c r="V4" s="44" t="s">
        <v>108</v>
      </c>
      <c r="W4" s="44"/>
      <c r="X4" s="50"/>
      <c r="Y4" s="39"/>
      <c r="Z4" s="45"/>
      <c r="AA4" s="45"/>
      <c r="AB4" s="45"/>
      <c r="AC4" s="39"/>
      <c r="AD4" s="39"/>
      <c r="AE4" s="39"/>
      <c r="AF4" s="3"/>
    </row>
    <row r="5" spans="1:35">
      <c r="H5" s="50" t="s">
        <v>96</v>
      </c>
      <c r="I5" s="50"/>
      <c r="J5" s="50" t="s">
        <v>97</v>
      </c>
      <c r="K5" s="127"/>
      <c r="L5" s="44" t="s">
        <v>580</v>
      </c>
      <c r="N5" s="44" t="s">
        <v>58</v>
      </c>
      <c r="O5" s="45"/>
      <c r="P5" s="47">
        <v>2017</v>
      </c>
      <c r="Q5" s="39"/>
      <c r="R5" s="47">
        <v>2016</v>
      </c>
      <c r="S5" s="39"/>
      <c r="T5" s="47">
        <v>2017</v>
      </c>
      <c r="U5" s="39"/>
      <c r="V5" s="47">
        <v>2016</v>
      </c>
      <c r="W5" s="48"/>
      <c r="X5" s="50" t="s">
        <v>107</v>
      </c>
      <c r="Y5" s="39"/>
      <c r="Z5" s="45"/>
      <c r="AA5" s="45"/>
      <c r="AB5" s="45"/>
      <c r="AC5" s="39"/>
      <c r="AD5" s="39"/>
      <c r="AE5" s="39"/>
      <c r="AF5" s="3"/>
    </row>
    <row r="7" spans="1:35">
      <c r="A7" s="549">
        <v>42400</v>
      </c>
      <c r="D7" s="550" t="s">
        <v>1731</v>
      </c>
      <c r="H7" s="555">
        <v>0</v>
      </c>
      <c r="I7" s="43"/>
      <c r="J7" s="558">
        <v>200</v>
      </c>
      <c r="K7" s="43"/>
      <c r="L7" s="43"/>
      <c r="V7" s="43">
        <f>H7</f>
        <v>0</v>
      </c>
      <c r="X7" s="38">
        <f>-J7</f>
        <v>-200</v>
      </c>
      <c r="AF7" s="3"/>
      <c r="AG7" s="95"/>
      <c r="AI7" s="95"/>
    </row>
    <row r="8" spans="1:35">
      <c r="A8" s="549">
        <v>42400</v>
      </c>
      <c r="D8" s="550" t="s">
        <v>1732</v>
      </c>
      <c r="H8" s="555">
        <v>0</v>
      </c>
      <c r="I8" s="43"/>
      <c r="J8" s="558">
        <v>44</v>
      </c>
      <c r="K8" s="43"/>
      <c r="L8" s="43"/>
      <c r="X8" s="38">
        <f>-J8</f>
        <v>-44</v>
      </c>
      <c r="AF8" s="3"/>
      <c r="AG8" s="95"/>
      <c r="AI8" s="95"/>
    </row>
    <row r="9" spans="1:35">
      <c r="A9" s="549">
        <v>42400</v>
      </c>
      <c r="D9" s="550" t="s">
        <v>1733</v>
      </c>
      <c r="H9" s="555">
        <v>259.92</v>
      </c>
      <c r="I9" s="43"/>
      <c r="J9" s="558"/>
      <c r="K9" s="43"/>
      <c r="L9" s="43"/>
      <c r="T9" s="43">
        <f>H9</f>
        <v>259.92</v>
      </c>
      <c r="X9" s="38">
        <f>-J9</f>
        <v>0</v>
      </c>
      <c r="AF9" s="3"/>
      <c r="AG9" s="95"/>
      <c r="AI9" s="95"/>
    </row>
    <row r="10" spans="1:35">
      <c r="A10" s="549">
        <v>42400</v>
      </c>
      <c r="D10" s="550" t="s">
        <v>1734</v>
      </c>
      <c r="H10" s="555"/>
      <c r="I10" s="43"/>
      <c r="J10" s="558">
        <v>2004098</v>
      </c>
      <c r="K10" s="43"/>
      <c r="L10" s="43"/>
      <c r="N10" s="43">
        <f>-J10</f>
        <v>-2004098</v>
      </c>
      <c r="AB10" s="69"/>
      <c r="AF10" s="3"/>
      <c r="AG10" s="95"/>
      <c r="AI10" s="95"/>
    </row>
    <row r="11" spans="1:35">
      <c r="A11" s="549">
        <v>42429</v>
      </c>
      <c r="D11" s="550" t="s">
        <v>1731</v>
      </c>
      <c r="H11" s="555">
        <v>0</v>
      </c>
      <c r="I11" s="43"/>
      <c r="J11" s="558">
        <v>10740</v>
      </c>
      <c r="K11" s="43"/>
      <c r="L11" s="43"/>
      <c r="N11" s="43">
        <f>-H11</f>
        <v>0</v>
      </c>
      <c r="X11" s="38">
        <f>-J11</f>
        <v>-10740</v>
      </c>
      <c r="AB11" s="69"/>
      <c r="AF11" s="3"/>
      <c r="AG11" s="95"/>
      <c r="AI11" s="95"/>
    </row>
    <row r="12" spans="1:35">
      <c r="A12" s="549">
        <v>42429</v>
      </c>
      <c r="D12" s="550" t="s">
        <v>1735</v>
      </c>
      <c r="H12" s="555">
        <v>0</v>
      </c>
      <c r="I12" s="43"/>
      <c r="J12" s="558">
        <v>15024</v>
      </c>
      <c r="K12" s="43"/>
      <c r="L12" s="43"/>
      <c r="X12" s="38">
        <f t="shared" ref="X12:X14" si="0">-J12</f>
        <v>-15024</v>
      </c>
      <c r="AB12" s="69"/>
      <c r="AF12" s="3"/>
      <c r="AG12" s="95"/>
      <c r="AI12" s="95"/>
    </row>
    <row r="13" spans="1:35">
      <c r="A13" s="549">
        <v>42429</v>
      </c>
      <c r="D13" s="550" t="s">
        <v>1736</v>
      </c>
      <c r="H13" s="555">
        <v>0</v>
      </c>
      <c r="I13" s="43"/>
      <c r="J13" s="558">
        <v>895</v>
      </c>
      <c r="K13" s="43"/>
      <c r="L13" s="43"/>
      <c r="X13" s="38">
        <f t="shared" si="0"/>
        <v>-895</v>
      </c>
      <c r="AB13" s="69"/>
      <c r="AF13" s="3"/>
      <c r="AG13" s="95"/>
      <c r="AI13" s="95"/>
    </row>
    <row r="14" spans="1:35">
      <c r="A14" s="549">
        <v>42429</v>
      </c>
      <c r="D14" s="550" t="s">
        <v>576</v>
      </c>
      <c r="H14" s="555">
        <v>0</v>
      </c>
      <c r="I14" s="43"/>
      <c r="J14" s="558">
        <v>6653</v>
      </c>
      <c r="K14" s="43"/>
      <c r="L14" s="43"/>
      <c r="X14" s="38">
        <f t="shared" si="0"/>
        <v>-6653</v>
      </c>
      <c r="AB14" s="69"/>
      <c r="AF14" s="3"/>
      <c r="AG14" s="95"/>
      <c r="AI14" s="95"/>
    </row>
    <row r="15" spans="1:35">
      <c r="A15" s="549">
        <v>42429</v>
      </c>
      <c r="D15" s="550" t="s">
        <v>1737</v>
      </c>
      <c r="H15" s="555"/>
      <c r="I15" s="43"/>
      <c r="J15" s="558">
        <v>1026857</v>
      </c>
      <c r="K15" s="43"/>
      <c r="L15" s="43"/>
      <c r="N15" s="43">
        <f>-J15</f>
        <v>-1026857</v>
      </c>
      <c r="V15" s="43">
        <f>H15</f>
        <v>0</v>
      </c>
      <c r="AB15" s="69"/>
      <c r="AF15" s="3"/>
      <c r="AG15" s="95"/>
      <c r="AI15" s="95"/>
    </row>
    <row r="16" spans="1:35">
      <c r="A16" s="549">
        <v>42460</v>
      </c>
      <c r="D16" s="550" t="s">
        <v>574</v>
      </c>
      <c r="H16" s="555">
        <v>2000</v>
      </c>
      <c r="I16" s="43"/>
      <c r="J16" s="558"/>
      <c r="K16" s="43"/>
      <c r="L16" s="43"/>
      <c r="T16" s="43">
        <f>H16</f>
        <v>2000</v>
      </c>
      <c r="AB16" s="69"/>
      <c r="AF16" s="3"/>
      <c r="AG16" s="95"/>
      <c r="AI16" s="95"/>
    </row>
    <row r="17" spans="1:35">
      <c r="A17" s="549">
        <v>42460</v>
      </c>
      <c r="D17" s="550" t="s">
        <v>574</v>
      </c>
      <c r="H17" s="555">
        <v>2000</v>
      </c>
      <c r="I17" s="43"/>
      <c r="J17" s="558"/>
      <c r="K17" s="43"/>
      <c r="L17" s="43"/>
      <c r="T17" s="43">
        <f>H17</f>
        <v>2000</v>
      </c>
      <c r="Y17" s="3"/>
      <c r="Z17" s="3"/>
      <c r="AA17" s="3"/>
      <c r="AB17" s="8"/>
      <c r="AC17" s="3"/>
      <c r="AF17" s="3"/>
      <c r="AG17" s="95"/>
      <c r="AI17" s="95"/>
    </row>
    <row r="18" spans="1:35">
      <c r="A18" s="549">
        <v>42460</v>
      </c>
      <c r="D18" s="550" t="s">
        <v>574</v>
      </c>
      <c r="H18" s="555">
        <v>2000</v>
      </c>
      <c r="I18" s="43"/>
      <c r="J18" s="558"/>
      <c r="K18" s="43"/>
      <c r="L18" s="43"/>
      <c r="T18" s="43">
        <f>H18</f>
        <v>2000</v>
      </c>
      <c r="Y18" s="3"/>
      <c r="Z18" s="3"/>
      <c r="AA18" s="3"/>
      <c r="AB18" s="8"/>
      <c r="AC18" s="3"/>
      <c r="AF18" s="3"/>
      <c r="AG18" s="95"/>
      <c r="AI18" s="95"/>
    </row>
    <row r="19" spans="1:35">
      <c r="A19" s="549">
        <v>42460</v>
      </c>
      <c r="D19" s="550" t="s">
        <v>574</v>
      </c>
      <c r="H19" s="555">
        <v>2000</v>
      </c>
      <c r="I19" s="43"/>
      <c r="J19" s="558"/>
      <c r="K19" s="43"/>
      <c r="L19" s="43"/>
      <c r="T19" s="43">
        <f>H19</f>
        <v>2000</v>
      </c>
      <c r="Y19" s="3"/>
      <c r="Z19" s="3"/>
      <c r="AA19" s="3"/>
      <c r="AB19" s="8"/>
      <c r="AC19" s="3"/>
      <c r="AF19" s="3"/>
      <c r="AG19" s="95"/>
      <c r="AI19" s="95"/>
    </row>
    <row r="20" spans="1:35">
      <c r="A20" s="549">
        <v>42460</v>
      </c>
      <c r="D20" s="550" t="s">
        <v>574</v>
      </c>
      <c r="H20" s="555">
        <v>8000</v>
      </c>
      <c r="I20" s="43"/>
      <c r="J20" s="558"/>
      <c r="K20" s="43"/>
      <c r="L20" s="43"/>
      <c r="T20" s="43">
        <f>H20</f>
        <v>8000</v>
      </c>
      <c r="Y20" s="3"/>
      <c r="Z20" s="3"/>
      <c r="AA20" s="3"/>
      <c r="AB20" s="8"/>
      <c r="AC20" s="3"/>
      <c r="AF20" s="3"/>
      <c r="AG20" s="95"/>
      <c r="AI20" s="95"/>
    </row>
    <row r="21" spans="1:35">
      <c r="A21" s="549">
        <v>42460</v>
      </c>
      <c r="D21" s="550" t="s">
        <v>576</v>
      </c>
      <c r="H21" s="555">
        <v>0</v>
      </c>
      <c r="I21" s="43"/>
      <c r="J21" s="558">
        <v>1442.8</v>
      </c>
      <c r="K21" s="43"/>
      <c r="L21" s="43"/>
      <c r="V21" s="43">
        <f t="shared" ref="V21:V28" si="1">H21</f>
        <v>0</v>
      </c>
      <c r="X21" s="38">
        <f>-J21</f>
        <v>-1442.8</v>
      </c>
      <c r="Y21" s="3"/>
      <c r="Z21" s="3"/>
      <c r="AA21" s="3"/>
      <c r="AB21" s="8"/>
      <c r="AC21" s="3"/>
      <c r="AF21" s="3"/>
      <c r="AG21" s="95"/>
      <c r="AI21" s="95"/>
    </row>
    <row r="22" spans="1:35">
      <c r="A22" s="549">
        <v>42460</v>
      </c>
      <c r="D22" s="550" t="s">
        <v>576</v>
      </c>
      <c r="H22" s="555">
        <v>0</v>
      </c>
      <c r="I22" s="43"/>
      <c r="J22" s="558">
        <v>1552</v>
      </c>
      <c r="K22" s="43"/>
      <c r="L22" s="43"/>
      <c r="V22" s="43">
        <f t="shared" si="1"/>
        <v>0</v>
      </c>
      <c r="X22" s="38">
        <f t="shared" ref="X22:X29" si="2">-J22</f>
        <v>-1552</v>
      </c>
      <c r="Y22" s="3"/>
      <c r="Z22" s="3"/>
      <c r="AA22" s="3"/>
      <c r="AB22" s="8"/>
      <c r="AC22" s="3"/>
      <c r="AF22" s="3"/>
      <c r="AG22" s="95"/>
      <c r="AI22" s="95"/>
    </row>
    <row r="23" spans="1:35">
      <c r="A23" s="549">
        <v>42460</v>
      </c>
      <c r="D23" s="550" t="s">
        <v>1738</v>
      </c>
      <c r="H23" s="555">
        <v>0</v>
      </c>
      <c r="I23" s="43"/>
      <c r="J23" s="558">
        <v>5059.99</v>
      </c>
      <c r="K23" s="43"/>
      <c r="L23" s="43"/>
      <c r="V23" s="43">
        <f t="shared" si="1"/>
        <v>0</v>
      </c>
      <c r="X23" s="38">
        <f t="shared" si="2"/>
        <v>-5059.99</v>
      </c>
      <c r="Y23" s="3"/>
      <c r="Z23" s="3"/>
      <c r="AA23" s="3"/>
      <c r="AB23" s="3"/>
      <c r="AC23" s="3"/>
      <c r="AF23" s="3"/>
      <c r="AG23" s="95"/>
      <c r="AI23" s="95"/>
    </row>
    <row r="24" spans="1:35">
      <c r="A24" s="549">
        <v>42460</v>
      </c>
      <c r="D24" s="550" t="s">
        <v>1739</v>
      </c>
      <c r="H24" s="555">
        <v>0</v>
      </c>
      <c r="I24" s="43"/>
      <c r="J24" s="558">
        <v>10272</v>
      </c>
      <c r="K24" s="43"/>
      <c r="L24" s="43"/>
      <c r="V24" s="43">
        <f t="shared" si="1"/>
        <v>0</v>
      </c>
      <c r="X24" s="38">
        <f t="shared" si="2"/>
        <v>-10272</v>
      </c>
      <c r="Y24" s="3"/>
      <c r="Z24" s="3"/>
      <c r="AA24" s="3"/>
      <c r="AB24" s="3"/>
      <c r="AC24" s="3"/>
      <c r="AF24" s="3"/>
      <c r="AG24" s="95"/>
      <c r="AI24" s="95"/>
    </row>
    <row r="25" spans="1:35">
      <c r="A25" s="549">
        <v>42460</v>
      </c>
      <c r="D25" s="550" t="s">
        <v>1740</v>
      </c>
      <c r="H25" s="555">
        <v>0</v>
      </c>
      <c r="I25" s="43"/>
      <c r="J25" s="558">
        <v>12348</v>
      </c>
      <c r="K25" s="43"/>
      <c r="L25" s="43"/>
      <c r="V25" s="43">
        <f t="shared" si="1"/>
        <v>0</v>
      </c>
      <c r="X25" s="38">
        <f t="shared" si="2"/>
        <v>-12348</v>
      </c>
      <c r="Y25" s="3"/>
      <c r="Z25" s="3"/>
      <c r="AA25" s="3"/>
      <c r="AB25" s="3"/>
      <c r="AC25" s="3"/>
      <c r="AF25" s="3"/>
      <c r="AG25" s="95"/>
      <c r="AI25" s="95"/>
    </row>
    <row r="26" spans="1:35">
      <c r="A26" s="549">
        <v>42460</v>
      </c>
      <c r="D26" s="550" t="s">
        <v>576</v>
      </c>
      <c r="H26" s="555">
        <v>0</v>
      </c>
      <c r="I26" s="43"/>
      <c r="J26" s="558">
        <v>400</v>
      </c>
      <c r="K26" s="43"/>
      <c r="L26" s="43"/>
      <c r="V26" s="43">
        <f t="shared" si="1"/>
        <v>0</v>
      </c>
      <c r="X26" s="38">
        <f t="shared" si="2"/>
        <v>-400</v>
      </c>
      <c r="Y26" s="3"/>
      <c r="Z26" s="3"/>
      <c r="AA26" s="3"/>
      <c r="AB26" s="3"/>
      <c r="AC26" s="3"/>
      <c r="AF26" s="3"/>
      <c r="AG26" s="95"/>
      <c r="AI26" s="95"/>
    </row>
    <row r="27" spans="1:35">
      <c r="A27" s="549">
        <v>42460</v>
      </c>
      <c r="D27" s="550" t="s">
        <v>1741</v>
      </c>
      <c r="H27" s="555">
        <v>0</v>
      </c>
      <c r="I27" s="43"/>
      <c r="J27" s="558">
        <v>642</v>
      </c>
      <c r="K27" s="43"/>
      <c r="L27" s="43"/>
      <c r="V27" s="43">
        <f t="shared" si="1"/>
        <v>0</v>
      </c>
      <c r="X27" s="38">
        <f t="shared" si="2"/>
        <v>-642</v>
      </c>
      <c r="Y27" s="3"/>
      <c r="Z27" s="3"/>
      <c r="AA27" s="3"/>
      <c r="AB27" s="3"/>
      <c r="AC27" s="3"/>
      <c r="AF27" s="3"/>
      <c r="AG27" s="95"/>
      <c r="AI27" s="95"/>
    </row>
    <row r="28" spans="1:35">
      <c r="A28" s="549">
        <v>42460</v>
      </c>
      <c r="D28" s="550" t="s">
        <v>1742</v>
      </c>
      <c r="H28" s="555">
        <v>0</v>
      </c>
      <c r="I28" s="43"/>
      <c r="J28" s="558">
        <v>2596</v>
      </c>
      <c r="K28" s="43"/>
      <c r="L28" s="43"/>
      <c r="V28" s="43">
        <f t="shared" si="1"/>
        <v>0</v>
      </c>
      <c r="X28" s="38">
        <f t="shared" si="2"/>
        <v>-2596</v>
      </c>
      <c r="Y28" s="3"/>
      <c r="Z28" s="3"/>
      <c r="AA28" s="3"/>
      <c r="AB28" s="3"/>
      <c r="AC28" s="3"/>
      <c r="AF28" s="3"/>
      <c r="AG28" s="95"/>
      <c r="AI28" s="95"/>
    </row>
    <row r="29" spans="1:35">
      <c r="A29" s="549">
        <v>42460</v>
      </c>
      <c r="D29" s="550" t="s">
        <v>521</v>
      </c>
      <c r="H29" s="555">
        <v>4000</v>
      </c>
      <c r="I29" s="43"/>
      <c r="J29" s="558"/>
      <c r="K29" s="43"/>
      <c r="L29" s="43"/>
      <c r="T29" s="43">
        <f>H29</f>
        <v>4000</v>
      </c>
      <c r="X29" s="38">
        <f t="shared" si="2"/>
        <v>0</v>
      </c>
      <c r="Y29" s="3"/>
      <c r="AA29" s="3"/>
      <c r="AB29" s="3"/>
      <c r="AC29" s="3"/>
      <c r="AF29" s="3"/>
      <c r="AG29" s="95"/>
      <c r="AI29" s="95"/>
    </row>
    <row r="30" spans="1:35">
      <c r="A30" s="549">
        <v>42460</v>
      </c>
      <c r="D30" s="550" t="s">
        <v>524</v>
      </c>
      <c r="H30" s="555">
        <v>100000</v>
      </c>
      <c r="I30" s="43"/>
      <c r="J30" s="558"/>
      <c r="K30" s="43"/>
      <c r="L30" s="43"/>
      <c r="T30" s="43">
        <f>H30</f>
        <v>100000</v>
      </c>
      <c r="Y30" s="3"/>
      <c r="Z30" s="3"/>
      <c r="AA30" s="3"/>
      <c r="AB30" s="3"/>
      <c r="AC30" s="3"/>
      <c r="AF30" s="3"/>
      <c r="AG30" s="95"/>
      <c r="AI30" s="95"/>
    </row>
    <row r="31" spans="1:35">
      <c r="A31" s="549">
        <v>42460</v>
      </c>
      <c r="D31" s="550" t="s">
        <v>1743</v>
      </c>
      <c r="H31" s="555">
        <v>750000</v>
      </c>
      <c r="I31" s="43"/>
      <c r="J31" s="558"/>
      <c r="K31" s="43"/>
      <c r="L31" s="43"/>
      <c r="P31" s="43">
        <f>H31</f>
        <v>750000</v>
      </c>
      <c r="Y31" s="3"/>
      <c r="Z31" s="3"/>
      <c r="AA31" s="3"/>
      <c r="AB31" s="3"/>
      <c r="AC31" s="3"/>
      <c r="AF31" s="3"/>
      <c r="AG31" s="95"/>
      <c r="AI31" s="95"/>
    </row>
    <row r="32" spans="1:35">
      <c r="A32" s="549">
        <v>42460</v>
      </c>
      <c r="D32" s="550" t="s">
        <v>1744</v>
      </c>
      <c r="H32" s="555">
        <v>10000</v>
      </c>
      <c r="I32" s="43"/>
      <c r="J32" s="558"/>
      <c r="K32" s="43"/>
      <c r="L32" s="43"/>
      <c r="N32" s="43">
        <f>H32</f>
        <v>10000</v>
      </c>
      <c r="Y32" s="3"/>
      <c r="Z32" s="3"/>
      <c r="AA32" s="3"/>
      <c r="AB32" s="3"/>
      <c r="AC32" s="3"/>
      <c r="AF32" s="3"/>
      <c r="AG32" s="95"/>
      <c r="AI32" s="95"/>
    </row>
    <row r="33" spans="1:35">
      <c r="A33" s="549">
        <v>42490</v>
      </c>
      <c r="D33" s="550" t="s">
        <v>1745</v>
      </c>
      <c r="H33" s="555">
        <v>0</v>
      </c>
      <c r="I33" s="43"/>
      <c r="J33" s="558">
        <v>149.24</v>
      </c>
      <c r="K33" s="43"/>
      <c r="L33" s="43"/>
      <c r="V33" s="43">
        <f t="shared" ref="V33:V35" si="3">H33</f>
        <v>0</v>
      </c>
      <c r="X33" s="38">
        <f>-J33</f>
        <v>-149.24</v>
      </c>
      <c r="Y33" s="3"/>
      <c r="Z33" s="3"/>
      <c r="AA33" s="3"/>
      <c r="AB33" s="3"/>
      <c r="AC33" s="3"/>
      <c r="AF33" s="3"/>
      <c r="AG33" s="95"/>
      <c r="AI33" s="95"/>
    </row>
    <row r="34" spans="1:35">
      <c r="A34" s="549">
        <v>42490</v>
      </c>
      <c r="D34" s="550" t="s">
        <v>1746</v>
      </c>
      <c r="H34" s="555">
        <v>0</v>
      </c>
      <c r="I34" s="43"/>
      <c r="J34" s="558">
        <v>1382</v>
      </c>
      <c r="K34" s="43"/>
      <c r="L34" s="43"/>
      <c r="V34" s="43">
        <f t="shared" si="3"/>
        <v>0</v>
      </c>
      <c r="X34" s="38">
        <f t="shared" ref="X34:X36" si="4">-J34</f>
        <v>-1382</v>
      </c>
      <c r="Y34" s="3"/>
      <c r="Z34" s="3"/>
      <c r="AA34" s="3"/>
      <c r="AB34" s="8"/>
      <c r="AC34" s="3"/>
      <c r="AF34" s="3"/>
      <c r="AG34" s="95"/>
      <c r="AI34" s="95"/>
    </row>
    <row r="35" spans="1:35">
      <c r="A35" s="549">
        <v>42490</v>
      </c>
      <c r="D35" s="550" t="s">
        <v>1747</v>
      </c>
      <c r="H35" s="555">
        <v>0</v>
      </c>
      <c r="I35" s="43"/>
      <c r="J35" s="558">
        <v>27</v>
      </c>
      <c r="K35" s="43"/>
      <c r="L35" s="43"/>
      <c r="V35" s="43">
        <f t="shared" si="3"/>
        <v>0</v>
      </c>
      <c r="X35" s="38">
        <f t="shared" si="4"/>
        <v>-27</v>
      </c>
      <c r="Y35" s="3"/>
      <c r="Z35" s="3"/>
      <c r="AA35" s="3"/>
      <c r="AB35" s="3"/>
      <c r="AC35" s="3"/>
      <c r="AF35" s="3"/>
      <c r="AG35" s="95"/>
      <c r="AI35" s="95"/>
    </row>
    <row r="36" spans="1:35">
      <c r="A36" s="549">
        <v>42521</v>
      </c>
      <c r="D36" s="550" t="s">
        <v>1748</v>
      </c>
      <c r="H36" s="555">
        <v>0</v>
      </c>
      <c r="I36" s="43"/>
      <c r="J36" s="558">
        <v>109.85</v>
      </c>
      <c r="K36" s="43"/>
      <c r="L36" s="43"/>
      <c r="R36" s="43">
        <f>H36</f>
        <v>0</v>
      </c>
      <c r="X36" s="38">
        <f t="shared" si="4"/>
        <v>-109.85</v>
      </c>
      <c r="Y36" s="3"/>
      <c r="Z36" s="3"/>
      <c r="AA36" s="3"/>
      <c r="AB36" s="8"/>
      <c r="AC36" s="3"/>
      <c r="AF36" s="3"/>
      <c r="AG36" s="95"/>
      <c r="AI36" s="95"/>
    </row>
    <row r="37" spans="1:35">
      <c r="A37" s="549">
        <v>42521</v>
      </c>
      <c r="D37" s="550" t="s">
        <v>1749</v>
      </c>
      <c r="H37" s="555">
        <v>43246.080000000002</v>
      </c>
      <c r="I37" s="43"/>
      <c r="J37" s="558"/>
      <c r="K37" s="43"/>
      <c r="L37" s="43"/>
      <c r="N37" s="43">
        <f>J37</f>
        <v>0</v>
      </c>
      <c r="T37" s="43">
        <f>H37</f>
        <v>43246.080000000002</v>
      </c>
      <c r="Y37" s="3"/>
      <c r="Z37" s="3"/>
      <c r="AA37" s="3"/>
      <c r="AB37" s="8"/>
      <c r="AC37" s="3"/>
      <c r="AF37" s="3"/>
      <c r="AG37" s="95"/>
      <c r="AI37" s="95"/>
    </row>
    <row r="38" spans="1:35">
      <c r="A38" s="549">
        <v>42521</v>
      </c>
      <c r="D38" s="550" t="s">
        <v>1750</v>
      </c>
      <c r="H38" s="555">
        <v>0</v>
      </c>
      <c r="I38" s="43"/>
      <c r="J38" s="558">
        <v>813.98</v>
      </c>
      <c r="K38" s="43"/>
      <c r="L38" s="43"/>
      <c r="X38" s="38">
        <f>-J38</f>
        <v>-813.98</v>
      </c>
      <c r="Y38" s="3"/>
      <c r="Z38" s="3"/>
      <c r="AA38" s="3"/>
      <c r="AB38" s="8"/>
      <c r="AC38" s="3"/>
      <c r="AF38" s="3"/>
      <c r="AG38" s="95"/>
      <c r="AI38" s="95"/>
    </row>
    <row r="39" spans="1:35">
      <c r="A39" s="549">
        <v>42551</v>
      </c>
      <c r="D39" s="550" t="s">
        <v>1751</v>
      </c>
      <c r="H39" s="555">
        <v>0</v>
      </c>
      <c r="I39" s="43"/>
      <c r="J39" s="558">
        <v>15631.32</v>
      </c>
      <c r="K39" s="43"/>
      <c r="L39" s="43"/>
      <c r="N39" s="43">
        <f>-H39</f>
        <v>0</v>
      </c>
      <c r="X39" s="38">
        <f>-J39</f>
        <v>-15631.32</v>
      </c>
      <c r="Y39" s="3"/>
      <c r="Z39" s="3"/>
      <c r="AA39" s="3"/>
      <c r="AB39" s="3"/>
      <c r="AC39" s="3"/>
      <c r="AF39" s="3"/>
      <c r="AG39" s="95"/>
      <c r="AI39" s="95"/>
    </row>
    <row r="40" spans="1:35">
      <c r="A40" s="549">
        <v>42551</v>
      </c>
      <c r="D40" s="550" t="s">
        <v>1752</v>
      </c>
      <c r="H40" s="555">
        <v>0</v>
      </c>
      <c r="I40" s="43"/>
      <c r="J40" s="558">
        <v>288.02999999999997</v>
      </c>
      <c r="K40" s="43"/>
      <c r="L40" s="43"/>
      <c r="N40" s="43">
        <f>-H40</f>
        <v>0</v>
      </c>
      <c r="X40" s="38">
        <f t="shared" ref="X40:X42" si="5">-J40</f>
        <v>-288.02999999999997</v>
      </c>
      <c r="Y40" s="3"/>
      <c r="Z40" s="3"/>
      <c r="AA40" s="3"/>
      <c r="AB40" s="3"/>
      <c r="AC40" s="3"/>
      <c r="AF40" s="3"/>
      <c r="AG40" s="95"/>
      <c r="AI40" s="95"/>
    </row>
    <row r="41" spans="1:35">
      <c r="A41" s="549">
        <v>42551</v>
      </c>
      <c r="D41" s="550" t="s">
        <v>1753</v>
      </c>
      <c r="H41" s="555">
        <v>0</v>
      </c>
      <c r="I41" s="43"/>
      <c r="J41" s="558">
        <v>1804</v>
      </c>
      <c r="K41" s="43"/>
      <c r="L41" s="43"/>
      <c r="X41" s="38">
        <f t="shared" si="5"/>
        <v>-1804</v>
      </c>
      <c r="Y41" s="3"/>
      <c r="Z41" s="3"/>
      <c r="AA41" s="3"/>
      <c r="AB41" s="3"/>
      <c r="AC41" s="3"/>
      <c r="AF41" s="3"/>
      <c r="AG41" s="95"/>
      <c r="AI41" s="95"/>
    </row>
    <row r="42" spans="1:35">
      <c r="A42" s="549">
        <v>42551</v>
      </c>
      <c r="D42" s="550" t="s">
        <v>1754</v>
      </c>
      <c r="H42" s="555">
        <v>200</v>
      </c>
      <c r="I42" s="43"/>
      <c r="J42" s="558"/>
      <c r="K42" s="43"/>
      <c r="L42" s="43"/>
      <c r="N42" s="43">
        <f>J42</f>
        <v>0</v>
      </c>
      <c r="T42" s="43">
        <f>H42</f>
        <v>200</v>
      </c>
      <c r="X42" s="38">
        <f t="shared" si="5"/>
        <v>0</v>
      </c>
      <c r="Y42" s="3"/>
      <c r="Z42" s="3"/>
      <c r="AA42" s="3"/>
      <c r="AB42" s="3"/>
      <c r="AC42" s="3"/>
      <c r="AF42" s="3"/>
      <c r="AG42" s="95"/>
      <c r="AI42" s="95"/>
    </row>
    <row r="43" spans="1:35">
      <c r="A43" s="549">
        <v>42551</v>
      </c>
      <c r="D43" s="550" t="s">
        <v>1755</v>
      </c>
      <c r="H43" s="555">
        <v>5000</v>
      </c>
      <c r="I43" s="43"/>
      <c r="J43" s="558"/>
      <c r="K43" s="43"/>
      <c r="L43" s="43"/>
      <c r="T43" s="43">
        <f t="shared" ref="T43" si="6">H43</f>
        <v>5000</v>
      </c>
      <c r="X43" s="38">
        <f>-J43</f>
        <v>0</v>
      </c>
      <c r="Y43" s="3"/>
      <c r="AA43" s="3"/>
      <c r="AB43" s="3"/>
      <c r="AC43" s="3"/>
      <c r="AF43" s="3"/>
      <c r="AG43" s="95"/>
      <c r="AI43" s="95"/>
    </row>
    <row r="44" spans="1:35">
      <c r="A44" s="549">
        <v>42551</v>
      </c>
      <c r="D44" s="550" t="s">
        <v>1793</v>
      </c>
      <c r="E44" s="3" t="s">
        <v>1794</v>
      </c>
      <c r="H44" s="555">
        <v>696000</v>
      </c>
      <c r="I44" s="43"/>
      <c r="J44" s="558"/>
      <c r="K44" s="43"/>
      <c r="L44" s="43"/>
      <c r="N44" s="43">
        <f>H44</f>
        <v>696000</v>
      </c>
      <c r="Y44" s="3"/>
      <c r="Z44" s="3"/>
      <c r="AA44" s="3"/>
      <c r="AB44" s="3"/>
      <c r="AC44" s="3"/>
      <c r="AF44" s="3"/>
      <c r="AG44" s="95"/>
      <c r="AI44" s="95"/>
    </row>
    <row r="45" spans="1:35">
      <c r="A45" s="549">
        <v>42582</v>
      </c>
      <c r="D45" s="550" t="s">
        <v>1756</v>
      </c>
      <c r="H45" s="553">
        <v>0</v>
      </c>
      <c r="I45" s="43"/>
      <c r="J45" s="557">
        <v>4475.63</v>
      </c>
      <c r="K45" s="43"/>
      <c r="L45" s="43"/>
      <c r="X45" s="38">
        <f t="shared" ref="X45:X49" si="7">-J45</f>
        <v>-4475.63</v>
      </c>
      <c r="Y45" s="3"/>
      <c r="Z45" s="3"/>
      <c r="AA45" s="3"/>
      <c r="AB45" s="3"/>
      <c r="AC45" s="3"/>
      <c r="AF45" s="3"/>
      <c r="AG45" s="95"/>
      <c r="AI45" s="95"/>
    </row>
    <row r="46" spans="1:35">
      <c r="A46" s="549">
        <v>42582</v>
      </c>
      <c r="D46" s="550" t="s">
        <v>1739</v>
      </c>
      <c r="H46" s="553">
        <v>0</v>
      </c>
      <c r="I46" s="43"/>
      <c r="J46" s="556">
        <f>179-36</f>
        <v>143</v>
      </c>
      <c r="K46" s="43"/>
      <c r="L46" s="43"/>
      <c r="V46" s="43">
        <f>H46</f>
        <v>0</v>
      </c>
      <c r="X46" s="38">
        <f t="shared" si="7"/>
        <v>-143</v>
      </c>
      <c r="Y46" s="3"/>
      <c r="Z46" s="3"/>
      <c r="AA46" s="3"/>
      <c r="AB46" s="3"/>
      <c r="AC46" s="3"/>
      <c r="AF46" s="3"/>
      <c r="AG46" s="95"/>
      <c r="AI46" s="95"/>
    </row>
    <row r="47" spans="1:35">
      <c r="A47" s="549">
        <v>42582</v>
      </c>
      <c r="D47" s="550" t="s">
        <v>1757</v>
      </c>
      <c r="H47" s="553">
        <v>0</v>
      </c>
      <c r="I47" s="43"/>
      <c r="J47" s="556">
        <v>43.31</v>
      </c>
      <c r="K47" s="43"/>
      <c r="L47" s="43"/>
      <c r="V47" s="43">
        <f t="shared" ref="V47:V57" si="8">H47</f>
        <v>0</v>
      </c>
      <c r="X47" s="38">
        <f t="shared" si="7"/>
        <v>-43.31</v>
      </c>
      <c r="Y47" s="3"/>
      <c r="Z47" s="3"/>
      <c r="AA47" s="3"/>
      <c r="AB47" s="3"/>
      <c r="AC47" s="3"/>
      <c r="AF47" s="3"/>
      <c r="AG47" s="95"/>
      <c r="AI47" s="95"/>
    </row>
    <row r="48" spans="1:35">
      <c r="A48" s="549">
        <v>42613</v>
      </c>
      <c r="D48" s="550" t="s">
        <v>576</v>
      </c>
      <c r="H48" s="553">
        <v>0</v>
      </c>
      <c r="I48" s="43"/>
      <c r="J48" s="557">
        <v>15001</v>
      </c>
      <c r="K48" s="43"/>
      <c r="L48" s="43"/>
      <c r="V48" s="43">
        <f t="shared" si="8"/>
        <v>0</v>
      </c>
      <c r="X48" s="38">
        <f t="shared" si="7"/>
        <v>-15001</v>
      </c>
      <c r="Y48" s="3"/>
      <c r="Z48" s="3"/>
      <c r="AA48" s="3"/>
      <c r="AB48" s="3"/>
      <c r="AC48" s="3"/>
      <c r="AF48" s="3"/>
      <c r="AG48" s="95"/>
      <c r="AI48" s="95"/>
    </row>
    <row r="49" spans="1:35">
      <c r="A49" s="549">
        <v>42643</v>
      </c>
      <c r="D49" s="550" t="s">
        <v>1795</v>
      </c>
      <c r="H49" s="587">
        <v>1879000</v>
      </c>
      <c r="I49" s="43"/>
      <c r="J49" s="557"/>
      <c r="K49" s="43"/>
      <c r="L49" s="43"/>
      <c r="N49" s="43">
        <f>H49</f>
        <v>1879000</v>
      </c>
      <c r="X49" s="38">
        <f t="shared" si="7"/>
        <v>0</v>
      </c>
      <c r="Z49" s="3"/>
      <c r="AA49" s="3"/>
      <c r="AB49" s="3"/>
      <c r="AC49" s="3"/>
      <c r="AF49" s="3"/>
      <c r="AG49" s="95"/>
      <c r="AI49" s="95"/>
    </row>
    <row r="50" spans="1:35">
      <c r="A50" s="549">
        <v>42643</v>
      </c>
      <c r="D50" s="550">
        <v>42628</v>
      </c>
      <c r="H50" s="554">
        <v>9000</v>
      </c>
      <c r="I50" s="43"/>
      <c r="J50" s="556"/>
      <c r="K50" s="43"/>
      <c r="L50" s="43"/>
      <c r="T50" s="43">
        <f>H50</f>
        <v>9000</v>
      </c>
      <c r="Z50" s="3"/>
      <c r="AA50" s="3"/>
      <c r="AB50" s="3"/>
      <c r="AC50" s="3"/>
      <c r="AF50" s="3"/>
      <c r="AG50" s="95"/>
      <c r="AI50" s="95"/>
    </row>
    <row r="51" spans="1:35">
      <c r="A51" s="549">
        <v>42643</v>
      </c>
      <c r="D51" s="550" t="s">
        <v>1758</v>
      </c>
      <c r="H51" s="553">
        <v>0</v>
      </c>
      <c r="I51" s="43"/>
      <c r="J51" s="556">
        <v>463.45</v>
      </c>
      <c r="K51" s="43"/>
      <c r="L51" s="43"/>
      <c r="V51" s="43">
        <f t="shared" si="8"/>
        <v>0</v>
      </c>
      <c r="X51" s="38">
        <f>-J51:J53</f>
        <v>-463.45</v>
      </c>
      <c r="Z51" s="3"/>
      <c r="AA51" s="3"/>
      <c r="AB51" s="3"/>
      <c r="AC51" s="3"/>
      <c r="AF51" s="3"/>
      <c r="AG51" s="95"/>
      <c r="AI51" s="95"/>
    </row>
    <row r="52" spans="1:35">
      <c r="A52" s="549">
        <v>42643</v>
      </c>
      <c r="D52" s="550" t="s">
        <v>1731</v>
      </c>
      <c r="H52" s="553">
        <v>0</v>
      </c>
      <c r="I52" s="43"/>
      <c r="J52" s="557">
        <v>3230.79</v>
      </c>
      <c r="K52" s="43"/>
      <c r="L52" s="43"/>
      <c r="V52" s="43">
        <f t="shared" si="8"/>
        <v>0</v>
      </c>
      <c r="X52" s="38">
        <f t="shared" ref="X52:X53" si="9">-J52:J54</f>
        <v>-3230.79</v>
      </c>
      <c r="Z52" s="3"/>
      <c r="AA52" s="3"/>
      <c r="AB52" s="3"/>
      <c r="AC52" s="3"/>
      <c r="AF52" s="3"/>
      <c r="AG52" s="95"/>
      <c r="AI52" s="95"/>
    </row>
    <row r="53" spans="1:35">
      <c r="A53" s="549">
        <v>42674</v>
      </c>
      <c r="D53" s="550" t="s">
        <v>1759</v>
      </c>
      <c r="H53" s="553">
        <v>0</v>
      </c>
      <c r="I53" s="43"/>
      <c r="J53" s="557">
        <v>60.84</v>
      </c>
      <c r="K53" s="43"/>
      <c r="L53" s="43"/>
      <c r="V53" s="43">
        <f t="shared" si="8"/>
        <v>0</v>
      </c>
      <c r="X53" s="38">
        <f t="shared" si="9"/>
        <v>-60.84</v>
      </c>
      <c r="Z53" s="3"/>
      <c r="AA53" s="3"/>
      <c r="AB53" s="3"/>
      <c r="AC53" s="3"/>
      <c r="AF53" s="3"/>
      <c r="AG53" s="95"/>
      <c r="AI53" s="95"/>
    </row>
    <row r="54" spans="1:35">
      <c r="A54" s="549">
        <v>42674</v>
      </c>
      <c r="D54" s="550" t="s">
        <v>1760</v>
      </c>
      <c r="H54" s="553">
        <v>464</v>
      </c>
      <c r="I54" s="43"/>
      <c r="J54" s="557"/>
      <c r="K54" s="43"/>
      <c r="L54" s="43"/>
      <c r="P54" s="43">
        <f>H54</f>
        <v>464</v>
      </c>
      <c r="Z54" s="3"/>
      <c r="AA54" s="3"/>
      <c r="AB54" s="3"/>
      <c r="AC54" s="3"/>
      <c r="AF54" s="3"/>
      <c r="AG54" s="95"/>
      <c r="AI54" s="95"/>
    </row>
    <row r="55" spans="1:35">
      <c r="A55" s="549">
        <v>42674</v>
      </c>
      <c r="D55" s="550" t="s">
        <v>1760</v>
      </c>
      <c r="H55" s="553">
        <v>2685.81</v>
      </c>
      <c r="I55" s="43"/>
      <c r="J55" s="557"/>
      <c r="K55" s="43"/>
      <c r="L55" s="43"/>
      <c r="P55" s="43">
        <f>H55</f>
        <v>2685.81</v>
      </c>
      <c r="Z55" s="3"/>
      <c r="AA55" s="3"/>
      <c r="AB55" s="3"/>
      <c r="AC55" s="3"/>
      <c r="AF55" s="3"/>
      <c r="AG55" s="95"/>
      <c r="AI55" s="95"/>
    </row>
    <row r="56" spans="1:35">
      <c r="A56" s="549">
        <v>42704</v>
      </c>
      <c r="D56" s="550" t="s">
        <v>1756</v>
      </c>
      <c r="H56" s="553">
        <v>0</v>
      </c>
      <c r="I56" s="43"/>
      <c r="J56" s="557">
        <v>4555.84</v>
      </c>
      <c r="K56" s="43"/>
      <c r="L56" s="43"/>
      <c r="V56" s="43">
        <f t="shared" si="8"/>
        <v>0</v>
      </c>
      <c r="X56" s="38">
        <f t="shared" ref="X56:X57" si="10">-J56</f>
        <v>-4555.84</v>
      </c>
      <c r="Z56" s="3"/>
      <c r="AA56" s="3"/>
      <c r="AB56" s="3"/>
      <c r="AC56" s="3"/>
      <c r="AF56" s="3"/>
      <c r="AG56" s="95"/>
      <c r="AI56" s="95"/>
    </row>
    <row r="57" spans="1:35">
      <c r="A57" s="549">
        <v>42735</v>
      </c>
      <c r="D57" s="550" t="s">
        <v>1765</v>
      </c>
      <c r="H57" s="553"/>
      <c r="I57" s="43"/>
      <c r="J57" s="557">
        <v>555.34</v>
      </c>
      <c r="K57" s="43"/>
      <c r="L57" s="43"/>
      <c r="V57" s="43">
        <f t="shared" si="8"/>
        <v>0</v>
      </c>
      <c r="X57" s="38">
        <f t="shared" si="10"/>
        <v>-555.34</v>
      </c>
      <c r="Z57" s="3"/>
      <c r="AA57" s="3"/>
      <c r="AB57" s="3"/>
      <c r="AC57" s="3"/>
      <c r="AF57" s="3"/>
      <c r="AG57" s="95"/>
      <c r="AI57" s="95"/>
    </row>
    <row r="58" spans="1:35">
      <c r="A58" s="77"/>
      <c r="H58" s="43"/>
      <c r="I58" s="43"/>
      <c r="J58" s="43"/>
      <c r="K58" s="43"/>
      <c r="L58" s="43"/>
      <c r="N58" s="43">
        <f>J58</f>
        <v>0</v>
      </c>
      <c r="Z58" s="3"/>
      <c r="AA58" s="3"/>
      <c r="AB58" s="3"/>
      <c r="AC58" s="3"/>
      <c r="AF58" s="3"/>
      <c r="AG58" s="95"/>
      <c r="AI58" s="95"/>
    </row>
    <row r="59" spans="1:35">
      <c r="A59" s="77"/>
      <c r="F59" s="265"/>
      <c r="J59" s="265"/>
      <c r="N59" s="43">
        <f>J59</f>
        <v>0</v>
      </c>
      <c r="AG59" s="95"/>
      <c r="AI59" s="95"/>
    </row>
    <row r="60" spans="1:35">
      <c r="A60" s="77"/>
      <c r="D60" s="551"/>
      <c r="E60" s="552"/>
      <c r="F60" s="265"/>
      <c r="J60" s="265"/>
      <c r="N60" s="43">
        <f>-H60</f>
        <v>0</v>
      </c>
      <c r="P60" s="43">
        <f>H60</f>
        <v>0</v>
      </c>
      <c r="AG60" s="95"/>
      <c r="AI60" s="95"/>
    </row>
    <row r="61" spans="1:35" ht="13.5" thickBot="1">
      <c r="D61" s="286" t="s">
        <v>1763</v>
      </c>
      <c r="E61" s="174">
        <f>H61-J61</f>
        <v>368297.40000000037</v>
      </c>
      <c r="F61" s="288"/>
      <c r="H61" s="51">
        <f>SUM(H7:H60)</f>
        <v>3515855.81</v>
      </c>
      <c r="J61" s="51">
        <f>SUM(J7:J60)</f>
        <v>3147558.4099999997</v>
      </c>
      <c r="K61" s="69"/>
      <c r="L61" s="51">
        <f>SUM(L7:L60)</f>
        <v>0</v>
      </c>
      <c r="N61" s="51">
        <f>SUM(N7:N60)</f>
        <v>-445955</v>
      </c>
      <c r="P61" s="51">
        <f>SUM(P7:P60)</f>
        <v>753149.81</v>
      </c>
      <c r="Q61" s="69"/>
      <c r="R61" s="51">
        <f>SUM(R7:R60)</f>
        <v>0</v>
      </c>
      <c r="T61" s="51">
        <f>SUM(T7:T60)</f>
        <v>177706</v>
      </c>
      <c r="V61" s="51">
        <f>SUM(V7:V60)</f>
        <v>0</v>
      </c>
      <c r="X61" s="51">
        <f>SUM(X7:X60)</f>
        <v>-116603.41</v>
      </c>
      <c r="Z61" s="3"/>
      <c r="AA61" s="3"/>
      <c r="AB61" s="3"/>
      <c r="AC61" s="3"/>
      <c r="AF61" s="3"/>
      <c r="AG61" s="95"/>
      <c r="AI61" s="95"/>
    </row>
    <row r="62" spans="1:35" ht="13.5" thickTop="1">
      <c r="D62" s="287" t="s">
        <v>1208</v>
      </c>
      <c r="E62" s="166">
        <v>5399625.8700000001</v>
      </c>
      <c r="F62" s="57"/>
      <c r="H62" s="52" t="str">
        <f>H5</f>
        <v>debit</v>
      </c>
      <c r="J62" s="52" t="str">
        <f>J5</f>
        <v>credit</v>
      </c>
      <c r="K62" s="52"/>
      <c r="L62" s="52" t="s">
        <v>1174</v>
      </c>
      <c r="N62" s="52" t="str">
        <f>N5</f>
        <v>provision</v>
      </c>
      <c r="P62" s="187">
        <f>P5</f>
        <v>2017</v>
      </c>
      <c r="Q62" s="49"/>
      <c r="R62" s="187">
        <f>R5</f>
        <v>2016</v>
      </c>
      <c r="T62" s="187">
        <f>T5</f>
        <v>2017</v>
      </c>
      <c r="U62" s="49"/>
      <c r="V62" s="187">
        <f>V5</f>
        <v>2016</v>
      </c>
      <c r="W62" s="49"/>
      <c r="X62" s="52" t="str">
        <f>X5</f>
        <v>refund</v>
      </c>
      <c r="Z62" s="3"/>
      <c r="AA62" s="3"/>
      <c r="AB62" s="3"/>
      <c r="AC62" s="3"/>
      <c r="AF62" s="3"/>
      <c r="AG62" s="95"/>
      <c r="AI62" s="95"/>
    </row>
    <row r="63" spans="1:35" ht="13.5" thickBot="1">
      <c r="D63" s="46" t="s">
        <v>1764</v>
      </c>
      <c r="E63" s="165">
        <f>E61+E62</f>
        <v>5767923.2700000005</v>
      </c>
      <c r="F63" s="69"/>
      <c r="P63" s="228"/>
      <c r="Q63" s="229" t="s">
        <v>104</v>
      </c>
      <c r="R63" s="228"/>
      <c r="T63" s="228"/>
      <c r="U63" s="228"/>
      <c r="V63" s="229" t="s">
        <v>388</v>
      </c>
      <c r="W63" s="228"/>
      <c r="X63" s="230"/>
      <c r="Y63" s="3"/>
      <c r="Z63" s="3"/>
      <c r="AA63" s="3"/>
      <c r="AB63" s="3"/>
      <c r="AC63" s="3"/>
      <c r="AF63" s="3"/>
      <c r="AG63" s="95"/>
      <c r="AI63" s="95"/>
    </row>
    <row r="64" spans="1:35" ht="13.5" thickTop="1">
      <c r="D64" s="46"/>
      <c r="E64" s="106"/>
      <c r="F64" s="106"/>
      <c r="T64" s="48"/>
      <c r="AG64" s="95"/>
      <c r="AI64" s="95"/>
    </row>
    <row r="65" spans="4:35">
      <c r="D65" s="46"/>
      <c r="E65" s="290"/>
      <c r="F65" s="106"/>
      <c r="T65" s="48"/>
      <c r="X65" s="8"/>
      <c r="Y65" s="3"/>
      <c r="Z65" s="3"/>
      <c r="AA65" s="3"/>
      <c r="AB65" s="3"/>
      <c r="AC65" s="3"/>
      <c r="AF65" s="3"/>
      <c r="AG65" s="95"/>
      <c r="AI65" s="95"/>
    </row>
    <row r="66" spans="4:35">
      <c r="F66" s="106"/>
      <c r="H66" s="43"/>
      <c r="X66" s="8"/>
      <c r="Y66" s="3"/>
      <c r="Z66" s="3"/>
      <c r="AA66" s="3"/>
      <c r="AB66" s="3"/>
      <c r="AC66" s="3"/>
      <c r="AF66" s="3"/>
      <c r="AG66" s="95"/>
      <c r="AI66" s="95"/>
    </row>
    <row r="67" spans="4:35">
      <c r="F67" s="289"/>
      <c r="G67"/>
      <c r="H67"/>
      <c r="I67"/>
      <c r="J67" s="108"/>
    </row>
    <row r="68" spans="4:35">
      <c r="H68" s="188"/>
      <c r="I68" s="188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8"/>
      <c r="Y68" s="3"/>
      <c r="Z68" s="3"/>
      <c r="AA68" s="3"/>
      <c r="AB68" s="3"/>
      <c r="AC68" s="3"/>
      <c r="AD68" s="3"/>
      <c r="AE68" s="3"/>
      <c r="AF68" s="3"/>
    </row>
    <row r="69" spans="4:35">
      <c r="H69" s="188"/>
      <c r="I69" s="188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8"/>
      <c r="Y69" s="3"/>
      <c r="Z69" s="3"/>
      <c r="AA69" s="3"/>
      <c r="AB69" s="3"/>
      <c r="AC69" s="3"/>
      <c r="AD69" s="3"/>
      <c r="AE69" s="3"/>
      <c r="AF69" s="3"/>
    </row>
  </sheetData>
  <printOptions headings="1" gridLines="1"/>
  <pageMargins left="0.7" right="0.2" top="0.33" bottom="0.37" header="0.17" footer="0.17"/>
  <pageSetup paperSize="5" scale="43" orientation="portrait" r:id="rId1"/>
  <headerFooter>
    <oddFooter>&amp;L&amp;"Times New Roman,Regular"March 31, 2016&amp;C&amp;"Times New Roman,Regular"confidential and proprietary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I142"/>
  <sheetViews>
    <sheetView zoomScale="80" zoomScaleNormal="80" workbookViewId="0">
      <pane xSplit="19" ySplit="30" topLeftCell="T134" activePane="bottomRight" state="frozen"/>
      <selection pane="topRight" activeCell="T1" sqref="T1"/>
      <selection pane="bottomLeft" activeCell="A31" sqref="A31"/>
      <selection pane="bottomRight" activeCell="R36" sqref="R36"/>
    </sheetView>
  </sheetViews>
  <sheetFormatPr defaultRowHeight="13"/>
  <cols>
    <col min="1" max="1" width="12.26953125" style="3" bestFit="1" customWidth="1"/>
    <col min="2" max="2" width="1.26953125" style="3" customWidth="1"/>
    <col min="3" max="3" width="55.81640625" style="3" hidden="1" customWidth="1"/>
    <col min="4" max="4" width="27.7265625" style="3" bestFit="1" customWidth="1"/>
    <col min="5" max="5" width="26.453125" style="3" customWidth="1"/>
    <col min="6" max="6" width="18.26953125" style="3" customWidth="1"/>
    <col min="7" max="7" width="1.54296875" style="3" customWidth="1"/>
    <col min="8" max="8" width="13.81640625" style="38" bestFit="1" customWidth="1"/>
    <col min="9" max="9" width="1.7265625" style="38" customWidth="1"/>
    <col min="10" max="10" width="13.81640625" style="38" bestFit="1" customWidth="1"/>
    <col min="11" max="11" width="0.7265625" style="38" customWidth="1"/>
    <col min="12" max="12" width="12" style="38" bestFit="1" customWidth="1"/>
    <col min="13" max="13" width="0.7265625" style="43" customWidth="1"/>
    <col min="14" max="14" width="12" style="43" bestFit="1" customWidth="1"/>
    <col min="15" max="15" width="1.26953125" style="43" customWidth="1"/>
    <col min="16" max="16" width="11.26953125" style="43" bestFit="1" customWidth="1"/>
    <col min="17" max="17" width="0.7265625" style="43" customWidth="1"/>
    <col min="18" max="18" width="11.26953125" style="43" customWidth="1"/>
    <col min="19" max="19" width="1" style="43" customWidth="1"/>
    <col min="20" max="20" width="11" style="43" customWidth="1"/>
    <col min="21" max="21" width="0.81640625" style="43" customWidth="1"/>
    <col min="22" max="22" width="9.54296875" style="43" bestFit="1" customWidth="1"/>
    <col min="23" max="23" width="0.81640625" style="43" customWidth="1"/>
    <col min="24" max="24" width="10.453125" style="38" customWidth="1"/>
    <col min="25" max="25" width="1.1796875" style="43" customWidth="1"/>
    <col min="26" max="26" width="9.1796875" style="53"/>
    <col min="27" max="27" width="0.81640625" style="53" customWidth="1"/>
    <col min="28" max="28" width="9.1796875" style="53"/>
    <col min="29" max="29" width="1.1796875" style="43" customWidth="1"/>
    <col min="30" max="31" width="11.26953125" style="43" bestFit="1" customWidth="1"/>
    <col min="32" max="32" width="1.1796875" style="43" customWidth="1"/>
    <col min="33" max="33" width="9.1796875" style="3"/>
    <col min="34" max="34" width="1.26953125" style="3" customWidth="1"/>
    <col min="35" max="35" width="11.26953125" style="3" bestFit="1" customWidth="1"/>
    <col min="36" max="40" width="9.1796875" style="3"/>
    <col min="41" max="41" width="13.81640625" style="3" bestFit="1" customWidth="1"/>
    <col min="42" max="261" width="9.1796875" style="3"/>
    <col min="262" max="262" width="12.26953125" style="3" bestFit="1" customWidth="1"/>
    <col min="263" max="263" width="5" style="3" bestFit="1" customWidth="1"/>
    <col min="264" max="264" width="63.81640625" style="3" bestFit="1" customWidth="1"/>
    <col min="265" max="265" width="55.81640625" style="3" bestFit="1" customWidth="1"/>
    <col min="266" max="266" width="67" style="3" bestFit="1" customWidth="1"/>
    <col min="267" max="267" width="12.81640625" style="3" bestFit="1" customWidth="1"/>
    <col min="268" max="268" width="13" style="3" bestFit="1" customWidth="1"/>
    <col min="269" max="517" width="9.1796875" style="3"/>
    <col min="518" max="518" width="12.26953125" style="3" bestFit="1" customWidth="1"/>
    <col min="519" max="519" width="5" style="3" bestFit="1" customWidth="1"/>
    <col min="520" max="520" width="63.81640625" style="3" bestFit="1" customWidth="1"/>
    <col min="521" max="521" width="55.81640625" style="3" bestFit="1" customWidth="1"/>
    <col min="522" max="522" width="67" style="3" bestFit="1" customWidth="1"/>
    <col min="523" max="523" width="12.81640625" style="3" bestFit="1" customWidth="1"/>
    <col min="524" max="524" width="13" style="3" bestFit="1" customWidth="1"/>
    <col min="525" max="773" width="9.1796875" style="3"/>
    <col min="774" max="774" width="12.26953125" style="3" bestFit="1" customWidth="1"/>
    <col min="775" max="775" width="5" style="3" bestFit="1" customWidth="1"/>
    <col min="776" max="776" width="63.81640625" style="3" bestFit="1" customWidth="1"/>
    <col min="777" max="777" width="55.81640625" style="3" bestFit="1" customWidth="1"/>
    <col min="778" max="778" width="67" style="3" bestFit="1" customWidth="1"/>
    <col min="779" max="779" width="12.81640625" style="3" bestFit="1" customWidth="1"/>
    <col min="780" max="780" width="13" style="3" bestFit="1" customWidth="1"/>
    <col min="781" max="1029" width="9.1796875" style="3"/>
    <col min="1030" max="1030" width="12.26953125" style="3" bestFit="1" customWidth="1"/>
    <col min="1031" max="1031" width="5" style="3" bestFit="1" customWidth="1"/>
    <col min="1032" max="1032" width="63.81640625" style="3" bestFit="1" customWidth="1"/>
    <col min="1033" max="1033" width="55.81640625" style="3" bestFit="1" customWidth="1"/>
    <col min="1034" max="1034" width="67" style="3" bestFit="1" customWidth="1"/>
    <col min="1035" max="1035" width="12.81640625" style="3" bestFit="1" customWidth="1"/>
    <col min="1036" max="1036" width="13" style="3" bestFit="1" customWidth="1"/>
    <col min="1037" max="1285" width="9.1796875" style="3"/>
    <col min="1286" max="1286" width="12.26953125" style="3" bestFit="1" customWidth="1"/>
    <col min="1287" max="1287" width="5" style="3" bestFit="1" customWidth="1"/>
    <col min="1288" max="1288" width="63.81640625" style="3" bestFit="1" customWidth="1"/>
    <col min="1289" max="1289" width="55.81640625" style="3" bestFit="1" customWidth="1"/>
    <col min="1290" max="1290" width="67" style="3" bestFit="1" customWidth="1"/>
    <col min="1291" max="1291" width="12.81640625" style="3" bestFit="1" customWidth="1"/>
    <col min="1292" max="1292" width="13" style="3" bestFit="1" customWidth="1"/>
    <col min="1293" max="1541" width="9.1796875" style="3"/>
    <col min="1542" max="1542" width="12.26953125" style="3" bestFit="1" customWidth="1"/>
    <col min="1543" max="1543" width="5" style="3" bestFit="1" customWidth="1"/>
    <col min="1544" max="1544" width="63.81640625" style="3" bestFit="1" customWidth="1"/>
    <col min="1545" max="1545" width="55.81640625" style="3" bestFit="1" customWidth="1"/>
    <col min="1546" max="1546" width="67" style="3" bestFit="1" customWidth="1"/>
    <col min="1547" max="1547" width="12.81640625" style="3" bestFit="1" customWidth="1"/>
    <col min="1548" max="1548" width="13" style="3" bestFit="1" customWidth="1"/>
    <col min="1549" max="1797" width="9.1796875" style="3"/>
    <col min="1798" max="1798" width="12.26953125" style="3" bestFit="1" customWidth="1"/>
    <col min="1799" max="1799" width="5" style="3" bestFit="1" customWidth="1"/>
    <col min="1800" max="1800" width="63.81640625" style="3" bestFit="1" customWidth="1"/>
    <col min="1801" max="1801" width="55.81640625" style="3" bestFit="1" customWidth="1"/>
    <col min="1802" max="1802" width="67" style="3" bestFit="1" customWidth="1"/>
    <col min="1803" max="1803" width="12.81640625" style="3" bestFit="1" customWidth="1"/>
    <col min="1804" max="1804" width="13" style="3" bestFit="1" customWidth="1"/>
    <col min="1805" max="2053" width="9.1796875" style="3"/>
    <col min="2054" max="2054" width="12.26953125" style="3" bestFit="1" customWidth="1"/>
    <col min="2055" max="2055" width="5" style="3" bestFit="1" customWidth="1"/>
    <col min="2056" max="2056" width="63.81640625" style="3" bestFit="1" customWidth="1"/>
    <col min="2057" max="2057" width="55.81640625" style="3" bestFit="1" customWidth="1"/>
    <col min="2058" max="2058" width="67" style="3" bestFit="1" customWidth="1"/>
    <col min="2059" max="2059" width="12.81640625" style="3" bestFit="1" customWidth="1"/>
    <col min="2060" max="2060" width="13" style="3" bestFit="1" customWidth="1"/>
    <col min="2061" max="2309" width="9.1796875" style="3"/>
    <col min="2310" max="2310" width="12.26953125" style="3" bestFit="1" customWidth="1"/>
    <col min="2311" max="2311" width="5" style="3" bestFit="1" customWidth="1"/>
    <col min="2312" max="2312" width="63.81640625" style="3" bestFit="1" customWidth="1"/>
    <col min="2313" max="2313" width="55.81640625" style="3" bestFit="1" customWidth="1"/>
    <col min="2314" max="2314" width="67" style="3" bestFit="1" customWidth="1"/>
    <col min="2315" max="2315" width="12.81640625" style="3" bestFit="1" customWidth="1"/>
    <col min="2316" max="2316" width="13" style="3" bestFit="1" customWidth="1"/>
    <col min="2317" max="2565" width="9.1796875" style="3"/>
    <col min="2566" max="2566" width="12.26953125" style="3" bestFit="1" customWidth="1"/>
    <col min="2567" max="2567" width="5" style="3" bestFit="1" customWidth="1"/>
    <col min="2568" max="2568" width="63.81640625" style="3" bestFit="1" customWidth="1"/>
    <col min="2569" max="2569" width="55.81640625" style="3" bestFit="1" customWidth="1"/>
    <col min="2570" max="2570" width="67" style="3" bestFit="1" customWidth="1"/>
    <col min="2571" max="2571" width="12.81640625" style="3" bestFit="1" customWidth="1"/>
    <col min="2572" max="2572" width="13" style="3" bestFit="1" customWidth="1"/>
    <col min="2573" max="2821" width="9.1796875" style="3"/>
    <col min="2822" max="2822" width="12.26953125" style="3" bestFit="1" customWidth="1"/>
    <col min="2823" max="2823" width="5" style="3" bestFit="1" customWidth="1"/>
    <col min="2824" max="2824" width="63.81640625" style="3" bestFit="1" customWidth="1"/>
    <col min="2825" max="2825" width="55.81640625" style="3" bestFit="1" customWidth="1"/>
    <col min="2826" max="2826" width="67" style="3" bestFit="1" customWidth="1"/>
    <col min="2827" max="2827" width="12.81640625" style="3" bestFit="1" customWidth="1"/>
    <col min="2828" max="2828" width="13" style="3" bestFit="1" customWidth="1"/>
    <col min="2829" max="3077" width="9.1796875" style="3"/>
    <col min="3078" max="3078" width="12.26953125" style="3" bestFit="1" customWidth="1"/>
    <col min="3079" max="3079" width="5" style="3" bestFit="1" customWidth="1"/>
    <col min="3080" max="3080" width="63.81640625" style="3" bestFit="1" customWidth="1"/>
    <col min="3081" max="3081" width="55.81640625" style="3" bestFit="1" customWidth="1"/>
    <col min="3082" max="3082" width="67" style="3" bestFit="1" customWidth="1"/>
    <col min="3083" max="3083" width="12.81640625" style="3" bestFit="1" customWidth="1"/>
    <col min="3084" max="3084" width="13" style="3" bestFit="1" customWidth="1"/>
    <col min="3085" max="3333" width="9.1796875" style="3"/>
    <col min="3334" max="3334" width="12.26953125" style="3" bestFit="1" customWidth="1"/>
    <col min="3335" max="3335" width="5" style="3" bestFit="1" customWidth="1"/>
    <col min="3336" max="3336" width="63.81640625" style="3" bestFit="1" customWidth="1"/>
    <col min="3337" max="3337" width="55.81640625" style="3" bestFit="1" customWidth="1"/>
    <col min="3338" max="3338" width="67" style="3" bestFit="1" customWidth="1"/>
    <col min="3339" max="3339" width="12.81640625" style="3" bestFit="1" customWidth="1"/>
    <col min="3340" max="3340" width="13" style="3" bestFit="1" customWidth="1"/>
    <col min="3341" max="3589" width="9.1796875" style="3"/>
    <col min="3590" max="3590" width="12.26953125" style="3" bestFit="1" customWidth="1"/>
    <col min="3591" max="3591" width="5" style="3" bestFit="1" customWidth="1"/>
    <col min="3592" max="3592" width="63.81640625" style="3" bestFit="1" customWidth="1"/>
    <col min="3593" max="3593" width="55.81640625" style="3" bestFit="1" customWidth="1"/>
    <col min="3594" max="3594" width="67" style="3" bestFit="1" customWidth="1"/>
    <col min="3595" max="3595" width="12.81640625" style="3" bestFit="1" customWidth="1"/>
    <col min="3596" max="3596" width="13" style="3" bestFit="1" customWidth="1"/>
    <col min="3597" max="3845" width="9.1796875" style="3"/>
    <col min="3846" max="3846" width="12.26953125" style="3" bestFit="1" customWidth="1"/>
    <col min="3847" max="3847" width="5" style="3" bestFit="1" customWidth="1"/>
    <col min="3848" max="3848" width="63.81640625" style="3" bestFit="1" customWidth="1"/>
    <col min="3849" max="3849" width="55.81640625" style="3" bestFit="1" customWidth="1"/>
    <col min="3850" max="3850" width="67" style="3" bestFit="1" customWidth="1"/>
    <col min="3851" max="3851" width="12.81640625" style="3" bestFit="1" customWidth="1"/>
    <col min="3852" max="3852" width="13" style="3" bestFit="1" customWidth="1"/>
    <col min="3853" max="4101" width="9.1796875" style="3"/>
    <col min="4102" max="4102" width="12.26953125" style="3" bestFit="1" customWidth="1"/>
    <col min="4103" max="4103" width="5" style="3" bestFit="1" customWidth="1"/>
    <col min="4104" max="4104" width="63.81640625" style="3" bestFit="1" customWidth="1"/>
    <col min="4105" max="4105" width="55.81640625" style="3" bestFit="1" customWidth="1"/>
    <col min="4106" max="4106" width="67" style="3" bestFit="1" customWidth="1"/>
    <col min="4107" max="4107" width="12.81640625" style="3" bestFit="1" customWidth="1"/>
    <col min="4108" max="4108" width="13" style="3" bestFit="1" customWidth="1"/>
    <col min="4109" max="4357" width="9.1796875" style="3"/>
    <col min="4358" max="4358" width="12.26953125" style="3" bestFit="1" customWidth="1"/>
    <col min="4359" max="4359" width="5" style="3" bestFit="1" customWidth="1"/>
    <col min="4360" max="4360" width="63.81640625" style="3" bestFit="1" customWidth="1"/>
    <col min="4361" max="4361" width="55.81640625" style="3" bestFit="1" customWidth="1"/>
    <col min="4362" max="4362" width="67" style="3" bestFit="1" customWidth="1"/>
    <col min="4363" max="4363" width="12.81640625" style="3" bestFit="1" customWidth="1"/>
    <col min="4364" max="4364" width="13" style="3" bestFit="1" customWidth="1"/>
    <col min="4365" max="4613" width="9.1796875" style="3"/>
    <col min="4614" max="4614" width="12.26953125" style="3" bestFit="1" customWidth="1"/>
    <col min="4615" max="4615" width="5" style="3" bestFit="1" customWidth="1"/>
    <col min="4616" max="4616" width="63.81640625" style="3" bestFit="1" customWidth="1"/>
    <col min="4617" max="4617" width="55.81640625" style="3" bestFit="1" customWidth="1"/>
    <col min="4618" max="4618" width="67" style="3" bestFit="1" customWidth="1"/>
    <col min="4619" max="4619" width="12.81640625" style="3" bestFit="1" customWidth="1"/>
    <col min="4620" max="4620" width="13" style="3" bestFit="1" customWidth="1"/>
    <col min="4621" max="4869" width="9.1796875" style="3"/>
    <col min="4870" max="4870" width="12.26953125" style="3" bestFit="1" customWidth="1"/>
    <col min="4871" max="4871" width="5" style="3" bestFit="1" customWidth="1"/>
    <col min="4872" max="4872" width="63.81640625" style="3" bestFit="1" customWidth="1"/>
    <col min="4873" max="4873" width="55.81640625" style="3" bestFit="1" customWidth="1"/>
    <col min="4874" max="4874" width="67" style="3" bestFit="1" customWidth="1"/>
    <col min="4875" max="4875" width="12.81640625" style="3" bestFit="1" customWidth="1"/>
    <col min="4876" max="4876" width="13" style="3" bestFit="1" customWidth="1"/>
    <col min="4877" max="5125" width="9.1796875" style="3"/>
    <col min="5126" max="5126" width="12.26953125" style="3" bestFit="1" customWidth="1"/>
    <col min="5127" max="5127" width="5" style="3" bestFit="1" customWidth="1"/>
    <col min="5128" max="5128" width="63.81640625" style="3" bestFit="1" customWidth="1"/>
    <col min="5129" max="5129" width="55.81640625" style="3" bestFit="1" customWidth="1"/>
    <col min="5130" max="5130" width="67" style="3" bestFit="1" customWidth="1"/>
    <col min="5131" max="5131" width="12.81640625" style="3" bestFit="1" customWidth="1"/>
    <col min="5132" max="5132" width="13" style="3" bestFit="1" customWidth="1"/>
    <col min="5133" max="5381" width="9.1796875" style="3"/>
    <col min="5382" max="5382" width="12.26953125" style="3" bestFit="1" customWidth="1"/>
    <col min="5383" max="5383" width="5" style="3" bestFit="1" customWidth="1"/>
    <col min="5384" max="5384" width="63.81640625" style="3" bestFit="1" customWidth="1"/>
    <col min="5385" max="5385" width="55.81640625" style="3" bestFit="1" customWidth="1"/>
    <col min="5386" max="5386" width="67" style="3" bestFit="1" customWidth="1"/>
    <col min="5387" max="5387" width="12.81640625" style="3" bestFit="1" customWidth="1"/>
    <col min="5388" max="5388" width="13" style="3" bestFit="1" customWidth="1"/>
    <col min="5389" max="5637" width="9.1796875" style="3"/>
    <col min="5638" max="5638" width="12.26953125" style="3" bestFit="1" customWidth="1"/>
    <col min="5639" max="5639" width="5" style="3" bestFit="1" customWidth="1"/>
    <col min="5640" max="5640" width="63.81640625" style="3" bestFit="1" customWidth="1"/>
    <col min="5641" max="5641" width="55.81640625" style="3" bestFit="1" customWidth="1"/>
    <col min="5642" max="5642" width="67" style="3" bestFit="1" customWidth="1"/>
    <col min="5643" max="5643" width="12.81640625" style="3" bestFit="1" customWidth="1"/>
    <col min="5644" max="5644" width="13" style="3" bestFit="1" customWidth="1"/>
    <col min="5645" max="5893" width="9.1796875" style="3"/>
    <col min="5894" max="5894" width="12.26953125" style="3" bestFit="1" customWidth="1"/>
    <col min="5895" max="5895" width="5" style="3" bestFit="1" customWidth="1"/>
    <col min="5896" max="5896" width="63.81640625" style="3" bestFit="1" customWidth="1"/>
    <col min="5897" max="5897" width="55.81640625" style="3" bestFit="1" customWidth="1"/>
    <col min="5898" max="5898" width="67" style="3" bestFit="1" customWidth="1"/>
    <col min="5899" max="5899" width="12.81640625" style="3" bestFit="1" customWidth="1"/>
    <col min="5900" max="5900" width="13" style="3" bestFit="1" customWidth="1"/>
    <col min="5901" max="6149" width="9.1796875" style="3"/>
    <col min="6150" max="6150" width="12.26953125" style="3" bestFit="1" customWidth="1"/>
    <col min="6151" max="6151" width="5" style="3" bestFit="1" customWidth="1"/>
    <col min="6152" max="6152" width="63.81640625" style="3" bestFit="1" customWidth="1"/>
    <col min="6153" max="6153" width="55.81640625" style="3" bestFit="1" customWidth="1"/>
    <col min="6154" max="6154" width="67" style="3" bestFit="1" customWidth="1"/>
    <col min="6155" max="6155" width="12.81640625" style="3" bestFit="1" customWidth="1"/>
    <col min="6156" max="6156" width="13" style="3" bestFit="1" customWidth="1"/>
    <col min="6157" max="6405" width="9.1796875" style="3"/>
    <col min="6406" max="6406" width="12.26953125" style="3" bestFit="1" customWidth="1"/>
    <col min="6407" max="6407" width="5" style="3" bestFit="1" customWidth="1"/>
    <col min="6408" max="6408" width="63.81640625" style="3" bestFit="1" customWidth="1"/>
    <col min="6409" max="6409" width="55.81640625" style="3" bestFit="1" customWidth="1"/>
    <col min="6410" max="6410" width="67" style="3" bestFit="1" customWidth="1"/>
    <col min="6411" max="6411" width="12.81640625" style="3" bestFit="1" customWidth="1"/>
    <col min="6412" max="6412" width="13" style="3" bestFit="1" customWidth="1"/>
    <col min="6413" max="6661" width="9.1796875" style="3"/>
    <col min="6662" max="6662" width="12.26953125" style="3" bestFit="1" customWidth="1"/>
    <col min="6663" max="6663" width="5" style="3" bestFit="1" customWidth="1"/>
    <col min="6664" max="6664" width="63.81640625" style="3" bestFit="1" customWidth="1"/>
    <col min="6665" max="6665" width="55.81640625" style="3" bestFit="1" customWidth="1"/>
    <col min="6666" max="6666" width="67" style="3" bestFit="1" customWidth="1"/>
    <col min="6667" max="6667" width="12.81640625" style="3" bestFit="1" customWidth="1"/>
    <col min="6668" max="6668" width="13" style="3" bestFit="1" customWidth="1"/>
    <col min="6669" max="6917" width="9.1796875" style="3"/>
    <col min="6918" max="6918" width="12.26953125" style="3" bestFit="1" customWidth="1"/>
    <col min="6919" max="6919" width="5" style="3" bestFit="1" customWidth="1"/>
    <col min="6920" max="6920" width="63.81640625" style="3" bestFit="1" customWidth="1"/>
    <col min="6921" max="6921" width="55.81640625" style="3" bestFit="1" customWidth="1"/>
    <col min="6922" max="6922" width="67" style="3" bestFit="1" customWidth="1"/>
    <col min="6923" max="6923" width="12.81640625" style="3" bestFit="1" customWidth="1"/>
    <col min="6924" max="6924" width="13" style="3" bestFit="1" customWidth="1"/>
    <col min="6925" max="7173" width="9.1796875" style="3"/>
    <col min="7174" max="7174" width="12.26953125" style="3" bestFit="1" customWidth="1"/>
    <col min="7175" max="7175" width="5" style="3" bestFit="1" customWidth="1"/>
    <col min="7176" max="7176" width="63.81640625" style="3" bestFit="1" customWidth="1"/>
    <col min="7177" max="7177" width="55.81640625" style="3" bestFit="1" customWidth="1"/>
    <col min="7178" max="7178" width="67" style="3" bestFit="1" customWidth="1"/>
    <col min="7179" max="7179" width="12.81640625" style="3" bestFit="1" customWidth="1"/>
    <col min="7180" max="7180" width="13" style="3" bestFit="1" customWidth="1"/>
    <col min="7181" max="7429" width="9.1796875" style="3"/>
    <col min="7430" max="7430" width="12.26953125" style="3" bestFit="1" customWidth="1"/>
    <col min="7431" max="7431" width="5" style="3" bestFit="1" customWidth="1"/>
    <col min="7432" max="7432" width="63.81640625" style="3" bestFit="1" customWidth="1"/>
    <col min="7433" max="7433" width="55.81640625" style="3" bestFit="1" customWidth="1"/>
    <col min="7434" max="7434" width="67" style="3" bestFit="1" customWidth="1"/>
    <col min="7435" max="7435" width="12.81640625" style="3" bestFit="1" customWidth="1"/>
    <col min="7436" max="7436" width="13" style="3" bestFit="1" customWidth="1"/>
    <col min="7437" max="7685" width="9.1796875" style="3"/>
    <col min="7686" max="7686" width="12.26953125" style="3" bestFit="1" customWidth="1"/>
    <col min="7687" max="7687" width="5" style="3" bestFit="1" customWidth="1"/>
    <col min="7688" max="7688" width="63.81640625" style="3" bestFit="1" customWidth="1"/>
    <col min="7689" max="7689" width="55.81640625" style="3" bestFit="1" customWidth="1"/>
    <col min="7690" max="7690" width="67" style="3" bestFit="1" customWidth="1"/>
    <col min="7691" max="7691" width="12.81640625" style="3" bestFit="1" customWidth="1"/>
    <col min="7692" max="7692" width="13" style="3" bestFit="1" customWidth="1"/>
    <col min="7693" max="7941" width="9.1796875" style="3"/>
    <col min="7942" max="7942" width="12.26953125" style="3" bestFit="1" customWidth="1"/>
    <col min="7943" max="7943" width="5" style="3" bestFit="1" customWidth="1"/>
    <col min="7944" max="7944" width="63.81640625" style="3" bestFit="1" customWidth="1"/>
    <col min="7945" max="7945" width="55.81640625" style="3" bestFit="1" customWidth="1"/>
    <col min="7946" max="7946" width="67" style="3" bestFit="1" customWidth="1"/>
    <col min="7947" max="7947" width="12.81640625" style="3" bestFit="1" customWidth="1"/>
    <col min="7948" max="7948" width="13" style="3" bestFit="1" customWidth="1"/>
    <col min="7949" max="8197" width="9.1796875" style="3"/>
    <col min="8198" max="8198" width="12.26953125" style="3" bestFit="1" customWidth="1"/>
    <col min="8199" max="8199" width="5" style="3" bestFit="1" customWidth="1"/>
    <col min="8200" max="8200" width="63.81640625" style="3" bestFit="1" customWidth="1"/>
    <col min="8201" max="8201" width="55.81640625" style="3" bestFit="1" customWidth="1"/>
    <col min="8202" max="8202" width="67" style="3" bestFit="1" customWidth="1"/>
    <col min="8203" max="8203" width="12.81640625" style="3" bestFit="1" customWidth="1"/>
    <col min="8204" max="8204" width="13" style="3" bestFit="1" customWidth="1"/>
    <col min="8205" max="8453" width="9.1796875" style="3"/>
    <col min="8454" max="8454" width="12.26953125" style="3" bestFit="1" customWidth="1"/>
    <col min="8455" max="8455" width="5" style="3" bestFit="1" customWidth="1"/>
    <col min="8456" max="8456" width="63.81640625" style="3" bestFit="1" customWidth="1"/>
    <col min="8457" max="8457" width="55.81640625" style="3" bestFit="1" customWidth="1"/>
    <col min="8458" max="8458" width="67" style="3" bestFit="1" customWidth="1"/>
    <col min="8459" max="8459" width="12.81640625" style="3" bestFit="1" customWidth="1"/>
    <col min="8460" max="8460" width="13" style="3" bestFit="1" customWidth="1"/>
    <col min="8461" max="8709" width="9.1796875" style="3"/>
    <col min="8710" max="8710" width="12.26953125" style="3" bestFit="1" customWidth="1"/>
    <col min="8711" max="8711" width="5" style="3" bestFit="1" customWidth="1"/>
    <col min="8712" max="8712" width="63.81640625" style="3" bestFit="1" customWidth="1"/>
    <col min="8713" max="8713" width="55.81640625" style="3" bestFit="1" customWidth="1"/>
    <col min="8714" max="8714" width="67" style="3" bestFit="1" customWidth="1"/>
    <col min="8715" max="8715" width="12.81640625" style="3" bestFit="1" customWidth="1"/>
    <col min="8716" max="8716" width="13" style="3" bestFit="1" customWidth="1"/>
    <col min="8717" max="8965" width="9.1796875" style="3"/>
    <col min="8966" max="8966" width="12.26953125" style="3" bestFit="1" customWidth="1"/>
    <col min="8967" max="8967" width="5" style="3" bestFit="1" customWidth="1"/>
    <col min="8968" max="8968" width="63.81640625" style="3" bestFit="1" customWidth="1"/>
    <col min="8969" max="8969" width="55.81640625" style="3" bestFit="1" customWidth="1"/>
    <col min="8970" max="8970" width="67" style="3" bestFit="1" customWidth="1"/>
    <col min="8971" max="8971" width="12.81640625" style="3" bestFit="1" customWidth="1"/>
    <col min="8972" max="8972" width="13" style="3" bestFit="1" customWidth="1"/>
    <col min="8973" max="9221" width="9.1796875" style="3"/>
    <col min="9222" max="9222" width="12.26953125" style="3" bestFit="1" customWidth="1"/>
    <col min="9223" max="9223" width="5" style="3" bestFit="1" customWidth="1"/>
    <col min="9224" max="9224" width="63.81640625" style="3" bestFit="1" customWidth="1"/>
    <col min="9225" max="9225" width="55.81640625" style="3" bestFit="1" customWidth="1"/>
    <col min="9226" max="9226" width="67" style="3" bestFit="1" customWidth="1"/>
    <col min="9227" max="9227" width="12.81640625" style="3" bestFit="1" customWidth="1"/>
    <col min="9228" max="9228" width="13" style="3" bestFit="1" customWidth="1"/>
    <col min="9229" max="9477" width="9.1796875" style="3"/>
    <col min="9478" max="9478" width="12.26953125" style="3" bestFit="1" customWidth="1"/>
    <col min="9479" max="9479" width="5" style="3" bestFit="1" customWidth="1"/>
    <col min="9480" max="9480" width="63.81640625" style="3" bestFit="1" customWidth="1"/>
    <col min="9481" max="9481" width="55.81640625" style="3" bestFit="1" customWidth="1"/>
    <col min="9482" max="9482" width="67" style="3" bestFit="1" customWidth="1"/>
    <col min="9483" max="9483" width="12.81640625" style="3" bestFit="1" customWidth="1"/>
    <col min="9484" max="9484" width="13" style="3" bestFit="1" customWidth="1"/>
    <col min="9485" max="9733" width="9.1796875" style="3"/>
    <col min="9734" max="9734" width="12.26953125" style="3" bestFit="1" customWidth="1"/>
    <col min="9735" max="9735" width="5" style="3" bestFit="1" customWidth="1"/>
    <col min="9736" max="9736" width="63.81640625" style="3" bestFit="1" customWidth="1"/>
    <col min="9737" max="9737" width="55.81640625" style="3" bestFit="1" customWidth="1"/>
    <col min="9738" max="9738" width="67" style="3" bestFit="1" customWidth="1"/>
    <col min="9739" max="9739" width="12.81640625" style="3" bestFit="1" customWidth="1"/>
    <col min="9740" max="9740" width="13" style="3" bestFit="1" customWidth="1"/>
    <col min="9741" max="9989" width="9.1796875" style="3"/>
    <col min="9990" max="9990" width="12.26953125" style="3" bestFit="1" customWidth="1"/>
    <col min="9991" max="9991" width="5" style="3" bestFit="1" customWidth="1"/>
    <col min="9992" max="9992" width="63.81640625" style="3" bestFit="1" customWidth="1"/>
    <col min="9993" max="9993" width="55.81640625" style="3" bestFit="1" customWidth="1"/>
    <col min="9994" max="9994" width="67" style="3" bestFit="1" customWidth="1"/>
    <col min="9995" max="9995" width="12.81640625" style="3" bestFit="1" customWidth="1"/>
    <col min="9996" max="9996" width="13" style="3" bestFit="1" customWidth="1"/>
    <col min="9997" max="10245" width="9.1796875" style="3"/>
    <col min="10246" max="10246" width="12.26953125" style="3" bestFit="1" customWidth="1"/>
    <col min="10247" max="10247" width="5" style="3" bestFit="1" customWidth="1"/>
    <col min="10248" max="10248" width="63.81640625" style="3" bestFit="1" customWidth="1"/>
    <col min="10249" max="10249" width="55.81640625" style="3" bestFit="1" customWidth="1"/>
    <col min="10250" max="10250" width="67" style="3" bestFit="1" customWidth="1"/>
    <col min="10251" max="10251" width="12.81640625" style="3" bestFit="1" customWidth="1"/>
    <col min="10252" max="10252" width="13" style="3" bestFit="1" customWidth="1"/>
    <col min="10253" max="10501" width="9.1796875" style="3"/>
    <col min="10502" max="10502" width="12.26953125" style="3" bestFit="1" customWidth="1"/>
    <col min="10503" max="10503" width="5" style="3" bestFit="1" customWidth="1"/>
    <col min="10504" max="10504" width="63.81640625" style="3" bestFit="1" customWidth="1"/>
    <col min="10505" max="10505" width="55.81640625" style="3" bestFit="1" customWidth="1"/>
    <col min="10506" max="10506" width="67" style="3" bestFit="1" customWidth="1"/>
    <col min="10507" max="10507" width="12.81640625" style="3" bestFit="1" customWidth="1"/>
    <col min="10508" max="10508" width="13" style="3" bestFit="1" customWidth="1"/>
    <col min="10509" max="10757" width="9.1796875" style="3"/>
    <col min="10758" max="10758" width="12.26953125" style="3" bestFit="1" customWidth="1"/>
    <col min="10759" max="10759" width="5" style="3" bestFit="1" customWidth="1"/>
    <col min="10760" max="10760" width="63.81640625" style="3" bestFit="1" customWidth="1"/>
    <col min="10761" max="10761" width="55.81640625" style="3" bestFit="1" customWidth="1"/>
    <col min="10762" max="10762" width="67" style="3" bestFit="1" customWidth="1"/>
    <col min="10763" max="10763" width="12.81640625" style="3" bestFit="1" customWidth="1"/>
    <col min="10764" max="10764" width="13" style="3" bestFit="1" customWidth="1"/>
    <col min="10765" max="11013" width="9.1796875" style="3"/>
    <col min="11014" max="11014" width="12.26953125" style="3" bestFit="1" customWidth="1"/>
    <col min="11015" max="11015" width="5" style="3" bestFit="1" customWidth="1"/>
    <col min="11016" max="11016" width="63.81640625" style="3" bestFit="1" customWidth="1"/>
    <col min="11017" max="11017" width="55.81640625" style="3" bestFit="1" customWidth="1"/>
    <col min="11018" max="11018" width="67" style="3" bestFit="1" customWidth="1"/>
    <col min="11019" max="11019" width="12.81640625" style="3" bestFit="1" customWidth="1"/>
    <col min="11020" max="11020" width="13" style="3" bestFit="1" customWidth="1"/>
    <col min="11021" max="11269" width="9.1796875" style="3"/>
    <col min="11270" max="11270" width="12.26953125" style="3" bestFit="1" customWidth="1"/>
    <col min="11271" max="11271" width="5" style="3" bestFit="1" customWidth="1"/>
    <col min="11272" max="11272" width="63.81640625" style="3" bestFit="1" customWidth="1"/>
    <col min="11273" max="11273" width="55.81640625" style="3" bestFit="1" customWidth="1"/>
    <col min="11274" max="11274" width="67" style="3" bestFit="1" customWidth="1"/>
    <col min="11275" max="11275" width="12.81640625" style="3" bestFit="1" customWidth="1"/>
    <col min="11276" max="11276" width="13" style="3" bestFit="1" customWidth="1"/>
    <col min="11277" max="11525" width="9.1796875" style="3"/>
    <col min="11526" max="11526" width="12.26953125" style="3" bestFit="1" customWidth="1"/>
    <col min="11527" max="11527" width="5" style="3" bestFit="1" customWidth="1"/>
    <col min="11528" max="11528" width="63.81640625" style="3" bestFit="1" customWidth="1"/>
    <col min="11529" max="11529" width="55.81640625" style="3" bestFit="1" customWidth="1"/>
    <col min="11530" max="11530" width="67" style="3" bestFit="1" customWidth="1"/>
    <col min="11531" max="11531" width="12.81640625" style="3" bestFit="1" customWidth="1"/>
    <col min="11532" max="11532" width="13" style="3" bestFit="1" customWidth="1"/>
    <col min="11533" max="11781" width="9.1796875" style="3"/>
    <col min="11782" max="11782" width="12.26953125" style="3" bestFit="1" customWidth="1"/>
    <col min="11783" max="11783" width="5" style="3" bestFit="1" customWidth="1"/>
    <col min="11784" max="11784" width="63.81640625" style="3" bestFit="1" customWidth="1"/>
    <col min="11785" max="11785" width="55.81640625" style="3" bestFit="1" customWidth="1"/>
    <col min="11786" max="11786" width="67" style="3" bestFit="1" customWidth="1"/>
    <col min="11787" max="11787" width="12.81640625" style="3" bestFit="1" customWidth="1"/>
    <col min="11788" max="11788" width="13" style="3" bestFit="1" customWidth="1"/>
    <col min="11789" max="12037" width="9.1796875" style="3"/>
    <col min="12038" max="12038" width="12.26953125" style="3" bestFit="1" customWidth="1"/>
    <col min="12039" max="12039" width="5" style="3" bestFit="1" customWidth="1"/>
    <col min="12040" max="12040" width="63.81640625" style="3" bestFit="1" customWidth="1"/>
    <col min="12041" max="12041" width="55.81640625" style="3" bestFit="1" customWidth="1"/>
    <col min="12042" max="12042" width="67" style="3" bestFit="1" customWidth="1"/>
    <col min="12043" max="12043" width="12.81640625" style="3" bestFit="1" customWidth="1"/>
    <col min="12044" max="12044" width="13" style="3" bestFit="1" customWidth="1"/>
    <col min="12045" max="12293" width="9.1796875" style="3"/>
    <col min="12294" max="12294" width="12.26953125" style="3" bestFit="1" customWidth="1"/>
    <col min="12295" max="12295" width="5" style="3" bestFit="1" customWidth="1"/>
    <col min="12296" max="12296" width="63.81640625" style="3" bestFit="1" customWidth="1"/>
    <col min="12297" max="12297" width="55.81640625" style="3" bestFit="1" customWidth="1"/>
    <col min="12298" max="12298" width="67" style="3" bestFit="1" customWidth="1"/>
    <col min="12299" max="12299" width="12.81640625" style="3" bestFit="1" customWidth="1"/>
    <col min="12300" max="12300" width="13" style="3" bestFit="1" customWidth="1"/>
    <col min="12301" max="12549" width="9.1796875" style="3"/>
    <col min="12550" max="12550" width="12.26953125" style="3" bestFit="1" customWidth="1"/>
    <col min="12551" max="12551" width="5" style="3" bestFit="1" customWidth="1"/>
    <col min="12552" max="12552" width="63.81640625" style="3" bestFit="1" customWidth="1"/>
    <col min="12553" max="12553" width="55.81640625" style="3" bestFit="1" customWidth="1"/>
    <col min="12554" max="12554" width="67" style="3" bestFit="1" customWidth="1"/>
    <col min="12555" max="12555" width="12.81640625" style="3" bestFit="1" customWidth="1"/>
    <col min="12556" max="12556" width="13" style="3" bestFit="1" customWidth="1"/>
    <col min="12557" max="12805" width="9.1796875" style="3"/>
    <col min="12806" max="12806" width="12.26953125" style="3" bestFit="1" customWidth="1"/>
    <col min="12807" max="12807" width="5" style="3" bestFit="1" customWidth="1"/>
    <col min="12808" max="12808" width="63.81640625" style="3" bestFit="1" customWidth="1"/>
    <col min="12809" max="12809" width="55.81640625" style="3" bestFit="1" customWidth="1"/>
    <col min="12810" max="12810" width="67" style="3" bestFit="1" customWidth="1"/>
    <col min="12811" max="12811" width="12.81640625" style="3" bestFit="1" customWidth="1"/>
    <col min="12812" max="12812" width="13" style="3" bestFit="1" customWidth="1"/>
    <col min="12813" max="13061" width="9.1796875" style="3"/>
    <col min="13062" max="13062" width="12.26953125" style="3" bestFit="1" customWidth="1"/>
    <col min="13063" max="13063" width="5" style="3" bestFit="1" customWidth="1"/>
    <col min="13064" max="13064" width="63.81640625" style="3" bestFit="1" customWidth="1"/>
    <col min="13065" max="13065" width="55.81640625" style="3" bestFit="1" customWidth="1"/>
    <col min="13066" max="13066" width="67" style="3" bestFit="1" customWidth="1"/>
    <col min="13067" max="13067" width="12.81640625" style="3" bestFit="1" customWidth="1"/>
    <col min="13068" max="13068" width="13" style="3" bestFit="1" customWidth="1"/>
    <col min="13069" max="13317" width="9.1796875" style="3"/>
    <col min="13318" max="13318" width="12.26953125" style="3" bestFit="1" customWidth="1"/>
    <col min="13319" max="13319" width="5" style="3" bestFit="1" customWidth="1"/>
    <col min="13320" max="13320" width="63.81640625" style="3" bestFit="1" customWidth="1"/>
    <col min="13321" max="13321" width="55.81640625" style="3" bestFit="1" customWidth="1"/>
    <col min="13322" max="13322" width="67" style="3" bestFit="1" customWidth="1"/>
    <col min="13323" max="13323" width="12.81640625" style="3" bestFit="1" customWidth="1"/>
    <col min="13324" max="13324" width="13" style="3" bestFit="1" customWidth="1"/>
    <col min="13325" max="13573" width="9.1796875" style="3"/>
    <col min="13574" max="13574" width="12.26953125" style="3" bestFit="1" customWidth="1"/>
    <col min="13575" max="13575" width="5" style="3" bestFit="1" customWidth="1"/>
    <col min="13576" max="13576" width="63.81640625" style="3" bestFit="1" customWidth="1"/>
    <col min="13577" max="13577" width="55.81640625" style="3" bestFit="1" customWidth="1"/>
    <col min="13578" max="13578" width="67" style="3" bestFit="1" customWidth="1"/>
    <col min="13579" max="13579" width="12.81640625" style="3" bestFit="1" customWidth="1"/>
    <col min="13580" max="13580" width="13" style="3" bestFit="1" customWidth="1"/>
    <col min="13581" max="13829" width="9.1796875" style="3"/>
    <col min="13830" max="13830" width="12.26953125" style="3" bestFit="1" customWidth="1"/>
    <col min="13831" max="13831" width="5" style="3" bestFit="1" customWidth="1"/>
    <col min="13832" max="13832" width="63.81640625" style="3" bestFit="1" customWidth="1"/>
    <col min="13833" max="13833" width="55.81640625" style="3" bestFit="1" customWidth="1"/>
    <col min="13834" max="13834" width="67" style="3" bestFit="1" customWidth="1"/>
    <col min="13835" max="13835" width="12.81640625" style="3" bestFit="1" customWidth="1"/>
    <col min="13836" max="13836" width="13" style="3" bestFit="1" customWidth="1"/>
    <col min="13837" max="14085" width="9.1796875" style="3"/>
    <col min="14086" max="14086" width="12.26953125" style="3" bestFit="1" customWidth="1"/>
    <col min="14087" max="14087" width="5" style="3" bestFit="1" customWidth="1"/>
    <col min="14088" max="14088" width="63.81640625" style="3" bestFit="1" customWidth="1"/>
    <col min="14089" max="14089" width="55.81640625" style="3" bestFit="1" customWidth="1"/>
    <col min="14090" max="14090" width="67" style="3" bestFit="1" customWidth="1"/>
    <col min="14091" max="14091" width="12.81640625" style="3" bestFit="1" customWidth="1"/>
    <col min="14092" max="14092" width="13" style="3" bestFit="1" customWidth="1"/>
    <col min="14093" max="14341" width="9.1796875" style="3"/>
    <col min="14342" max="14342" width="12.26953125" style="3" bestFit="1" customWidth="1"/>
    <col min="14343" max="14343" width="5" style="3" bestFit="1" customWidth="1"/>
    <col min="14344" max="14344" width="63.81640625" style="3" bestFit="1" customWidth="1"/>
    <col min="14345" max="14345" width="55.81640625" style="3" bestFit="1" customWidth="1"/>
    <col min="14346" max="14346" width="67" style="3" bestFit="1" customWidth="1"/>
    <col min="14347" max="14347" width="12.81640625" style="3" bestFit="1" customWidth="1"/>
    <col min="14348" max="14348" width="13" style="3" bestFit="1" customWidth="1"/>
    <col min="14349" max="14597" width="9.1796875" style="3"/>
    <col min="14598" max="14598" width="12.26953125" style="3" bestFit="1" customWidth="1"/>
    <col min="14599" max="14599" width="5" style="3" bestFit="1" customWidth="1"/>
    <col min="14600" max="14600" width="63.81640625" style="3" bestFit="1" customWidth="1"/>
    <col min="14601" max="14601" width="55.81640625" style="3" bestFit="1" customWidth="1"/>
    <col min="14602" max="14602" width="67" style="3" bestFit="1" customWidth="1"/>
    <col min="14603" max="14603" width="12.81640625" style="3" bestFit="1" customWidth="1"/>
    <col min="14604" max="14604" width="13" style="3" bestFit="1" customWidth="1"/>
    <col min="14605" max="14853" width="9.1796875" style="3"/>
    <col min="14854" max="14854" width="12.26953125" style="3" bestFit="1" customWidth="1"/>
    <col min="14855" max="14855" width="5" style="3" bestFit="1" customWidth="1"/>
    <col min="14856" max="14856" width="63.81640625" style="3" bestFit="1" customWidth="1"/>
    <col min="14857" max="14857" width="55.81640625" style="3" bestFit="1" customWidth="1"/>
    <col min="14858" max="14858" width="67" style="3" bestFit="1" customWidth="1"/>
    <col min="14859" max="14859" width="12.81640625" style="3" bestFit="1" customWidth="1"/>
    <col min="14860" max="14860" width="13" style="3" bestFit="1" customWidth="1"/>
    <col min="14861" max="15109" width="9.1796875" style="3"/>
    <col min="15110" max="15110" width="12.26953125" style="3" bestFit="1" customWidth="1"/>
    <col min="15111" max="15111" width="5" style="3" bestFit="1" customWidth="1"/>
    <col min="15112" max="15112" width="63.81640625" style="3" bestFit="1" customWidth="1"/>
    <col min="15113" max="15113" width="55.81640625" style="3" bestFit="1" customWidth="1"/>
    <col min="15114" max="15114" width="67" style="3" bestFit="1" customWidth="1"/>
    <col min="15115" max="15115" width="12.81640625" style="3" bestFit="1" customWidth="1"/>
    <col min="15116" max="15116" width="13" style="3" bestFit="1" customWidth="1"/>
    <col min="15117" max="15365" width="9.1796875" style="3"/>
    <col min="15366" max="15366" width="12.26953125" style="3" bestFit="1" customWidth="1"/>
    <col min="15367" max="15367" width="5" style="3" bestFit="1" customWidth="1"/>
    <col min="15368" max="15368" width="63.81640625" style="3" bestFit="1" customWidth="1"/>
    <col min="15369" max="15369" width="55.81640625" style="3" bestFit="1" customWidth="1"/>
    <col min="15370" max="15370" width="67" style="3" bestFit="1" customWidth="1"/>
    <col min="15371" max="15371" width="12.81640625" style="3" bestFit="1" customWidth="1"/>
    <col min="15372" max="15372" width="13" style="3" bestFit="1" customWidth="1"/>
    <col min="15373" max="15621" width="9.1796875" style="3"/>
    <col min="15622" max="15622" width="12.26953125" style="3" bestFit="1" customWidth="1"/>
    <col min="15623" max="15623" width="5" style="3" bestFit="1" customWidth="1"/>
    <col min="15624" max="15624" width="63.81640625" style="3" bestFit="1" customWidth="1"/>
    <col min="15625" max="15625" width="55.81640625" style="3" bestFit="1" customWidth="1"/>
    <col min="15626" max="15626" width="67" style="3" bestFit="1" customWidth="1"/>
    <col min="15627" max="15627" width="12.81640625" style="3" bestFit="1" customWidth="1"/>
    <col min="15628" max="15628" width="13" style="3" bestFit="1" customWidth="1"/>
    <col min="15629" max="15877" width="9.1796875" style="3"/>
    <col min="15878" max="15878" width="12.26953125" style="3" bestFit="1" customWidth="1"/>
    <col min="15879" max="15879" width="5" style="3" bestFit="1" customWidth="1"/>
    <col min="15880" max="15880" width="63.81640625" style="3" bestFit="1" customWidth="1"/>
    <col min="15881" max="15881" width="55.81640625" style="3" bestFit="1" customWidth="1"/>
    <col min="15882" max="15882" width="67" style="3" bestFit="1" customWidth="1"/>
    <col min="15883" max="15883" width="12.81640625" style="3" bestFit="1" customWidth="1"/>
    <col min="15884" max="15884" width="13" style="3" bestFit="1" customWidth="1"/>
    <col min="15885" max="16133" width="9.1796875" style="3"/>
    <col min="16134" max="16134" width="12.26953125" style="3" bestFit="1" customWidth="1"/>
    <col min="16135" max="16135" width="5" style="3" bestFit="1" customWidth="1"/>
    <col min="16136" max="16136" width="63.81640625" style="3" bestFit="1" customWidth="1"/>
    <col min="16137" max="16137" width="55.81640625" style="3" bestFit="1" customWidth="1"/>
    <col min="16138" max="16138" width="67" style="3" bestFit="1" customWidth="1"/>
    <col min="16139" max="16139" width="12.81640625" style="3" bestFit="1" customWidth="1"/>
    <col min="16140" max="16140" width="13" style="3" bestFit="1" customWidth="1"/>
    <col min="16141" max="16384" width="9.1796875" style="3"/>
  </cols>
  <sheetData>
    <row r="1" spans="1:35">
      <c r="G1" s="6" t="s">
        <v>12</v>
      </c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AF1" s="3"/>
    </row>
    <row r="2" spans="1:35">
      <c r="G2" s="6" t="s">
        <v>109</v>
      </c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AF2" s="3"/>
    </row>
    <row r="3" spans="1:35">
      <c r="G3" s="5" t="s">
        <v>578</v>
      </c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AF3" s="3"/>
    </row>
    <row r="4" spans="1:35">
      <c r="L4" s="52" t="s">
        <v>579</v>
      </c>
      <c r="N4" s="39"/>
      <c r="O4" s="39"/>
      <c r="P4" s="44"/>
      <c r="Q4" s="44" t="s">
        <v>104</v>
      </c>
      <c r="R4" s="44"/>
      <c r="S4" s="39"/>
      <c r="T4" s="44"/>
      <c r="U4" s="44"/>
      <c r="V4" s="44" t="s">
        <v>108</v>
      </c>
      <c r="W4" s="44"/>
      <c r="X4" s="50"/>
      <c r="Y4" s="39"/>
      <c r="Z4" s="45"/>
      <c r="AA4" s="45"/>
      <c r="AB4" s="45"/>
      <c r="AC4" s="39"/>
      <c r="AD4" s="39"/>
      <c r="AE4" s="39"/>
      <c r="AF4" s="3"/>
    </row>
    <row r="5" spans="1:35">
      <c r="H5" s="50" t="s">
        <v>96</v>
      </c>
      <c r="I5" s="50"/>
      <c r="J5" s="50" t="s">
        <v>97</v>
      </c>
      <c r="K5" s="127"/>
      <c r="L5" s="44" t="s">
        <v>580</v>
      </c>
      <c r="N5" s="44" t="s">
        <v>58</v>
      </c>
      <c r="O5" s="45"/>
      <c r="P5" s="47">
        <v>2016</v>
      </c>
      <c r="Q5" s="39"/>
      <c r="R5" s="47">
        <v>2015</v>
      </c>
      <c r="S5" s="39"/>
      <c r="T5" s="47">
        <v>2016</v>
      </c>
      <c r="U5" s="39"/>
      <c r="V5" s="47">
        <v>2015</v>
      </c>
      <c r="W5" s="48"/>
      <c r="X5" s="50" t="s">
        <v>107</v>
      </c>
      <c r="Y5" s="39"/>
      <c r="Z5" s="45"/>
      <c r="AA5" s="45"/>
      <c r="AB5" s="45"/>
      <c r="AC5" s="39"/>
      <c r="AD5" s="39"/>
      <c r="AE5" s="39"/>
      <c r="AF5" s="3"/>
    </row>
    <row r="7" spans="1:35">
      <c r="A7" s="77">
        <v>42005</v>
      </c>
      <c r="D7" s="3" t="s">
        <v>482</v>
      </c>
      <c r="E7" s="3" t="s">
        <v>483</v>
      </c>
      <c r="F7" s="3" t="s">
        <v>484</v>
      </c>
      <c r="H7" s="43">
        <v>42.5</v>
      </c>
      <c r="I7" s="43"/>
      <c r="J7" s="43"/>
      <c r="K7" s="43"/>
      <c r="L7" s="43"/>
      <c r="V7" s="43">
        <f>H7</f>
        <v>42.5</v>
      </c>
      <c r="AF7" s="3"/>
      <c r="AG7" s="95"/>
      <c r="AI7" s="95"/>
    </row>
    <row r="8" spans="1:35">
      <c r="A8" s="77">
        <v>42005</v>
      </c>
      <c r="D8" s="3" t="s">
        <v>485</v>
      </c>
      <c r="H8" s="43">
        <v>0</v>
      </c>
      <c r="I8" s="43"/>
      <c r="J8" s="43">
        <v>3373.13</v>
      </c>
      <c r="K8" s="43"/>
      <c r="L8" s="43"/>
      <c r="X8" s="38">
        <f>-J8</f>
        <v>-3373.13</v>
      </c>
      <c r="AF8" s="3"/>
      <c r="AG8" s="95"/>
      <c r="AI8" s="95"/>
    </row>
    <row r="9" spans="1:35">
      <c r="A9" s="77">
        <v>42005</v>
      </c>
      <c r="D9" s="3" t="s">
        <v>485</v>
      </c>
      <c r="H9" s="43">
        <v>0</v>
      </c>
      <c r="I9" s="43"/>
      <c r="J9" s="43">
        <v>9783</v>
      </c>
      <c r="K9" s="43"/>
      <c r="L9" s="43"/>
      <c r="X9" s="38">
        <f>-J9</f>
        <v>-9783</v>
      </c>
      <c r="AF9" s="3"/>
      <c r="AG9" s="95"/>
      <c r="AI9" s="95"/>
    </row>
    <row r="10" spans="1:35">
      <c r="A10" s="77">
        <v>42005</v>
      </c>
      <c r="D10" s="3" t="s">
        <v>485</v>
      </c>
      <c r="H10" s="43">
        <v>0</v>
      </c>
      <c r="I10" s="43"/>
      <c r="J10" s="43">
        <v>14288</v>
      </c>
      <c r="K10" s="43"/>
      <c r="L10" s="43"/>
      <c r="X10" s="38">
        <f>-J10</f>
        <v>-14288</v>
      </c>
      <c r="AB10" s="69"/>
      <c r="AF10" s="3"/>
      <c r="AG10" s="95"/>
      <c r="AI10" s="95"/>
    </row>
    <row r="11" spans="1:35">
      <c r="A11" s="77">
        <v>42005</v>
      </c>
      <c r="D11" s="3" t="s">
        <v>486</v>
      </c>
      <c r="H11" s="43">
        <v>275898.58</v>
      </c>
      <c r="I11" s="43"/>
      <c r="J11" s="43"/>
      <c r="K11" s="43"/>
      <c r="L11" s="43"/>
      <c r="N11" s="43">
        <f>-H11</f>
        <v>-275898.58</v>
      </c>
      <c r="AB11" s="69"/>
      <c r="AF11" s="3"/>
      <c r="AG11" s="95"/>
      <c r="AI11" s="95"/>
    </row>
    <row r="12" spans="1:35">
      <c r="A12" s="77">
        <v>42005</v>
      </c>
      <c r="D12" s="3" t="s">
        <v>487</v>
      </c>
      <c r="H12" s="43"/>
      <c r="I12" s="43"/>
      <c r="J12" s="43">
        <v>372378.51</v>
      </c>
      <c r="K12" s="43"/>
      <c r="L12" s="43"/>
      <c r="N12" s="43">
        <f>J12</f>
        <v>372378.51</v>
      </c>
      <c r="AB12" s="69"/>
      <c r="AF12" s="3"/>
      <c r="AG12" s="95"/>
      <c r="AI12" s="95"/>
    </row>
    <row r="13" spans="1:35">
      <c r="A13" s="77">
        <v>42036</v>
      </c>
      <c r="D13" s="3" t="s">
        <v>488</v>
      </c>
      <c r="H13" s="43">
        <v>0</v>
      </c>
      <c r="I13" s="43"/>
      <c r="J13" s="43">
        <v>60.13</v>
      </c>
      <c r="K13" s="43"/>
      <c r="L13" s="43"/>
      <c r="X13" s="38">
        <f>-J13</f>
        <v>-60.13</v>
      </c>
      <c r="AB13" s="69"/>
      <c r="AF13" s="3"/>
      <c r="AG13" s="95"/>
      <c r="AI13" s="95"/>
    </row>
    <row r="14" spans="1:35">
      <c r="A14" s="77">
        <v>42036</v>
      </c>
      <c r="D14" s="3" t="s">
        <v>489</v>
      </c>
      <c r="H14" s="43">
        <v>0</v>
      </c>
      <c r="I14" s="43"/>
      <c r="J14" s="43">
        <v>7528</v>
      </c>
      <c r="K14" s="43"/>
      <c r="L14" s="43"/>
      <c r="X14" s="38">
        <f>-J14</f>
        <v>-7528</v>
      </c>
      <c r="AB14" s="69"/>
      <c r="AF14" s="3"/>
      <c r="AG14" s="95"/>
      <c r="AI14" s="95"/>
    </row>
    <row r="15" spans="1:35">
      <c r="A15" s="77">
        <v>42064</v>
      </c>
      <c r="D15" s="3" t="s">
        <v>490</v>
      </c>
      <c r="E15" s="3" t="s">
        <v>491</v>
      </c>
      <c r="F15" s="3" t="s">
        <v>492</v>
      </c>
      <c r="H15" s="43">
        <v>58.4</v>
      </c>
      <c r="I15" s="43"/>
      <c r="J15" s="43"/>
      <c r="K15" s="43"/>
      <c r="L15" s="43"/>
      <c r="V15" s="43">
        <f>H15</f>
        <v>58.4</v>
      </c>
      <c r="AB15" s="69"/>
      <c r="AF15" s="3"/>
      <c r="AG15" s="95"/>
      <c r="AI15" s="95"/>
    </row>
    <row r="16" spans="1:35">
      <c r="A16" s="77">
        <v>42064</v>
      </c>
      <c r="D16" s="3" t="s">
        <v>493</v>
      </c>
      <c r="E16" s="3" t="s">
        <v>494</v>
      </c>
      <c r="F16" s="3" t="s">
        <v>495</v>
      </c>
      <c r="H16" s="43">
        <v>1000</v>
      </c>
      <c r="I16" s="43"/>
      <c r="J16" s="43"/>
      <c r="K16" s="43"/>
      <c r="L16" s="43"/>
      <c r="V16" s="43">
        <f>H16</f>
        <v>1000</v>
      </c>
      <c r="AB16" s="69"/>
      <c r="AF16" s="3"/>
      <c r="AG16" s="95"/>
      <c r="AI16" s="95"/>
    </row>
    <row r="17" spans="1:35">
      <c r="A17" s="77">
        <v>42064</v>
      </c>
      <c r="D17" s="3" t="s">
        <v>496</v>
      </c>
      <c r="E17" s="3" t="s">
        <v>497</v>
      </c>
      <c r="F17" s="3" t="s">
        <v>495</v>
      </c>
      <c r="H17" s="43">
        <v>1000</v>
      </c>
      <c r="I17" s="43"/>
      <c r="J17" s="43"/>
      <c r="K17" s="43"/>
      <c r="L17" s="43"/>
      <c r="V17" s="43">
        <f t="shared" ref="V17:V28" si="0">H17</f>
        <v>1000</v>
      </c>
      <c r="Y17" s="3"/>
      <c r="Z17" s="3"/>
      <c r="AA17" s="3"/>
      <c r="AB17" s="8"/>
      <c r="AC17" s="3"/>
      <c r="AF17" s="3"/>
      <c r="AG17" s="95"/>
      <c r="AI17" s="95"/>
    </row>
    <row r="18" spans="1:35">
      <c r="A18" s="77">
        <v>42064</v>
      </c>
      <c r="D18" s="3" t="s">
        <v>498</v>
      </c>
      <c r="E18" s="3" t="s">
        <v>499</v>
      </c>
      <c r="F18" s="3" t="s">
        <v>495</v>
      </c>
      <c r="H18" s="43">
        <v>1000</v>
      </c>
      <c r="I18" s="43"/>
      <c r="J18" s="43"/>
      <c r="K18" s="43"/>
      <c r="L18" s="43"/>
      <c r="V18" s="43">
        <f t="shared" si="0"/>
        <v>1000</v>
      </c>
      <c r="Y18" s="3"/>
      <c r="Z18" s="3"/>
      <c r="AA18" s="3"/>
      <c r="AB18" s="8"/>
      <c r="AC18" s="3"/>
      <c r="AF18" s="3"/>
      <c r="AG18" s="95"/>
      <c r="AI18" s="95"/>
    </row>
    <row r="19" spans="1:35">
      <c r="A19" s="77">
        <v>42064</v>
      </c>
      <c r="D19" s="3" t="s">
        <v>500</v>
      </c>
      <c r="E19" s="3" t="s">
        <v>501</v>
      </c>
      <c r="F19" s="3" t="s">
        <v>495</v>
      </c>
      <c r="H19" s="43">
        <v>1000</v>
      </c>
      <c r="I19" s="43"/>
      <c r="J19" s="43"/>
      <c r="K19" s="43"/>
      <c r="L19" s="43"/>
      <c r="V19" s="43">
        <f t="shared" si="0"/>
        <v>1000</v>
      </c>
      <c r="Y19" s="3"/>
      <c r="Z19" s="3"/>
      <c r="AA19" s="3"/>
      <c r="AB19" s="8"/>
      <c r="AC19" s="3"/>
      <c r="AF19" s="3"/>
      <c r="AG19" s="95"/>
      <c r="AI19" s="95"/>
    </row>
    <row r="20" spans="1:35">
      <c r="A20" s="77">
        <v>42064</v>
      </c>
      <c r="D20" s="3" t="s">
        <v>502</v>
      </c>
      <c r="E20" s="3" t="s">
        <v>491</v>
      </c>
      <c r="F20" s="3" t="s">
        <v>495</v>
      </c>
      <c r="H20" s="43">
        <v>1000</v>
      </c>
      <c r="I20" s="43"/>
      <c r="J20" s="43"/>
      <c r="K20" s="43"/>
      <c r="L20" s="43"/>
      <c r="V20" s="43">
        <f t="shared" si="0"/>
        <v>1000</v>
      </c>
      <c r="Y20" s="3"/>
      <c r="Z20" s="3"/>
      <c r="AA20" s="3"/>
      <c r="AB20" s="8"/>
      <c r="AC20" s="3"/>
      <c r="AF20" s="3"/>
      <c r="AG20" s="95"/>
      <c r="AI20" s="95"/>
    </row>
    <row r="21" spans="1:35">
      <c r="A21" s="77">
        <v>42064</v>
      </c>
      <c r="D21" s="3" t="s">
        <v>503</v>
      </c>
      <c r="E21" s="3" t="s">
        <v>504</v>
      </c>
      <c r="F21" s="3" t="s">
        <v>495</v>
      </c>
      <c r="H21" s="43">
        <v>1000</v>
      </c>
      <c r="I21" s="43"/>
      <c r="J21" s="43"/>
      <c r="K21" s="43"/>
      <c r="L21" s="43"/>
      <c r="V21" s="43">
        <f t="shared" si="0"/>
        <v>1000</v>
      </c>
      <c r="Y21" s="3"/>
      <c r="Z21" s="3"/>
      <c r="AA21" s="3"/>
      <c r="AB21" s="8"/>
      <c r="AC21" s="3"/>
      <c r="AF21" s="3"/>
      <c r="AG21" s="95"/>
      <c r="AI21" s="95"/>
    </row>
    <row r="22" spans="1:35">
      <c r="A22" s="77">
        <v>42064</v>
      </c>
      <c r="D22" s="3" t="s">
        <v>505</v>
      </c>
      <c r="E22" s="3" t="s">
        <v>506</v>
      </c>
      <c r="F22" s="3" t="s">
        <v>495</v>
      </c>
      <c r="H22" s="43">
        <v>1000</v>
      </c>
      <c r="I22" s="43"/>
      <c r="J22" s="43"/>
      <c r="K22" s="43"/>
      <c r="L22" s="43"/>
      <c r="V22" s="43">
        <f t="shared" si="0"/>
        <v>1000</v>
      </c>
      <c r="Y22" s="3"/>
      <c r="Z22" s="3"/>
      <c r="AA22" s="3"/>
      <c r="AB22" s="8"/>
      <c r="AC22" s="3"/>
      <c r="AF22" s="3"/>
      <c r="AG22" s="95"/>
      <c r="AI22" s="95"/>
    </row>
    <row r="23" spans="1:35">
      <c r="A23" s="77">
        <v>42064</v>
      </c>
      <c r="D23" s="3" t="s">
        <v>507</v>
      </c>
      <c r="E23" s="3" t="s">
        <v>508</v>
      </c>
      <c r="F23" s="3" t="s">
        <v>495</v>
      </c>
      <c r="H23" s="43">
        <v>2000</v>
      </c>
      <c r="I23" s="43"/>
      <c r="J23" s="43"/>
      <c r="K23" s="43"/>
      <c r="L23" s="43"/>
      <c r="V23" s="43">
        <f t="shared" si="0"/>
        <v>2000</v>
      </c>
      <c r="Y23" s="3"/>
      <c r="Z23" s="3"/>
      <c r="AA23" s="3"/>
      <c r="AB23" s="3"/>
      <c r="AC23" s="3"/>
      <c r="AF23" s="3"/>
      <c r="AG23" s="95"/>
      <c r="AI23" s="95"/>
    </row>
    <row r="24" spans="1:35">
      <c r="A24" s="77">
        <v>42064</v>
      </c>
      <c r="D24" s="3" t="s">
        <v>509</v>
      </c>
      <c r="E24" s="3" t="s">
        <v>510</v>
      </c>
      <c r="F24" s="3" t="s">
        <v>495</v>
      </c>
      <c r="H24" s="43">
        <v>3000</v>
      </c>
      <c r="I24" s="43"/>
      <c r="J24" s="43"/>
      <c r="K24" s="43"/>
      <c r="L24" s="43"/>
      <c r="V24" s="43">
        <f t="shared" si="0"/>
        <v>3000</v>
      </c>
      <c r="Y24" s="3"/>
      <c r="Z24" s="3"/>
      <c r="AA24" s="3"/>
      <c r="AB24" s="3"/>
      <c r="AC24" s="3"/>
      <c r="AF24" s="3"/>
      <c r="AG24" s="95"/>
      <c r="AI24" s="95"/>
    </row>
    <row r="25" spans="1:35">
      <c r="A25" s="77">
        <v>42064</v>
      </c>
      <c r="D25" s="3" t="s">
        <v>511</v>
      </c>
      <c r="E25" s="3" t="s">
        <v>512</v>
      </c>
      <c r="F25" s="3" t="s">
        <v>495</v>
      </c>
      <c r="H25" s="43">
        <v>3000</v>
      </c>
      <c r="I25" s="43"/>
      <c r="J25" s="43"/>
      <c r="K25" s="43"/>
      <c r="L25" s="43"/>
      <c r="V25" s="43">
        <f t="shared" si="0"/>
        <v>3000</v>
      </c>
      <c r="Y25" s="3"/>
      <c r="Z25" s="3"/>
      <c r="AA25" s="3"/>
      <c r="AB25" s="3"/>
      <c r="AC25" s="3"/>
      <c r="AF25" s="3"/>
      <c r="AG25" s="95"/>
      <c r="AI25" s="95"/>
    </row>
    <row r="26" spans="1:35">
      <c r="A26" s="77">
        <v>42064</v>
      </c>
      <c r="D26" s="3" t="s">
        <v>513</v>
      </c>
      <c r="E26" s="3" t="s">
        <v>160</v>
      </c>
      <c r="F26" s="3" t="s">
        <v>495</v>
      </c>
      <c r="H26" s="43">
        <v>5000</v>
      </c>
      <c r="I26" s="43"/>
      <c r="J26" s="43"/>
      <c r="K26" s="43"/>
      <c r="L26" s="43"/>
      <c r="V26" s="43">
        <f t="shared" si="0"/>
        <v>5000</v>
      </c>
      <c r="Y26" s="3"/>
      <c r="Z26" s="3"/>
      <c r="AA26" s="3"/>
      <c r="AB26" s="3"/>
      <c r="AC26" s="3"/>
      <c r="AF26" s="3"/>
      <c r="AG26" s="95"/>
      <c r="AI26" s="95"/>
    </row>
    <row r="27" spans="1:35">
      <c r="A27" s="77">
        <v>42064</v>
      </c>
      <c r="D27" s="3" t="s">
        <v>514</v>
      </c>
      <c r="E27" s="3" t="s">
        <v>515</v>
      </c>
      <c r="F27" s="3" t="s">
        <v>495</v>
      </c>
      <c r="H27" s="43">
        <v>6000</v>
      </c>
      <c r="I27" s="43"/>
      <c r="J27" s="43"/>
      <c r="K27" s="43"/>
      <c r="L27" s="43"/>
      <c r="V27" s="43">
        <f t="shared" si="0"/>
        <v>6000</v>
      </c>
      <c r="Y27" s="3"/>
      <c r="Z27" s="3"/>
      <c r="AA27" s="3"/>
      <c r="AB27" s="3"/>
      <c r="AC27" s="3"/>
      <c r="AF27" s="3"/>
      <c r="AG27" s="95"/>
      <c r="AI27" s="95"/>
    </row>
    <row r="28" spans="1:35">
      <c r="A28" s="77">
        <v>42064</v>
      </c>
      <c r="D28" s="3" t="s">
        <v>516</v>
      </c>
      <c r="E28" s="3" t="s">
        <v>517</v>
      </c>
      <c r="F28" s="3" t="s">
        <v>495</v>
      </c>
      <c r="H28" s="43">
        <v>9000</v>
      </c>
      <c r="I28" s="43"/>
      <c r="J28" s="43"/>
      <c r="K28" s="43"/>
      <c r="L28" s="43"/>
      <c r="V28" s="43">
        <f t="shared" si="0"/>
        <v>9000</v>
      </c>
      <c r="Y28" s="3"/>
      <c r="Z28" s="3"/>
      <c r="AA28" s="3"/>
      <c r="AB28" s="3"/>
      <c r="AC28" s="3"/>
      <c r="AF28" s="3"/>
      <c r="AG28" s="95"/>
      <c r="AI28" s="95"/>
    </row>
    <row r="29" spans="1:35">
      <c r="A29" s="77">
        <v>42064</v>
      </c>
      <c r="D29" s="3" t="s">
        <v>518</v>
      </c>
      <c r="H29" s="43">
        <v>0</v>
      </c>
      <c r="I29" s="43"/>
      <c r="J29" s="43">
        <v>13751</v>
      </c>
      <c r="K29" s="43"/>
      <c r="L29" s="43"/>
      <c r="X29" s="38">
        <f>-J29</f>
        <v>-13751</v>
      </c>
      <c r="Y29" s="3"/>
      <c r="AA29" s="3"/>
      <c r="AB29" s="3"/>
      <c r="AC29" s="3"/>
      <c r="AF29" s="3"/>
      <c r="AG29" s="95"/>
      <c r="AI29" s="95"/>
    </row>
    <row r="30" spans="1:35">
      <c r="A30" s="77">
        <v>42064</v>
      </c>
      <c r="D30" s="3" t="s">
        <v>519</v>
      </c>
      <c r="H30" s="43">
        <v>3000</v>
      </c>
      <c r="I30" s="43"/>
      <c r="J30" s="43"/>
      <c r="K30" s="43"/>
      <c r="L30" s="43"/>
      <c r="V30" s="43">
        <f>H30</f>
        <v>3000</v>
      </c>
      <c r="Y30" s="3"/>
      <c r="Z30" s="3"/>
      <c r="AA30" s="3"/>
      <c r="AB30" s="3"/>
      <c r="AC30" s="3"/>
      <c r="AF30" s="3"/>
      <c r="AG30" s="95"/>
      <c r="AI30" s="95"/>
    </row>
    <row r="31" spans="1:35">
      <c r="A31" s="77">
        <v>42064</v>
      </c>
      <c r="D31" s="3" t="s">
        <v>520</v>
      </c>
      <c r="H31" s="43">
        <v>5000</v>
      </c>
      <c r="I31" s="43"/>
      <c r="J31" s="43"/>
      <c r="K31" s="43"/>
      <c r="L31" s="43"/>
      <c r="V31" s="43">
        <f t="shared" ref="V31:V35" si="1">H31</f>
        <v>5000</v>
      </c>
      <c r="Y31" s="3"/>
      <c r="Z31" s="3"/>
      <c r="AA31" s="3"/>
      <c r="AB31" s="3"/>
      <c r="AC31" s="3"/>
      <c r="AF31" s="3"/>
      <c r="AG31" s="95"/>
      <c r="AI31" s="95"/>
    </row>
    <row r="32" spans="1:35">
      <c r="A32" s="77">
        <v>42064</v>
      </c>
      <c r="D32" s="3" t="s">
        <v>521</v>
      </c>
      <c r="H32" s="43">
        <v>11000</v>
      </c>
      <c r="I32" s="43"/>
      <c r="J32" s="43"/>
      <c r="K32" s="43"/>
      <c r="L32" s="43"/>
      <c r="V32" s="43">
        <f t="shared" si="1"/>
        <v>11000</v>
      </c>
      <c r="Y32" s="3"/>
      <c r="Z32" s="3"/>
      <c r="AA32" s="3"/>
      <c r="AB32" s="3"/>
      <c r="AC32" s="3"/>
      <c r="AF32" s="3"/>
      <c r="AG32" s="95"/>
      <c r="AI32" s="95"/>
    </row>
    <row r="33" spans="1:35">
      <c r="A33" s="77">
        <v>42064</v>
      </c>
      <c r="D33" s="3" t="s">
        <v>522</v>
      </c>
      <c r="H33" s="43">
        <v>12000</v>
      </c>
      <c r="I33" s="43"/>
      <c r="J33" s="43"/>
      <c r="K33" s="43"/>
      <c r="L33" s="43"/>
      <c r="V33" s="43">
        <f t="shared" si="1"/>
        <v>12000</v>
      </c>
      <c r="Y33" s="3"/>
      <c r="Z33" s="3"/>
      <c r="AA33" s="3"/>
      <c r="AB33" s="3"/>
      <c r="AC33" s="3"/>
      <c r="AF33" s="3"/>
      <c r="AG33" s="95"/>
      <c r="AI33" s="95"/>
    </row>
    <row r="34" spans="1:35">
      <c r="A34" s="77">
        <v>42064</v>
      </c>
      <c r="D34" s="3" t="s">
        <v>523</v>
      </c>
      <c r="H34" s="43">
        <v>18500</v>
      </c>
      <c r="I34" s="43"/>
      <c r="J34" s="43"/>
      <c r="K34" s="43"/>
      <c r="L34" s="43"/>
      <c r="V34" s="43">
        <f t="shared" si="1"/>
        <v>18500</v>
      </c>
      <c r="Y34" s="3"/>
      <c r="Z34" s="3"/>
      <c r="AA34" s="3"/>
      <c r="AB34" s="8"/>
      <c r="AC34" s="3"/>
      <c r="AF34" s="3"/>
      <c r="AG34" s="95"/>
      <c r="AI34" s="95"/>
    </row>
    <row r="35" spans="1:35">
      <c r="A35" s="77">
        <v>42064</v>
      </c>
      <c r="D35" s="3" t="s">
        <v>524</v>
      </c>
      <c r="H35" s="43">
        <v>120000</v>
      </c>
      <c r="I35" s="43"/>
      <c r="J35" s="43"/>
      <c r="K35" s="43"/>
      <c r="L35" s="43"/>
      <c r="V35" s="43">
        <f t="shared" si="1"/>
        <v>120000</v>
      </c>
      <c r="Y35" s="3"/>
      <c r="Z35" s="3"/>
      <c r="AA35" s="3"/>
      <c r="AB35" s="3"/>
      <c r="AC35" s="3"/>
      <c r="AF35" s="3"/>
      <c r="AG35" s="95"/>
      <c r="AI35" s="95"/>
    </row>
    <row r="36" spans="1:35">
      <c r="A36" s="77">
        <v>42064</v>
      </c>
      <c r="D36" s="3" t="s">
        <v>525</v>
      </c>
      <c r="H36" s="43">
        <v>1600000</v>
      </c>
      <c r="I36" s="43"/>
      <c r="J36" s="43"/>
      <c r="K36" s="43"/>
      <c r="L36" s="43"/>
      <c r="R36" s="43">
        <f>H36</f>
        <v>1600000</v>
      </c>
      <c r="Y36" s="3"/>
      <c r="Z36" s="3"/>
      <c r="AA36" s="3"/>
      <c r="AB36" s="8"/>
      <c r="AC36" s="3"/>
      <c r="AF36" s="3"/>
      <c r="AG36" s="95"/>
      <c r="AI36" s="95"/>
    </row>
    <row r="37" spans="1:35">
      <c r="A37" s="77">
        <v>42064</v>
      </c>
      <c r="D37" s="3" t="s">
        <v>526</v>
      </c>
      <c r="H37" s="43"/>
      <c r="I37" s="43"/>
      <c r="J37" s="43">
        <v>364759</v>
      </c>
      <c r="K37" s="43"/>
      <c r="L37" s="43"/>
      <c r="N37" s="43">
        <f>J37</f>
        <v>364759</v>
      </c>
      <c r="Y37" s="3"/>
      <c r="Z37" s="3"/>
      <c r="AA37" s="3"/>
      <c r="AB37" s="8"/>
      <c r="AC37" s="3"/>
      <c r="AF37" s="3"/>
      <c r="AG37" s="95"/>
      <c r="AI37" s="95"/>
    </row>
    <row r="38" spans="1:35">
      <c r="A38" s="77">
        <v>42064</v>
      </c>
      <c r="D38" s="3" t="s">
        <v>526</v>
      </c>
      <c r="H38" s="43"/>
      <c r="I38" s="43"/>
      <c r="J38" s="43">
        <v>2375167</v>
      </c>
      <c r="K38" s="43"/>
      <c r="L38" s="43"/>
      <c r="N38" s="43">
        <f>J38</f>
        <v>2375167</v>
      </c>
      <c r="Y38" s="3"/>
      <c r="Z38" s="3"/>
      <c r="AA38" s="3"/>
      <c r="AB38" s="8"/>
      <c r="AC38" s="3"/>
      <c r="AF38" s="3"/>
      <c r="AG38" s="95"/>
      <c r="AI38" s="95"/>
    </row>
    <row r="39" spans="1:35">
      <c r="A39" s="77">
        <v>42064</v>
      </c>
      <c r="D39" s="3" t="s">
        <v>526</v>
      </c>
      <c r="H39" s="43">
        <v>364759</v>
      </c>
      <c r="I39" s="43"/>
      <c r="J39" s="43"/>
      <c r="K39" s="43"/>
      <c r="L39" s="43"/>
      <c r="N39" s="43">
        <f>-H39</f>
        <v>-364759</v>
      </c>
      <c r="Y39" s="3"/>
      <c r="Z39" s="3"/>
      <c r="AA39" s="3"/>
      <c r="AB39" s="3"/>
      <c r="AC39" s="3"/>
      <c r="AF39" s="3"/>
      <c r="AG39" s="95"/>
      <c r="AI39" s="95"/>
    </row>
    <row r="40" spans="1:35">
      <c r="A40" s="77">
        <v>42064</v>
      </c>
      <c r="D40" s="3" t="s">
        <v>526</v>
      </c>
      <c r="H40" s="43">
        <v>2375167</v>
      </c>
      <c r="I40" s="43"/>
      <c r="J40" s="43"/>
      <c r="K40" s="43"/>
      <c r="L40" s="43"/>
      <c r="N40" s="43">
        <f>-H40</f>
        <v>-2375167</v>
      </c>
      <c r="Y40" s="3"/>
      <c r="Z40" s="3"/>
      <c r="AA40" s="3"/>
      <c r="AB40" s="3"/>
      <c r="AC40" s="3"/>
      <c r="AF40" s="3"/>
      <c r="AG40" s="95"/>
      <c r="AI40" s="95"/>
    </row>
    <row r="41" spans="1:35">
      <c r="A41" s="77">
        <v>42064</v>
      </c>
      <c r="D41" s="3" t="s">
        <v>487</v>
      </c>
      <c r="H41" s="43"/>
      <c r="I41" s="43"/>
      <c r="J41" s="43">
        <v>1151520.07</v>
      </c>
      <c r="K41" s="43"/>
      <c r="L41" s="43"/>
      <c r="N41" s="43">
        <f>J41</f>
        <v>1151520.07</v>
      </c>
      <c r="Y41" s="3"/>
      <c r="Z41" s="3"/>
      <c r="AA41" s="3"/>
      <c r="AB41" s="3"/>
      <c r="AC41" s="3"/>
      <c r="AF41" s="3"/>
      <c r="AG41" s="95"/>
      <c r="AI41" s="95"/>
    </row>
    <row r="42" spans="1:35">
      <c r="A42" s="77">
        <v>42095</v>
      </c>
      <c r="D42" s="3" t="s">
        <v>527</v>
      </c>
      <c r="H42" s="43"/>
      <c r="I42" s="43"/>
      <c r="J42" s="43">
        <v>142995</v>
      </c>
      <c r="K42" s="43"/>
      <c r="L42" s="43"/>
      <c r="N42" s="43">
        <f>J42</f>
        <v>142995</v>
      </c>
      <c r="Y42" s="3"/>
      <c r="Z42" s="3"/>
      <c r="AA42" s="3"/>
      <c r="AB42" s="3"/>
      <c r="AC42" s="3"/>
      <c r="AF42" s="3"/>
      <c r="AG42" s="95"/>
      <c r="AI42" s="95"/>
    </row>
    <row r="43" spans="1:35">
      <c r="A43" s="77">
        <v>42125</v>
      </c>
      <c r="D43" s="3" t="s">
        <v>528</v>
      </c>
      <c r="H43" s="43">
        <v>0</v>
      </c>
      <c r="I43" s="43"/>
      <c r="J43" s="43">
        <v>2346</v>
      </c>
      <c r="K43" s="43"/>
      <c r="L43" s="43"/>
      <c r="X43" s="38">
        <f>-J43</f>
        <v>-2346</v>
      </c>
      <c r="Y43" s="3"/>
      <c r="AA43" s="3"/>
      <c r="AB43" s="3"/>
      <c r="AC43" s="3"/>
      <c r="AF43" s="3"/>
      <c r="AG43" s="95"/>
      <c r="AI43" s="95"/>
    </row>
    <row r="44" spans="1:35">
      <c r="A44" s="77">
        <v>42125</v>
      </c>
      <c r="D44" s="3" t="s">
        <v>529</v>
      </c>
      <c r="H44" s="43">
        <v>14646</v>
      </c>
      <c r="I44" s="43"/>
      <c r="J44" s="43"/>
      <c r="K44" s="43"/>
      <c r="L44" s="43"/>
      <c r="N44" s="43">
        <f>-H44</f>
        <v>-14646</v>
      </c>
      <c r="Y44" s="3"/>
      <c r="Z44" s="3"/>
      <c r="AA44" s="3"/>
      <c r="AB44" s="3"/>
      <c r="AC44" s="3"/>
      <c r="AF44" s="3"/>
      <c r="AG44" s="95"/>
      <c r="AI44" s="95"/>
    </row>
    <row r="45" spans="1:35">
      <c r="A45" s="77">
        <v>42125</v>
      </c>
      <c r="D45" s="3" t="s">
        <v>530</v>
      </c>
      <c r="H45" s="43"/>
      <c r="I45" s="43"/>
      <c r="J45" s="43">
        <v>338925</v>
      </c>
      <c r="K45" s="43"/>
      <c r="L45" s="43"/>
      <c r="N45" s="43">
        <f>J45</f>
        <v>338925</v>
      </c>
      <c r="Y45" s="3"/>
      <c r="Z45" s="3"/>
      <c r="AA45" s="3"/>
      <c r="AB45" s="3"/>
      <c r="AC45" s="3"/>
      <c r="AF45" s="3"/>
      <c r="AG45" s="95"/>
      <c r="AI45" s="95"/>
    </row>
    <row r="46" spans="1:35">
      <c r="A46" s="77">
        <v>42156</v>
      </c>
      <c r="D46" s="3" t="s">
        <v>531</v>
      </c>
      <c r="E46" s="3" t="s">
        <v>491</v>
      </c>
      <c r="F46" s="3" t="s">
        <v>532</v>
      </c>
      <c r="H46" s="43">
        <v>2000</v>
      </c>
      <c r="I46" s="43"/>
      <c r="J46" s="43"/>
      <c r="K46" s="43"/>
      <c r="L46" s="43"/>
      <c r="V46" s="43">
        <f>H46</f>
        <v>2000</v>
      </c>
      <c r="Y46" s="3"/>
      <c r="Z46" s="3"/>
      <c r="AA46" s="3"/>
      <c r="AB46" s="3"/>
      <c r="AC46" s="3"/>
      <c r="AF46" s="3"/>
      <c r="AG46" s="95"/>
      <c r="AI46" s="95"/>
    </row>
    <row r="47" spans="1:35">
      <c r="A47" s="77">
        <v>42156</v>
      </c>
      <c r="D47" s="3" t="s">
        <v>533</v>
      </c>
      <c r="E47" s="3" t="s">
        <v>506</v>
      </c>
      <c r="F47" s="3" t="s">
        <v>532</v>
      </c>
      <c r="H47" s="43">
        <v>2000</v>
      </c>
      <c r="I47" s="43"/>
      <c r="J47" s="43"/>
      <c r="K47" s="43"/>
      <c r="L47" s="43"/>
      <c r="V47" s="43">
        <f t="shared" ref="V47:V57" si="2">H47</f>
        <v>2000</v>
      </c>
      <c r="Y47" s="3"/>
      <c r="Z47" s="3"/>
      <c r="AA47" s="3"/>
      <c r="AB47" s="3"/>
      <c r="AC47" s="3"/>
      <c r="AF47" s="3"/>
      <c r="AG47" s="95"/>
      <c r="AI47" s="95"/>
    </row>
    <row r="48" spans="1:35">
      <c r="A48" s="77">
        <v>42156</v>
      </c>
      <c r="D48" s="3" t="s">
        <v>534</v>
      </c>
      <c r="E48" s="3" t="s">
        <v>535</v>
      </c>
      <c r="F48" s="3" t="s">
        <v>532</v>
      </c>
      <c r="H48" s="43">
        <v>2500</v>
      </c>
      <c r="I48" s="43"/>
      <c r="J48" s="43"/>
      <c r="K48" s="43"/>
      <c r="L48" s="43"/>
      <c r="V48" s="43">
        <f t="shared" si="2"/>
        <v>2500</v>
      </c>
      <c r="Y48" s="3"/>
      <c r="Z48" s="3"/>
      <c r="AA48" s="3"/>
      <c r="AB48" s="3"/>
      <c r="AC48" s="3"/>
      <c r="AF48" s="3"/>
      <c r="AG48" s="95"/>
      <c r="AI48" s="95"/>
    </row>
    <row r="49" spans="1:35">
      <c r="A49" s="77">
        <v>42156</v>
      </c>
      <c r="D49" s="3" t="s">
        <v>536</v>
      </c>
      <c r="E49" s="3" t="s">
        <v>508</v>
      </c>
      <c r="F49" s="3" t="s">
        <v>532</v>
      </c>
      <c r="H49" s="43">
        <v>4500</v>
      </c>
      <c r="I49" s="43"/>
      <c r="J49" s="43"/>
      <c r="K49" s="43"/>
      <c r="L49" s="43"/>
      <c r="V49" s="43">
        <f t="shared" si="2"/>
        <v>4500</v>
      </c>
      <c r="Z49" s="3"/>
      <c r="AA49" s="3"/>
      <c r="AB49" s="3"/>
      <c r="AC49" s="3"/>
      <c r="AF49" s="3"/>
      <c r="AG49" s="95"/>
      <c r="AI49" s="95"/>
    </row>
    <row r="50" spans="1:35">
      <c r="A50" s="77">
        <v>42156</v>
      </c>
      <c r="D50" s="3" t="s">
        <v>537</v>
      </c>
      <c r="E50" s="3" t="s">
        <v>538</v>
      </c>
      <c r="F50" s="3" t="s">
        <v>539</v>
      </c>
      <c r="H50" s="43">
        <v>2000</v>
      </c>
      <c r="I50" s="43"/>
      <c r="J50" s="43"/>
      <c r="K50" s="43"/>
      <c r="L50" s="43"/>
      <c r="V50" s="43">
        <f t="shared" si="2"/>
        <v>2000</v>
      </c>
      <c r="Z50" s="3"/>
      <c r="AA50" s="3"/>
      <c r="AB50" s="3"/>
      <c r="AC50" s="3"/>
      <c r="AF50" s="3"/>
      <c r="AG50" s="95"/>
      <c r="AI50" s="95"/>
    </row>
    <row r="51" spans="1:35">
      <c r="A51" s="77">
        <v>42156</v>
      </c>
      <c r="D51" s="3" t="s">
        <v>537</v>
      </c>
      <c r="E51" s="3" t="s">
        <v>515</v>
      </c>
      <c r="F51" s="3" t="s">
        <v>539</v>
      </c>
      <c r="H51" s="43">
        <v>16000</v>
      </c>
      <c r="I51" s="43"/>
      <c r="J51" s="43"/>
      <c r="K51" s="43"/>
      <c r="L51" s="43"/>
      <c r="V51" s="43">
        <f t="shared" si="2"/>
        <v>16000</v>
      </c>
      <c r="Z51" s="3"/>
      <c r="AA51" s="3"/>
      <c r="AB51" s="3"/>
      <c r="AC51" s="3"/>
      <c r="AF51" s="3"/>
      <c r="AG51" s="95"/>
      <c r="AI51" s="95"/>
    </row>
    <row r="52" spans="1:35">
      <c r="A52" s="77">
        <v>42156</v>
      </c>
      <c r="D52" s="3" t="s">
        <v>540</v>
      </c>
      <c r="H52" s="43">
        <v>3000</v>
      </c>
      <c r="I52" s="43"/>
      <c r="J52" s="43"/>
      <c r="K52" s="43"/>
      <c r="L52" s="43"/>
      <c r="V52" s="43">
        <f t="shared" si="2"/>
        <v>3000</v>
      </c>
      <c r="Z52" s="3"/>
      <c r="AA52" s="3"/>
      <c r="AB52" s="3"/>
      <c r="AC52" s="3"/>
      <c r="AF52" s="3"/>
      <c r="AG52" s="95"/>
      <c r="AI52" s="95"/>
    </row>
    <row r="53" spans="1:35">
      <c r="A53" s="77">
        <v>42156</v>
      </c>
      <c r="D53" s="3" t="s">
        <v>541</v>
      </c>
      <c r="H53" s="43">
        <v>5000</v>
      </c>
      <c r="I53" s="43"/>
      <c r="J53" s="43"/>
      <c r="K53" s="43"/>
      <c r="L53" s="43"/>
      <c r="V53" s="43">
        <f t="shared" si="2"/>
        <v>5000</v>
      </c>
      <c r="Z53" s="3"/>
      <c r="AA53" s="3"/>
      <c r="AB53" s="3"/>
      <c r="AC53" s="3"/>
      <c r="AF53" s="3"/>
      <c r="AG53" s="95"/>
      <c r="AI53" s="95"/>
    </row>
    <row r="54" spans="1:35">
      <c r="A54" s="77">
        <v>42156</v>
      </c>
      <c r="D54" s="3" t="s">
        <v>542</v>
      </c>
      <c r="H54" s="43">
        <v>10000</v>
      </c>
      <c r="I54" s="43"/>
      <c r="J54" s="43"/>
      <c r="K54" s="43"/>
      <c r="L54" s="43"/>
      <c r="V54" s="43">
        <f t="shared" si="2"/>
        <v>10000</v>
      </c>
      <c r="Z54" s="3"/>
      <c r="AA54" s="3"/>
      <c r="AB54" s="3"/>
      <c r="AC54" s="3"/>
      <c r="AF54" s="3"/>
      <c r="AG54" s="95"/>
      <c r="AI54" s="95"/>
    </row>
    <row r="55" spans="1:35">
      <c r="A55" s="77">
        <v>42156</v>
      </c>
      <c r="D55" s="3" t="s">
        <v>543</v>
      </c>
      <c r="H55" s="43">
        <v>17236</v>
      </c>
      <c r="I55" s="43"/>
      <c r="J55" s="43"/>
      <c r="K55" s="43"/>
      <c r="L55" s="43"/>
      <c r="V55" s="43">
        <f t="shared" si="2"/>
        <v>17236</v>
      </c>
      <c r="Z55" s="3"/>
      <c r="AA55" s="3"/>
      <c r="AB55" s="3"/>
      <c r="AC55" s="3"/>
      <c r="AF55" s="3"/>
      <c r="AG55" s="95"/>
      <c r="AI55" s="95"/>
    </row>
    <row r="56" spans="1:35">
      <c r="A56" s="77">
        <v>42156</v>
      </c>
      <c r="D56" s="3" t="s">
        <v>544</v>
      </c>
      <c r="H56" s="43">
        <v>20000</v>
      </c>
      <c r="I56" s="43"/>
      <c r="J56" s="43"/>
      <c r="K56" s="43"/>
      <c r="L56" s="43"/>
      <c r="V56" s="43">
        <f t="shared" si="2"/>
        <v>20000</v>
      </c>
      <c r="Z56" s="3"/>
      <c r="AA56" s="3"/>
      <c r="AB56" s="3"/>
      <c r="AC56" s="3"/>
      <c r="AF56" s="3"/>
      <c r="AG56" s="95"/>
      <c r="AI56" s="95"/>
    </row>
    <row r="57" spans="1:35">
      <c r="A57" s="77">
        <v>42156</v>
      </c>
      <c r="D57" s="3" t="s">
        <v>524</v>
      </c>
      <c r="H57" s="43">
        <v>220000</v>
      </c>
      <c r="I57" s="43"/>
      <c r="J57" s="43"/>
      <c r="K57" s="43"/>
      <c r="L57" s="43"/>
      <c r="V57" s="43">
        <f t="shared" si="2"/>
        <v>220000</v>
      </c>
      <c r="Z57" s="3"/>
      <c r="AA57" s="3"/>
      <c r="AB57" s="3"/>
      <c r="AC57" s="3"/>
      <c r="AF57" s="3"/>
      <c r="AG57" s="95"/>
      <c r="AI57" s="95"/>
    </row>
    <row r="58" spans="1:35">
      <c r="A58" s="77">
        <v>42156</v>
      </c>
      <c r="D58" s="3" t="s">
        <v>545</v>
      </c>
      <c r="H58" s="43">
        <v>600000</v>
      </c>
      <c r="I58" s="43"/>
      <c r="J58" s="43"/>
      <c r="K58" s="43"/>
      <c r="L58" s="43"/>
      <c r="R58" s="43">
        <f>H58</f>
        <v>600000</v>
      </c>
      <c r="Z58" s="3"/>
      <c r="AA58" s="3"/>
      <c r="AB58" s="3"/>
      <c r="AC58" s="3"/>
      <c r="AF58" s="3"/>
      <c r="AG58" s="95"/>
      <c r="AI58" s="95"/>
    </row>
    <row r="59" spans="1:35">
      <c r="A59" s="77">
        <v>42156</v>
      </c>
      <c r="D59" s="3" t="s">
        <v>546</v>
      </c>
      <c r="H59" s="43"/>
      <c r="I59" s="43"/>
      <c r="J59" s="43">
        <v>711726</v>
      </c>
      <c r="K59" s="43"/>
      <c r="L59" s="43"/>
      <c r="N59" s="43">
        <f>J59</f>
        <v>711726</v>
      </c>
      <c r="Z59" s="3"/>
      <c r="AA59" s="3"/>
      <c r="AB59" s="3"/>
      <c r="AC59" s="3"/>
      <c r="AF59" s="3"/>
      <c r="AG59" s="95"/>
      <c r="AI59" s="95"/>
    </row>
    <row r="60" spans="1:35">
      <c r="A60" s="77">
        <v>42186</v>
      </c>
      <c r="D60" s="3" t="s">
        <v>537</v>
      </c>
      <c r="E60" s="3" t="s">
        <v>547</v>
      </c>
      <c r="F60" s="3" t="s">
        <v>548</v>
      </c>
      <c r="H60" s="43">
        <v>200</v>
      </c>
      <c r="I60" s="43"/>
      <c r="J60" s="43"/>
      <c r="K60" s="43"/>
      <c r="L60" s="43"/>
      <c r="V60" s="43">
        <f>H60</f>
        <v>200</v>
      </c>
      <c r="Z60" s="3"/>
      <c r="AA60" s="3"/>
      <c r="AB60" s="3"/>
      <c r="AC60" s="3"/>
      <c r="AF60" s="3"/>
      <c r="AG60" s="95"/>
      <c r="AI60" s="95"/>
    </row>
    <row r="61" spans="1:35">
      <c r="A61" s="77">
        <v>42186</v>
      </c>
      <c r="D61" s="3" t="s">
        <v>537</v>
      </c>
      <c r="E61" s="3" t="s">
        <v>549</v>
      </c>
      <c r="F61" s="3" t="s">
        <v>548</v>
      </c>
      <c r="H61" s="43">
        <v>1000</v>
      </c>
      <c r="I61" s="43"/>
      <c r="J61" s="43"/>
      <c r="K61" s="43"/>
      <c r="L61" s="43"/>
      <c r="V61" s="43">
        <f t="shared" ref="V61:V73" si="3">H61</f>
        <v>1000</v>
      </c>
      <c r="Z61" s="3"/>
      <c r="AA61" s="3"/>
      <c r="AB61" s="3"/>
      <c r="AC61" s="3"/>
      <c r="AF61" s="3"/>
      <c r="AG61" s="95"/>
      <c r="AI61" s="95"/>
    </row>
    <row r="62" spans="1:35">
      <c r="A62" s="77">
        <v>42186</v>
      </c>
      <c r="D62" s="3" t="s">
        <v>537</v>
      </c>
      <c r="E62" s="3" t="s">
        <v>504</v>
      </c>
      <c r="F62" s="3" t="s">
        <v>548</v>
      </c>
      <c r="H62" s="43">
        <v>2000</v>
      </c>
      <c r="I62" s="43"/>
      <c r="J62" s="43"/>
      <c r="K62" s="43"/>
      <c r="L62" s="43"/>
      <c r="V62" s="43">
        <f t="shared" si="3"/>
        <v>2000</v>
      </c>
      <c r="Z62" s="3"/>
      <c r="AA62" s="3"/>
      <c r="AB62" s="3"/>
      <c r="AC62" s="3"/>
      <c r="AF62" s="3"/>
      <c r="AG62" s="95"/>
      <c r="AI62" s="95"/>
    </row>
    <row r="63" spans="1:35">
      <c r="A63" s="77">
        <v>42186</v>
      </c>
      <c r="D63" s="3" t="s">
        <v>537</v>
      </c>
      <c r="E63" s="3" t="s">
        <v>550</v>
      </c>
      <c r="F63" s="3" t="s">
        <v>548</v>
      </c>
      <c r="H63" s="43">
        <v>2000</v>
      </c>
      <c r="I63" s="43"/>
      <c r="J63" s="43"/>
      <c r="K63" s="43"/>
      <c r="L63" s="43"/>
      <c r="V63" s="43">
        <f t="shared" si="3"/>
        <v>2000</v>
      </c>
      <c r="Z63" s="3"/>
      <c r="AA63" s="3"/>
      <c r="AB63" s="3"/>
      <c r="AC63" s="3"/>
      <c r="AF63" s="3"/>
      <c r="AG63" s="95"/>
      <c r="AI63" s="95"/>
    </row>
    <row r="64" spans="1:35">
      <c r="A64" s="77">
        <v>42186</v>
      </c>
      <c r="D64" s="3" t="s">
        <v>551</v>
      </c>
      <c r="E64" s="3" t="s">
        <v>501</v>
      </c>
      <c r="F64" s="3" t="s">
        <v>548</v>
      </c>
      <c r="H64" s="43">
        <v>2000</v>
      </c>
      <c r="I64" s="43"/>
      <c r="J64" s="43"/>
      <c r="K64" s="43"/>
      <c r="L64" s="43"/>
      <c r="V64" s="43">
        <f t="shared" si="3"/>
        <v>2000</v>
      </c>
      <c r="Z64" s="3"/>
      <c r="AA64" s="3"/>
      <c r="AB64" s="3"/>
      <c r="AC64" s="3"/>
      <c r="AF64" s="3"/>
      <c r="AG64" s="95"/>
      <c r="AI64" s="95"/>
    </row>
    <row r="65" spans="1:35">
      <c r="A65" s="77">
        <v>42186</v>
      </c>
      <c r="D65" s="3" t="s">
        <v>552</v>
      </c>
      <c r="E65" s="3" t="s">
        <v>499</v>
      </c>
      <c r="F65" s="3" t="s">
        <v>548</v>
      </c>
      <c r="H65" s="43">
        <v>4000</v>
      </c>
      <c r="I65" s="43"/>
      <c r="J65" s="43"/>
      <c r="K65" s="43"/>
      <c r="L65" s="43"/>
      <c r="V65" s="43">
        <f t="shared" si="3"/>
        <v>4000</v>
      </c>
      <c r="Y65" s="3"/>
      <c r="Z65" s="3"/>
      <c r="AA65" s="3"/>
      <c r="AB65" s="3"/>
      <c r="AC65" s="3"/>
      <c r="AF65" s="3"/>
      <c r="AG65" s="95"/>
      <c r="AI65" s="95"/>
    </row>
    <row r="66" spans="1:35">
      <c r="A66" s="77">
        <v>42186</v>
      </c>
      <c r="D66" s="3" t="s">
        <v>537</v>
      </c>
      <c r="E66" s="3" t="s">
        <v>553</v>
      </c>
      <c r="F66" s="3" t="s">
        <v>548</v>
      </c>
      <c r="H66" s="43">
        <v>5000</v>
      </c>
      <c r="I66" s="43"/>
      <c r="J66" s="43"/>
      <c r="K66" s="43"/>
      <c r="L66" s="43"/>
      <c r="V66" s="43">
        <f t="shared" si="3"/>
        <v>5000</v>
      </c>
      <c r="Y66" s="3"/>
      <c r="Z66" s="3"/>
      <c r="AA66" s="3"/>
      <c r="AB66" s="3"/>
      <c r="AC66" s="3"/>
      <c r="AF66" s="3"/>
      <c r="AG66" s="95"/>
      <c r="AI66" s="95"/>
    </row>
    <row r="67" spans="1:35">
      <c r="A67" s="77">
        <v>42186</v>
      </c>
      <c r="D67" s="3" t="s">
        <v>554</v>
      </c>
      <c r="E67" s="3" t="s">
        <v>512</v>
      </c>
      <c r="F67" s="3" t="s">
        <v>548</v>
      </c>
      <c r="H67" s="43">
        <v>6000</v>
      </c>
      <c r="I67" s="43"/>
      <c r="J67" s="43"/>
      <c r="K67" s="43"/>
      <c r="L67" s="43"/>
      <c r="V67" s="43">
        <f t="shared" si="3"/>
        <v>6000</v>
      </c>
      <c r="Y67" s="3"/>
      <c r="Z67" s="3"/>
      <c r="AA67" s="3"/>
      <c r="AB67" s="3"/>
      <c r="AC67" s="3"/>
      <c r="AF67" s="3"/>
      <c r="AG67" s="95"/>
      <c r="AI67" s="95"/>
    </row>
    <row r="68" spans="1:35">
      <c r="A68" s="77">
        <v>42186</v>
      </c>
      <c r="D68" s="3" t="s">
        <v>537</v>
      </c>
      <c r="E68" s="3" t="s">
        <v>160</v>
      </c>
      <c r="F68" s="3" t="s">
        <v>548</v>
      </c>
      <c r="H68" s="43">
        <v>8000</v>
      </c>
      <c r="I68" s="43"/>
      <c r="J68" s="43"/>
      <c r="K68" s="43"/>
      <c r="L68" s="43"/>
      <c r="V68" s="43">
        <f t="shared" si="3"/>
        <v>8000</v>
      </c>
      <c r="Y68" s="3"/>
      <c r="Z68" s="3"/>
      <c r="AA68" s="3"/>
      <c r="AB68" s="3"/>
      <c r="AC68" s="3"/>
      <c r="AF68" s="3"/>
      <c r="AG68" s="95"/>
      <c r="AI68" s="95"/>
    </row>
    <row r="69" spans="1:35">
      <c r="A69" s="77">
        <v>42186</v>
      </c>
      <c r="D69" s="3" t="s">
        <v>537</v>
      </c>
      <c r="E69" s="3" t="s">
        <v>555</v>
      </c>
      <c r="F69" s="3" t="s">
        <v>548</v>
      </c>
      <c r="H69" s="43">
        <v>8000</v>
      </c>
      <c r="I69" s="43"/>
      <c r="J69" s="43"/>
      <c r="K69" s="43"/>
      <c r="L69" s="43"/>
      <c r="V69" s="43">
        <f t="shared" si="3"/>
        <v>8000</v>
      </c>
      <c r="Y69" s="3"/>
      <c r="Z69" s="3"/>
      <c r="AA69" s="3"/>
      <c r="AB69" s="3"/>
      <c r="AC69" s="3"/>
      <c r="AF69" s="3"/>
      <c r="AG69" s="95"/>
      <c r="AI69" s="95"/>
    </row>
    <row r="70" spans="1:35">
      <c r="A70" s="77">
        <v>42186</v>
      </c>
      <c r="D70" s="3" t="s">
        <v>537</v>
      </c>
      <c r="E70" s="3" t="s">
        <v>510</v>
      </c>
      <c r="F70" s="3" t="s">
        <v>548</v>
      </c>
      <c r="H70" s="43">
        <v>34000</v>
      </c>
      <c r="I70" s="43"/>
      <c r="J70" s="43"/>
      <c r="K70" s="43"/>
      <c r="L70" s="43"/>
      <c r="V70" s="43">
        <f t="shared" si="3"/>
        <v>34000</v>
      </c>
      <c r="Y70" s="3"/>
      <c r="Z70" s="3"/>
      <c r="AA70" s="3"/>
      <c r="AB70" s="3"/>
      <c r="AC70" s="3"/>
      <c r="AF70" s="3"/>
      <c r="AG70" s="95"/>
      <c r="AI70" s="95"/>
    </row>
    <row r="71" spans="1:35">
      <c r="A71" s="77">
        <v>42186</v>
      </c>
      <c r="D71" s="3" t="s">
        <v>537</v>
      </c>
      <c r="E71" s="3" t="s">
        <v>517</v>
      </c>
      <c r="F71" s="3" t="s">
        <v>548</v>
      </c>
      <c r="H71" s="43">
        <v>45000</v>
      </c>
      <c r="I71" s="43"/>
      <c r="J71" s="43"/>
      <c r="K71" s="43"/>
      <c r="L71" s="43"/>
      <c r="V71" s="43">
        <f t="shared" si="3"/>
        <v>45000</v>
      </c>
      <c r="Y71" s="3"/>
      <c r="Z71" s="3"/>
      <c r="AA71" s="3"/>
      <c r="AB71" s="3"/>
      <c r="AC71" s="3"/>
      <c r="AF71" s="3"/>
      <c r="AG71" s="95"/>
      <c r="AI71" s="95"/>
    </row>
    <row r="72" spans="1:35">
      <c r="A72" s="77">
        <v>42186</v>
      </c>
      <c r="D72" s="3" t="s">
        <v>537</v>
      </c>
      <c r="E72" s="3" t="s">
        <v>494</v>
      </c>
      <c r="F72" s="3" t="s">
        <v>548</v>
      </c>
      <c r="H72" s="43">
        <v>5000</v>
      </c>
      <c r="I72" s="43"/>
      <c r="J72" s="43"/>
      <c r="K72" s="43"/>
      <c r="L72" s="43"/>
      <c r="V72" s="43">
        <f t="shared" si="3"/>
        <v>5000</v>
      </c>
      <c r="Y72" s="3"/>
      <c r="Z72" s="3"/>
      <c r="AA72" s="3"/>
      <c r="AB72" s="3"/>
      <c r="AC72" s="3"/>
      <c r="AF72" s="3"/>
      <c r="AG72" s="95"/>
      <c r="AI72" s="95"/>
    </row>
    <row r="73" spans="1:35">
      <c r="A73" s="77">
        <v>42186</v>
      </c>
      <c r="D73" s="3" t="s">
        <v>556</v>
      </c>
      <c r="E73" s="3" t="s">
        <v>557</v>
      </c>
      <c r="F73" s="3" t="s">
        <v>548</v>
      </c>
      <c r="H73" s="43">
        <v>8000</v>
      </c>
      <c r="I73" s="43"/>
      <c r="J73" s="43"/>
      <c r="K73" s="43"/>
      <c r="L73" s="43"/>
      <c r="V73" s="43">
        <f t="shared" si="3"/>
        <v>8000</v>
      </c>
      <c r="Y73" s="3"/>
      <c r="Z73" s="3"/>
      <c r="AA73" s="3"/>
      <c r="AB73" s="3"/>
      <c r="AC73" s="3"/>
      <c r="AF73" s="3"/>
      <c r="AG73" s="95"/>
      <c r="AI73" s="95"/>
    </row>
    <row r="74" spans="1:35">
      <c r="A74" s="77">
        <v>42186</v>
      </c>
      <c r="D74" s="3" t="s">
        <v>537</v>
      </c>
      <c r="E74" s="3" t="s">
        <v>555</v>
      </c>
      <c r="F74" s="3" t="s">
        <v>548</v>
      </c>
      <c r="H74" s="43"/>
      <c r="I74" s="43"/>
      <c r="J74" s="43">
        <v>8000</v>
      </c>
      <c r="K74" s="43"/>
      <c r="L74" s="43"/>
      <c r="V74" s="43">
        <f>-J74</f>
        <v>-8000</v>
      </c>
      <c r="Y74" s="3"/>
      <c r="Z74" s="3"/>
      <c r="AA74" s="3"/>
      <c r="AB74" s="3"/>
      <c r="AC74" s="3"/>
      <c r="AF74" s="3"/>
      <c r="AG74" s="95"/>
      <c r="AI74" s="95"/>
    </row>
    <row r="75" spans="1:35">
      <c r="A75" s="77">
        <v>42186</v>
      </c>
      <c r="D75" s="3" t="s">
        <v>105</v>
      </c>
      <c r="H75" s="43">
        <v>15000</v>
      </c>
      <c r="I75" s="43"/>
      <c r="J75" s="43"/>
      <c r="K75" s="43"/>
      <c r="L75" s="43"/>
      <c r="V75" s="43">
        <f t="shared" ref="V75:V76" si="4">H75</f>
        <v>15000</v>
      </c>
      <c r="Y75" s="3"/>
      <c r="Z75" s="3"/>
      <c r="AA75" s="3"/>
      <c r="AB75" s="3"/>
      <c r="AC75" s="3"/>
      <c r="AF75" s="3"/>
      <c r="AG75" s="95"/>
      <c r="AI75" s="95"/>
    </row>
    <row r="76" spans="1:35">
      <c r="A76" s="77">
        <v>42186</v>
      </c>
      <c r="D76" s="3" t="s">
        <v>106</v>
      </c>
      <c r="H76" s="43">
        <v>16000</v>
      </c>
      <c r="I76" s="43"/>
      <c r="J76" s="43"/>
      <c r="K76" s="43"/>
      <c r="L76" s="43"/>
      <c r="V76" s="43">
        <f t="shared" si="4"/>
        <v>16000</v>
      </c>
      <c r="Y76" s="3"/>
      <c r="Z76" s="3"/>
      <c r="AA76" s="3"/>
      <c r="AB76" s="3"/>
      <c r="AC76" s="3"/>
      <c r="AF76" s="3"/>
      <c r="AG76" s="95"/>
      <c r="AI76" s="95"/>
    </row>
    <row r="77" spans="1:35">
      <c r="A77" s="77">
        <v>42186</v>
      </c>
      <c r="D77" s="3" t="s">
        <v>558</v>
      </c>
      <c r="H77" s="43"/>
      <c r="I77" s="43"/>
      <c r="J77" s="43">
        <v>0.44</v>
      </c>
      <c r="K77" s="43"/>
      <c r="L77" s="43"/>
      <c r="Y77" s="3"/>
      <c r="Z77" s="3"/>
      <c r="AA77" s="3"/>
      <c r="AB77" s="3"/>
      <c r="AC77" s="3"/>
      <c r="AF77" s="3"/>
      <c r="AG77" s="95"/>
      <c r="AI77" s="95"/>
    </row>
    <row r="78" spans="1:35">
      <c r="A78" s="77">
        <v>42186</v>
      </c>
      <c r="D78" s="3" t="s">
        <v>546</v>
      </c>
      <c r="H78" s="43"/>
      <c r="I78" s="43"/>
      <c r="J78" s="43">
        <v>199632.05</v>
      </c>
      <c r="K78" s="43"/>
      <c r="L78" s="43"/>
      <c r="N78" s="43">
        <f>J78</f>
        <v>199632.05</v>
      </c>
      <c r="Y78" s="3"/>
      <c r="Z78" s="3"/>
      <c r="AA78" s="3"/>
      <c r="AB78" s="3"/>
      <c r="AC78" s="3"/>
      <c r="AF78" s="3"/>
      <c r="AG78" s="95"/>
      <c r="AI78" s="95"/>
    </row>
    <row r="79" spans="1:35">
      <c r="A79" s="77">
        <v>42217</v>
      </c>
      <c r="D79" s="3" t="s">
        <v>546</v>
      </c>
      <c r="H79" s="43"/>
      <c r="I79" s="43"/>
      <c r="J79" s="43">
        <v>11368</v>
      </c>
      <c r="K79" s="43"/>
      <c r="L79" s="43"/>
      <c r="N79" s="43">
        <f>J79</f>
        <v>11368</v>
      </c>
      <c r="Y79" s="3"/>
      <c r="Z79" s="3"/>
      <c r="AA79" s="3"/>
      <c r="AB79" s="3"/>
      <c r="AC79" s="3"/>
      <c r="AF79" s="3"/>
      <c r="AG79" s="95"/>
      <c r="AI79" s="95"/>
    </row>
    <row r="80" spans="1:35">
      <c r="A80" s="77">
        <v>42248</v>
      </c>
      <c r="D80" s="3" t="s">
        <v>559</v>
      </c>
      <c r="E80" s="3" t="s">
        <v>494</v>
      </c>
      <c r="F80" s="3" t="s">
        <v>560</v>
      </c>
      <c r="H80" s="43">
        <v>2000</v>
      </c>
      <c r="I80" s="43"/>
      <c r="J80" s="43"/>
      <c r="K80" s="43"/>
      <c r="L80" s="43"/>
      <c r="T80" s="43">
        <f>H80</f>
        <v>2000</v>
      </c>
      <c r="Y80" s="3"/>
      <c r="Z80" s="3"/>
      <c r="AA80" s="3"/>
      <c r="AB80" s="3"/>
      <c r="AC80" s="3"/>
      <c r="AF80" s="3"/>
      <c r="AG80" s="95"/>
      <c r="AI80" s="95"/>
    </row>
    <row r="81" spans="1:35">
      <c r="A81" s="77">
        <v>42248</v>
      </c>
      <c r="D81" s="3" t="s">
        <v>559</v>
      </c>
      <c r="E81" s="3" t="s">
        <v>553</v>
      </c>
      <c r="F81" s="3" t="s">
        <v>560</v>
      </c>
      <c r="H81" s="43">
        <v>2000</v>
      </c>
      <c r="I81" s="43"/>
      <c r="J81" s="43"/>
      <c r="K81" s="43"/>
      <c r="L81" s="43"/>
      <c r="T81" s="43">
        <f t="shared" ref="T81:T100" si="5">H81</f>
        <v>2000</v>
      </c>
      <c r="W81" s="3"/>
      <c r="X81" s="8"/>
      <c r="Y81" s="3"/>
      <c r="Z81" s="3"/>
      <c r="AA81" s="3"/>
      <c r="AB81" s="3"/>
      <c r="AC81" s="3"/>
      <c r="AF81" s="3"/>
      <c r="AG81" s="95"/>
      <c r="AI81" s="95"/>
    </row>
    <row r="82" spans="1:35">
      <c r="A82" s="77">
        <v>42248</v>
      </c>
      <c r="D82" s="3" t="s">
        <v>559</v>
      </c>
      <c r="E82" s="3" t="s">
        <v>491</v>
      </c>
      <c r="F82" s="3" t="s">
        <v>560</v>
      </c>
      <c r="H82" s="43">
        <v>2000</v>
      </c>
      <c r="I82" s="43"/>
      <c r="J82" s="43"/>
      <c r="K82" s="43"/>
      <c r="L82" s="43"/>
      <c r="T82" s="43">
        <f t="shared" si="5"/>
        <v>2000</v>
      </c>
      <c r="W82" s="3"/>
      <c r="X82" s="8"/>
      <c r="Y82" s="3"/>
      <c r="Z82" s="3"/>
      <c r="AA82" s="3"/>
      <c r="AB82" s="3"/>
      <c r="AC82" s="3"/>
      <c r="AF82" s="3"/>
      <c r="AG82" s="95"/>
      <c r="AI82" s="95"/>
    </row>
    <row r="83" spans="1:35">
      <c r="A83" s="77">
        <v>42248</v>
      </c>
      <c r="D83" s="3" t="s">
        <v>559</v>
      </c>
      <c r="E83" s="3" t="s">
        <v>561</v>
      </c>
      <c r="F83" s="3" t="s">
        <v>560</v>
      </c>
      <c r="H83" s="43">
        <v>2000</v>
      </c>
      <c r="I83" s="43"/>
      <c r="J83" s="43"/>
      <c r="K83" s="43"/>
      <c r="L83" s="43"/>
      <c r="T83" s="43">
        <f t="shared" si="5"/>
        <v>2000</v>
      </c>
      <c r="W83" s="3"/>
      <c r="X83" s="8"/>
      <c r="Y83" s="3"/>
      <c r="Z83" s="3"/>
      <c r="AA83" s="3"/>
      <c r="AB83" s="3"/>
      <c r="AC83" s="3"/>
      <c r="AF83" s="3"/>
      <c r="AG83" s="95"/>
      <c r="AI83" s="95"/>
    </row>
    <row r="84" spans="1:35">
      <c r="A84" s="77">
        <v>42248</v>
      </c>
      <c r="D84" s="3" t="s">
        <v>559</v>
      </c>
      <c r="E84" s="3" t="s">
        <v>497</v>
      </c>
      <c r="F84" s="3" t="s">
        <v>560</v>
      </c>
      <c r="H84" s="43">
        <v>2000</v>
      </c>
      <c r="I84" s="43"/>
      <c r="J84" s="43"/>
      <c r="K84" s="43"/>
      <c r="L84" s="43"/>
      <c r="T84" s="43">
        <f t="shared" si="5"/>
        <v>2000</v>
      </c>
      <c r="W84" s="3"/>
      <c r="X84" s="8"/>
      <c r="Y84" s="3"/>
      <c r="Z84" s="3"/>
      <c r="AA84" s="3"/>
      <c r="AB84" s="3"/>
      <c r="AC84" s="3"/>
      <c r="AF84" s="3"/>
      <c r="AG84" s="95"/>
      <c r="AI84" s="95"/>
    </row>
    <row r="85" spans="1:35">
      <c r="A85" s="77">
        <v>42248</v>
      </c>
      <c r="D85" s="3" t="s">
        <v>559</v>
      </c>
      <c r="E85" s="3" t="s">
        <v>512</v>
      </c>
      <c r="F85" s="3" t="s">
        <v>560</v>
      </c>
      <c r="H85" s="43">
        <v>3000</v>
      </c>
      <c r="I85" s="43"/>
      <c r="J85" s="43"/>
      <c r="K85" s="43"/>
      <c r="L85" s="43"/>
      <c r="T85" s="43">
        <f t="shared" si="5"/>
        <v>3000</v>
      </c>
      <c r="W85" s="3"/>
      <c r="X85" s="8"/>
      <c r="Y85" s="3"/>
      <c r="Z85" s="3"/>
      <c r="AA85" s="3"/>
      <c r="AB85" s="3"/>
      <c r="AC85" s="3"/>
      <c r="AF85" s="3"/>
      <c r="AG85" s="95"/>
      <c r="AI85" s="95"/>
    </row>
    <row r="86" spans="1:35">
      <c r="A86" s="77">
        <v>42248</v>
      </c>
      <c r="D86" s="3" t="s">
        <v>559</v>
      </c>
      <c r="E86" s="3" t="s">
        <v>160</v>
      </c>
      <c r="F86" s="3" t="s">
        <v>560</v>
      </c>
      <c r="H86" s="43">
        <v>3000</v>
      </c>
      <c r="I86" s="43"/>
      <c r="J86" s="43"/>
      <c r="K86" s="43"/>
      <c r="L86" s="43"/>
      <c r="T86" s="43">
        <f t="shared" si="5"/>
        <v>3000</v>
      </c>
      <c r="W86" s="3"/>
      <c r="X86" s="8"/>
      <c r="Y86" s="3"/>
      <c r="Z86" s="3"/>
      <c r="AA86" s="3"/>
      <c r="AB86" s="3"/>
      <c r="AC86" s="3"/>
      <c r="AF86" s="3"/>
      <c r="AG86" s="95"/>
      <c r="AI86" s="95"/>
    </row>
    <row r="87" spans="1:35">
      <c r="A87" s="77">
        <v>42248</v>
      </c>
      <c r="D87" s="3" t="s">
        <v>559</v>
      </c>
      <c r="E87" s="3" t="s">
        <v>557</v>
      </c>
      <c r="F87" s="3" t="s">
        <v>560</v>
      </c>
      <c r="H87" s="43">
        <v>3000</v>
      </c>
      <c r="I87" s="43"/>
      <c r="J87" s="43"/>
      <c r="K87" s="43"/>
      <c r="L87" s="43"/>
      <c r="T87" s="43">
        <f t="shared" si="5"/>
        <v>3000</v>
      </c>
      <c r="W87" s="3"/>
      <c r="X87" s="8"/>
      <c r="Y87" s="3"/>
      <c r="Z87" s="3"/>
      <c r="AA87" s="3"/>
      <c r="AB87" s="3"/>
      <c r="AC87" s="3"/>
      <c r="AF87" s="3"/>
      <c r="AG87" s="95"/>
      <c r="AI87" s="95"/>
    </row>
    <row r="88" spans="1:35">
      <c r="A88" s="77">
        <v>42248</v>
      </c>
      <c r="D88" s="3" t="s">
        <v>559</v>
      </c>
      <c r="E88" s="3" t="s">
        <v>515</v>
      </c>
      <c r="F88" s="3" t="s">
        <v>560</v>
      </c>
      <c r="H88" s="43">
        <v>6000</v>
      </c>
      <c r="I88" s="43"/>
      <c r="J88" s="43"/>
      <c r="K88" s="43"/>
      <c r="L88" s="43"/>
      <c r="T88" s="43">
        <f t="shared" si="5"/>
        <v>6000</v>
      </c>
      <c r="W88" s="3"/>
      <c r="X88" s="8"/>
      <c r="Y88" s="3"/>
      <c r="Z88" s="3"/>
      <c r="AA88" s="3"/>
      <c r="AB88" s="3"/>
      <c r="AC88" s="3"/>
      <c r="AF88" s="3"/>
      <c r="AG88" s="95"/>
      <c r="AI88" s="95"/>
    </row>
    <row r="89" spans="1:35">
      <c r="A89" s="77">
        <v>42248</v>
      </c>
      <c r="D89" s="3" t="s">
        <v>562</v>
      </c>
      <c r="E89" s="3" t="s">
        <v>510</v>
      </c>
      <c r="F89" s="3" t="s">
        <v>560</v>
      </c>
      <c r="H89" s="43">
        <v>15000</v>
      </c>
      <c r="I89" s="43"/>
      <c r="J89" s="43"/>
      <c r="K89" s="43"/>
      <c r="L89" s="43"/>
      <c r="T89" s="43">
        <f t="shared" si="5"/>
        <v>15000</v>
      </c>
      <c r="W89" s="3"/>
      <c r="X89" s="8"/>
      <c r="Y89" s="3"/>
      <c r="Z89" s="3"/>
      <c r="AA89" s="3"/>
      <c r="AB89" s="3"/>
      <c r="AC89" s="3"/>
      <c r="AF89" s="3"/>
      <c r="AG89" s="95"/>
      <c r="AI89" s="95"/>
    </row>
    <row r="90" spans="1:35">
      <c r="A90" s="77">
        <v>42248</v>
      </c>
      <c r="D90" s="3" t="s">
        <v>559</v>
      </c>
      <c r="E90" s="3" t="s">
        <v>517</v>
      </c>
      <c r="F90" s="3" t="s">
        <v>560</v>
      </c>
      <c r="H90" s="43">
        <v>20000</v>
      </c>
      <c r="I90" s="43"/>
      <c r="J90" s="43"/>
      <c r="K90" s="43"/>
      <c r="L90" s="43"/>
      <c r="T90" s="43">
        <f t="shared" si="5"/>
        <v>20000</v>
      </c>
      <c r="W90" s="3"/>
      <c r="X90" s="8"/>
      <c r="Y90" s="3"/>
      <c r="Z90" s="3"/>
      <c r="AA90" s="3"/>
      <c r="AB90" s="3"/>
      <c r="AC90" s="3"/>
      <c r="AF90" s="3"/>
      <c r="AG90" s="95"/>
      <c r="AI90" s="95"/>
    </row>
    <row r="91" spans="1:35">
      <c r="A91" s="77">
        <v>42248</v>
      </c>
      <c r="D91" s="3" t="s">
        <v>563</v>
      </c>
      <c r="E91" s="3" t="s">
        <v>499</v>
      </c>
      <c r="F91" s="3" t="s">
        <v>560</v>
      </c>
      <c r="H91" s="43">
        <v>3000</v>
      </c>
      <c r="I91" s="43"/>
      <c r="J91" s="43"/>
      <c r="K91" s="43"/>
      <c r="L91" s="43"/>
      <c r="T91" s="43">
        <f t="shared" si="5"/>
        <v>3000</v>
      </c>
      <c r="W91" s="3"/>
      <c r="X91" s="8"/>
      <c r="Y91" s="3"/>
      <c r="Z91" s="3"/>
      <c r="AA91" s="3"/>
      <c r="AB91" s="3"/>
      <c r="AC91" s="3"/>
      <c r="AF91" s="3"/>
      <c r="AG91" s="95"/>
      <c r="AI91" s="95"/>
    </row>
    <row r="92" spans="1:35">
      <c r="A92" s="77">
        <v>42248</v>
      </c>
      <c r="D92" s="3" t="s">
        <v>559</v>
      </c>
      <c r="E92" s="3" t="s">
        <v>508</v>
      </c>
      <c r="F92" s="3" t="s">
        <v>560</v>
      </c>
      <c r="H92" s="43">
        <v>3000</v>
      </c>
      <c r="I92" s="43"/>
      <c r="J92" s="43"/>
      <c r="K92" s="43"/>
      <c r="L92" s="43"/>
      <c r="T92" s="43">
        <f t="shared" si="5"/>
        <v>3000</v>
      </c>
      <c r="W92" s="3"/>
      <c r="X92" s="8"/>
      <c r="Y92" s="3"/>
      <c r="Z92" s="3"/>
      <c r="AA92" s="3"/>
      <c r="AB92" s="3"/>
      <c r="AC92" s="3"/>
      <c r="AF92" s="3"/>
      <c r="AG92" s="95"/>
      <c r="AI92" s="95"/>
    </row>
    <row r="93" spans="1:35">
      <c r="A93" s="77">
        <v>42248</v>
      </c>
      <c r="D93" s="3" t="s">
        <v>564</v>
      </c>
      <c r="H93" s="43">
        <v>2000</v>
      </c>
      <c r="I93" s="43"/>
      <c r="J93" s="43"/>
      <c r="K93" s="43"/>
      <c r="L93" s="43"/>
      <c r="T93" s="43">
        <f t="shared" si="5"/>
        <v>2000</v>
      </c>
      <c r="W93" s="3"/>
      <c r="X93" s="8"/>
      <c r="Y93" s="3"/>
      <c r="Z93" s="3"/>
      <c r="AA93" s="3"/>
      <c r="AB93" s="3"/>
      <c r="AC93" s="3"/>
      <c r="AF93" s="3"/>
      <c r="AG93" s="95"/>
      <c r="AI93" s="95"/>
    </row>
    <row r="94" spans="1:35">
      <c r="A94" s="77">
        <v>42248</v>
      </c>
      <c r="D94" s="3" t="s">
        <v>565</v>
      </c>
      <c r="H94" s="43">
        <v>3000</v>
      </c>
      <c r="I94" s="43"/>
      <c r="J94" s="43"/>
      <c r="K94" s="43"/>
      <c r="L94" s="43"/>
      <c r="T94" s="43">
        <f t="shared" si="5"/>
        <v>3000</v>
      </c>
      <c r="W94" s="3"/>
      <c r="X94" s="8"/>
      <c r="Y94" s="3"/>
      <c r="Z94" s="3"/>
      <c r="AA94" s="3"/>
      <c r="AB94" s="3"/>
      <c r="AC94" s="3"/>
      <c r="AF94" s="3"/>
      <c r="AG94" s="95"/>
      <c r="AI94" s="95"/>
    </row>
    <row r="95" spans="1:35">
      <c r="A95" s="77">
        <v>42248</v>
      </c>
      <c r="D95" s="3" t="s">
        <v>566</v>
      </c>
      <c r="H95" s="43">
        <v>4000</v>
      </c>
      <c r="I95" s="43"/>
      <c r="J95" s="43"/>
      <c r="K95" s="43"/>
      <c r="L95" s="43"/>
      <c r="T95" s="43">
        <f t="shared" si="5"/>
        <v>4000</v>
      </c>
      <c r="W95" s="3"/>
      <c r="X95" s="8"/>
      <c r="Y95" s="3"/>
      <c r="Z95" s="3"/>
      <c r="AA95" s="3"/>
      <c r="AB95" s="3"/>
      <c r="AC95" s="3"/>
      <c r="AF95" s="3"/>
      <c r="AG95" s="95"/>
      <c r="AI95" s="95"/>
    </row>
    <row r="96" spans="1:35">
      <c r="A96" s="77">
        <v>42248</v>
      </c>
      <c r="D96" s="3" t="s">
        <v>567</v>
      </c>
      <c r="H96" s="43">
        <v>7000</v>
      </c>
      <c r="I96" s="43"/>
      <c r="J96" s="43"/>
      <c r="K96" s="43"/>
      <c r="L96" s="43"/>
      <c r="T96" s="43">
        <f t="shared" si="5"/>
        <v>7000</v>
      </c>
      <c r="W96" s="3"/>
      <c r="X96" s="8"/>
      <c r="Y96" s="3"/>
      <c r="Z96" s="3"/>
      <c r="AA96" s="3"/>
      <c r="AB96" s="3"/>
      <c r="AC96" s="3"/>
      <c r="AF96" s="3"/>
      <c r="AG96" s="95"/>
      <c r="AI96" s="95"/>
    </row>
    <row r="97" spans="1:35">
      <c r="A97" s="77">
        <v>42248</v>
      </c>
      <c r="D97" s="3" t="s">
        <v>568</v>
      </c>
      <c r="H97" s="43">
        <v>8000</v>
      </c>
      <c r="I97" s="43"/>
      <c r="J97" s="43"/>
      <c r="K97" s="43"/>
      <c r="L97" s="43"/>
      <c r="T97" s="43">
        <f t="shared" si="5"/>
        <v>8000</v>
      </c>
      <c r="Y97" s="3"/>
      <c r="Z97" s="3"/>
      <c r="AA97" s="3"/>
      <c r="AB97" s="3"/>
      <c r="AC97" s="3"/>
      <c r="AF97" s="3"/>
      <c r="AG97" s="95"/>
      <c r="AI97" s="95"/>
    </row>
    <row r="98" spans="1:35">
      <c r="A98" s="77">
        <v>42248</v>
      </c>
      <c r="D98" s="3" t="s">
        <v>569</v>
      </c>
      <c r="H98" s="43">
        <v>10000</v>
      </c>
      <c r="I98" s="43"/>
      <c r="J98" s="43"/>
      <c r="K98" s="43"/>
      <c r="L98" s="43"/>
      <c r="T98" s="43">
        <f t="shared" si="5"/>
        <v>10000</v>
      </c>
      <c r="Y98" s="3"/>
      <c r="Z98" s="3"/>
      <c r="AA98" s="3"/>
      <c r="AB98" s="3"/>
      <c r="AC98" s="3"/>
      <c r="AF98" s="3"/>
      <c r="AG98" s="95"/>
      <c r="AI98" s="95"/>
    </row>
    <row r="99" spans="1:35">
      <c r="A99" s="77">
        <v>42248</v>
      </c>
      <c r="D99" s="3" t="s">
        <v>570</v>
      </c>
      <c r="H99" s="43">
        <v>14000</v>
      </c>
      <c r="I99" s="43"/>
      <c r="J99" s="43"/>
      <c r="K99" s="43"/>
      <c r="L99" s="43"/>
      <c r="T99" s="43">
        <f t="shared" si="5"/>
        <v>14000</v>
      </c>
      <c r="Y99" s="3"/>
      <c r="Z99" s="3"/>
      <c r="AA99" s="3"/>
      <c r="AB99" s="3"/>
      <c r="AC99" s="3"/>
      <c r="AF99" s="3"/>
      <c r="AG99" s="95"/>
      <c r="AI99" s="95"/>
    </row>
    <row r="100" spans="1:35">
      <c r="A100" s="77">
        <v>42248</v>
      </c>
      <c r="D100" s="3" t="s">
        <v>571</v>
      </c>
      <c r="H100" s="43">
        <v>150000</v>
      </c>
      <c r="I100" s="43"/>
      <c r="J100" s="43"/>
      <c r="K100" s="43"/>
      <c r="L100" s="43"/>
      <c r="T100" s="43">
        <f t="shared" si="5"/>
        <v>150000</v>
      </c>
      <c r="Y100" s="3"/>
      <c r="Z100" s="3"/>
      <c r="AA100" s="3"/>
      <c r="AB100" s="3"/>
      <c r="AC100" s="3"/>
      <c r="AF100" s="3"/>
      <c r="AG100" s="95"/>
      <c r="AI100" s="95"/>
    </row>
    <row r="101" spans="1:35">
      <c r="A101" s="77">
        <v>42248</v>
      </c>
      <c r="D101" s="3" t="s">
        <v>572</v>
      </c>
      <c r="H101" s="43">
        <v>500000</v>
      </c>
      <c r="I101" s="43"/>
      <c r="J101" s="43"/>
      <c r="K101" s="43"/>
      <c r="L101" s="43"/>
      <c r="P101" s="43">
        <f>H101</f>
        <v>500000</v>
      </c>
      <c r="Y101" s="3"/>
      <c r="Z101" s="3"/>
      <c r="AA101" s="3"/>
      <c r="AB101" s="3"/>
      <c r="AC101" s="3"/>
      <c r="AF101" s="3"/>
      <c r="AG101" s="95"/>
      <c r="AI101" s="95"/>
    </row>
    <row r="102" spans="1:35">
      <c r="A102" s="77">
        <v>42248</v>
      </c>
      <c r="D102" s="3" t="s">
        <v>546</v>
      </c>
      <c r="H102" s="43"/>
      <c r="I102" s="43"/>
      <c r="J102" s="43">
        <v>277000</v>
      </c>
      <c r="K102" s="43"/>
      <c r="L102" s="43"/>
      <c r="N102" s="43">
        <f>J102</f>
        <v>277000</v>
      </c>
      <c r="Y102" s="3"/>
      <c r="Z102" s="3"/>
      <c r="AA102" s="3"/>
      <c r="AB102" s="3"/>
      <c r="AC102" s="3"/>
      <c r="AF102" s="3"/>
      <c r="AG102" s="95"/>
      <c r="AI102" s="95"/>
    </row>
    <row r="103" spans="1:35">
      <c r="A103" s="77">
        <v>42278</v>
      </c>
      <c r="D103" s="3" t="s">
        <v>573</v>
      </c>
      <c r="H103" s="43"/>
      <c r="I103" s="43"/>
      <c r="J103" s="43">
        <v>863020.93</v>
      </c>
      <c r="K103" s="43"/>
      <c r="L103" s="43">
        <f>-J103</f>
        <v>-863020.93</v>
      </c>
      <c r="Y103" s="3"/>
      <c r="Z103" s="3"/>
      <c r="AA103" s="3"/>
      <c r="AB103" s="3"/>
      <c r="AC103" s="3"/>
      <c r="AF103" s="3"/>
      <c r="AG103" s="95"/>
      <c r="AI103" s="95"/>
    </row>
    <row r="104" spans="1:35">
      <c r="A104" s="77">
        <v>42278</v>
      </c>
      <c r="D104" s="3" t="s">
        <v>546</v>
      </c>
      <c r="H104" s="43"/>
      <c r="I104" s="43"/>
      <c r="J104" s="43">
        <v>354578</v>
      </c>
      <c r="K104" s="43"/>
      <c r="L104" s="43"/>
      <c r="N104" s="43">
        <f>J104</f>
        <v>354578</v>
      </c>
      <c r="Y104" s="3"/>
      <c r="Z104" s="3"/>
      <c r="AA104" s="3"/>
      <c r="AB104" s="3"/>
      <c r="AC104" s="3"/>
      <c r="AF104" s="3"/>
      <c r="AG104" s="95"/>
      <c r="AI104" s="95"/>
    </row>
    <row r="105" spans="1:35">
      <c r="A105" s="77">
        <v>42309</v>
      </c>
      <c r="D105" s="3" t="s">
        <v>546</v>
      </c>
      <c r="H105" s="43"/>
      <c r="I105" s="43"/>
      <c r="J105" s="43"/>
      <c r="K105" s="43"/>
      <c r="L105" s="43"/>
      <c r="N105" s="43">
        <f>J105</f>
        <v>0</v>
      </c>
      <c r="Y105" s="3"/>
      <c r="Z105" s="3"/>
      <c r="AA105" s="3"/>
      <c r="AB105" s="3"/>
      <c r="AC105" s="3"/>
      <c r="AF105" s="3"/>
      <c r="AG105" s="95"/>
      <c r="AI105" s="95"/>
    </row>
    <row r="106" spans="1:35">
      <c r="A106" s="77">
        <v>42309</v>
      </c>
      <c r="D106" s="3" t="s">
        <v>574</v>
      </c>
      <c r="E106" s="3" t="s">
        <v>561</v>
      </c>
      <c r="F106" s="3" t="s">
        <v>575</v>
      </c>
      <c r="H106" s="43">
        <v>2000</v>
      </c>
      <c r="I106" s="43"/>
      <c r="J106" s="43"/>
      <c r="K106" s="43"/>
      <c r="L106" s="43"/>
      <c r="T106" s="43">
        <f>H106</f>
        <v>2000</v>
      </c>
      <c r="Y106" s="3"/>
      <c r="Z106" s="3"/>
      <c r="AA106" s="3"/>
      <c r="AB106" s="3"/>
      <c r="AC106" s="3"/>
      <c r="AF106" s="3"/>
      <c r="AG106" s="95"/>
      <c r="AI106" s="95"/>
    </row>
    <row r="107" spans="1:35">
      <c r="A107" s="77">
        <v>42309</v>
      </c>
      <c r="D107" s="3" t="s">
        <v>574</v>
      </c>
      <c r="E107" s="3" t="s">
        <v>497</v>
      </c>
      <c r="F107" s="3" t="s">
        <v>575</v>
      </c>
      <c r="H107" s="43">
        <v>2000</v>
      </c>
      <c r="I107" s="43"/>
      <c r="J107" s="43"/>
      <c r="K107" s="43"/>
      <c r="L107" s="43"/>
      <c r="T107" s="43">
        <f t="shared" ref="T107:T114" si="6">H107</f>
        <v>2000</v>
      </c>
      <c r="Y107" s="3"/>
      <c r="Z107" s="3"/>
      <c r="AA107" s="3"/>
      <c r="AB107" s="3"/>
      <c r="AC107" s="3"/>
      <c r="AF107" s="3"/>
      <c r="AG107" s="95"/>
      <c r="AI107" s="95"/>
    </row>
    <row r="108" spans="1:35">
      <c r="A108" s="77">
        <v>42309</v>
      </c>
      <c r="D108" s="3" t="s">
        <v>574</v>
      </c>
      <c r="E108" s="3" t="s">
        <v>494</v>
      </c>
      <c r="F108" s="3" t="s">
        <v>575</v>
      </c>
      <c r="H108" s="43">
        <v>2000</v>
      </c>
      <c r="I108" s="43"/>
      <c r="J108" s="43"/>
      <c r="K108" s="43"/>
      <c r="L108" s="43"/>
      <c r="T108" s="43">
        <f t="shared" si="6"/>
        <v>2000</v>
      </c>
      <c r="Y108" s="3"/>
      <c r="Z108" s="3"/>
      <c r="AA108" s="3"/>
      <c r="AB108" s="3"/>
      <c r="AC108" s="3"/>
      <c r="AF108" s="3"/>
      <c r="AG108" s="95"/>
      <c r="AI108" s="95"/>
    </row>
    <row r="109" spans="1:35">
      <c r="A109" s="77">
        <v>42309</v>
      </c>
      <c r="D109" s="3" t="s">
        <v>574</v>
      </c>
      <c r="E109" s="3" t="s">
        <v>553</v>
      </c>
      <c r="F109" s="3" t="s">
        <v>575</v>
      </c>
      <c r="H109" s="43">
        <v>2000</v>
      </c>
      <c r="I109" s="43"/>
      <c r="J109" s="43"/>
      <c r="K109" s="43"/>
      <c r="L109" s="43"/>
      <c r="T109" s="43">
        <f t="shared" si="6"/>
        <v>2000</v>
      </c>
      <c r="Y109" s="3"/>
      <c r="Z109" s="3"/>
      <c r="AA109" s="3"/>
      <c r="AB109" s="3"/>
      <c r="AC109" s="3"/>
      <c r="AF109" s="3"/>
      <c r="AG109" s="95"/>
      <c r="AI109" s="95"/>
    </row>
    <row r="110" spans="1:35">
      <c r="A110" s="77">
        <v>42309</v>
      </c>
      <c r="D110" s="3" t="s">
        <v>574</v>
      </c>
      <c r="E110" s="3" t="s">
        <v>512</v>
      </c>
      <c r="F110" s="3" t="s">
        <v>575</v>
      </c>
      <c r="H110" s="43">
        <v>3000</v>
      </c>
      <c r="I110" s="43"/>
      <c r="J110" s="43"/>
      <c r="K110" s="43"/>
      <c r="L110" s="43"/>
      <c r="T110" s="43">
        <f t="shared" si="6"/>
        <v>3000</v>
      </c>
      <c r="Y110" s="3"/>
      <c r="Z110" s="3"/>
      <c r="AA110" s="3"/>
      <c r="AB110" s="3"/>
      <c r="AC110" s="3"/>
      <c r="AF110" s="3"/>
      <c r="AG110" s="95"/>
      <c r="AI110" s="95"/>
    </row>
    <row r="111" spans="1:35">
      <c r="A111" s="77">
        <v>42309</v>
      </c>
      <c r="D111" s="3" t="s">
        <v>574</v>
      </c>
      <c r="E111" s="3" t="s">
        <v>160</v>
      </c>
      <c r="F111" s="3" t="s">
        <v>575</v>
      </c>
      <c r="H111" s="43">
        <v>3000</v>
      </c>
      <c r="I111" s="43"/>
      <c r="J111" s="43"/>
      <c r="K111" s="43"/>
      <c r="L111" s="43"/>
      <c r="T111" s="43">
        <f t="shared" si="6"/>
        <v>3000</v>
      </c>
      <c r="Y111" s="3"/>
      <c r="Z111" s="3"/>
      <c r="AA111" s="3"/>
      <c r="AB111" s="3"/>
      <c r="AC111" s="3"/>
      <c r="AF111" s="3"/>
      <c r="AG111" s="95"/>
      <c r="AI111" s="95"/>
    </row>
    <row r="112" spans="1:35">
      <c r="A112" s="77">
        <v>42309</v>
      </c>
      <c r="D112" s="3" t="s">
        <v>574</v>
      </c>
      <c r="E112" s="3" t="s">
        <v>557</v>
      </c>
      <c r="F112" s="3" t="s">
        <v>575</v>
      </c>
      <c r="H112" s="43">
        <v>3000</v>
      </c>
      <c r="I112" s="43"/>
      <c r="J112" s="43"/>
      <c r="K112" s="43"/>
      <c r="L112" s="43"/>
      <c r="T112" s="43">
        <f t="shared" si="6"/>
        <v>3000</v>
      </c>
      <c r="Y112" s="3"/>
      <c r="Z112" s="3"/>
      <c r="AA112" s="3"/>
      <c r="AB112" s="3"/>
      <c r="AC112" s="3"/>
      <c r="AF112" s="3"/>
      <c r="AG112" s="95"/>
      <c r="AI112" s="95"/>
    </row>
    <row r="113" spans="1:35">
      <c r="A113" s="77">
        <v>42309</v>
      </c>
      <c r="D113" s="3" t="s">
        <v>574</v>
      </c>
      <c r="E113" s="3" t="s">
        <v>517</v>
      </c>
      <c r="F113" s="3" t="s">
        <v>575</v>
      </c>
      <c r="H113" s="43">
        <v>20000</v>
      </c>
      <c r="I113" s="43"/>
      <c r="J113" s="43"/>
      <c r="K113" s="43"/>
      <c r="L113" s="43"/>
      <c r="T113" s="43">
        <f t="shared" si="6"/>
        <v>20000</v>
      </c>
      <c r="Y113" s="3"/>
      <c r="Z113" s="3"/>
      <c r="AA113" s="3"/>
      <c r="AB113" s="43"/>
      <c r="AC113" s="3"/>
      <c r="AF113" s="3"/>
      <c r="AG113" s="95"/>
      <c r="AI113" s="95"/>
    </row>
    <row r="114" spans="1:35">
      <c r="A114" s="77">
        <v>42309</v>
      </c>
      <c r="D114" s="3" t="s">
        <v>574</v>
      </c>
      <c r="E114" s="3" t="s">
        <v>508</v>
      </c>
      <c r="F114" s="3" t="s">
        <v>575</v>
      </c>
      <c r="H114" s="43">
        <v>3000</v>
      </c>
      <c r="I114" s="43"/>
      <c r="J114" s="43"/>
      <c r="K114" s="43"/>
      <c r="L114" s="43"/>
      <c r="T114" s="43">
        <f t="shared" si="6"/>
        <v>3000</v>
      </c>
      <c r="Z114" s="3"/>
      <c r="AA114" s="3"/>
      <c r="AB114" s="43"/>
      <c r="AC114" s="3"/>
      <c r="AF114" s="3"/>
      <c r="AG114" s="95"/>
      <c r="AI114" s="95"/>
    </row>
    <row r="115" spans="1:35">
      <c r="A115" s="77">
        <v>42309</v>
      </c>
      <c r="D115" s="3" t="s">
        <v>518</v>
      </c>
      <c r="H115" s="43">
        <v>0</v>
      </c>
      <c r="I115" s="43"/>
      <c r="J115" s="43">
        <v>4070.25</v>
      </c>
      <c r="K115" s="43"/>
      <c r="L115" s="43"/>
      <c r="X115" s="38">
        <f>-J115</f>
        <v>-4070.25</v>
      </c>
      <c r="Z115" s="3"/>
      <c r="AA115" s="3"/>
      <c r="AB115" s="3"/>
      <c r="AC115" s="3"/>
      <c r="AF115" s="3"/>
      <c r="AG115" s="95"/>
      <c r="AI115" s="95"/>
    </row>
    <row r="116" spans="1:35">
      <c r="A116" s="77">
        <v>42309</v>
      </c>
      <c r="D116" s="3" t="s">
        <v>576</v>
      </c>
      <c r="H116" s="43">
        <v>0</v>
      </c>
      <c r="I116" s="43"/>
      <c r="J116" s="43">
        <v>18011</v>
      </c>
      <c r="K116" s="43"/>
      <c r="L116" s="43"/>
      <c r="X116" s="38">
        <f>-J116</f>
        <v>-18011</v>
      </c>
      <c r="Z116" s="95"/>
      <c r="AA116" s="3"/>
      <c r="AB116" s="3"/>
      <c r="AC116" s="3"/>
      <c r="AF116" s="3"/>
      <c r="AG116" s="95"/>
      <c r="AI116" s="95"/>
    </row>
    <row r="117" spans="1:35">
      <c r="A117" s="77">
        <v>42338</v>
      </c>
      <c r="D117" s="3" t="s">
        <v>546</v>
      </c>
      <c r="E117" s="8"/>
      <c r="F117" s="1"/>
      <c r="H117" s="43"/>
      <c r="I117" s="43"/>
      <c r="J117" s="43">
        <v>197422</v>
      </c>
      <c r="K117" s="43"/>
      <c r="L117" s="43"/>
      <c r="N117" s="43">
        <f>J117</f>
        <v>197422</v>
      </c>
      <c r="Y117" s="3"/>
      <c r="Z117" s="3"/>
      <c r="AA117" s="3"/>
      <c r="AB117" s="3"/>
      <c r="AC117" s="3"/>
      <c r="AF117" s="3"/>
      <c r="AG117" s="95"/>
      <c r="AI117" s="95"/>
    </row>
    <row r="118" spans="1:35">
      <c r="A118" s="77">
        <v>42309</v>
      </c>
      <c r="D118" s="3" t="s">
        <v>577</v>
      </c>
      <c r="H118" s="43"/>
      <c r="I118" s="43"/>
      <c r="J118" s="43">
        <v>132569.94</v>
      </c>
      <c r="K118" s="43"/>
      <c r="L118" s="43"/>
      <c r="X118" s="38">
        <f>-J118</f>
        <v>-132569.94</v>
      </c>
      <c r="Z118" s="3"/>
      <c r="AA118" s="3"/>
      <c r="AB118" s="3"/>
      <c r="AC118" s="3"/>
      <c r="AF118" s="3"/>
      <c r="AG118" s="95"/>
      <c r="AI118" s="95"/>
    </row>
    <row r="119" spans="1:35">
      <c r="A119" s="77">
        <v>42339</v>
      </c>
      <c r="D119" s="3" t="s">
        <v>562</v>
      </c>
      <c r="E119" s="3" t="s">
        <v>1067</v>
      </c>
      <c r="F119" s="3" t="s">
        <v>575</v>
      </c>
      <c r="H119" s="43">
        <v>15000</v>
      </c>
      <c r="I119" s="43"/>
      <c r="J119" s="43"/>
      <c r="K119" s="43"/>
      <c r="L119" s="43"/>
      <c r="T119" s="43">
        <f t="shared" ref="T119" si="7">H119</f>
        <v>15000</v>
      </c>
      <c r="Z119" s="3"/>
      <c r="AA119" s="3"/>
      <c r="AB119" s="3"/>
      <c r="AC119" s="3"/>
      <c r="AF119" s="3"/>
      <c r="AG119" s="95"/>
      <c r="AI119" s="95"/>
    </row>
    <row r="120" spans="1:35">
      <c r="A120" s="77">
        <v>42339</v>
      </c>
      <c r="D120" s="3" t="s">
        <v>576</v>
      </c>
      <c r="H120" s="43">
        <v>0</v>
      </c>
      <c r="I120" s="43"/>
      <c r="J120" s="43">
        <v>29.65</v>
      </c>
      <c r="K120" s="43"/>
      <c r="L120" s="43"/>
      <c r="X120" s="38">
        <f>-J120</f>
        <v>-29.65</v>
      </c>
      <c r="Z120" s="3"/>
      <c r="AA120" s="3"/>
      <c r="AB120" s="3"/>
      <c r="AC120" s="3"/>
      <c r="AF120" s="3"/>
      <c r="AG120" s="95"/>
      <c r="AI120" s="95"/>
    </row>
    <row r="121" spans="1:35">
      <c r="A121" s="77">
        <v>42339</v>
      </c>
      <c r="D121" s="3" t="s">
        <v>1058</v>
      </c>
      <c r="H121" s="43">
        <v>2000</v>
      </c>
      <c r="I121" s="43"/>
      <c r="J121" s="43"/>
      <c r="K121" s="43"/>
      <c r="L121" s="43"/>
      <c r="T121" s="43">
        <f t="shared" ref="T121:T128" si="8">H121</f>
        <v>2000</v>
      </c>
      <c r="Z121" s="3"/>
      <c r="AA121" s="3"/>
      <c r="AB121" s="3"/>
      <c r="AC121" s="3"/>
      <c r="AF121" s="3"/>
      <c r="AG121" s="95"/>
      <c r="AI121" s="95"/>
    </row>
    <row r="122" spans="1:35">
      <c r="A122" s="77">
        <v>42339</v>
      </c>
      <c r="D122" s="3" t="s">
        <v>1059</v>
      </c>
      <c r="H122" s="43">
        <v>3000</v>
      </c>
      <c r="I122" s="43"/>
      <c r="J122" s="43"/>
      <c r="K122" s="43"/>
      <c r="L122" s="43"/>
      <c r="T122" s="43">
        <f t="shared" si="8"/>
        <v>3000</v>
      </c>
      <c r="Z122" s="3"/>
      <c r="AA122" s="3"/>
      <c r="AB122" s="3"/>
      <c r="AC122" s="3"/>
      <c r="AF122" s="3"/>
      <c r="AG122" s="95"/>
      <c r="AI122" s="95"/>
    </row>
    <row r="123" spans="1:35">
      <c r="A123" s="77">
        <v>42339</v>
      </c>
      <c r="D123" s="3" t="s">
        <v>1060</v>
      </c>
      <c r="H123" s="43">
        <v>4000</v>
      </c>
      <c r="I123" s="43"/>
      <c r="J123" s="43"/>
      <c r="K123" s="43"/>
      <c r="L123" s="43"/>
      <c r="T123" s="43">
        <f t="shared" si="8"/>
        <v>4000</v>
      </c>
      <c r="Z123" s="3"/>
      <c r="AA123" s="3"/>
      <c r="AB123" s="3"/>
      <c r="AC123" s="3"/>
      <c r="AF123" s="3"/>
      <c r="AG123" s="95"/>
      <c r="AI123" s="95"/>
    </row>
    <row r="124" spans="1:35">
      <c r="A124" s="77">
        <v>42339</v>
      </c>
      <c r="D124" s="3" t="s">
        <v>1061</v>
      </c>
      <c r="H124" s="43">
        <v>6000</v>
      </c>
      <c r="I124" s="43"/>
      <c r="J124" s="43"/>
      <c r="K124" s="43"/>
      <c r="L124" s="43"/>
      <c r="T124" s="43">
        <f t="shared" si="8"/>
        <v>6000</v>
      </c>
      <c r="Z124" s="3"/>
      <c r="AA124" s="3"/>
      <c r="AB124" s="3"/>
      <c r="AC124" s="3"/>
      <c r="AF124" s="3"/>
      <c r="AG124" s="95"/>
      <c r="AI124" s="95"/>
    </row>
    <row r="125" spans="1:35">
      <c r="A125" s="77">
        <v>42339</v>
      </c>
      <c r="D125" s="3" t="s">
        <v>1062</v>
      </c>
      <c r="H125" s="43">
        <v>7000</v>
      </c>
      <c r="I125" s="43"/>
      <c r="J125" s="43"/>
      <c r="K125" s="43"/>
      <c r="L125" s="43"/>
      <c r="T125" s="43">
        <f t="shared" si="8"/>
        <v>7000</v>
      </c>
      <c r="Z125" s="3"/>
      <c r="AA125" s="3"/>
      <c r="AB125" s="3"/>
      <c r="AC125" s="3"/>
      <c r="AF125" s="3"/>
      <c r="AG125" s="95"/>
      <c r="AI125" s="95"/>
    </row>
    <row r="126" spans="1:35">
      <c r="A126" s="77">
        <v>42339</v>
      </c>
      <c r="D126" s="3" t="s">
        <v>1063</v>
      </c>
      <c r="H126" s="43">
        <v>8000</v>
      </c>
      <c r="I126" s="43"/>
      <c r="J126" s="43"/>
      <c r="K126" s="43"/>
      <c r="L126" s="43"/>
      <c r="T126" s="43">
        <f t="shared" si="8"/>
        <v>8000</v>
      </c>
      <c r="Z126" s="3"/>
      <c r="AA126" s="3"/>
      <c r="AB126" s="3"/>
      <c r="AC126" s="3"/>
      <c r="AF126" s="3"/>
      <c r="AG126" s="95"/>
      <c r="AI126" s="95"/>
    </row>
    <row r="127" spans="1:35">
      <c r="A127" s="77">
        <v>42339</v>
      </c>
      <c r="D127" s="3" t="s">
        <v>1064</v>
      </c>
      <c r="H127" s="43">
        <v>10000</v>
      </c>
      <c r="I127" s="43"/>
      <c r="J127" s="43"/>
      <c r="K127" s="43"/>
      <c r="L127" s="43"/>
      <c r="T127" s="43">
        <f t="shared" si="8"/>
        <v>10000</v>
      </c>
      <c r="Z127" s="3"/>
      <c r="AA127" s="3"/>
      <c r="AB127" s="3"/>
      <c r="AC127" s="3"/>
      <c r="AF127" s="3"/>
      <c r="AG127" s="95"/>
      <c r="AI127" s="95"/>
    </row>
    <row r="128" spans="1:35">
      <c r="A128" s="77">
        <v>42339</v>
      </c>
      <c r="D128" s="3" t="s">
        <v>1065</v>
      </c>
      <c r="H128" s="43">
        <v>14000</v>
      </c>
      <c r="I128" s="43"/>
      <c r="J128" s="43"/>
      <c r="K128" s="43"/>
      <c r="L128" s="43"/>
      <c r="T128" s="43">
        <f t="shared" si="8"/>
        <v>14000</v>
      </c>
      <c r="Z128" s="3"/>
      <c r="AA128" s="3"/>
      <c r="AB128" s="3"/>
      <c r="AC128" s="3"/>
      <c r="AF128" s="3"/>
      <c r="AG128" s="95"/>
      <c r="AI128" s="95"/>
    </row>
    <row r="129" spans="1:35">
      <c r="A129" s="77">
        <v>42339</v>
      </c>
      <c r="D129" s="3" t="s">
        <v>1066</v>
      </c>
      <c r="H129" s="43">
        <v>1600000</v>
      </c>
      <c r="I129" s="43"/>
      <c r="J129" s="43"/>
      <c r="K129" s="43"/>
      <c r="L129" s="43"/>
      <c r="P129" s="43">
        <f>H129</f>
        <v>1600000</v>
      </c>
      <c r="Z129" s="3"/>
      <c r="AA129" s="3"/>
      <c r="AB129" s="3"/>
      <c r="AC129" s="3"/>
      <c r="AF129" s="3"/>
      <c r="AG129" s="95"/>
      <c r="AI129" s="95"/>
    </row>
    <row r="130" spans="1:35">
      <c r="A130" s="77">
        <v>42339</v>
      </c>
      <c r="D130" s="3" t="s">
        <v>1205</v>
      </c>
      <c r="J130" s="38">
        <v>1212699</v>
      </c>
      <c r="K130" s="43"/>
      <c r="L130" s="43"/>
      <c r="N130" s="43">
        <f>J130</f>
        <v>1212699</v>
      </c>
      <c r="Z130" s="3"/>
      <c r="AA130" s="3"/>
      <c r="AB130" s="3"/>
      <c r="AC130" s="3"/>
      <c r="AF130" s="3"/>
      <c r="AG130" s="95"/>
      <c r="AI130" s="95"/>
    </row>
    <row r="131" spans="1:35">
      <c r="A131" s="77">
        <v>42369</v>
      </c>
      <c r="D131" s="3" t="s">
        <v>546</v>
      </c>
      <c r="J131" s="38">
        <v>1804301</v>
      </c>
      <c r="K131" s="43"/>
      <c r="L131" s="43"/>
      <c r="N131" s="43">
        <f>J131</f>
        <v>1804301</v>
      </c>
      <c r="Z131" s="3"/>
      <c r="AA131" s="3"/>
      <c r="AB131" s="3"/>
      <c r="AC131" s="3"/>
      <c r="AF131" s="3"/>
      <c r="AG131" s="95"/>
      <c r="AI131" s="95"/>
    </row>
    <row r="132" spans="1:35">
      <c r="A132" s="77">
        <v>42369</v>
      </c>
      <c r="D132" s="3" t="s">
        <v>1206</v>
      </c>
      <c r="F132" s="265"/>
      <c r="J132" s="265"/>
      <c r="N132" s="43">
        <f>J132</f>
        <v>0</v>
      </c>
      <c r="AG132" s="95"/>
      <c r="AI132" s="95"/>
    </row>
    <row r="133" spans="1:35" s="598" customFormat="1">
      <c r="A133" s="597">
        <v>42369</v>
      </c>
      <c r="D133" s="599" t="s">
        <v>1761</v>
      </c>
      <c r="E133" s="600" t="s">
        <v>1744</v>
      </c>
      <c r="F133" s="601"/>
      <c r="H133" s="602"/>
      <c r="I133" s="602"/>
      <c r="J133" s="601"/>
      <c r="K133" s="602"/>
      <c r="L133" s="602"/>
      <c r="M133" s="602"/>
      <c r="N133" s="602">
        <f>-H133</f>
        <v>0</v>
      </c>
      <c r="O133" s="602"/>
      <c r="P133" s="602">
        <f>H133</f>
        <v>0</v>
      </c>
      <c r="Q133" s="602"/>
      <c r="R133" s="602"/>
      <c r="S133" s="602"/>
      <c r="T133" s="602"/>
      <c r="U133" s="602"/>
      <c r="V133" s="602"/>
      <c r="W133" s="602"/>
      <c r="X133" s="602"/>
      <c r="Y133" s="602"/>
      <c r="Z133" s="368"/>
      <c r="AA133" s="368"/>
      <c r="AB133" s="368"/>
      <c r="AC133" s="602"/>
      <c r="AD133" s="602"/>
      <c r="AE133" s="602"/>
      <c r="AF133" s="602"/>
      <c r="AG133" s="603"/>
      <c r="AI133" s="603"/>
    </row>
    <row r="134" spans="1:35" ht="13.5" thickBot="1">
      <c r="D134" s="286" t="s">
        <v>1207</v>
      </c>
      <c r="E134" s="174">
        <f>H134-J134</f>
        <v>-2217794.620000001</v>
      </c>
      <c r="F134" s="288"/>
      <c r="H134" s="51">
        <f>SUM(H7:H133)</f>
        <v>8373507.4800000004</v>
      </c>
      <c r="J134" s="51">
        <f>SUM(J7:J133)</f>
        <v>10591302.100000001</v>
      </c>
      <c r="K134" s="69"/>
      <c r="L134" s="51">
        <f>SUM(L7:L133)</f>
        <v>-863020.93</v>
      </c>
      <c r="N134" s="51">
        <f>SUM(N7:N133)</f>
        <v>6484000.0499999998</v>
      </c>
      <c r="P134" s="51">
        <f>SUM(P7:P133)</f>
        <v>2100000</v>
      </c>
      <c r="Q134" s="69"/>
      <c r="R134" s="51">
        <f>SUM(R7:R133)</f>
        <v>2200000</v>
      </c>
      <c r="T134" s="51">
        <f>SUM(T7:T133)</f>
        <v>373000</v>
      </c>
      <c r="V134" s="51">
        <f>SUM(V7:V133)</f>
        <v>662036.9</v>
      </c>
      <c r="X134" s="51">
        <f>SUM(X7:X133)</f>
        <v>-205810.1</v>
      </c>
      <c r="Z134" s="3"/>
      <c r="AA134" s="3"/>
      <c r="AB134" s="3"/>
      <c r="AC134" s="3"/>
      <c r="AF134" s="3"/>
      <c r="AG134" s="95"/>
      <c r="AI134" s="95"/>
    </row>
    <row r="135" spans="1:35" ht="13.5" thickTop="1">
      <c r="D135" s="287" t="s">
        <v>939</v>
      </c>
      <c r="E135" s="166">
        <v>6433975</v>
      </c>
      <c r="F135" s="57"/>
      <c r="H135" s="52" t="str">
        <f>H5</f>
        <v>debit</v>
      </c>
      <c r="J135" s="52" t="str">
        <f>J5</f>
        <v>credit</v>
      </c>
      <c r="K135" s="52"/>
      <c r="L135" s="52" t="s">
        <v>1174</v>
      </c>
      <c r="N135" s="52" t="str">
        <f>N5</f>
        <v>provision</v>
      </c>
      <c r="P135" s="187">
        <f>P5</f>
        <v>2016</v>
      </c>
      <c r="Q135" s="49"/>
      <c r="R135" s="187">
        <f>R5</f>
        <v>2015</v>
      </c>
      <c r="T135" s="187">
        <f>T5</f>
        <v>2016</v>
      </c>
      <c r="U135" s="49"/>
      <c r="V135" s="187">
        <f>V5</f>
        <v>2015</v>
      </c>
      <c r="W135" s="49"/>
      <c r="X135" s="52" t="str">
        <f>X5</f>
        <v>refund</v>
      </c>
      <c r="Z135" s="3"/>
      <c r="AA135" s="3"/>
      <c r="AB135" s="3"/>
      <c r="AC135" s="3"/>
      <c r="AF135" s="3"/>
      <c r="AG135" s="95"/>
      <c r="AI135" s="95"/>
    </row>
    <row r="136" spans="1:35">
      <c r="D136" s="46" t="s">
        <v>1762</v>
      </c>
      <c r="E136" s="604">
        <f>E134+E135</f>
        <v>4216180.379999999</v>
      </c>
      <c r="F136" s="69"/>
      <c r="P136" s="228"/>
      <c r="Q136" s="229" t="s">
        <v>104</v>
      </c>
      <c r="R136" s="228"/>
      <c r="T136" s="228"/>
      <c r="U136" s="228"/>
      <c r="V136" s="229" t="s">
        <v>388</v>
      </c>
      <c r="W136" s="228"/>
      <c r="X136" s="230"/>
      <c r="Y136" s="3"/>
      <c r="Z136" s="3"/>
      <c r="AA136" s="3"/>
      <c r="AB136" s="3"/>
      <c r="AC136" s="3"/>
      <c r="AF136" s="3"/>
      <c r="AG136" s="95"/>
      <c r="AI136" s="95"/>
    </row>
    <row r="137" spans="1:35">
      <c r="D137" s="46" t="s">
        <v>1805</v>
      </c>
      <c r="E137" s="106">
        <v>1183445</v>
      </c>
      <c r="F137" s="106"/>
      <c r="T137" s="48"/>
      <c r="AG137" s="95"/>
      <c r="AI137" s="95"/>
    </row>
    <row r="138" spans="1:35" ht="13.5" thickBot="1">
      <c r="D138" s="46" t="s">
        <v>1806</v>
      </c>
      <c r="E138" s="165">
        <f>E136+E137</f>
        <v>5399625.379999999</v>
      </c>
      <c r="F138" s="106"/>
      <c r="T138" s="48"/>
      <c r="X138" s="8"/>
      <c r="Y138" s="3"/>
      <c r="Z138" s="3"/>
      <c r="AA138" s="3"/>
      <c r="AB138" s="3"/>
      <c r="AC138" s="3"/>
      <c r="AF138" s="3"/>
      <c r="AG138" s="95"/>
      <c r="AI138" s="95"/>
    </row>
    <row r="139" spans="1:35" ht="13.5" thickTop="1">
      <c r="F139" s="106"/>
      <c r="H139" s="43"/>
      <c r="X139" s="8"/>
      <c r="Y139" s="3"/>
      <c r="Z139" s="3"/>
      <c r="AA139" s="3"/>
      <c r="AB139" s="3"/>
      <c r="AC139" s="3"/>
      <c r="AF139" s="3"/>
      <c r="AG139" s="95"/>
      <c r="AI139" s="95"/>
    </row>
    <row r="140" spans="1:35">
      <c r="F140" s="289"/>
      <c r="G140"/>
      <c r="H140"/>
      <c r="I140"/>
      <c r="J140" s="108"/>
    </row>
    <row r="141" spans="1:35">
      <c r="H141" s="188"/>
      <c r="I141" s="188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8"/>
      <c r="Y141" s="3"/>
      <c r="Z141" s="3"/>
      <c r="AA141" s="3"/>
      <c r="AB141" s="3"/>
      <c r="AC141" s="3"/>
      <c r="AD141" s="3"/>
      <c r="AE141" s="3"/>
      <c r="AF141" s="3"/>
    </row>
    <row r="142" spans="1:35">
      <c r="H142" s="188"/>
      <c r="I142" s="188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8"/>
      <c r="Y142" s="3"/>
      <c r="Z142" s="3"/>
      <c r="AA142" s="3"/>
      <c r="AB142" s="3"/>
      <c r="AC142" s="3"/>
      <c r="AD142" s="3"/>
      <c r="AE142" s="3"/>
      <c r="AF142" s="3"/>
    </row>
  </sheetData>
  <printOptions headings="1" gridLines="1"/>
  <pageMargins left="0.7" right="0.2" top="0.33" bottom="0.37" header="0.17" footer="0.17"/>
  <pageSetup paperSize="5" scale="46" orientation="portrait" r:id="rId1"/>
  <headerFooter>
    <oddFooter>&amp;L&amp;"Times New Roman,Regular"March 31, 2016&amp;C&amp;"Times New Roman,Regular"confidential and proprietary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E46"/>
  <sheetViews>
    <sheetView zoomScale="80" zoomScaleNormal="80" workbookViewId="0">
      <selection activeCell="Q36" sqref="Q36:S36"/>
    </sheetView>
  </sheetViews>
  <sheetFormatPr defaultColWidth="9.1796875" defaultRowHeight="13"/>
  <cols>
    <col min="1" max="1" width="43.81640625" style="3" customWidth="1"/>
    <col min="2" max="2" width="4.1796875" style="3" customWidth="1"/>
    <col min="3" max="3" width="7" style="5" bestFit="1" customWidth="1"/>
    <col min="4" max="4" width="0.81640625" style="3" customWidth="1"/>
    <col min="5" max="5" width="11.54296875" style="3" customWidth="1"/>
    <col min="6" max="6" width="1" style="3" customWidth="1"/>
    <col min="7" max="7" width="12.7265625" style="3" bestFit="1" customWidth="1"/>
    <col min="8" max="8" width="0.54296875" style="3" customWidth="1"/>
    <col min="9" max="9" width="12.26953125" style="3" bestFit="1" customWidth="1"/>
    <col min="10" max="10" width="0.54296875" style="3" customWidth="1"/>
    <col min="11" max="11" width="13.81640625" style="5" customWidth="1"/>
    <col min="12" max="12" width="0.81640625" style="3" customWidth="1"/>
    <col min="13" max="13" width="7.7265625" style="3" bestFit="1" customWidth="1"/>
    <col min="14" max="14" width="0.54296875" style="3" customWidth="1"/>
    <col min="15" max="15" width="10.453125" style="3" customWidth="1"/>
    <col min="16" max="16" width="0.7265625" style="3" customWidth="1"/>
    <col min="17" max="17" width="7.7265625" style="3" bestFit="1" customWidth="1"/>
    <col min="18" max="18" width="0.81640625" style="3" customWidth="1"/>
    <col min="19" max="19" width="10.26953125" style="3" customWidth="1"/>
    <col min="20" max="20" width="0.81640625" style="3" customWidth="1"/>
    <col min="21" max="21" width="6.81640625" style="3" customWidth="1"/>
    <col min="22" max="22" width="0.54296875" style="3" customWidth="1"/>
    <col min="23" max="23" width="9.1796875" style="3"/>
    <col min="24" max="24" width="0.54296875" style="3" customWidth="1"/>
    <col min="25" max="25" width="10.81640625" style="3" bestFit="1" customWidth="1"/>
    <col min="26" max="26" width="0.81640625" style="3" customWidth="1"/>
    <col min="27" max="27" width="9.1796875" style="3"/>
    <col min="28" max="28" width="0.81640625" style="3" customWidth="1"/>
    <col min="29" max="29" width="9.1796875" style="3"/>
    <col min="30" max="30" width="0.54296875" style="3" customWidth="1"/>
    <col min="31" max="31" width="10.54296875" style="3" customWidth="1"/>
    <col min="32" max="32" width="0.54296875" style="3" customWidth="1"/>
    <col min="33" max="16384" width="9.1796875" style="3"/>
  </cols>
  <sheetData>
    <row r="1" spans="1:27">
      <c r="I1" s="5" t="s">
        <v>12</v>
      </c>
      <c r="U1" s="171" t="s">
        <v>442</v>
      </c>
    </row>
    <row r="2" spans="1:27">
      <c r="I2" s="5" t="s">
        <v>1183</v>
      </c>
    </row>
    <row r="3" spans="1:27">
      <c r="I3" s="5" t="s">
        <v>112</v>
      </c>
    </row>
    <row r="6" spans="1:27">
      <c r="G6" s="5"/>
      <c r="K6" s="5" t="s">
        <v>411</v>
      </c>
    </row>
    <row r="7" spans="1:27" s="5" customFormat="1">
      <c r="E7" s="155">
        <v>42460</v>
      </c>
      <c r="G7" s="155">
        <v>42369</v>
      </c>
      <c r="K7" s="5" t="s">
        <v>454</v>
      </c>
      <c r="Y7" s="169"/>
      <c r="Z7" s="57"/>
      <c r="AA7" s="170"/>
    </row>
    <row r="8" spans="1:27" s="5" customFormat="1">
      <c r="C8" s="85" t="s">
        <v>443</v>
      </c>
      <c r="E8" s="85" t="s">
        <v>177</v>
      </c>
      <c r="G8" s="85" t="s">
        <v>58</v>
      </c>
      <c r="I8" s="85" t="s">
        <v>79</v>
      </c>
      <c r="K8" s="85" t="s">
        <v>64</v>
      </c>
      <c r="M8" s="85" t="s">
        <v>410</v>
      </c>
      <c r="O8" s="85" t="s">
        <v>409</v>
      </c>
      <c r="P8" s="57"/>
      <c r="Q8" s="85" t="s">
        <v>408</v>
      </c>
      <c r="S8" s="85" t="s">
        <v>10</v>
      </c>
      <c r="U8" s="85" t="s">
        <v>63</v>
      </c>
      <c r="Y8" s="57"/>
      <c r="Z8" s="57"/>
      <c r="AA8" s="57"/>
    </row>
    <row r="9" spans="1:27">
      <c r="A9" s="7" t="s">
        <v>5</v>
      </c>
      <c r="B9" s="7"/>
      <c r="C9" s="14" t="s">
        <v>1727</v>
      </c>
      <c r="D9" s="7"/>
      <c r="E9" s="168">
        <v>6141</v>
      </c>
      <c r="F9" s="7"/>
      <c r="G9" s="16">
        <v>8949</v>
      </c>
      <c r="H9" s="111"/>
      <c r="I9" s="157">
        <f>E9-G9</f>
        <v>-2808</v>
      </c>
      <c r="J9" s="111"/>
      <c r="K9" s="172" t="s">
        <v>80</v>
      </c>
      <c r="O9" s="93">
        <f>I9</f>
        <v>-2808</v>
      </c>
      <c r="P9" s="93"/>
      <c r="Y9" s="53"/>
      <c r="Z9" s="90"/>
      <c r="AA9" s="128"/>
    </row>
    <row r="10" spans="1:27">
      <c r="A10" s="7" t="s">
        <v>51</v>
      </c>
      <c r="B10" s="7"/>
      <c r="C10" s="14" t="s">
        <v>1727</v>
      </c>
      <c r="D10" s="7"/>
      <c r="E10" s="166">
        <f>12439-6141</f>
        <v>6298</v>
      </c>
      <c r="F10" s="7"/>
      <c r="G10" s="20">
        <v>6603</v>
      </c>
      <c r="H10" s="43"/>
      <c r="I10" s="70">
        <f>E10-G10</f>
        <v>-305</v>
      </c>
      <c r="J10" s="43"/>
      <c r="K10" s="39" t="s">
        <v>80</v>
      </c>
      <c r="M10" s="95"/>
      <c r="O10" s="95">
        <f>I10</f>
        <v>-305</v>
      </c>
      <c r="P10" s="95"/>
      <c r="Y10" s="53"/>
      <c r="Z10" s="90"/>
      <c r="AA10" s="53"/>
    </row>
    <row r="11" spans="1:27">
      <c r="A11" s="7" t="s">
        <v>441</v>
      </c>
      <c r="B11" s="7"/>
      <c r="C11" s="12"/>
      <c r="D11" s="7"/>
      <c r="E11" s="69">
        <f>SUM(E9:E10)</f>
        <v>12439</v>
      </c>
      <c r="F11" s="7"/>
      <c r="G11" s="69">
        <f>SUM(G9:G10)</f>
        <v>15552</v>
      </c>
      <c r="H11" s="43"/>
      <c r="I11" s="69">
        <f>SUM(I9:I10)</f>
        <v>-3113</v>
      </c>
      <c r="J11" s="43"/>
      <c r="K11" s="39"/>
      <c r="Y11" s="69"/>
      <c r="Z11" s="90"/>
      <c r="AA11" s="69"/>
    </row>
    <row r="12" spans="1:27">
      <c r="A12" s="154" t="s">
        <v>17</v>
      </c>
      <c r="B12" s="154"/>
      <c r="C12" s="14" t="s">
        <v>1727</v>
      </c>
      <c r="D12" s="154"/>
      <c r="E12" s="43">
        <v>28</v>
      </c>
      <c r="F12" s="154"/>
      <c r="G12" s="43">
        <v>34</v>
      </c>
      <c r="H12" s="43"/>
      <c r="I12" s="69">
        <f>E12-G12</f>
        <v>-6</v>
      </c>
      <c r="J12" s="156"/>
      <c r="K12" s="39" t="s">
        <v>63</v>
      </c>
      <c r="L12" s="43"/>
      <c r="M12" s="43"/>
      <c r="N12" s="43"/>
      <c r="O12" s="43"/>
      <c r="P12" s="43"/>
      <c r="Q12" s="43"/>
      <c r="R12" s="43"/>
      <c r="S12" s="43"/>
      <c r="T12" s="43"/>
      <c r="U12" s="168">
        <f>I12</f>
        <v>-6</v>
      </c>
      <c r="V12" s="43"/>
      <c r="W12" s="43"/>
      <c r="Y12" s="106"/>
      <c r="Z12" s="90"/>
      <c r="AA12" s="106"/>
    </row>
    <row r="13" spans="1:27">
      <c r="A13" s="154" t="s">
        <v>445</v>
      </c>
      <c r="B13" s="154"/>
      <c r="C13" s="14" t="s">
        <v>1727</v>
      </c>
      <c r="D13" s="154"/>
      <c r="E13" s="43">
        <v>96</v>
      </c>
      <c r="F13" s="154"/>
      <c r="G13" s="43">
        <f>19+78-73</f>
        <v>24</v>
      </c>
      <c r="H13" s="43"/>
      <c r="I13" s="69">
        <f t="shared" ref="I13:I35" si="0">E13-G13</f>
        <v>72</v>
      </c>
      <c r="J13" s="156"/>
      <c r="K13" s="39" t="s">
        <v>63</v>
      </c>
      <c r="L13" s="43"/>
      <c r="M13" s="43"/>
      <c r="N13" s="43"/>
      <c r="O13" s="43"/>
      <c r="P13" s="43"/>
      <c r="Q13" s="43"/>
      <c r="R13" s="43"/>
      <c r="S13" s="43"/>
      <c r="T13" s="43"/>
      <c r="U13" s="43">
        <f>I13</f>
        <v>72</v>
      </c>
      <c r="V13" s="43"/>
      <c r="W13" s="43"/>
      <c r="Y13" s="106"/>
      <c r="Z13" s="90"/>
      <c r="AA13" s="106"/>
    </row>
    <row r="14" spans="1:27">
      <c r="A14" s="154" t="s">
        <v>94</v>
      </c>
      <c r="B14" s="154"/>
      <c r="C14" s="14" t="s">
        <v>1727</v>
      </c>
      <c r="D14" s="154"/>
      <c r="E14" s="43"/>
      <c r="F14" s="154"/>
      <c r="G14" s="43">
        <v>-18442</v>
      </c>
      <c r="H14" s="43"/>
      <c r="I14" s="69">
        <f t="shared" si="0"/>
        <v>18442</v>
      </c>
      <c r="J14" s="156"/>
      <c r="K14" s="39" t="s">
        <v>80</v>
      </c>
      <c r="L14" s="43"/>
      <c r="M14" s="43"/>
      <c r="N14" s="43"/>
      <c r="O14" s="43"/>
      <c r="P14" s="43"/>
      <c r="Q14" s="43"/>
      <c r="R14" s="43"/>
      <c r="S14" s="168">
        <f>I14</f>
        <v>18442</v>
      </c>
      <c r="T14" s="43"/>
      <c r="U14" s="43"/>
      <c r="V14" s="43"/>
      <c r="W14" s="43"/>
    </row>
    <row r="15" spans="1:27">
      <c r="A15" s="154" t="s">
        <v>19</v>
      </c>
      <c r="B15" s="154"/>
      <c r="C15" s="14" t="s">
        <v>1727</v>
      </c>
      <c r="D15" s="154"/>
      <c r="E15" s="43">
        <v>-7967</v>
      </c>
      <c r="F15" s="154"/>
      <c r="G15" s="43">
        <v>22275</v>
      </c>
      <c r="H15" s="43"/>
      <c r="I15" s="69">
        <f t="shared" si="0"/>
        <v>-30242</v>
      </c>
      <c r="J15" s="156"/>
      <c r="K15" s="39" t="s">
        <v>80</v>
      </c>
      <c r="L15" s="43"/>
      <c r="M15" s="43"/>
      <c r="N15" s="43"/>
      <c r="O15" s="43"/>
      <c r="P15" s="43"/>
      <c r="Q15" s="43"/>
      <c r="R15" s="43"/>
      <c r="S15" s="43">
        <f>I15</f>
        <v>-30242</v>
      </c>
      <c r="T15" s="43"/>
      <c r="U15" s="43"/>
      <c r="V15" s="43"/>
      <c r="W15" s="43"/>
    </row>
    <row r="16" spans="1:27">
      <c r="A16" s="154" t="s">
        <v>404</v>
      </c>
      <c r="B16" s="154"/>
      <c r="C16" s="14" t="s">
        <v>1727</v>
      </c>
      <c r="D16" s="154"/>
      <c r="E16" s="43">
        <v>239</v>
      </c>
      <c r="F16" s="154"/>
      <c r="G16" s="43">
        <v>182</v>
      </c>
      <c r="H16" s="43"/>
      <c r="I16" s="69">
        <f t="shared" ref="I16" si="1">E16-G16</f>
        <v>57</v>
      </c>
      <c r="J16" s="156"/>
      <c r="K16" s="39" t="s">
        <v>80</v>
      </c>
      <c r="L16" s="43"/>
      <c r="M16" s="43"/>
      <c r="N16" s="43"/>
      <c r="O16" s="43">
        <f>I16</f>
        <v>57</v>
      </c>
      <c r="P16" s="43"/>
      <c r="Q16" s="43"/>
      <c r="R16" s="43"/>
      <c r="S16" s="43"/>
      <c r="T16" s="43"/>
      <c r="U16" s="43"/>
      <c r="V16" s="43"/>
      <c r="W16" s="43"/>
    </row>
    <row r="17" spans="1:23">
      <c r="A17" s="154" t="s">
        <v>398</v>
      </c>
      <c r="B17" s="154"/>
      <c r="C17" s="12"/>
      <c r="D17" s="154"/>
      <c r="E17" s="43">
        <v>27</v>
      </c>
      <c r="F17" s="154"/>
      <c r="G17" s="43"/>
      <c r="H17" s="43"/>
      <c r="I17" s="69">
        <f t="shared" si="0"/>
        <v>27</v>
      </c>
      <c r="J17" s="156"/>
      <c r="K17" s="39" t="s">
        <v>80</v>
      </c>
      <c r="L17" s="43"/>
      <c r="M17" s="43"/>
      <c r="N17" s="43"/>
      <c r="O17" s="43">
        <f>I17</f>
        <v>27</v>
      </c>
      <c r="P17" s="43"/>
      <c r="Q17" s="43"/>
      <c r="R17" s="43"/>
      <c r="S17" s="43"/>
      <c r="T17" s="43"/>
      <c r="U17" s="43"/>
      <c r="V17" s="43"/>
      <c r="W17" s="43"/>
    </row>
    <row r="18" spans="1:23">
      <c r="A18" s="154" t="s">
        <v>399</v>
      </c>
      <c r="B18" s="154"/>
      <c r="C18" s="12"/>
      <c r="D18" s="154"/>
      <c r="E18" s="43">
        <v>78</v>
      </c>
      <c r="F18" s="154"/>
      <c r="G18" s="43">
        <v>103</v>
      </c>
      <c r="H18" s="43"/>
      <c r="I18" s="69">
        <f t="shared" si="0"/>
        <v>-25</v>
      </c>
      <c r="J18" s="156"/>
      <c r="K18" s="39" t="s">
        <v>80</v>
      </c>
      <c r="L18" s="43"/>
      <c r="M18" s="43"/>
      <c r="N18" s="43"/>
      <c r="O18" s="43">
        <f>I18</f>
        <v>-25</v>
      </c>
      <c r="P18" s="43"/>
      <c r="Q18" s="43"/>
      <c r="R18" s="43"/>
      <c r="S18" s="43"/>
      <c r="T18" s="43"/>
      <c r="U18" s="43"/>
      <c r="V18" s="43"/>
      <c r="W18" s="43"/>
    </row>
    <row r="19" spans="1:23">
      <c r="A19" s="154" t="s">
        <v>400</v>
      </c>
      <c r="B19" s="154"/>
      <c r="C19" s="14" t="s">
        <v>1727</v>
      </c>
      <c r="D19" s="154"/>
      <c r="E19" s="43">
        <v>-160</v>
      </c>
      <c r="F19" s="154"/>
      <c r="G19" s="43">
        <v>-159</v>
      </c>
      <c r="H19" s="43"/>
      <c r="I19" s="69">
        <f t="shared" si="0"/>
        <v>-1</v>
      </c>
      <c r="J19" s="156"/>
      <c r="K19" s="39" t="s">
        <v>80</v>
      </c>
      <c r="L19" s="43"/>
      <c r="M19" s="43"/>
      <c r="N19" s="43"/>
      <c r="O19" s="43">
        <f>I19</f>
        <v>-1</v>
      </c>
      <c r="P19" s="43"/>
      <c r="Q19" s="43"/>
      <c r="R19" s="43"/>
      <c r="S19" s="43"/>
      <c r="T19" s="43"/>
      <c r="U19" s="43"/>
      <c r="V19" s="43"/>
      <c r="W19" s="43"/>
    </row>
    <row r="20" spans="1:23">
      <c r="A20" s="154" t="s">
        <v>401</v>
      </c>
      <c r="B20" s="154"/>
      <c r="C20" s="14" t="s">
        <v>1727</v>
      </c>
      <c r="D20" s="154"/>
      <c r="E20" s="43">
        <v>4</v>
      </c>
      <c r="F20" s="154"/>
      <c r="G20" s="43">
        <v>-55</v>
      </c>
      <c r="H20" s="43"/>
      <c r="I20" s="69">
        <f t="shared" si="0"/>
        <v>59</v>
      </c>
      <c r="J20" s="156"/>
      <c r="K20" s="39" t="s">
        <v>80</v>
      </c>
      <c r="L20" s="43"/>
      <c r="M20" s="43"/>
      <c r="N20" s="43"/>
      <c r="O20" s="43">
        <f>I20</f>
        <v>59</v>
      </c>
      <c r="P20" s="43"/>
      <c r="Q20" s="43"/>
      <c r="R20" s="43"/>
      <c r="S20" s="43"/>
      <c r="T20" s="43"/>
      <c r="U20" s="43"/>
      <c r="V20" s="43"/>
      <c r="W20" s="43"/>
    </row>
    <row r="21" spans="1:23">
      <c r="A21" s="154" t="s">
        <v>402</v>
      </c>
      <c r="B21" s="154"/>
      <c r="C21" s="14" t="s">
        <v>1727</v>
      </c>
      <c r="D21" s="154"/>
      <c r="E21" s="43">
        <v>93</v>
      </c>
      <c r="F21" s="154"/>
      <c r="G21" s="43">
        <v>29</v>
      </c>
      <c r="H21" s="43"/>
      <c r="I21" s="69">
        <f t="shared" si="0"/>
        <v>64</v>
      </c>
      <c r="J21" s="156"/>
      <c r="K21" s="39" t="s">
        <v>80</v>
      </c>
      <c r="L21" s="43"/>
      <c r="M21" s="43"/>
      <c r="N21" s="43"/>
      <c r="O21" s="43">
        <f t="shared" ref="O21:O25" si="2">I21</f>
        <v>64</v>
      </c>
      <c r="P21" s="43"/>
      <c r="Q21" s="43"/>
      <c r="R21" s="43"/>
      <c r="S21" s="43"/>
      <c r="T21" s="43"/>
      <c r="U21" s="43"/>
      <c r="V21" s="43"/>
      <c r="W21" s="43"/>
    </row>
    <row r="22" spans="1:23">
      <c r="A22" s="154" t="s">
        <v>450</v>
      </c>
      <c r="B22" s="154"/>
      <c r="C22" s="14" t="s">
        <v>1727</v>
      </c>
      <c r="D22" s="154"/>
      <c r="E22" s="38"/>
      <c r="F22" s="154"/>
      <c r="G22" s="38"/>
      <c r="H22" s="43"/>
      <c r="I22" s="69">
        <f t="shared" si="0"/>
        <v>0</v>
      </c>
      <c r="J22" s="156"/>
      <c r="K22" s="39" t="s">
        <v>80</v>
      </c>
      <c r="L22" s="43"/>
      <c r="M22" s="43"/>
      <c r="N22" s="43"/>
      <c r="O22" s="43">
        <f t="shared" si="2"/>
        <v>0</v>
      </c>
      <c r="P22" s="43"/>
      <c r="Q22" s="43"/>
      <c r="R22" s="43"/>
      <c r="S22" s="43"/>
      <c r="T22" s="43"/>
      <c r="U22" s="43"/>
      <c r="V22" s="43"/>
      <c r="W22" s="43"/>
    </row>
    <row r="23" spans="1:23">
      <c r="A23" s="154" t="s">
        <v>403</v>
      </c>
      <c r="B23" s="154"/>
      <c r="C23" s="12"/>
      <c r="D23" s="154"/>
      <c r="E23" s="38">
        <v>21</v>
      </c>
      <c r="F23" s="154"/>
      <c r="G23" s="38">
        <v>3</v>
      </c>
      <c r="H23" s="43"/>
      <c r="I23" s="69">
        <f t="shared" si="0"/>
        <v>18</v>
      </c>
      <c r="J23" s="156"/>
      <c r="K23" s="39" t="s">
        <v>80</v>
      </c>
      <c r="L23" s="43"/>
      <c r="M23" s="43"/>
      <c r="N23" s="43"/>
      <c r="O23" s="43">
        <f t="shared" si="2"/>
        <v>18</v>
      </c>
      <c r="P23" s="43"/>
      <c r="Q23" s="43"/>
      <c r="R23" s="43"/>
      <c r="S23" s="43"/>
      <c r="T23" s="43"/>
      <c r="U23" s="43"/>
      <c r="V23" s="43"/>
      <c r="W23" s="43"/>
    </row>
    <row r="24" spans="1:23">
      <c r="A24" s="154" t="s">
        <v>1726</v>
      </c>
      <c r="B24" s="154"/>
      <c r="C24" s="12"/>
      <c r="D24" s="154"/>
      <c r="E24" s="38">
        <v>18</v>
      </c>
      <c r="F24" s="154"/>
      <c r="G24" s="38">
        <v>0</v>
      </c>
      <c r="H24" s="43"/>
      <c r="I24" s="69">
        <f t="shared" si="0"/>
        <v>18</v>
      </c>
      <c r="J24" s="156"/>
      <c r="K24" s="39" t="s">
        <v>80</v>
      </c>
      <c r="L24" s="43"/>
      <c r="M24" s="43"/>
      <c r="N24" s="43"/>
      <c r="O24" s="43">
        <f t="shared" si="2"/>
        <v>18</v>
      </c>
      <c r="P24" s="43"/>
      <c r="Q24" s="43"/>
      <c r="R24" s="43"/>
      <c r="S24" s="43"/>
      <c r="T24" s="43"/>
      <c r="U24" s="43"/>
      <c r="V24" s="43"/>
      <c r="W24" s="43"/>
    </row>
    <row r="25" spans="1:23">
      <c r="A25" s="154" t="s">
        <v>405</v>
      </c>
      <c r="B25" s="154"/>
      <c r="C25" s="12"/>
      <c r="D25" s="154"/>
      <c r="E25" s="38">
        <v>-425</v>
      </c>
      <c r="F25" s="154"/>
      <c r="G25" s="38">
        <v>-87</v>
      </c>
      <c r="H25" s="43"/>
      <c r="I25" s="69">
        <f t="shared" si="0"/>
        <v>-338</v>
      </c>
      <c r="J25" s="156"/>
      <c r="K25" s="39" t="s">
        <v>80</v>
      </c>
      <c r="L25" s="43"/>
      <c r="M25" s="43"/>
      <c r="N25" s="43"/>
      <c r="O25" s="43">
        <f t="shared" si="2"/>
        <v>-338</v>
      </c>
      <c r="P25" s="43"/>
      <c r="Q25" s="43"/>
      <c r="R25" s="43"/>
      <c r="S25" s="43"/>
      <c r="T25" s="43"/>
      <c r="U25" s="43"/>
      <c r="V25" s="43"/>
      <c r="W25" s="43"/>
    </row>
    <row r="26" spans="1:23">
      <c r="A26" s="154" t="s">
        <v>406</v>
      </c>
      <c r="B26" s="154"/>
      <c r="C26" s="14" t="s">
        <v>1727</v>
      </c>
      <c r="D26" s="154"/>
      <c r="E26" s="43">
        <v>-107</v>
      </c>
      <c r="F26" s="154"/>
      <c r="G26" s="43">
        <v>-45</v>
      </c>
      <c r="H26" s="43"/>
      <c r="I26" s="69">
        <f t="shared" si="0"/>
        <v>-62</v>
      </c>
      <c r="J26" s="156"/>
      <c r="K26" s="39" t="s">
        <v>80</v>
      </c>
      <c r="L26" s="43"/>
      <c r="M26" s="43"/>
      <c r="N26" s="43"/>
      <c r="O26" s="43">
        <f>I26</f>
        <v>-62</v>
      </c>
      <c r="P26" s="43"/>
      <c r="Q26" s="43"/>
      <c r="R26" s="43"/>
      <c r="S26" s="43"/>
      <c r="T26" s="43"/>
      <c r="U26" s="43"/>
      <c r="V26" s="43"/>
      <c r="W26" s="43"/>
    </row>
    <row r="27" spans="1:23">
      <c r="A27" s="154" t="s">
        <v>98</v>
      </c>
      <c r="B27" s="154"/>
      <c r="C27" s="14" t="s">
        <v>1727</v>
      </c>
      <c r="D27" s="154"/>
      <c r="E27" s="43">
        <f>-233+88</f>
        <v>-145</v>
      </c>
      <c r="F27" s="154"/>
      <c r="G27" s="43">
        <v>215</v>
      </c>
      <c r="H27" s="43"/>
      <c r="I27" s="69">
        <f t="shared" si="0"/>
        <v>-360</v>
      </c>
      <c r="J27" s="156"/>
      <c r="K27" s="39" t="s">
        <v>80</v>
      </c>
      <c r="L27" s="43"/>
      <c r="M27" s="43"/>
      <c r="N27" s="43"/>
      <c r="O27" s="43"/>
      <c r="P27" s="43"/>
      <c r="Q27" s="168">
        <f>I27</f>
        <v>-360</v>
      </c>
      <c r="R27" s="43"/>
      <c r="S27" s="43"/>
      <c r="T27" s="43"/>
      <c r="U27" s="43"/>
      <c r="V27" s="43"/>
      <c r="W27" s="43"/>
    </row>
    <row r="28" spans="1:23">
      <c r="A28" s="3" t="s">
        <v>407</v>
      </c>
      <c r="C28" s="14" t="s">
        <v>1727</v>
      </c>
      <c r="E28" s="43">
        <f>-28+2</f>
        <v>-26</v>
      </c>
      <c r="G28" s="43"/>
      <c r="H28" s="43"/>
      <c r="I28" s="69">
        <f t="shared" si="0"/>
        <v>-26</v>
      </c>
      <c r="J28" s="156"/>
      <c r="K28" s="39" t="s">
        <v>80</v>
      </c>
      <c r="L28" s="43"/>
      <c r="M28" s="43"/>
      <c r="N28" s="43"/>
      <c r="O28" s="43">
        <f>I28</f>
        <v>-26</v>
      </c>
      <c r="P28" s="43"/>
      <c r="Q28" s="43"/>
      <c r="R28" s="43"/>
      <c r="S28" s="43"/>
      <c r="T28" s="43"/>
      <c r="U28" s="43"/>
      <c r="V28" s="43"/>
      <c r="W28" s="43"/>
    </row>
    <row r="29" spans="1:23">
      <c r="A29" s="3" t="s">
        <v>412</v>
      </c>
      <c r="C29" s="14" t="s">
        <v>1727</v>
      </c>
      <c r="E29" s="43">
        <v>-7</v>
      </c>
      <c r="G29" s="43">
        <v>-7</v>
      </c>
      <c r="H29" s="43"/>
      <c r="I29" s="69">
        <f t="shared" si="0"/>
        <v>0</v>
      </c>
      <c r="J29" s="156"/>
      <c r="K29" s="39" t="s">
        <v>80</v>
      </c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</row>
    <row r="30" spans="1:23">
      <c r="A30" s="3" t="s">
        <v>446</v>
      </c>
      <c r="C30" s="14" t="s">
        <v>1727</v>
      </c>
      <c r="E30" s="43">
        <v>-554</v>
      </c>
      <c r="G30" s="43">
        <v>0</v>
      </c>
      <c r="H30" s="43"/>
      <c r="I30" s="69">
        <f t="shared" si="0"/>
        <v>-554</v>
      </c>
      <c r="J30" s="156"/>
      <c r="K30" s="39" t="s">
        <v>80</v>
      </c>
      <c r="L30" s="43"/>
      <c r="M30" s="43"/>
      <c r="N30" s="43"/>
      <c r="O30" s="43">
        <f>I30</f>
        <v>-554</v>
      </c>
      <c r="P30" s="43"/>
      <c r="Q30" s="43"/>
      <c r="R30" s="43"/>
      <c r="S30" s="43"/>
      <c r="T30" s="43"/>
      <c r="U30" s="43"/>
      <c r="V30" s="43"/>
      <c r="W30" s="43"/>
    </row>
    <row r="31" spans="1:23">
      <c r="A31" s="3" t="s">
        <v>444</v>
      </c>
      <c r="C31" s="14" t="s">
        <v>1727</v>
      </c>
      <c r="E31" s="43">
        <v>-219</v>
      </c>
      <c r="G31" s="43">
        <v>0</v>
      </c>
      <c r="H31" s="43"/>
      <c r="I31" s="69">
        <f t="shared" si="0"/>
        <v>-219</v>
      </c>
      <c r="J31" s="156"/>
      <c r="K31" s="39" t="s">
        <v>410</v>
      </c>
      <c r="L31" s="43"/>
      <c r="M31" s="168">
        <f>I31</f>
        <v>-219</v>
      </c>
      <c r="N31" s="43"/>
      <c r="O31" s="43"/>
      <c r="P31" s="43"/>
      <c r="Q31" s="43"/>
      <c r="R31" s="43"/>
      <c r="S31" s="43"/>
      <c r="T31" s="43"/>
      <c r="U31" s="43"/>
      <c r="V31" s="43"/>
      <c r="W31" s="43"/>
    </row>
    <row r="32" spans="1:23">
      <c r="A32" s="3" t="s">
        <v>1271</v>
      </c>
      <c r="C32" s="14"/>
      <c r="E32" s="43">
        <v>235</v>
      </c>
      <c r="G32" s="43">
        <v>320</v>
      </c>
      <c r="H32" s="43"/>
      <c r="I32" s="69">
        <f t="shared" si="0"/>
        <v>-85</v>
      </c>
      <c r="J32" s="156"/>
      <c r="K32" s="39"/>
      <c r="L32" s="43"/>
      <c r="M32" s="168"/>
      <c r="N32" s="43"/>
      <c r="O32" s="95">
        <f>I32</f>
        <v>-85</v>
      </c>
      <c r="P32" s="43"/>
      <c r="Q32" s="43"/>
      <c r="R32" s="43"/>
      <c r="S32" s="43"/>
      <c r="T32" s="43"/>
      <c r="U32" s="43"/>
      <c r="V32" s="43"/>
      <c r="W32" s="43"/>
    </row>
    <row r="33" spans="1:31">
      <c r="A33" s="3" t="s">
        <v>447</v>
      </c>
      <c r="C33" s="14" t="s">
        <v>1727</v>
      </c>
      <c r="E33" s="43">
        <f>3714-3706</f>
        <v>8</v>
      </c>
      <c r="G33" s="43">
        <v>0</v>
      </c>
      <c r="I33" s="69">
        <f t="shared" si="0"/>
        <v>8</v>
      </c>
      <c r="J33" s="147"/>
      <c r="K33" s="5" t="s">
        <v>80</v>
      </c>
      <c r="O33" s="95">
        <f>I33</f>
        <v>8</v>
      </c>
      <c r="P33" s="95"/>
    </row>
    <row r="34" spans="1:31">
      <c r="A34" s="3" t="s">
        <v>448</v>
      </c>
      <c r="C34" s="14" t="s">
        <v>1727</v>
      </c>
      <c r="E34" s="43">
        <v>38</v>
      </c>
      <c r="F34" s="43"/>
      <c r="G34" s="43">
        <v>0</v>
      </c>
      <c r="I34" s="69">
        <f t="shared" si="0"/>
        <v>38</v>
      </c>
      <c r="J34" s="147"/>
      <c r="K34" s="5" t="s">
        <v>410</v>
      </c>
      <c r="M34" s="95">
        <f>I34</f>
        <v>38</v>
      </c>
    </row>
    <row r="35" spans="1:31">
      <c r="A35" s="3" t="s">
        <v>449</v>
      </c>
      <c r="C35" s="14"/>
      <c r="E35" s="43"/>
      <c r="F35" s="43"/>
      <c r="G35" s="43"/>
      <c r="I35" s="69">
        <f t="shared" si="0"/>
        <v>0</v>
      </c>
      <c r="J35" s="147"/>
      <c r="K35" s="33" t="s">
        <v>451</v>
      </c>
      <c r="O35" s="95"/>
      <c r="P35" s="95"/>
      <c r="Q35" s="95">
        <f>I35</f>
        <v>0</v>
      </c>
    </row>
    <row r="36" spans="1:31" ht="13.5" thickBot="1">
      <c r="A36" s="3" t="s">
        <v>440</v>
      </c>
      <c r="C36" s="227" t="s">
        <v>1727</v>
      </c>
      <c r="E36" s="68">
        <f>SUM(E11:E35)</f>
        <v>3714</v>
      </c>
      <c r="G36" s="68">
        <f>SUM(G11:G35)</f>
        <v>19942</v>
      </c>
      <c r="H36" s="43"/>
      <c r="I36" s="68">
        <f>SUM(I11:I35)</f>
        <v>-16228</v>
      </c>
      <c r="J36" s="156"/>
      <c r="K36" s="39"/>
      <c r="L36" s="43"/>
      <c r="M36" s="68">
        <f>SUM(M9:M35)</f>
        <v>-181</v>
      </c>
      <c r="N36" s="43"/>
      <c r="O36" s="68">
        <f>SUM(O9:O35)</f>
        <v>-3953</v>
      </c>
      <c r="P36" s="15"/>
      <c r="Q36" s="68">
        <f>SUM(Q9:Q35)</f>
        <v>-360</v>
      </c>
      <c r="R36" s="43"/>
      <c r="S36" s="68">
        <f>SUM(S9:S35)</f>
        <v>-11800</v>
      </c>
      <c r="T36" s="43"/>
      <c r="U36" s="68">
        <f>SUM(U9:U35)</f>
        <v>66</v>
      </c>
    </row>
    <row r="37" spans="1:31" ht="13.5" thickTop="1">
      <c r="E37" s="93"/>
      <c r="J37" s="147"/>
      <c r="M37" s="5" t="s">
        <v>78</v>
      </c>
      <c r="O37" s="5" t="s">
        <v>81</v>
      </c>
      <c r="P37" s="5"/>
      <c r="Q37" s="33" t="s">
        <v>451</v>
      </c>
      <c r="S37" s="5" t="s">
        <v>81</v>
      </c>
      <c r="U37" s="33" t="s">
        <v>1203</v>
      </c>
    </row>
    <row r="38" spans="1:31">
      <c r="A38" s="3" t="s">
        <v>1210</v>
      </c>
      <c r="E38" s="43">
        <f>E36-E15</f>
        <v>11681</v>
      </c>
      <c r="G38" s="93"/>
      <c r="J38" s="147"/>
      <c r="K38" s="173"/>
    </row>
    <row r="39" spans="1:31">
      <c r="J39" s="147"/>
    </row>
    <row r="40" spans="1:31">
      <c r="A40" s="31" t="s">
        <v>452</v>
      </c>
      <c r="G40" s="93"/>
      <c r="J40" s="147"/>
    </row>
    <row r="41" spans="1:31">
      <c r="A41" s="31" t="s">
        <v>453</v>
      </c>
      <c r="B41" s="31"/>
      <c r="C41" s="33"/>
      <c r="D41" s="31"/>
      <c r="E41" s="31"/>
      <c r="F41" s="31"/>
      <c r="J41" s="147"/>
    </row>
    <row r="42" spans="1:31">
      <c r="A42" s="31" t="s">
        <v>1204</v>
      </c>
      <c r="B42" s="31"/>
      <c r="C42" s="33"/>
      <c r="D42" s="31"/>
      <c r="E42" s="31"/>
      <c r="F42" s="31"/>
      <c r="J42" s="147"/>
    </row>
    <row r="43" spans="1:31">
      <c r="A43" s="31" t="s">
        <v>1202</v>
      </c>
      <c r="B43" s="31"/>
      <c r="C43" s="33"/>
      <c r="D43" s="31"/>
      <c r="E43" s="31"/>
      <c r="F43" s="31"/>
      <c r="J43" s="147"/>
    </row>
    <row r="44" spans="1:31">
      <c r="B44" s="31"/>
      <c r="C44" s="33"/>
      <c r="D44" s="31"/>
      <c r="E44" s="31"/>
      <c r="F44" s="31"/>
      <c r="J44" s="147"/>
    </row>
    <row r="45" spans="1:31">
      <c r="AE45" s="43"/>
    </row>
    <row r="46" spans="1:31">
      <c r="AE46" s="95"/>
    </row>
  </sheetData>
  <pageMargins left="0.17" right="0.18" top="0.48" bottom="0.28000000000000003" header="0.3" footer="0.13"/>
  <pageSetup scale="93" orientation="landscape" r:id="rId1"/>
  <headerFooter>
    <oddFooter>&amp;L&amp;"Times New Roman,Regular"March 26, 2016&amp;C&amp;"Times New Roman,Regular"confidential and proprietary</oddFooter>
  </headerFooter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J2:J4"/>
  <sheetViews>
    <sheetView workbookViewId="0">
      <selection activeCell="L21" sqref="L21"/>
    </sheetView>
  </sheetViews>
  <sheetFormatPr defaultRowHeight="12.5"/>
  <sheetData>
    <row r="2" spans="10:10">
      <c r="J2" s="548" t="s">
        <v>1728</v>
      </c>
    </row>
    <row r="4" spans="10:10">
      <c r="J4" s="548" t="s">
        <v>1729</v>
      </c>
    </row>
  </sheetData>
  <pageMargins left="0.7" right="0.7" top="0.75" bottom="0.75" header="0.3" footer="0.3"/>
  <pageSetup orientation="portrait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V207"/>
  <sheetViews>
    <sheetView showGridLines="0" zoomScale="80" zoomScaleNormal="80" workbookViewId="0"/>
  </sheetViews>
  <sheetFormatPr defaultColWidth="9.1796875" defaultRowHeight="13"/>
  <cols>
    <col min="1" max="1" width="4.1796875" style="3" customWidth="1"/>
    <col min="2" max="2" width="49.81640625" style="3" customWidth="1"/>
    <col min="3" max="3" width="1.26953125" style="3" customWidth="1"/>
    <col min="4" max="4" width="11.453125" style="5" customWidth="1"/>
    <col min="5" max="5" width="1.26953125" style="5" customWidth="1"/>
    <col min="6" max="6" width="12.26953125" style="5" customWidth="1"/>
    <col min="7" max="7" width="1.1796875" style="5" customWidth="1"/>
    <col min="8" max="8" width="68.7265625" style="3" customWidth="1"/>
    <col min="9" max="9" width="0.7265625" style="3" hidden="1" customWidth="1"/>
    <col min="10" max="10" width="23.453125" style="5" hidden="1" customWidth="1"/>
    <col min="11" max="11" width="0.81640625" style="3" hidden="1" customWidth="1"/>
    <col min="12" max="12" width="23.453125" style="5" hidden="1" customWidth="1"/>
    <col min="13" max="13" width="0.7265625" style="5" customWidth="1"/>
    <col min="14" max="14" width="11.453125" style="5" bestFit="1" customWidth="1"/>
    <col min="15" max="15" width="1.1796875" style="5" customWidth="1"/>
    <col min="16" max="16" width="22.1796875" style="57" bestFit="1" customWidth="1"/>
    <col min="17" max="17" width="1.1796875" style="5" hidden="1" customWidth="1"/>
    <col min="18" max="18" width="28.453125" style="5" hidden="1" customWidth="1"/>
    <col min="19" max="19" width="0.81640625" style="3" hidden="1" customWidth="1"/>
    <col min="20" max="20" width="28.453125" style="5" hidden="1" customWidth="1"/>
    <col min="21" max="21" width="1.26953125" style="3" customWidth="1"/>
    <col min="22" max="22" width="8.7265625"/>
    <col min="23" max="23" width="1.1796875" style="3" customWidth="1"/>
    <col min="24" max="16384" width="9.1796875" style="3"/>
  </cols>
  <sheetData>
    <row r="1" spans="1:20">
      <c r="F1" s="6" t="s">
        <v>185</v>
      </c>
    </row>
    <row r="2" spans="1:20">
      <c r="F2" s="6" t="s">
        <v>186</v>
      </c>
      <c r="G2" s="76"/>
    </row>
    <row r="3" spans="1:20">
      <c r="A3" s="76"/>
      <c r="B3" s="76"/>
      <c r="C3" s="76"/>
      <c r="F3" s="6" t="s">
        <v>481</v>
      </c>
    </row>
    <row r="4" spans="1:20">
      <c r="A4" s="76"/>
      <c r="B4" s="76"/>
      <c r="C4" s="76"/>
      <c r="H4" s="10"/>
    </row>
    <row r="5" spans="1:20">
      <c r="A5" s="98"/>
      <c r="B5" s="98" t="s">
        <v>187</v>
      </c>
      <c r="C5" s="98"/>
      <c r="H5" s="3" t="s">
        <v>414</v>
      </c>
      <c r="L5" s="5" t="s">
        <v>188</v>
      </c>
    </row>
    <row r="6" spans="1:20">
      <c r="B6" s="3" t="s">
        <v>480</v>
      </c>
      <c r="D6" s="5" t="s">
        <v>189</v>
      </c>
      <c r="F6" s="5" t="s">
        <v>190</v>
      </c>
      <c r="H6" s="76" t="s">
        <v>416</v>
      </c>
      <c r="T6" s="5" t="s">
        <v>361</v>
      </c>
    </row>
    <row r="7" spans="1:20">
      <c r="A7" s="99"/>
      <c r="B7" s="85" t="s">
        <v>191</v>
      </c>
      <c r="D7" s="85" t="s">
        <v>192</v>
      </c>
      <c r="F7" s="85" t="s">
        <v>192</v>
      </c>
      <c r="G7" s="57"/>
      <c r="H7" s="85" t="s">
        <v>193</v>
      </c>
      <c r="J7" s="85" t="s">
        <v>194</v>
      </c>
      <c r="L7" s="85" t="s">
        <v>195</v>
      </c>
      <c r="M7" s="57"/>
      <c r="N7" s="85" t="s">
        <v>413</v>
      </c>
      <c r="O7" s="57"/>
      <c r="Q7" s="57"/>
      <c r="R7" s="85" t="s">
        <v>357</v>
      </c>
      <c r="T7" s="85" t="s">
        <v>358</v>
      </c>
    </row>
    <row r="8" spans="1:20">
      <c r="H8" s="5"/>
      <c r="J8" s="5" t="s">
        <v>196</v>
      </c>
      <c r="L8" s="5" t="s">
        <v>197</v>
      </c>
    </row>
    <row r="9" spans="1:20">
      <c r="A9" s="76" t="s">
        <v>198</v>
      </c>
      <c r="H9" s="100"/>
    </row>
    <row r="10" spans="1:20">
      <c r="A10" s="46" t="s">
        <v>200</v>
      </c>
      <c r="B10" s="3" t="s">
        <v>201</v>
      </c>
      <c r="D10" s="57" t="s">
        <v>11</v>
      </c>
      <c r="E10" s="57"/>
      <c r="F10" s="57" t="s">
        <v>11</v>
      </c>
      <c r="G10" s="57"/>
      <c r="H10" s="101"/>
      <c r="J10" s="57" t="s">
        <v>11</v>
      </c>
      <c r="L10" s="57" t="s">
        <v>11</v>
      </c>
      <c r="M10" s="57"/>
      <c r="N10" s="57" t="s">
        <v>11</v>
      </c>
      <c r="O10" s="57"/>
      <c r="Q10" s="57"/>
      <c r="R10" s="57" t="s">
        <v>11</v>
      </c>
      <c r="S10" s="57"/>
      <c r="T10" s="57" t="s">
        <v>11</v>
      </c>
    </row>
    <row r="11" spans="1:20">
      <c r="A11" s="46" t="s">
        <v>202</v>
      </c>
      <c r="B11" s="3" t="s">
        <v>203</v>
      </c>
      <c r="D11" s="57" t="s">
        <v>205</v>
      </c>
      <c r="E11" s="57"/>
      <c r="F11" s="57" t="s">
        <v>206</v>
      </c>
      <c r="G11" s="57"/>
      <c r="H11" s="101" t="s">
        <v>415</v>
      </c>
      <c r="J11" s="5" t="s">
        <v>197</v>
      </c>
      <c r="L11" s="5" t="s">
        <v>197</v>
      </c>
      <c r="N11" s="57" t="s">
        <v>374</v>
      </c>
      <c r="R11" s="5" t="s">
        <v>197</v>
      </c>
      <c r="T11" s="57" t="s">
        <v>374</v>
      </c>
    </row>
    <row r="12" spans="1:20">
      <c r="A12" s="46" t="s">
        <v>204</v>
      </c>
      <c r="B12" s="3" t="s">
        <v>13</v>
      </c>
      <c r="D12" s="57" t="s">
        <v>205</v>
      </c>
      <c r="E12" s="57"/>
      <c r="F12" s="57" t="s">
        <v>206</v>
      </c>
      <c r="G12" s="57"/>
      <c r="H12" s="101" t="s">
        <v>373</v>
      </c>
      <c r="J12" s="13" t="s">
        <v>207</v>
      </c>
      <c r="L12" s="13" t="s">
        <v>207</v>
      </c>
      <c r="M12" s="13"/>
      <c r="N12" s="57" t="s">
        <v>374</v>
      </c>
      <c r="O12" s="13"/>
      <c r="Q12" s="13"/>
      <c r="R12" s="57" t="s">
        <v>374</v>
      </c>
      <c r="T12" s="57" t="s">
        <v>374</v>
      </c>
    </row>
    <row r="13" spans="1:20">
      <c r="A13" s="76"/>
      <c r="D13" s="57"/>
      <c r="E13" s="57"/>
      <c r="F13" s="57"/>
      <c r="G13" s="57"/>
      <c r="H13" s="101"/>
    </row>
    <row r="14" spans="1:20">
      <c r="A14" s="76" t="s">
        <v>208</v>
      </c>
      <c r="D14" s="57" t="s">
        <v>205</v>
      </c>
      <c r="E14" s="57"/>
      <c r="F14" s="57" t="s">
        <v>206</v>
      </c>
      <c r="G14" s="57"/>
      <c r="H14" s="101" t="s">
        <v>209</v>
      </c>
      <c r="J14" s="5" t="s">
        <v>11</v>
      </c>
      <c r="L14" s="5" t="s">
        <v>197</v>
      </c>
      <c r="N14" s="57" t="s">
        <v>374</v>
      </c>
      <c r="R14" s="5" t="s">
        <v>197</v>
      </c>
      <c r="T14" s="5" t="s">
        <v>197</v>
      </c>
    </row>
    <row r="15" spans="1:20">
      <c r="A15" s="76"/>
      <c r="D15" s="57"/>
      <c r="E15" s="57"/>
      <c r="F15" s="57"/>
      <c r="G15" s="57"/>
      <c r="H15" s="101"/>
    </row>
    <row r="16" spans="1:20">
      <c r="A16" s="76" t="s">
        <v>210</v>
      </c>
      <c r="D16" s="5" t="s">
        <v>199</v>
      </c>
      <c r="F16" s="5" t="s">
        <v>199</v>
      </c>
      <c r="H16" s="101"/>
      <c r="L16" s="5" t="s">
        <v>11</v>
      </c>
      <c r="N16" s="57" t="s">
        <v>374</v>
      </c>
      <c r="R16" s="5" t="s">
        <v>360</v>
      </c>
      <c r="T16" s="5" t="s">
        <v>360</v>
      </c>
    </row>
    <row r="17" spans="1:20">
      <c r="A17" s="46" t="s">
        <v>200</v>
      </c>
      <c r="B17" s="3" t="s">
        <v>211</v>
      </c>
      <c r="D17" s="57" t="s">
        <v>11</v>
      </c>
      <c r="E17" s="57"/>
      <c r="F17" s="57" t="s">
        <v>11</v>
      </c>
      <c r="G17" s="57"/>
      <c r="H17" s="102"/>
      <c r="N17" s="5" t="s">
        <v>11</v>
      </c>
      <c r="R17" s="57" t="s">
        <v>11</v>
      </c>
      <c r="T17" s="57" t="s">
        <v>11</v>
      </c>
    </row>
    <row r="18" spans="1:20">
      <c r="A18" s="46" t="s">
        <v>202</v>
      </c>
      <c r="B18" s="3" t="s">
        <v>212</v>
      </c>
      <c r="D18" s="57" t="s">
        <v>11</v>
      </c>
      <c r="E18" s="57"/>
      <c r="F18" s="57" t="s">
        <v>11</v>
      </c>
      <c r="G18" s="57"/>
      <c r="H18" s="101"/>
      <c r="N18" s="5" t="s">
        <v>11</v>
      </c>
    </row>
    <row r="19" spans="1:20">
      <c r="A19" s="76"/>
      <c r="D19" s="57"/>
      <c r="E19" s="57"/>
      <c r="F19" s="57"/>
      <c r="G19" s="57"/>
      <c r="H19" s="100"/>
    </row>
    <row r="20" spans="1:20">
      <c r="A20" s="76" t="s">
        <v>213</v>
      </c>
      <c r="D20" s="57" t="s">
        <v>11</v>
      </c>
      <c r="E20" s="57"/>
      <c r="F20" s="57" t="s">
        <v>11</v>
      </c>
      <c r="G20" s="57"/>
      <c r="H20" s="101"/>
      <c r="N20" s="57" t="s">
        <v>374</v>
      </c>
      <c r="R20" s="5" t="s">
        <v>214</v>
      </c>
      <c r="T20" s="5" t="s">
        <v>214</v>
      </c>
    </row>
    <row r="21" spans="1:20">
      <c r="A21" s="76"/>
      <c r="D21" s="57"/>
      <c r="E21" s="57"/>
      <c r="F21" s="57"/>
      <c r="G21" s="57"/>
      <c r="H21" s="101"/>
    </row>
    <row r="22" spans="1:20">
      <c r="A22" s="76" t="s">
        <v>215</v>
      </c>
      <c r="D22" s="57" t="s">
        <v>11</v>
      </c>
      <c r="E22" s="57"/>
      <c r="F22" s="57" t="s">
        <v>11</v>
      </c>
      <c r="G22" s="57"/>
      <c r="H22" s="101"/>
      <c r="N22" s="57" t="s">
        <v>11</v>
      </c>
      <c r="R22" s="57" t="s">
        <v>11</v>
      </c>
      <c r="T22" s="57" t="s">
        <v>11</v>
      </c>
    </row>
    <row r="23" spans="1:20">
      <c r="A23" s="76"/>
      <c r="D23" s="57"/>
      <c r="E23" s="57"/>
      <c r="F23" s="57"/>
      <c r="G23" s="57"/>
      <c r="H23" s="101"/>
    </row>
    <row r="24" spans="1:20">
      <c r="A24" s="76" t="s">
        <v>216</v>
      </c>
      <c r="D24" s="57" t="s">
        <v>11</v>
      </c>
      <c r="E24" s="57"/>
      <c r="F24" s="57" t="s">
        <v>11</v>
      </c>
      <c r="G24" s="57"/>
      <c r="H24" s="101"/>
      <c r="N24" s="5" t="s">
        <v>11</v>
      </c>
      <c r="R24" s="57" t="s">
        <v>11</v>
      </c>
      <c r="T24" s="57" t="s">
        <v>11</v>
      </c>
    </row>
    <row r="25" spans="1:20">
      <c r="A25" s="76"/>
      <c r="D25" s="57"/>
      <c r="E25" s="57"/>
      <c r="F25" s="57"/>
      <c r="G25" s="57"/>
      <c r="H25" s="101"/>
    </row>
    <row r="26" spans="1:20">
      <c r="A26" s="76" t="s">
        <v>217</v>
      </c>
      <c r="D26" s="57" t="s">
        <v>11</v>
      </c>
      <c r="E26" s="57"/>
      <c r="F26" s="57" t="s">
        <v>11</v>
      </c>
      <c r="G26" s="57"/>
      <c r="H26" s="101"/>
      <c r="N26" s="5" t="s">
        <v>11</v>
      </c>
      <c r="R26" s="57" t="s">
        <v>11</v>
      </c>
      <c r="T26" s="57" t="s">
        <v>11</v>
      </c>
    </row>
    <row r="27" spans="1:20">
      <c r="A27" s="76"/>
      <c r="D27" s="57"/>
      <c r="E27" s="57"/>
      <c r="F27" s="57"/>
      <c r="G27" s="57"/>
      <c r="H27" s="101"/>
    </row>
    <row r="28" spans="1:20">
      <c r="A28" s="76" t="s">
        <v>218</v>
      </c>
      <c r="D28" s="57" t="s">
        <v>11</v>
      </c>
      <c r="E28" s="57"/>
      <c r="F28" s="57" t="s">
        <v>11</v>
      </c>
      <c r="G28" s="57"/>
      <c r="H28" s="101"/>
      <c r="N28" s="5" t="s">
        <v>11</v>
      </c>
      <c r="R28" s="57" t="s">
        <v>11</v>
      </c>
      <c r="T28" s="57" t="s">
        <v>11</v>
      </c>
    </row>
    <row r="29" spans="1:20">
      <c r="A29" s="76"/>
      <c r="D29" s="57"/>
      <c r="E29" s="57"/>
      <c r="F29" s="57"/>
      <c r="G29" s="57"/>
      <c r="H29" s="101"/>
    </row>
    <row r="30" spans="1:20">
      <c r="A30" s="76" t="s">
        <v>219</v>
      </c>
      <c r="H30" s="101"/>
      <c r="N30" s="92"/>
      <c r="P30" s="186"/>
    </row>
    <row r="31" spans="1:20">
      <c r="A31" s="76"/>
      <c r="B31" s="3" t="s">
        <v>220</v>
      </c>
      <c r="D31" s="57" t="s">
        <v>205</v>
      </c>
      <c r="E31" s="57"/>
      <c r="F31" s="57" t="s">
        <v>206</v>
      </c>
      <c r="G31" s="57"/>
      <c r="H31" s="101" t="s">
        <v>221</v>
      </c>
      <c r="J31" s="5" t="s">
        <v>197</v>
      </c>
      <c r="L31" s="5" t="s">
        <v>197</v>
      </c>
      <c r="N31" s="5" t="s">
        <v>197</v>
      </c>
      <c r="R31" s="5" t="s">
        <v>197</v>
      </c>
      <c r="T31" s="5" t="s">
        <v>197</v>
      </c>
    </row>
    <row r="32" spans="1:20">
      <c r="A32" s="76"/>
      <c r="B32" s="3" t="s">
        <v>222</v>
      </c>
      <c r="D32" s="57" t="s">
        <v>205</v>
      </c>
      <c r="E32" s="57"/>
      <c r="F32" s="57" t="s">
        <v>206</v>
      </c>
      <c r="G32" s="57"/>
      <c r="H32" s="101" t="s">
        <v>223</v>
      </c>
      <c r="J32" s="5" t="s">
        <v>197</v>
      </c>
      <c r="L32" s="5" t="s">
        <v>197</v>
      </c>
      <c r="N32" s="5" t="s">
        <v>197</v>
      </c>
      <c r="R32" s="5" t="s">
        <v>197</v>
      </c>
      <c r="T32" s="5" t="s">
        <v>197</v>
      </c>
    </row>
    <row r="33" spans="1:20">
      <c r="A33" s="76"/>
      <c r="B33" s="3" t="s">
        <v>224</v>
      </c>
      <c r="D33" s="57" t="s">
        <v>205</v>
      </c>
      <c r="E33" s="57"/>
      <c r="F33" s="57" t="s">
        <v>206</v>
      </c>
      <c r="G33" s="57"/>
      <c r="H33" s="101" t="s">
        <v>225</v>
      </c>
      <c r="J33" s="5" t="s">
        <v>197</v>
      </c>
      <c r="L33" s="5" t="s">
        <v>197</v>
      </c>
      <c r="N33" s="5" t="s">
        <v>197</v>
      </c>
      <c r="R33" s="5" t="s">
        <v>197</v>
      </c>
      <c r="T33" s="5" t="s">
        <v>197</v>
      </c>
    </row>
    <row r="34" spans="1:20">
      <c r="A34" s="76"/>
      <c r="B34" s="3" t="s">
        <v>226</v>
      </c>
      <c r="D34" s="57" t="s">
        <v>205</v>
      </c>
      <c r="E34" s="57"/>
      <c r="F34" s="57" t="s">
        <v>206</v>
      </c>
      <c r="G34" s="57"/>
      <c r="H34" s="101" t="s">
        <v>227</v>
      </c>
      <c r="J34" s="13" t="s">
        <v>197</v>
      </c>
      <c r="L34" s="13" t="s">
        <v>197</v>
      </c>
      <c r="M34" s="13"/>
      <c r="N34" s="13" t="s">
        <v>197</v>
      </c>
      <c r="O34" s="13"/>
      <c r="P34" s="12"/>
      <c r="Q34" s="13"/>
      <c r="R34" s="13" t="s">
        <v>197</v>
      </c>
      <c r="T34" s="13" t="s">
        <v>197</v>
      </c>
    </row>
    <row r="35" spans="1:20">
      <c r="A35" s="76"/>
      <c r="B35" s="3" t="s">
        <v>228</v>
      </c>
      <c r="D35" s="57" t="s">
        <v>205</v>
      </c>
      <c r="E35" s="57"/>
      <c r="F35" s="57" t="s">
        <v>206</v>
      </c>
      <c r="G35" s="57"/>
      <c r="H35" s="101" t="s">
        <v>229</v>
      </c>
      <c r="J35" s="13" t="s">
        <v>197</v>
      </c>
      <c r="L35" s="13" t="s">
        <v>197</v>
      </c>
      <c r="M35" s="13"/>
      <c r="N35" s="13" t="s">
        <v>197</v>
      </c>
      <c r="O35" s="13"/>
      <c r="P35" s="12"/>
      <c r="Q35" s="13"/>
      <c r="R35" s="13" t="s">
        <v>197</v>
      </c>
      <c r="T35" s="13" t="s">
        <v>197</v>
      </c>
    </row>
    <row r="36" spans="1:20">
      <c r="A36" s="76"/>
      <c r="B36" s="3" t="s">
        <v>230</v>
      </c>
      <c r="D36" s="57" t="s">
        <v>205</v>
      </c>
      <c r="E36" s="57"/>
      <c r="F36" s="57" t="s">
        <v>206</v>
      </c>
      <c r="G36" s="57"/>
      <c r="H36" s="101" t="s">
        <v>231</v>
      </c>
      <c r="J36" s="5" t="s">
        <v>197</v>
      </c>
      <c r="L36" s="5" t="s">
        <v>197</v>
      </c>
      <c r="N36" s="5" t="s">
        <v>197</v>
      </c>
      <c r="R36" s="5" t="s">
        <v>197</v>
      </c>
      <c r="T36" s="5" t="s">
        <v>197</v>
      </c>
    </row>
    <row r="37" spans="1:20">
      <c r="A37" s="76"/>
      <c r="D37" s="57"/>
      <c r="E37" s="57"/>
      <c r="F37" s="57"/>
      <c r="G37" s="57"/>
      <c r="H37" s="101"/>
    </row>
    <row r="38" spans="1:20">
      <c r="A38" s="76" t="s">
        <v>232</v>
      </c>
      <c r="G38" s="57"/>
      <c r="H38" s="101"/>
      <c r="J38" s="5" t="s">
        <v>11</v>
      </c>
      <c r="L38" s="5" t="s">
        <v>11</v>
      </c>
    </row>
    <row r="39" spans="1:20">
      <c r="A39" s="46" t="s">
        <v>200</v>
      </c>
      <c r="B39" s="3" t="s">
        <v>233</v>
      </c>
      <c r="D39" s="57" t="s">
        <v>11</v>
      </c>
      <c r="E39" s="57"/>
      <c r="F39" s="57" t="s">
        <v>11</v>
      </c>
      <c r="G39" s="57"/>
      <c r="H39" s="101"/>
      <c r="N39" s="5" t="s">
        <v>11</v>
      </c>
      <c r="R39" s="5" t="s">
        <v>11</v>
      </c>
      <c r="T39" s="5" t="s">
        <v>11</v>
      </c>
    </row>
    <row r="40" spans="1:20">
      <c r="A40" s="46" t="s">
        <v>202</v>
      </c>
      <c r="B40" s="3" t="s">
        <v>234</v>
      </c>
      <c r="D40" s="57" t="s">
        <v>11</v>
      </c>
      <c r="E40" s="57"/>
      <c r="F40" s="57" t="s">
        <v>11</v>
      </c>
      <c r="G40" s="57"/>
      <c r="H40" s="101"/>
      <c r="N40" s="5" t="s">
        <v>11</v>
      </c>
      <c r="R40" s="5" t="s">
        <v>11</v>
      </c>
      <c r="T40" s="5" t="s">
        <v>11</v>
      </c>
    </row>
    <row r="41" spans="1:20">
      <c r="A41" s="46" t="s">
        <v>204</v>
      </c>
      <c r="B41" s="3" t="s">
        <v>235</v>
      </c>
      <c r="D41" s="57" t="s">
        <v>11</v>
      </c>
      <c r="E41" s="57"/>
      <c r="F41" s="57" t="s">
        <v>11</v>
      </c>
      <c r="G41" s="57"/>
      <c r="H41" s="101"/>
      <c r="N41" s="5" t="s">
        <v>11</v>
      </c>
      <c r="R41" s="5" t="s">
        <v>11</v>
      </c>
      <c r="T41" s="5" t="s">
        <v>11</v>
      </c>
    </row>
    <row r="42" spans="1:20">
      <c r="A42" s="76"/>
      <c r="D42" s="57"/>
      <c r="E42" s="57"/>
      <c r="F42" s="57"/>
      <c r="G42" s="57"/>
      <c r="H42" s="101"/>
    </row>
    <row r="43" spans="1:20">
      <c r="A43" s="76" t="s">
        <v>236</v>
      </c>
      <c r="D43" s="57" t="s">
        <v>11</v>
      </c>
      <c r="E43" s="57"/>
      <c r="F43" s="57" t="s">
        <v>11</v>
      </c>
      <c r="G43" s="57"/>
      <c r="H43" s="101"/>
      <c r="N43" s="5" t="s">
        <v>11</v>
      </c>
      <c r="R43" s="5" t="s">
        <v>11</v>
      </c>
      <c r="T43" s="5" t="s">
        <v>11</v>
      </c>
    </row>
    <row r="44" spans="1:20">
      <c r="A44" s="76"/>
      <c r="D44" s="57"/>
      <c r="E44" s="57"/>
      <c r="F44" s="57"/>
      <c r="G44" s="57"/>
      <c r="H44" s="101"/>
    </row>
    <row r="45" spans="1:20">
      <c r="A45" s="76" t="s">
        <v>237</v>
      </c>
      <c r="D45" s="57" t="s">
        <v>11</v>
      </c>
      <c r="E45" s="57"/>
      <c r="F45" s="57" t="s">
        <v>11</v>
      </c>
      <c r="G45" s="57"/>
      <c r="H45" s="101"/>
      <c r="N45" s="5" t="s">
        <v>11</v>
      </c>
      <c r="R45" s="5" t="s">
        <v>11</v>
      </c>
      <c r="T45" s="5" t="s">
        <v>11</v>
      </c>
    </row>
    <row r="46" spans="1:20">
      <c r="A46" s="76"/>
      <c r="D46" s="57"/>
      <c r="E46" s="57"/>
      <c r="F46" s="57"/>
      <c r="G46" s="57"/>
      <c r="H46" s="101"/>
    </row>
    <row r="47" spans="1:20">
      <c r="A47" s="76" t="s">
        <v>238</v>
      </c>
      <c r="D47" s="57" t="s">
        <v>205</v>
      </c>
      <c r="E47" s="57"/>
      <c r="F47" s="57" t="s">
        <v>206</v>
      </c>
      <c r="G47" s="57"/>
      <c r="H47" s="101" t="s">
        <v>239</v>
      </c>
      <c r="N47" s="5" t="s">
        <v>11</v>
      </c>
      <c r="R47" s="5" t="s">
        <v>11</v>
      </c>
      <c r="T47" s="5" t="s">
        <v>11</v>
      </c>
    </row>
    <row r="48" spans="1:20">
      <c r="A48" s="76"/>
      <c r="D48" s="57"/>
      <c r="E48" s="57"/>
      <c r="F48" s="57"/>
      <c r="G48" s="57"/>
      <c r="H48" s="101"/>
    </row>
    <row r="49" spans="1:20">
      <c r="A49" s="76" t="s">
        <v>240</v>
      </c>
      <c r="D49" s="57"/>
      <c r="E49" s="57"/>
      <c r="F49" s="57"/>
      <c r="G49" s="57"/>
      <c r="H49" s="102"/>
    </row>
    <row r="50" spans="1:20">
      <c r="A50" s="46" t="s">
        <v>200</v>
      </c>
      <c r="B50" s="3" t="s">
        <v>241</v>
      </c>
      <c r="D50" s="57" t="s">
        <v>11</v>
      </c>
      <c r="E50" s="57"/>
      <c r="F50" s="57" t="s">
        <v>11</v>
      </c>
      <c r="G50" s="57"/>
      <c r="H50" s="101"/>
      <c r="N50" s="5" t="s">
        <v>11</v>
      </c>
      <c r="R50" s="5" t="s">
        <v>11</v>
      </c>
      <c r="T50" s="5" t="s">
        <v>11</v>
      </c>
    </row>
    <row r="51" spans="1:20">
      <c r="A51" s="46" t="s">
        <v>202</v>
      </c>
      <c r="B51" s="3" t="s">
        <v>242</v>
      </c>
      <c r="D51" s="57" t="s">
        <v>11</v>
      </c>
      <c r="E51" s="57"/>
      <c r="F51" s="57" t="s">
        <v>11</v>
      </c>
      <c r="G51" s="57"/>
      <c r="H51" s="101"/>
      <c r="N51" s="5" t="s">
        <v>11</v>
      </c>
      <c r="R51" s="5" t="s">
        <v>11</v>
      </c>
      <c r="T51" s="5" t="s">
        <v>11</v>
      </c>
    </row>
    <row r="52" spans="1:20">
      <c r="A52" s="76"/>
      <c r="D52" s="57"/>
      <c r="E52" s="57"/>
      <c r="F52" s="57"/>
      <c r="G52" s="57"/>
      <c r="H52" s="101"/>
    </row>
    <row r="53" spans="1:20">
      <c r="A53" s="76" t="s">
        <v>243</v>
      </c>
      <c r="D53" s="57" t="s">
        <v>11</v>
      </c>
      <c r="E53" s="57"/>
      <c r="F53" s="57" t="s">
        <v>11</v>
      </c>
      <c r="G53" s="57"/>
      <c r="H53" s="101"/>
      <c r="J53" s="5" t="s">
        <v>197</v>
      </c>
      <c r="L53" s="5" t="s">
        <v>197</v>
      </c>
      <c r="N53" s="13" t="s">
        <v>11</v>
      </c>
      <c r="P53" s="12"/>
      <c r="R53" s="13" t="s">
        <v>11</v>
      </c>
      <c r="T53" s="13" t="s">
        <v>11</v>
      </c>
    </row>
    <row r="54" spans="1:20">
      <c r="A54" s="76"/>
      <c r="D54" s="57"/>
      <c r="E54" s="57"/>
      <c r="F54" s="57"/>
      <c r="G54" s="57"/>
      <c r="H54" s="101"/>
    </row>
    <row r="55" spans="1:20">
      <c r="A55" s="76" t="s">
        <v>244</v>
      </c>
      <c r="D55" s="57" t="s">
        <v>11</v>
      </c>
      <c r="E55" s="57"/>
      <c r="F55" s="57" t="s">
        <v>11</v>
      </c>
      <c r="G55" s="57"/>
      <c r="H55" s="101"/>
      <c r="J55" s="5" t="s">
        <v>11</v>
      </c>
      <c r="L55" s="5" t="s">
        <v>11</v>
      </c>
      <c r="N55" s="5" t="s">
        <v>11</v>
      </c>
      <c r="R55" s="5" t="s">
        <v>11</v>
      </c>
      <c r="T55" s="5" t="s">
        <v>11</v>
      </c>
    </row>
    <row r="56" spans="1:20">
      <c r="A56" s="76"/>
      <c r="D56" s="57"/>
      <c r="E56" s="57"/>
      <c r="F56" s="57"/>
      <c r="G56" s="57"/>
      <c r="H56" s="101"/>
    </row>
    <row r="57" spans="1:20">
      <c r="A57" s="76" t="s">
        <v>245</v>
      </c>
      <c r="D57" s="57" t="s">
        <v>11</v>
      </c>
      <c r="E57" s="57"/>
      <c r="F57" s="57" t="s">
        <v>11</v>
      </c>
      <c r="G57" s="57"/>
      <c r="H57" s="101"/>
      <c r="N57" s="5" t="s">
        <v>11</v>
      </c>
      <c r="R57" s="5" t="s">
        <v>11</v>
      </c>
      <c r="T57" s="5" t="s">
        <v>11</v>
      </c>
    </row>
    <row r="58" spans="1:20">
      <c r="A58" s="76"/>
      <c r="D58" s="57"/>
      <c r="E58" s="57"/>
      <c r="F58" s="57"/>
      <c r="G58" s="57"/>
      <c r="H58" s="101"/>
    </row>
    <row r="59" spans="1:20">
      <c r="A59" s="76" t="s">
        <v>246</v>
      </c>
      <c r="D59" s="57" t="s">
        <v>11</v>
      </c>
      <c r="E59" s="57"/>
      <c r="F59" s="57" t="s">
        <v>11</v>
      </c>
      <c r="G59" s="57"/>
      <c r="H59" s="101"/>
      <c r="N59" s="5" t="s">
        <v>11</v>
      </c>
      <c r="R59" s="5" t="s">
        <v>11</v>
      </c>
      <c r="T59" s="5" t="s">
        <v>11</v>
      </c>
    </row>
    <row r="60" spans="1:20">
      <c r="A60" s="76"/>
      <c r="D60" s="57"/>
      <c r="E60" s="57"/>
      <c r="F60" s="57"/>
      <c r="G60" s="57"/>
      <c r="H60" s="101"/>
    </row>
    <row r="61" spans="1:20">
      <c r="A61" s="76" t="s">
        <v>247</v>
      </c>
      <c r="D61" s="57" t="s">
        <v>11</v>
      </c>
      <c r="E61" s="57"/>
      <c r="F61" s="57" t="s">
        <v>11</v>
      </c>
      <c r="G61" s="57"/>
      <c r="H61" s="101"/>
      <c r="N61" s="5" t="s">
        <v>11</v>
      </c>
      <c r="R61" s="5" t="s">
        <v>11</v>
      </c>
      <c r="T61" s="5" t="s">
        <v>11</v>
      </c>
    </row>
    <row r="62" spans="1:20">
      <c r="A62" s="76"/>
      <c r="D62" s="57"/>
      <c r="E62" s="57"/>
      <c r="F62" s="57"/>
      <c r="G62" s="57"/>
      <c r="H62" s="101"/>
    </row>
    <row r="63" spans="1:20">
      <c r="A63" s="76" t="s">
        <v>248</v>
      </c>
      <c r="D63" s="57" t="s">
        <v>11</v>
      </c>
      <c r="E63" s="57"/>
      <c r="F63" s="57" t="s">
        <v>11</v>
      </c>
      <c r="G63" s="57"/>
      <c r="H63" s="101"/>
      <c r="N63" s="5" t="s">
        <v>11</v>
      </c>
      <c r="R63" s="5" t="s">
        <v>11</v>
      </c>
      <c r="T63" s="5" t="s">
        <v>11</v>
      </c>
    </row>
    <row r="64" spans="1:20">
      <c r="A64" s="76"/>
      <c r="D64" s="57"/>
      <c r="E64" s="57"/>
      <c r="F64" s="57"/>
      <c r="G64" s="57"/>
      <c r="H64" s="101"/>
    </row>
    <row r="65" spans="1:20">
      <c r="A65" s="76" t="s">
        <v>249</v>
      </c>
      <c r="D65" s="12"/>
      <c r="E65" s="12"/>
      <c r="F65" s="12"/>
      <c r="G65" s="57"/>
      <c r="H65" s="101"/>
    </row>
    <row r="66" spans="1:20">
      <c r="A66" s="46" t="s">
        <v>200</v>
      </c>
      <c r="B66" s="3" t="s">
        <v>250</v>
      </c>
      <c r="D66" s="57" t="s">
        <v>11</v>
      </c>
      <c r="E66" s="57"/>
      <c r="F66" s="57" t="s">
        <v>11</v>
      </c>
      <c r="G66" s="57"/>
      <c r="H66" s="101"/>
      <c r="N66" s="5" t="s">
        <v>11</v>
      </c>
      <c r="R66" s="5" t="s">
        <v>11</v>
      </c>
      <c r="T66" s="5" t="s">
        <v>11</v>
      </c>
    </row>
    <row r="67" spans="1:20">
      <c r="A67" s="46" t="s">
        <v>202</v>
      </c>
      <c r="B67" s="3" t="s">
        <v>251</v>
      </c>
      <c r="D67" s="57" t="s">
        <v>11</v>
      </c>
      <c r="E67" s="57"/>
      <c r="F67" s="57" t="s">
        <v>11</v>
      </c>
      <c r="G67" s="57"/>
      <c r="H67" s="101"/>
      <c r="N67" s="5" t="s">
        <v>11</v>
      </c>
      <c r="R67" s="5" t="s">
        <v>11</v>
      </c>
      <c r="T67" s="5" t="s">
        <v>11</v>
      </c>
    </row>
    <row r="68" spans="1:20">
      <c r="A68" s="76"/>
      <c r="D68" s="57"/>
      <c r="E68" s="57"/>
      <c r="F68" s="57"/>
      <c r="G68" s="57"/>
      <c r="H68" s="101"/>
    </row>
    <row r="69" spans="1:20">
      <c r="A69" s="76" t="s">
        <v>252</v>
      </c>
      <c r="D69" s="57" t="s">
        <v>11</v>
      </c>
      <c r="E69" s="57"/>
      <c r="F69" s="57" t="s">
        <v>11</v>
      </c>
      <c r="G69" s="57"/>
      <c r="H69" s="101"/>
      <c r="N69" s="5" t="s">
        <v>11</v>
      </c>
      <c r="R69" s="5" t="s">
        <v>11</v>
      </c>
      <c r="T69" s="5" t="s">
        <v>11</v>
      </c>
    </row>
    <row r="70" spans="1:20">
      <c r="A70" s="76"/>
      <c r="D70" s="57"/>
      <c r="E70" s="57"/>
      <c r="F70" s="57"/>
      <c r="G70" s="57"/>
      <c r="H70" s="101"/>
    </row>
    <row r="71" spans="1:20">
      <c r="A71" s="76" t="s">
        <v>253</v>
      </c>
      <c r="D71" s="57" t="s">
        <v>11</v>
      </c>
      <c r="E71" s="57"/>
      <c r="F71" s="57" t="s">
        <v>11</v>
      </c>
      <c r="G71" s="57"/>
      <c r="H71" s="101"/>
      <c r="N71" s="5" t="s">
        <v>11</v>
      </c>
      <c r="R71" s="5" t="s">
        <v>11</v>
      </c>
      <c r="T71" s="5" t="s">
        <v>11</v>
      </c>
    </row>
    <row r="72" spans="1:20">
      <c r="A72" s="76"/>
      <c r="D72" s="57"/>
      <c r="E72" s="57"/>
      <c r="F72" s="57"/>
      <c r="G72" s="57"/>
      <c r="H72" s="101"/>
    </row>
    <row r="73" spans="1:20">
      <c r="A73" s="76" t="s">
        <v>254</v>
      </c>
      <c r="D73" s="57" t="s">
        <v>11</v>
      </c>
      <c r="E73" s="57"/>
      <c r="F73" s="57" t="s">
        <v>11</v>
      </c>
      <c r="G73" s="57"/>
      <c r="H73" s="101"/>
      <c r="N73" s="5" t="s">
        <v>11</v>
      </c>
      <c r="R73" s="5" t="s">
        <v>11</v>
      </c>
      <c r="T73" s="5" t="s">
        <v>11</v>
      </c>
    </row>
    <row r="74" spans="1:20">
      <c r="A74" s="76"/>
      <c r="D74" s="57"/>
      <c r="E74" s="57"/>
      <c r="F74" s="57"/>
      <c r="G74" s="57"/>
      <c r="H74" s="101"/>
    </row>
    <row r="75" spans="1:20">
      <c r="A75" s="76" t="s">
        <v>255</v>
      </c>
      <c r="D75" s="12"/>
      <c r="E75" s="12"/>
      <c r="F75" s="12"/>
      <c r="G75" s="12"/>
      <c r="H75" s="102"/>
    </row>
    <row r="76" spans="1:20">
      <c r="A76" s="46" t="s">
        <v>200</v>
      </c>
      <c r="B76" s="3" t="s">
        <v>256</v>
      </c>
      <c r="D76" s="12"/>
      <c r="E76" s="12"/>
      <c r="F76" s="12"/>
      <c r="G76" s="12"/>
      <c r="H76" s="101"/>
    </row>
    <row r="77" spans="1:20">
      <c r="A77" s="46"/>
      <c r="B77" s="3" t="s">
        <v>257</v>
      </c>
      <c r="D77" s="12" t="s">
        <v>205</v>
      </c>
      <c r="E77" s="12"/>
      <c r="F77" s="12" t="s">
        <v>206</v>
      </c>
      <c r="G77" s="12"/>
      <c r="H77" s="101" t="s">
        <v>258</v>
      </c>
      <c r="J77" s="5" t="s">
        <v>197</v>
      </c>
      <c r="L77" s="5" t="s">
        <v>197</v>
      </c>
      <c r="N77" s="5" t="s">
        <v>197</v>
      </c>
      <c r="R77" s="5" t="s">
        <v>197</v>
      </c>
      <c r="T77" s="5" t="s">
        <v>197</v>
      </c>
    </row>
    <row r="78" spans="1:20">
      <c r="A78" s="46"/>
      <c r="B78" s="3" t="s">
        <v>259</v>
      </c>
      <c r="D78" s="12" t="s">
        <v>205</v>
      </c>
      <c r="E78" s="12"/>
      <c r="F78" s="12" t="s">
        <v>206</v>
      </c>
      <c r="G78" s="12"/>
      <c r="H78" s="101" t="s">
        <v>260</v>
      </c>
      <c r="J78" s="5" t="s">
        <v>197</v>
      </c>
      <c r="L78" s="5" t="s">
        <v>197</v>
      </c>
      <c r="N78" s="5" t="s">
        <v>197</v>
      </c>
      <c r="R78" s="5" t="s">
        <v>197</v>
      </c>
      <c r="T78" s="5" t="s">
        <v>197</v>
      </c>
    </row>
    <row r="79" spans="1:20">
      <c r="A79" s="46" t="s">
        <v>202</v>
      </c>
      <c r="B79" s="3" t="s">
        <v>261</v>
      </c>
      <c r="D79" s="12" t="s">
        <v>205</v>
      </c>
      <c r="E79" s="12"/>
      <c r="F79" s="12" t="s">
        <v>206</v>
      </c>
      <c r="G79" s="12"/>
      <c r="H79" s="101" t="s">
        <v>262</v>
      </c>
      <c r="J79" s="5" t="s">
        <v>197</v>
      </c>
      <c r="L79" s="5" t="s">
        <v>197</v>
      </c>
      <c r="N79" s="5" t="s">
        <v>197</v>
      </c>
      <c r="R79" s="5" t="s">
        <v>197</v>
      </c>
      <c r="T79" s="5" t="s">
        <v>197</v>
      </c>
    </row>
    <row r="80" spans="1:20">
      <c r="A80" s="46" t="s">
        <v>204</v>
      </c>
      <c r="B80" s="3" t="s">
        <v>263</v>
      </c>
      <c r="D80" s="57" t="s">
        <v>11</v>
      </c>
      <c r="E80" s="57"/>
      <c r="F80" s="57" t="s">
        <v>11</v>
      </c>
      <c r="G80" s="57"/>
      <c r="H80" s="101"/>
      <c r="J80" s="13" t="s">
        <v>197</v>
      </c>
      <c r="L80" s="13" t="s">
        <v>197</v>
      </c>
      <c r="M80" s="13"/>
      <c r="N80" s="13" t="s">
        <v>197</v>
      </c>
      <c r="O80" s="13"/>
      <c r="P80" s="12"/>
      <c r="Q80" s="13"/>
      <c r="R80" s="13" t="s">
        <v>197</v>
      </c>
      <c r="T80" s="13" t="s">
        <v>197</v>
      </c>
    </row>
    <row r="81" spans="1:20">
      <c r="A81" s="46" t="s">
        <v>264</v>
      </c>
      <c r="B81" s="3" t="s">
        <v>265</v>
      </c>
      <c r="D81" s="57" t="s">
        <v>11</v>
      </c>
      <c r="E81" s="57"/>
      <c r="F81" s="57" t="s">
        <v>11</v>
      </c>
      <c r="G81" s="57"/>
      <c r="H81" s="101"/>
      <c r="J81" s="5" t="s">
        <v>11</v>
      </c>
      <c r="L81" s="5" t="s">
        <v>11</v>
      </c>
      <c r="N81" s="5" t="s">
        <v>11</v>
      </c>
      <c r="R81" s="5" t="s">
        <v>11</v>
      </c>
      <c r="T81" s="5" t="s">
        <v>11</v>
      </c>
    </row>
    <row r="82" spans="1:20">
      <c r="A82" s="46" t="s">
        <v>266</v>
      </c>
      <c r="B82" s="3" t="s">
        <v>267</v>
      </c>
      <c r="D82" s="57" t="s">
        <v>205</v>
      </c>
      <c r="E82" s="57"/>
      <c r="F82" s="12" t="s">
        <v>206</v>
      </c>
      <c r="G82" s="57"/>
      <c r="H82" s="102" t="s">
        <v>268</v>
      </c>
      <c r="I82" s="8"/>
      <c r="J82" s="13" t="s">
        <v>197</v>
      </c>
      <c r="K82" s="8"/>
      <c r="L82" s="13" t="s">
        <v>197</v>
      </c>
      <c r="M82" s="13"/>
      <c r="N82" s="12" t="s">
        <v>197</v>
      </c>
      <c r="O82" s="13"/>
      <c r="P82" s="12"/>
      <c r="Q82" s="13"/>
      <c r="R82" s="12" t="s">
        <v>197</v>
      </c>
      <c r="T82" s="12" t="s">
        <v>197</v>
      </c>
    </row>
    <row r="83" spans="1:20">
      <c r="A83" s="76"/>
      <c r="D83" s="57"/>
      <c r="E83" s="57"/>
      <c r="F83" s="57"/>
      <c r="G83" s="57"/>
      <c r="H83" s="101"/>
    </row>
    <row r="84" spans="1:20">
      <c r="A84" s="76" t="s">
        <v>269</v>
      </c>
      <c r="D84" s="12" t="s">
        <v>205</v>
      </c>
      <c r="E84" s="12"/>
      <c r="F84" s="12" t="s">
        <v>206</v>
      </c>
      <c r="G84" s="57"/>
      <c r="H84" s="102" t="s">
        <v>270</v>
      </c>
      <c r="J84" s="5" t="s">
        <v>197</v>
      </c>
      <c r="L84" s="5" t="s">
        <v>197</v>
      </c>
      <c r="N84" s="5" t="s">
        <v>197</v>
      </c>
      <c r="R84" s="5" t="s">
        <v>197</v>
      </c>
      <c r="T84" s="5" t="s">
        <v>197</v>
      </c>
    </row>
    <row r="85" spans="1:20">
      <c r="A85" s="46" t="s">
        <v>200</v>
      </c>
      <c r="B85" s="3" t="s">
        <v>271</v>
      </c>
      <c r="D85" s="57" t="s">
        <v>205</v>
      </c>
      <c r="E85" s="57"/>
      <c r="F85" s="57" t="s">
        <v>206</v>
      </c>
      <c r="G85" s="57"/>
      <c r="H85" s="101"/>
      <c r="J85" s="5" t="s">
        <v>197</v>
      </c>
      <c r="L85" s="5" t="s">
        <v>197</v>
      </c>
      <c r="N85" s="5" t="s">
        <v>197</v>
      </c>
      <c r="R85" s="5" t="s">
        <v>197</v>
      </c>
      <c r="T85" s="5" t="s">
        <v>197</v>
      </c>
    </row>
    <row r="86" spans="1:20">
      <c r="A86" s="46" t="s">
        <v>202</v>
      </c>
      <c r="B86" s="3" t="s">
        <v>272</v>
      </c>
      <c r="D86" s="57" t="s">
        <v>205</v>
      </c>
      <c r="E86" s="57"/>
      <c r="F86" s="57" t="s">
        <v>206</v>
      </c>
      <c r="G86" s="57"/>
      <c r="H86" s="101"/>
      <c r="J86" s="5" t="s">
        <v>197</v>
      </c>
      <c r="L86" s="5" t="s">
        <v>197</v>
      </c>
      <c r="N86" s="5" t="s">
        <v>197</v>
      </c>
      <c r="R86" s="5" t="s">
        <v>197</v>
      </c>
      <c r="T86" s="5" t="s">
        <v>197</v>
      </c>
    </row>
    <row r="87" spans="1:20">
      <c r="A87" s="46" t="s">
        <v>204</v>
      </c>
      <c r="B87" s="3" t="s">
        <v>273</v>
      </c>
      <c r="D87" s="12" t="s">
        <v>205</v>
      </c>
      <c r="E87" s="12"/>
      <c r="F87" s="12" t="s">
        <v>206</v>
      </c>
      <c r="G87" s="12"/>
      <c r="H87" s="102" t="s">
        <v>359</v>
      </c>
      <c r="J87" s="5" t="s">
        <v>197</v>
      </c>
      <c r="L87" s="5" t="s">
        <v>197</v>
      </c>
      <c r="N87" s="5" t="s">
        <v>197</v>
      </c>
      <c r="R87" s="5" t="s">
        <v>197</v>
      </c>
      <c r="T87" s="5" t="s">
        <v>197</v>
      </c>
    </row>
    <row r="88" spans="1:20">
      <c r="A88" s="76"/>
      <c r="D88" s="57"/>
      <c r="E88" s="57"/>
      <c r="F88" s="57"/>
      <c r="G88" s="57"/>
      <c r="H88" s="101"/>
    </row>
    <row r="89" spans="1:20">
      <c r="A89" s="76" t="s">
        <v>274</v>
      </c>
      <c r="D89" s="57" t="s">
        <v>205</v>
      </c>
      <c r="E89" s="57"/>
      <c r="F89" s="57" t="s">
        <v>206</v>
      </c>
      <c r="G89" s="57"/>
      <c r="H89" s="101" t="s">
        <v>275</v>
      </c>
      <c r="J89" s="5" t="s">
        <v>197</v>
      </c>
      <c r="L89" s="5" t="s">
        <v>197</v>
      </c>
      <c r="N89" s="5" t="s">
        <v>197</v>
      </c>
      <c r="R89" s="5" t="s">
        <v>197</v>
      </c>
      <c r="T89" s="5" t="s">
        <v>197</v>
      </c>
    </row>
    <row r="90" spans="1:20">
      <c r="A90" s="76"/>
      <c r="D90" s="57"/>
      <c r="E90" s="57"/>
      <c r="F90" s="57"/>
      <c r="G90" s="57"/>
      <c r="H90" s="101"/>
    </row>
    <row r="91" spans="1:20">
      <c r="A91" s="76" t="s">
        <v>276</v>
      </c>
      <c r="D91" s="57" t="s">
        <v>11</v>
      </c>
      <c r="E91" s="57"/>
      <c r="F91" s="57" t="s">
        <v>11</v>
      </c>
      <c r="G91" s="57"/>
      <c r="H91" s="101"/>
      <c r="J91" s="5" t="s">
        <v>11</v>
      </c>
      <c r="L91" s="5" t="s">
        <v>11</v>
      </c>
      <c r="N91" s="5" t="s">
        <v>11</v>
      </c>
      <c r="R91" s="5" t="s">
        <v>11</v>
      </c>
      <c r="T91" s="5" t="s">
        <v>11</v>
      </c>
    </row>
    <row r="92" spans="1:20">
      <c r="A92" s="76"/>
      <c r="D92" s="57"/>
      <c r="E92" s="57"/>
      <c r="F92" s="57"/>
      <c r="G92" s="57"/>
      <c r="H92" s="101"/>
    </row>
    <row r="93" spans="1:20">
      <c r="A93" s="76" t="s">
        <v>277</v>
      </c>
      <c r="D93" s="57" t="s">
        <v>205</v>
      </c>
      <c r="E93" s="57"/>
      <c r="F93" s="57" t="s">
        <v>206</v>
      </c>
      <c r="G93" s="57"/>
      <c r="H93" s="101" t="s">
        <v>278</v>
      </c>
      <c r="J93" s="5" t="s">
        <v>197</v>
      </c>
      <c r="L93" s="5" t="s">
        <v>197</v>
      </c>
      <c r="N93" s="5" t="s">
        <v>197</v>
      </c>
      <c r="R93" s="5" t="s">
        <v>197</v>
      </c>
      <c r="T93" s="5" t="s">
        <v>197</v>
      </c>
    </row>
    <row r="94" spans="1:20">
      <c r="A94" s="46" t="s">
        <v>200</v>
      </c>
      <c r="B94" s="3" t="s">
        <v>279</v>
      </c>
      <c r="D94" s="57" t="s">
        <v>205</v>
      </c>
      <c r="E94" s="57"/>
      <c r="F94" s="57" t="s">
        <v>206</v>
      </c>
      <c r="G94" s="57"/>
      <c r="H94" s="102" t="s">
        <v>270</v>
      </c>
      <c r="J94" s="5" t="s">
        <v>197</v>
      </c>
      <c r="L94" s="5" t="s">
        <v>197</v>
      </c>
      <c r="N94" s="5" t="s">
        <v>197</v>
      </c>
      <c r="R94" s="5" t="s">
        <v>197</v>
      </c>
      <c r="T94" s="5" t="s">
        <v>197</v>
      </c>
    </row>
    <row r="95" spans="1:20">
      <c r="A95" s="76"/>
      <c r="D95" s="57"/>
      <c r="E95" s="57"/>
      <c r="F95" s="57"/>
      <c r="G95" s="57"/>
      <c r="H95" s="101"/>
    </row>
    <row r="96" spans="1:20">
      <c r="A96" s="76" t="s">
        <v>280</v>
      </c>
      <c r="D96" s="57" t="s">
        <v>11</v>
      </c>
      <c r="E96" s="57"/>
      <c r="F96" s="57" t="s">
        <v>11</v>
      </c>
      <c r="G96" s="57"/>
      <c r="H96" s="101"/>
      <c r="N96" s="57" t="s">
        <v>11</v>
      </c>
      <c r="O96" s="57"/>
    </row>
    <row r="97" spans="1:20">
      <c r="A97" s="76"/>
      <c r="D97" s="57"/>
      <c r="E97" s="57"/>
      <c r="F97" s="57"/>
      <c r="G97" s="57"/>
      <c r="H97" s="101"/>
    </row>
    <row r="98" spans="1:20">
      <c r="A98" s="76" t="s">
        <v>281</v>
      </c>
      <c r="D98" s="57" t="s">
        <v>199</v>
      </c>
      <c r="E98" s="57"/>
      <c r="F98" s="57" t="s">
        <v>199</v>
      </c>
      <c r="G98" s="57"/>
      <c r="H98" s="101"/>
      <c r="J98" s="5" t="s">
        <v>11</v>
      </c>
      <c r="L98" s="5" t="s">
        <v>11</v>
      </c>
    </row>
    <row r="99" spans="1:20">
      <c r="A99" s="46" t="s">
        <v>200</v>
      </c>
      <c r="B99" s="3" t="s">
        <v>282</v>
      </c>
      <c r="D99" s="57" t="s">
        <v>11</v>
      </c>
      <c r="E99" s="57"/>
      <c r="F99" s="57" t="s">
        <v>11</v>
      </c>
      <c r="G99" s="57"/>
      <c r="H99" s="101"/>
      <c r="N99" s="5" t="s">
        <v>11</v>
      </c>
      <c r="R99" s="5" t="s">
        <v>11</v>
      </c>
      <c r="T99" s="5" t="s">
        <v>11</v>
      </c>
    </row>
    <row r="100" spans="1:20">
      <c r="A100" s="46" t="s">
        <v>202</v>
      </c>
      <c r="B100" s="3" t="s">
        <v>283</v>
      </c>
      <c r="D100" s="57" t="s">
        <v>11</v>
      </c>
      <c r="E100" s="57"/>
      <c r="F100" s="57" t="s">
        <v>11</v>
      </c>
      <c r="G100" s="57"/>
      <c r="H100" s="101"/>
      <c r="N100" s="5" t="s">
        <v>11</v>
      </c>
      <c r="R100" s="5" t="s">
        <v>11</v>
      </c>
      <c r="T100" s="5" t="s">
        <v>11</v>
      </c>
    </row>
    <row r="101" spans="1:20">
      <c r="A101" s="46" t="s">
        <v>204</v>
      </c>
      <c r="B101" s="3" t="s">
        <v>284</v>
      </c>
      <c r="D101" s="57" t="s">
        <v>11</v>
      </c>
      <c r="E101" s="57"/>
      <c r="F101" s="57" t="s">
        <v>11</v>
      </c>
      <c r="G101" s="57"/>
      <c r="H101" s="101"/>
      <c r="N101" s="5" t="s">
        <v>11</v>
      </c>
      <c r="R101" s="5" t="s">
        <v>11</v>
      </c>
      <c r="T101" s="5" t="s">
        <v>11</v>
      </c>
    </row>
    <row r="102" spans="1:20">
      <c r="A102" s="46" t="s">
        <v>264</v>
      </c>
      <c r="B102" s="3" t="s">
        <v>285</v>
      </c>
      <c r="D102" s="57" t="s">
        <v>11</v>
      </c>
      <c r="E102" s="57"/>
      <c r="F102" s="57" t="s">
        <v>11</v>
      </c>
      <c r="G102" s="57"/>
      <c r="H102" s="101"/>
      <c r="N102" s="5" t="s">
        <v>11</v>
      </c>
      <c r="R102" s="5" t="s">
        <v>11</v>
      </c>
      <c r="T102" s="5" t="s">
        <v>11</v>
      </c>
    </row>
    <row r="103" spans="1:20">
      <c r="A103" s="46" t="s">
        <v>266</v>
      </c>
      <c r="B103" s="3" t="s">
        <v>286</v>
      </c>
      <c r="D103" s="57" t="s">
        <v>11</v>
      </c>
      <c r="E103" s="57"/>
      <c r="F103" s="57" t="s">
        <v>11</v>
      </c>
      <c r="G103" s="57"/>
      <c r="H103" s="101"/>
      <c r="N103" s="5" t="s">
        <v>11</v>
      </c>
      <c r="R103" s="5" t="s">
        <v>11</v>
      </c>
      <c r="T103" s="5" t="s">
        <v>11</v>
      </c>
    </row>
    <row r="104" spans="1:20">
      <c r="A104" s="76"/>
      <c r="D104" s="57"/>
      <c r="E104" s="57"/>
      <c r="F104" s="57"/>
      <c r="G104" s="57"/>
      <c r="H104" s="101"/>
    </row>
    <row r="105" spans="1:20">
      <c r="A105" s="76" t="s">
        <v>287</v>
      </c>
      <c r="D105" s="57" t="s">
        <v>199</v>
      </c>
      <c r="E105" s="57"/>
      <c r="F105" s="57" t="s">
        <v>199</v>
      </c>
      <c r="G105" s="57"/>
      <c r="H105" s="101"/>
    </row>
    <row r="106" spans="1:20">
      <c r="A106" s="46" t="s">
        <v>200</v>
      </c>
      <c r="B106" s="3" t="s">
        <v>288</v>
      </c>
      <c r="D106" s="57" t="s">
        <v>11</v>
      </c>
      <c r="E106" s="57"/>
      <c r="F106" s="57" t="s">
        <v>11</v>
      </c>
      <c r="G106" s="57"/>
      <c r="H106" s="101"/>
      <c r="N106" s="5" t="s">
        <v>11</v>
      </c>
      <c r="R106" s="5" t="s">
        <v>11</v>
      </c>
      <c r="T106" s="5" t="s">
        <v>11</v>
      </c>
    </row>
    <row r="107" spans="1:20">
      <c r="A107" s="46" t="s">
        <v>202</v>
      </c>
      <c r="B107" s="3" t="s">
        <v>289</v>
      </c>
      <c r="D107" s="57" t="s">
        <v>11</v>
      </c>
      <c r="E107" s="57"/>
      <c r="F107" s="57" t="s">
        <v>11</v>
      </c>
      <c r="G107" s="57"/>
      <c r="H107" s="101"/>
      <c r="N107" s="5" t="s">
        <v>11</v>
      </c>
      <c r="R107" s="5" t="s">
        <v>11</v>
      </c>
      <c r="T107" s="5" t="s">
        <v>11</v>
      </c>
    </row>
    <row r="108" spans="1:20">
      <c r="A108" s="46" t="s">
        <v>204</v>
      </c>
      <c r="B108" s="3" t="s">
        <v>290</v>
      </c>
      <c r="D108" s="57" t="s">
        <v>11</v>
      </c>
      <c r="E108" s="57"/>
      <c r="F108" s="57" t="s">
        <v>11</v>
      </c>
      <c r="G108" s="57"/>
      <c r="H108" s="101"/>
      <c r="N108" s="5" t="s">
        <v>11</v>
      </c>
      <c r="R108" s="5" t="s">
        <v>11</v>
      </c>
      <c r="T108" s="5" t="s">
        <v>11</v>
      </c>
    </row>
    <row r="109" spans="1:20">
      <c r="A109" s="46" t="s">
        <v>264</v>
      </c>
      <c r="B109" s="3" t="s">
        <v>291</v>
      </c>
      <c r="D109" s="57" t="s">
        <v>11</v>
      </c>
      <c r="E109" s="57"/>
      <c r="F109" s="57" t="s">
        <v>11</v>
      </c>
      <c r="G109" s="57"/>
      <c r="H109" s="101"/>
      <c r="N109" s="5" t="s">
        <v>11</v>
      </c>
      <c r="R109" s="5" t="s">
        <v>11</v>
      </c>
      <c r="T109" s="5" t="s">
        <v>11</v>
      </c>
    </row>
    <row r="110" spans="1:20">
      <c r="A110" s="76"/>
      <c r="D110" s="57"/>
      <c r="E110" s="57"/>
      <c r="F110" s="57"/>
      <c r="G110" s="57"/>
      <c r="H110" s="101"/>
    </row>
    <row r="111" spans="1:20">
      <c r="A111" s="76" t="s">
        <v>292</v>
      </c>
      <c r="D111" s="57"/>
      <c r="E111" s="57"/>
      <c r="F111" s="57"/>
      <c r="G111" s="57"/>
      <c r="H111" s="101"/>
    </row>
    <row r="112" spans="1:20">
      <c r="A112" s="46" t="s">
        <v>200</v>
      </c>
      <c r="B112" s="3" t="s">
        <v>293</v>
      </c>
      <c r="D112" s="57" t="s">
        <v>205</v>
      </c>
      <c r="E112" s="57"/>
      <c r="F112" s="57" t="s">
        <v>206</v>
      </c>
      <c r="G112" s="57"/>
      <c r="H112" s="101"/>
      <c r="N112" s="12" t="s">
        <v>197</v>
      </c>
      <c r="P112" s="12"/>
      <c r="R112" s="12" t="s">
        <v>197</v>
      </c>
      <c r="T112" s="12" t="s">
        <v>197</v>
      </c>
    </row>
    <row r="113" spans="1:20">
      <c r="A113" s="46" t="s">
        <v>202</v>
      </c>
      <c r="B113" s="3" t="s">
        <v>294</v>
      </c>
      <c r="D113" s="57" t="s">
        <v>11</v>
      </c>
      <c r="E113" s="57"/>
      <c r="F113" s="57" t="s">
        <v>11</v>
      </c>
      <c r="G113" s="57"/>
      <c r="H113" s="101"/>
      <c r="N113" s="12" t="s">
        <v>11</v>
      </c>
      <c r="P113" s="12"/>
      <c r="R113" s="12" t="s">
        <v>11</v>
      </c>
      <c r="T113" s="12" t="s">
        <v>11</v>
      </c>
    </row>
    <row r="114" spans="1:20">
      <c r="A114" s="46" t="s">
        <v>204</v>
      </c>
      <c r="B114" s="3" t="s">
        <v>295</v>
      </c>
      <c r="D114" s="57" t="s">
        <v>11</v>
      </c>
      <c r="E114" s="57"/>
      <c r="F114" s="57" t="s">
        <v>11</v>
      </c>
      <c r="G114" s="57"/>
      <c r="H114" s="101"/>
      <c r="N114" s="12" t="s">
        <v>11</v>
      </c>
      <c r="P114" s="12"/>
      <c r="R114" s="12" t="s">
        <v>11</v>
      </c>
      <c r="T114" s="12" t="s">
        <v>11</v>
      </c>
    </row>
    <row r="115" spans="1:20">
      <c r="A115" s="46" t="s">
        <v>264</v>
      </c>
      <c r="B115" s="3" t="s">
        <v>296</v>
      </c>
      <c r="D115" s="57" t="s">
        <v>11</v>
      </c>
      <c r="E115" s="57"/>
      <c r="F115" s="57" t="s">
        <v>11</v>
      </c>
      <c r="G115" s="57"/>
      <c r="H115" s="101"/>
      <c r="N115" s="12" t="s">
        <v>11</v>
      </c>
      <c r="P115" s="12"/>
      <c r="R115" s="12" t="s">
        <v>11</v>
      </c>
      <c r="T115" s="12" t="s">
        <v>11</v>
      </c>
    </row>
    <row r="116" spans="1:20">
      <c r="A116" s="46" t="s">
        <v>266</v>
      </c>
      <c r="B116" s="3" t="s">
        <v>297</v>
      </c>
      <c r="D116" s="57" t="s">
        <v>11</v>
      </c>
      <c r="E116" s="57"/>
      <c r="F116" s="57" t="s">
        <v>11</v>
      </c>
      <c r="G116" s="57"/>
      <c r="H116" s="101"/>
      <c r="N116" s="12" t="s">
        <v>11</v>
      </c>
      <c r="P116" s="12"/>
      <c r="R116" s="12" t="s">
        <v>11</v>
      </c>
      <c r="T116" s="12" t="s">
        <v>11</v>
      </c>
    </row>
    <row r="117" spans="1:20">
      <c r="A117" s="5" t="s">
        <v>298</v>
      </c>
      <c r="B117" s="3" t="s">
        <v>299</v>
      </c>
      <c r="D117" s="57" t="s">
        <v>11</v>
      </c>
      <c r="E117" s="57"/>
      <c r="F117" s="57" t="s">
        <v>11</v>
      </c>
      <c r="G117" s="57"/>
      <c r="H117" s="101"/>
      <c r="N117" s="57" t="s">
        <v>11</v>
      </c>
      <c r="R117" s="57" t="s">
        <v>11</v>
      </c>
      <c r="T117" s="57" t="s">
        <v>11</v>
      </c>
    </row>
    <row r="118" spans="1:20">
      <c r="A118" s="5" t="s">
        <v>301</v>
      </c>
      <c r="B118" s="3" t="s">
        <v>302</v>
      </c>
      <c r="D118" s="57" t="s">
        <v>205</v>
      </c>
      <c r="E118" s="57"/>
      <c r="F118" s="57" t="s">
        <v>206</v>
      </c>
      <c r="G118" s="57"/>
      <c r="H118" s="101"/>
      <c r="N118" s="12" t="s">
        <v>197</v>
      </c>
      <c r="P118" s="12"/>
      <c r="R118" s="12" t="s">
        <v>197</v>
      </c>
      <c r="T118" s="12" t="s">
        <v>197</v>
      </c>
    </row>
    <row r="119" spans="1:20">
      <c r="A119" s="76"/>
      <c r="D119" s="57"/>
      <c r="E119" s="57"/>
      <c r="F119" s="57"/>
      <c r="G119" s="57"/>
      <c r="H119" s="101"/>
    </row>
    <row r="120" spans="1:20">
      <c r="A120" s="76" t="s">
        <v>303</v>
      </c>
      <c r="D120" s="57" t="s">
        <v>11</v>
      </c>
      <c r="E120" s="57"/>
      <c r="F120" s="57" t="s">
        <v>11</v>
      </c>
      <c r="G120" s="57"/>
      <c r="H120" s="101"/>
      <c r="R120" s="5" t="s">
        <v>11</v>
      </c>
      <c r="T120" s="5" t="s">
        <v>11</v>
      </c>
    </row>
    <row r="121" spans="1:20">
      <c r="A121" s="76"/>
      <c r="D121" s="57"/>
      <c r="E121" s="57"/>
      <c r="F121" s="57"/>
      <c r="G121" s="57"/>
      <c r="H121" s="101"/>
    </row>
    <row r="122" spans="1:20">
      <c r="A122" s="76" t="s">
        <v>304</v>
      </c>
      <c r="D122" s="57" t="s">
        <v>199</v>
      </c>
      <c r="E122" s="57"/>
      <c r="F122" s="57" t="s">
        <v>199</v>
      </c>
      <c r="G122" s="57"/>
      <c r="H122" s="101"/>
      <c r="J122" s="5" t="s">
        <v>197</v>
      </c>
      <c r="L122" s="5" t="s">
        <v>197</v>
      </c>
      <c r="N122" s="5" t="s">
        <v>197</v>
      </c>
      <c r="R122" s="5" t="s">
        <v>197</v>
      </c>
      <c r="T122" s="5" t="s">
        <v>197</v>
      </c>
    </row>
    <row r="123" spans="1:20">
      <c r="A123" s="46" t="s">
        <v>200</v>
      </c>
      <c r="B123" s="3" t="s">
        <v>305</v>
      </c>
      <c r="D123" s="57" t="s">
        <v>205</v>
      </c>
      <c r="E123" s="57"/>
      <c r="F123" s="57"/>
      <c r="G123" s="57"/>
      <c r="H123" s="101"/>
      <c r="J123" s="5" t="s">
        <v>197</v>
      </c>
      <c r="L123" s="5" t="s">
        <v>197</v>
      </c>
      <c r="N123" s="5" t="s">
        <v>197</v>
      </c>
      <c r="R123" s="5" t="s">
        <v>197</v>
      </c>
      <c r="T123" s="5" t="s">
        <v>197</v>
      </c>
    </row>
    <row r="124" spans="1:20">
      <c r="A124" s="46" t="s">
        <v>202</v>
      </c>
      <c r="B124" s="3" t="s">
        <v>306</v>
      </c>
      <c r="D124" s="57" t="s">
        <v>205</v>
      </c>
      <c r="E124" s="57"/>
      <c r="F124" s="57"/>
      <c r="G124" s="57"/>
      <c r="H124" s="102" t="s">
        <v>307</v>
      </c>
      <c r="I124" s="8"/>
      <c r="J124" s="5" t="s">
        <v>197</v>
      </c>
      <c r="L124" s="5" t="s">
        <v>197</v>
      </c>
      <c r="N124" s="5" t="s">
        <v>197</v>
      </c>
      <c r="R124" s="5" t="s">
        <v>197</v>
      </c>
      <c r="T124" s="5" t="s">
        <v>197</v>
      </c>
    </row>
    <row r="125" spans="1:20">
      <c r="A125" s="76"/>
      <c r="D125" s="57"/>
      <c r="E125" s="57"/>
      <c r="F125" s="57"/>
      <c r="G125" s="57"/>
      <c r="H125" s="101"/>
    </row>
    <row r="126" spans="1:20">
      <c r="A126" s="76" t="s">
        <v>308</v>
      </c>
      <c r="D126" s="57" t="s">
        <v>205</v>
      </c>
      <c r="E126" s="57"/>
      <c r="F126" s="57"/>
      <c r="G126" s="57"/>
      <c r="H126" s="101" t="s">
        <v>309</v>
      </c>
      <c r="J126" s="13" t="s">
        <v>197</v>
      </c>
      <c r="L126" s="13" t="s">
        <v>197</v>
      </c>
      <c r="M126" s="13"/>
      <c r="N126" s="13" t="s">
        <v>197</v>
      </c>
      <c r="O126" s="13"/>
      <c r="P126" s="12"/>
      <c r="Q126" s="13"/>
      <c r="R126" s="13" t="s">
        <v>197</v>
      </c>
      <c r="T126" s="13" t="s">
        <v>197</v>
      </c>
    </row>
    <row r="127" spans="1:20">
      <c r="A127" s="76"/>
      <c r="D127" s="57"/>
      <c r="E127" s="57"/>
      <c r="F127" s="57"/>
      <c r="G127" s="57"/>
      <c r="H127" s="101"/>
    </row>
    <row r="128" spans="1:20">
      <c r="A128" s="76" t="s">
        <v>310</v>
      </c>
      <c r="D128" s="57" t="s">
        <v>205</v>
      </c>
      <c r="E128" s="57"/>
      <c r="F128" s="57" t="s">
        <v>300</v>
      </c>
      <c r="G128" s="57"/>
      <c r="H128" s="101"/>
      <c r="J128" s="5" t="s">
        <v>197</v>
      </c>
      <c r="L128" s="5" t="s">
        <v>197</v>
      </c>
    </row>
    <row r="129" spans="1:20">
      <c r="A129" s="46" t="s">
        <v>200</v>
      </c>
      <c r="B129" s="3" t="s">
        <v>311</v>
      </c>
      <c r="D129" s="57" t="s">
        <v>205</v>
      </c>
      <c r="E129" s="57"/>
      <c r="F129" s="57" t="s">
        <v>300</v>
      </c>
      <c r="G129" s="57"/>
      <c r="H129" s="101"/>
      <c r="J129" s="5" t="s">
        <v>197</v>
      </c>
      <c r="L129" s="5" t="s">
        <v>197</v>
      </c>
      <c r="N129" s="57" t="s">
        <v>197</v>
      </c>
      <c r="R129" s="5" t="s">
        <v>197</v>
      </c>
      <c r="T129" s="5" t="s">
        <v>197</v>
      </c>
    </row>
    <row r="130" spans="1:20">
      <c r="A130" s="46" t="s">
        <v>202</v>
      </c>
      <c r="B130" s="3" t="s">
        <v>312</v>
      </c>
      <c r="D130" s="57" t="s">
        <v>205</v>
      </c>
      <c r="E130" s="57"/>
      <c r="F130" s="57" t="s">
        <v>300</v>
      </c>
      <c r="G130" s="57"/>
      <c r="H130" s="102"/>
      <c r="J130" s="5" t="s">
        <v>197</v>
      </c>
      <c r="L130" s="5" t="s">
        <v>197</v>
      </c>
      <c r="N130" s="5" t="s">
        <v>197</v>
      </c>
      <c r="R130" s="5" t="s">
        <v>197</v>
      </c>
      <c r="T130" s="5" t="s">
        <v>197</v>
      </c>
    </row>
    <row r="131" spans="1:20">
      <c r="A131" s="76"/>
      <c r="D131" s="57"/>
      <c r="E131" s="57"/>
      <c r="F131" s="57"/>
      <c r="G131" s="57"/>
      <c r="H131" s="101"/>
    </row>
    <row r="132" spans="1:20">
      <c r="A132" s="76" t="s">
        <v>313</v>
      </c>
      <c r="D132" s="57"/>
      <c r="E132" s="57"/>
      <c r="F132" s="57"/>
      <c r="G132" s="57"/>
      <c r="H132" s="101"/>
    </row>
    <row r="133" spans="1:20">
      <c r="A133" s="46" t="s">
        <v>200</v>
      </c>
      <c r="B133" s="3" t="s">
        <v>314</v>
      </c>
      <c r="D133" s="57" t="s">
        <v>205</v>
      </c>
      <c r="E133" s="57"/>
      <c r="F133" s="57" t="s">
        <v>206</v>
      </c>
      <c r="G133" s="57"/>
      <c r="H133" s="101" t="s">
        <v>945</v>
      </c>
      <c r="J133" s="5" t="s">
        <v>197</v>
      </c>
      <c r="L133" s="5" t="s">
        <v>197</v>
      </c>
      <c r="N133" s="13" t="s">
        <v>946</v>
      </c>
      <c r="R133" s="5" t="s">
        <v>197</v>
      </c>
      <c r="T133" s="5" t="s">
        <v>197</v>
      </c>
    </row>
    <row r="134" spans="1:20">
      <c r="A134" s="46" t="s">
        <v>202</v>
      </c>
      <c r="B134" s="3" t="s">
        <v>315</v>
      </c>
      <c r="D134" s="57" t="s">
        <v>205</v>
      </c>
      <c r="E134" s="57"/>
      <c r="F134" s="57" t="s">
        <v>206</v>
      </c>
      <c r="G134" s="57"/>
      <c r="H134" s="101" t="s">
        <v>945</v>
      </c>
      <c r="J134" s="5" t="s">
        <v>197</v>
      </c>
      <c r="L134" s="5" t="s">
        <v>197</v>
      </c>
      <c r="N134" s="13" t="s">
        <v>946</v>
      </c>
      <c r="R134" s="5" t="s">
        <v>197</v>
      </c>
      <c r="T134" s="5" t="s">
        <v>197</v>
      </c>
    </row>
    <row r="135" spans="1:20">
      <c r="A135" s="46" t="s">
        <v>204</v>
      </c>
      <c r="B135" s="3" t="s">
        <v>316</v>
      </c>
      <c r="D135" s="57" t="s">
        <v>205</v>
      </c>
      <c r="E135" s="57"/>
      <c r="F135" s="57" t="s">
        <v>206</v>
      </c>
      <c r="G135" s="57"/>
      <c r="H135" s="101" t="s">
        <v>945</v>
      </c>
      <c r="J135" s="5" t="s">
        <v>197</v>
      </c>
      <c r="L135" s="5" t="s">
        <v>197</v>
      </c>
      <c r="N135" s="13" t="s">
        <v>946</v>
      </c>
      <c r="R135" s="5" t="s">
        <v>197</v>
      </c>
      <c r="T135" s="5" t="s">
        <v>197</v>
      </c>
    </row>
    <row r="136" spans="1:20">
      <c r="A136" s="46" t="s">
        <v>264</v>
      </c>
      <c r="B136" s="3" t="s">
        <v>317</v>
      </c>
      <c r="D136" s="57" t="s">
        <v>205</v>
      </c>
      <c r="E136" s="57"/>
      <c r="F136" s="57" t="s">
        <v>11</v>
      </c>
      <c r="G136" s="57"/>
      <c r="H136" s="101" t="s">
        <v>417</v>
      </c>
      <c r="J136" s="5" t="s">
        <v>197</v>
      </c>
      <c r="L136" s="5" t="s">
        <v>197</v>
      </c>
      <c r="N136" s="13" t="s">
        <v>946</v>
      </c>
      <c r="R136" s="5" t="s">
        <v>197</v>
      </c>
      <c r="T136" s="5" t="s">
        <v>197</v>
      </c>
    </row>
    <row r="137" spans="1:20">
      <c r="A137" s="46" t="s">
        <v>266</v>
      </c>
      <c r="B137" s="3" t="s">
        <v>318</v>
      </c>
      <c r="D137" s="57" t="s">
        <v>11</v>
      </c>
      <c r="E137" s="57"/>
      <c r="F137" s="57" t="s">
        <v>11</v>
      </c>
      <c r="G137" s="57"/>
      <c r="H137" s="101" t="s">
        <v>319</v>
      </c>
      <c r="J137" s="5" t="s">
        <v>197</v>
      </c>
      <c r="L137" s="5" t="s">
        <v>197</v>
      </c>
      <c r="N137" s="5" t="s">
        <v>197</v>
      </c>
      <c r="R137" s="5" t="s">
        <v>197</v>
      </c>
      <c r="T137" s="5" t="s">
        <v>197</v>
      </c>
    </row>
    <row r="138" spans="1:20">
      <c r="A138" s="46" t="s">
        <v>298</v>
      </c>
      <c r="B138" s="3" t="s">
        <v>320</v>
      </c>
      <c r="D138" s="57" t="s">
        <v>205</v>
      </c>
      <c r="E138" s="57"/>
      <c r="F138" s="57" t="s">
        <v>11</v>
      </c>
      <c r="G138" s="57"/>
      <c r="H138" s="101"/>
      <c r="J138" s="5" t="s">
        <v>197</v>
      </c>
      <c r="L138" s="5" t="s">
        <v>197</v>
      </c>
      <c r="N138" s="5" t="s">
        <v>197</v>
      </c>
      <c r="R138" s="5" t="s">
        <v>197</v>
      </c>
      <c r="T138" s="5" t="s">
        <v>197</v>
      </c>
    </row>
    <row r="139" spans="1:20">
      <c r="A139" s="46" t="s">
        <v>301</v>
      </c>
      <c r="B139" s="3" t="s">
        <v>321</v>
      </c>
      <c r="D139" s="57" t="s">
        <v>205</v>
      </c>
      <c r="E139" s="57"/>
      <c r="F139" s="57" t="s">
        <v>11</v>
      </c>
      <c r="G139" s="57"/>
      <c r="H139" s="101" t="s">
        <v>417</v>
      </c>
      <c r="J139" s="5" t="s">
        <v>197</v>
      </c>
      <c r="L139" s="5" t="s">
        <v>197</v>
      </c>
      <c r="N139" s="5" t="s">
        <v>197</v>
      </c>
      <c r="R139" s="5" t="s">
        <v>197</v>
      </c>
      <c r="T139" s="5" t="s">
        <v>197</v>
      </c>
    </row>
    <row r="140" spans="1:20">
      <c r="A140" s="76"/>
      <c r="D140" s="57"/>
      <c r="E140" s="57"/>
      <c r="F140" s="57"/>
      <c r="G140" s="57"/>
      <c r="H140" s="101"/>
    </row>
    <row r="141" spans="1:20">
      <c r="A141" s="76" t="s">
        <v>322</v>
      </c>
      <c r="D141" s="57" t="s">
        <v>11</v>
      </c>
      <c r="E141" s="57"/>
      <c r="F141" s="57" t="s">
        <v>11</v>
      </c>
      <c r="G141" s="57"/>
      <c r="H141" s="101"/>
      <c r="J141" s="5" t="s">
        <v>11</v>
      </c>
      <c r="L141" s="5" t="s">
        <v>11</v>
      </c>
      <c r="N141" s="5" t="s">
        <v>11</v>
      </c>
      <c r="R141" s="5" t="s">
        <v>11</v>
      </c>
      <c r="T141" s="5" t="s">
        <v>11</v>
      </c>
    </row>
    <row r="142" spans="1:20">
      <c r="A142" s="76"/>
      <c r="D142" s="57"/>
      <c r="E142" s="57"/>
      <c r="F142" s="57"/>
      <c r="G142" s="57"/>
      <c r="H142" s="101"/>
    </row>
    <row r="143" spans="1:20">
      <c r="A143" s="76" t="s">
        <v>323</v>
      </c>
      <c r="D143" s="57" t="s">
        <v>11</v>
      </c>
      <c r="E143" s="57"/>
      <c r="F143" s="57" t="s">
        <v>11</v>
      </c>
      <c r="G143" s="57"/>
      <c r="H143" s="101"/>
      <c r="J143" s="5" t="s">
        <v>11</v>
      </c>
      <c r="L143" s="5" t="s">
        <v>11</v>
      </c>
      <c r="N143" s="5" t="s">
        <v>11</v>
      </c>
      <c r="R143" s="5" t="s">
        <v>11</v>
      </c>
      <c r="T143" s="5" t="s">
        <v>11</v>
      </c>
    </row>
    <row r="144" spans="1:20">
      <c r="A144" s="76"/>
      <c r="D144" s="57"/>
      <c r="E144" s="57"/>
      <c r="F144" s="57"/>
      <c r="G144" s="57"/>
      <c r="H144" s="101"/>
    </row>
    <row r="145" spans="1:20">
      <c r="A145" s="76" t="s">
        <v>324</v>
      </c>
      <c r="D145" s="57"/>
      <c r="E145" s="57"/>
      <c r="F145" s="57"/>
      <c r="G145" s="57"/>
      <c r="H145" s="101"/>
    </row>
    <row r="146" spans="1:20">
      <c r="A146" s="46" t="s">
        <v>200</v>
      </c>
      <c r="B146" s="3" t="s">
        <v>325</v>
      </c>
      <c r="D146" s="57" t="s">
        <v>205</v>
      </c>
      <c r="E146" s="57"/>
      <c r="F146" s="57" t="s">
        <v>300</v>
      </c>
      <c r="G146" s="57"/>
      <c r="H146" s="101" t="s">
        <v>365</v>
      </c>
      <c r="J146" s="5" t="s">
        <v>197</v>
      </c>
      <c r="L146" s="5" t="s">
        <v>197</v>
      </c>
      <c r="N146" s="5" t="s">
        <v>197</v>
      </c>
      <c r="R146" s="5" t="s">
        <v>197</v>
      </c>
      <c r="T146" s="5" t="s">
        <v>197</v>
      </c>
    </row>
    <row r="147" spans="1:20">
      <c r="A147" s="46" t="s">
        <v>202</v>
      </c>
      <c r="B147" s="3" t="s">
        <v>326</v>
      </c>
      <c r="D147" s="57" t="s">
        <v>11</v>
      </c>
      <c r="E147" s="57"/>
      <c r="F147" s="57" t="s">
        <v>11</v>
      </c>
      <c r="G147" s="57"/>
      <c r="H147" s="101"/>
      <c r="J147" s="5" t="s">
        <v>11</v>
      </c>
      <c r="L147" s="5" t="s">
        <v>11</v>
      </c>
      <c r="N147" s="5" t="s">
        <v>11</v>
      </c>
      <c r="R147" s="5" t="s">
        <v>11</v>
      </c>
      <c r="T147" s="5" t="s">
        <v>11</v>
      </c>
    </row>
    <row r="148" spans="1:20">
      <c r="A148" s="46" t="s">
        <v>204</v>
      </c>
      <c r="B148" s="3" t="s">
        <v>327</v>
      </c>
      <c r="D148" s="57" t="s">
        <v>205</v>
      </c>
      <c r="E148" s="57"/>
      <c r="F148" s="57" t="s">
        <v>206</v>
      </c>
      <c r="G148" s="57"/>
      <c r="H148" s="101"/>
      <c r="J148" s="5" t="s">
        <v>197</v>
      </c>
      <c r="L148" s="5" t="s">
        <v>197</v>
      </c>
      <c r="N148" s="5" t="s">
        <v>197</v>
      </c>
      <c r="R148" s="5" t="s">
        <v>197</v>
      </c>
      <c r="T148" s="5" t="s">
        <v>197</v>
      </c>
    </row>
    <row r="149" spans="1:20">
      <c r="A149" s="76"/>
      <c r="D149" s="57"/>
      <c r="E149" s="57"/>
      <c r="F149" s="57"/>
      <c r="G149" s="57"/>
      <c r="H149" s="101"/>
    </row>
    <row r="150" spans="1:20">
      <c r="A150" s="76" t="s">
        <v>328</v>
      </c>
      <c r="D150" s="57"/>
      <c r="E150" s="57"/>
      <c r="F150" s="57"/>
      <c r="G150" s="57"/>
      <c r="H150" s="101"/>
    </row>
    <row r="151" spans="1:20">
      <c r="A151" s="46" t="s">
        <v>200</v>
      </c>
      <c r="B151" s="3" t="s">
        <v>329</v>
      </c>
      <c r="D151" s="57" t="s">
        <v>205</v>
      </c>
      <c r="E151" s="57"/>
      <c r="F151" s="57" t="s">
        <v>300</v>
      </c>
      <c r="G151" s="57"/>
      <c r="H151" s="101"/>
      <c r="J151" s="5" t="s">
        <v>197</v>
      </c>
      <c r="L151" s="5" t="s">
        <v>197</v>
      </c>
      <c r="N151" s="5" t="s">
        <v>197</v>
      </c>
      <c r="R151" s="5" t="s">
        <v>197</v>
      </c>
      <c r="T151" s="5" t="s">
        <v>197</v>
      </c>
    </row>
    <row r="152" spans="1:20">
      <c r="A152" s="46" t="s">
        <v>202</v>
      </c>
      <c r="B152" s="3" t="s">
        <v>330</v>
      </c>
      <c r="D152" s="57" t="s">
        <v>11</v>
      </c>
      <c r="E152" s="57"/>
      <c r="F152" s="57" t="s">
        <v>11</v>
      </c>
      <c r="G152" s="57"/>
      <c r="H152" s="101"/>
      <c r="J152" s="5" t="s">
        <v>11</v>
      </c>
      <c r="L152" s="5" t="s">
        <v>11</v>
      </c>
      <c r="N152" s="5" t="s">
        <v>11</v>
      </c>
      <c r="R152" s="5" t="s">
        <v>11</v>
      </c>
      <c r="T152" s="5" t="s">
        <v>11</v>
      </c>
    </row>
    <row r="153" spans="1:20">
      <c r="A153" s="46" t="s">
        <v>204</v>
      </c>
      <c r="B153" s="3" t="s">
        <v>331</v>
      </c>
      <c r="D153" s="57" t="s">
        <v>11</v>
      </c>
      <c r="E153" s="57"/>
      <c r="F153" s="57" t="s">
        <v>11</v>
      </c>
      <c r="G153" s="57"/>
      <c r="H153" s="101"/>
      <c r="J153" s="5" t="s">
        <v>11</v>
      </c>
      <c r="L153" s="5" t="s">
        <v>11</v>
      </c>
      <c r="N153" s="5" t="s">
        <v>11</v>
      </c>
      <c r="R153" s="5" t="s">
        <v>11</v>
      </c>
      <c r="T153" s="5" t="s">
        <v>11</v>
      </c>
    </row>
    <row r="154" spans="1:20">
      <c r="A154" s="46" t="s">
        <v>264</v>
      </c>
      <c r="B154" s="3" t="s">
        <v>332</v>
      </c>
      <c r="D154" s="57" t="s">
        <v>11</v>
      </c>
      <c r="E154" s="57"/>
      <c r="F154" s="57" t="s">
        <v>11</v>
      </c>
      <c r="G154" s="57"/>
      <c r="H154" s="101"/>
      <c r="J154" s="5" t="s">
        <v>11</v>
      </c>
      <c r="L154" s="5" t="s">
        <v>11</v>
      </c>
      <c r="N154" s="5" t="s">
        <v>11</v>
      </c>
      <c r="R154" s="5" t="s">
        <v>11</v>
      </c>
      <c r="T154" s="5" t="s">
        <v>11</v>
      </c>
    </row>
    <row r="155" spans="1:20">
      <c r="A155" s="46" t="s">
        <v>266</v>
      </c>
      <c r="B155" s="3" t="s">
        <v>333</v>
      </c>
      <c r="D155" s="57" t="s">
        <v>11</v>
      </c>
      <c r="E155" s="57"/>
      <c r="F155" s="57" t="s">
        <v>11</v>
      </c>
      <c r="G155" s="57"/>
      <c r="H155" s="101"/>
      <c r="J155" s="5" t="s">
        <v>11</v>
      </c>
      <c r="L155" s="5" t="s">
        <v>11</v>
      </c>
      <c r="N155" s="5" t="s">
        <v>11</v>
      </c>
      <c r="R155" s="5" t="s">
        <v>11</v>
      </c>
      <c r="T155" s="5" t="s">
        <v>11</v>
      </c>
    </row>
    <row r="156" spans="1:20">
      <c r="A156" s="46" t="s">
        <v>298</v>
      </c>
      <c r="B156" s="3" t="s">
        <v>334</v>
      </c>
      <c r="D156" s="57" t="s">
        <v>11</v>
      </c>
      <c r="E156" s="57"/>
      <c r="F156" s="57" t="s">
        <v>11</v>
      </c>
      <c r="G156" s="57"/>
      <c r="H156" s="101"/>
      <c r="J156" s="5" t="s">
        <v>11</v>
      </c>
      <c r="L156" s="5" t="s">
        <v>11</v>
      </c>
      <c r="N156" s="5" t="s">
        <v>11</v>
      </c>
      <c r="R156" s="5" t="s">
        <v>11</v>
      </c>
      <c r="T156" s="5" t="s">
        <v>11</v>
      </c>
    </row>
    <row r="157" spans="1:20">
      <c r="A157" s="46" t="s">
        <v>301</v>
      </c>
      <c r="B157" s="3" t="s">
        <v>335</v>
      </c>
      <c r="D157" s="57" t="s">
        <v>205</v>
      </c>
      <c r="E157" s="57"/>
      <c r="F157" s="57" t="s">
        <v>206</v>
      </c>
      <c r="G157" s="57"/>
      <c r="H157" s="101"/>
      <c r="J157" s="5" t="s">
        <v>197</v>
      </c>
      <c r="L157" s="5" t="s">
        <v>197</v>
      </c>
      <c r="N157" s="5" t="s">
        <v>197</v>
      </c>
      <c r="R157" s="5" t="s">
        <v>197</v>
      </c>
      <c r="T157" s="5" t="s">
        <v>197</v>
      </c>
    </row>
    <row r="158" spans="1:20">
      <c r="A158" s="46" t="s">
        <v>336</v>
      </c>
      <c r="B158" s="3" t="s">
        <v>337</v>
      </c>
      <c r="D158" s="57" t="s">
        <v>11</v>
      </c>
      <c r="E158" s="57"/>
      <c r="F158" s="57" t="s">
        <v>11</v>
      </c>
      <c r="G158" s="57"/>
      <c r="H158" s="101"/>
      <c r="J158" s="5" t="s">
        <v>11</v>
      </c>
      <c r="L158" s="5" t="s">
        <v>11</v>
      </c>
      <c r="N158" s="5" t="s">
        <v>11</v>
      </c>
      <c r="R158" s="5" t="s">
        <v>11</v>
      </c>
      <c r="T158" s="5" t="s">
        <v>11</v>
      </c>
    </row>
    <row r="159" spans="1:20">
      <c r="A159" s="46" t="s">
        <v>338</v>
      </c>
      <c r="B159" s="3" t="s">
        <v>339</v>
      </c>
      <c r="D159" s="57" t="s">
        <v>11</v>
      </c>
      <c r="E159" s="57"/>
      <c r="F159" s="57" t="s">
        <v>11</v>
      </c>
      <c r="G159" s="57"/>
      <c r="H159" s="101"/>
      <c r="N159" s="5" t="s">
        <v>11</v>
      </c>
      <c r="R159" s="5" t="s">
        <v>11</v>
      </c>
      <c r="T159" s="5" t="s">
        <v>11</v>
      </c>
    </row>
    <row r="160" spans="1:20">
      <c r="A160" s="46" t="s">
        <v>340</v>
      </c>
      <c r="B160" s="3" t="s">
        <v>341</v>
      </c>
      <c r="D160" s="57" t="s">
        <v>11</v>
      </c>
      <c r="E160" s="57"/>
      <c r="F160" s="57" t="s">
        <v>11</v>
      </c>
      <c r="G160" s="57"/>
      <c r="H160" s="101"/>
      <c r="N160" s="5" t="s">
        <v>197</v>
      </c>
      <c r="R160" s="5" t="s">
        <v>197</v>
      </c>
      <c r="T160" s="5" t="s">
        <v>197</v>
      </c>
    </row>
    <row r="161" spans="1:20">
      <c r="A161" s="76"/>
      <c r="D161" s="57"/>
      <c r="E161" s="57"/>
      <c r="F161" s="57"/>
      <c r="G161" s="57"/>
      <c r="H161" s="101"/>
    </row>
    <row r="162" spans="1:20">
      <c r="A162" s="76" t="s">
        <v>342</v>
      </c>
      <c r="D162" s="57"/>
      <c r="E162" s="57"/>
      <c r="F162" s="57"/>
      <c r="G162" s="57"/>
      <c r="H162" s="101"/>
    </row>
    <row r="163" spans="1:20">
      <c r="A163" s="46" t="s">
        <v>200</v>
      </c>
      <c r="B163" s="3" t="s">
        <v>343</v>
      </c>
      <c r="D163" s="57" t="s">
        <v>11</v>
      </c>
      <c r="E163" s="57"/>
      <c r="F163" s="57" t="s">
        <v>11</v>
      </c>
      <c r="G163" s="57"/>
      <c r="H163" s="101"/>
      <c r="N163" s="5" t="s">
        <v>11</v>
      </c>
      <c r="R163" s="5" t="s">
        <v>11</v>
      </c>
      <c r="T163" s="5" t="s">
        <v>11</v>
      </c>
    </row>
    <row r="164" spans="1:20">
      <c r="A164" s="46" t="s">
        <v>202</v>
      </c>
      <c r="B164" s="3" t="s">
        <v>344</v>
      </c>
      <c r="D164" s="57" t="s">
        <v>11</v>
      </c>
      <c r="E164" s="57"/>
      <c r="F164" s="57" t="s">
        <v>11</v>
      </c>
      <c r="G164" s="57"/>
      <c r="H164" s="101"/>
      <c r="N164" s="5" t="s">
        <v>11</v>
      </c>
      <c r="R164" s="5" t="s">
        <v>11</v>
      </c>
      <c r="T164" s="5" t="s">
        <v>11</v>
      </c>
    </row>
    <row r="165" spans="1:20">
      <c r="A165" s="46" t="s">
        <v>204</v>
      </c>
      <c r="B165" s="3" t="s">
        <v>345</v>
      </c>
      <c r="D165" s="57" t="s">
        <v>11</v>
      </c>
      <c r="E165" s="57"/>
      <c r="F165" s="57" t="s">
        <v>11</v>
      </c>
      <c r="G165" s="57"/>
      <c r="H165" s="101"/>
      <c r="N165" s="5" t="s">
        <v>11</v>
      </c>
      <c r="R165" s="5" t="s">
        <v>11</v>
      </c>
      <c r="T165" s="5" t="s">
        <v>11</v>
      </c>
    </row>
    <row r="166" spans="1:20">
      <c r="A166" s="46" t="s">
        <v>264</v>
      </c>
      <c r="B166" s="3" t="s">
        <v>346</v>
      </c>
      <c r="D166" s="57" t="s">
        <v>11</v>
      </c>
      <c r="E166" s="57"/>
      <c r="F166" s="57" t="s">
        <v>11</v>
      </c>
      <c r="G166" s="57"/>
      <c r="H166" s="101"/>
      <c r="N166" s="5" t="s">
        <v>11</v>
      </c>
      <c r="R166" s="5" t="s">
        <v>11</v>
      </c>
      <c r="T166" s="5" t="s">
        <v>11</v>
      </c>
    </row>
    <row r="167" spans="1:20">
      <c r="A167" s="46" t="s">
        <v>266</v>
      </c>
      <c r="B167" s="3" t="s">
        <v>347</v>
      </c>
      <c r="D167" s="57" t="s">
        <v>11</v>
      </c>
      <c r="E167" s="57"/>
      <c r="F167" s="57" t="s">
        <v>11</v>
      </c>
      <c r="G167" s="57"/>
      <c r="H167" s="101"/>
      <c r="N167" s="5" t="s">
        <v>11</v>
      </c>
      <c r="R167" s="5" t="s">
        <v>11</v>
      </c>
      <c r="T167" s="5" t="s">
        <v>11</v>
      </c>
    </row>
    <row r="168" spans="1:20" s="90" customFormat="1">
      <c r="A168" s="103"/>
      <c r="D168" s="57"/>
      <c r="E168" s="57"/>
      <c r="F168" s="57"/>
      <c r="G168" s="57"/>
      <c r="H168" s="101"/>
      <c r="J168" s="57"/>
      <c r="L168" s="57"/>
      <c r="M168" s="57"/>
      <c r="N168" s="57"/>
      <c r="O168" s="57"/>
      <c r="P168" s="57"/>
      <c r="Q168" s="57"/>
      <c r="R168" s="57"/>
      <c r="T168" s="57"/>
    </row>
    <row r="169" spans="1:20">
      <c r="A169" s="76" t="s">
        <v>348</v>
      </c>
      <c r="D169" s="57"/>
      <c r="E169" s="57"/>
      <c r="F169" s="57"/>
      <c r="G169" s="57"/>
      <c r="H169" s="101"/>
    </row>
    <row r="170" spans="1:20">
      <c r="A170" s="46" t="s">
        <v>200</v>
      </c>
      <c r="B170" s="3" t="s">
        <v>349</v>
      </c>
      <c r="D170" s="57" t="s">
        <v>11</v>
      </c>
      <c r="E170" s="57"/>
      <c r="F170" s="57" t="s">
        <v>11</v>
      </c>
      <c r="G170" s="57"/>
      <c r="H170" s="101"/>
      <c r="N170" s="5" t="s">
        <v>197</v>
      </c>
      <c r="R170" s="5" t="s">
        <v>197</v>
      </c>
      <c r="T170" s="5" t="s">
        <v>197</v>
      </c>
    </row>
    <row r="171" spans="1:20">
      <c r="A171" s="46" t="s">
        <v>202</v>
      </c>
      <c r="B171" s="3" t="s">
        <v>350</v>
      </c>
      <c r="D171" s="57" t="s">
        <v>205</v>
      </c>
      <c r="E171" s="57"/>
      <c r="F171" s="57" t="s">
        <v>206</v>
      </c>
      <c r="G171" s="57"/>
      <c r="H171" s="101" t="s">
        <v>351</v>
      </c>
      <c r="J171" s="5" t="s">
        <v>197</v>
      </c>
      <c r="L171" s="5" t="s">
        <v>197</v>
      </c>
      <c r="N171" s="5" t="s">
        <v>197</v>
      </c>
      <c r="R171" s="5" t="s">
        <v>11</v>
      </c>
      <c r="T171" s="5" t="s">
        <v>11</v>
      </c>
    </row>
    <row r="172" spans="1:20">
      <c r="A172" s="76"/>
      <c r="D172" s="57"/>
      <c r="E172" s="57"/>
      <c r="F172" s="57"/>
      <c r="G172" s="57"/>
      <c r="H172" s="101"/>
    </row>
    <row r="173" spans="1:20">
      <c r="A173" s="76" t="s">
        <v>352</v>
      </c>
      <c r="D173" s="57" t="s">
        <v>205</v>
      </c>
      <c r="E173" s="57"/>
      <c r="F173" s="57" t="s">
        <v>206</v>
      </c>
      <c r="G173" s="57"/>
      <c r="H173" s="101" t="s">
        <v>418</v>
      </c>
      <c r="J173" s="5" t="s">
        <v>197</v>
      </c>
      <c r="L173" s="5" t="s">
        <v>197</v>
      </c>
      <c r="N173" s="5" t="s">
        <v>11</v>
      </c>
      <c r="R173" s="5" t="s">
        <v>197</v>
      </c>
      <c r="T173" s="5" t="s">
        <v>197</v>
      </c>
    </row>
    <row r="174" spans="1:20">
      <c r="A174" s="76"/>
      <c r="D174" s="57"/>
      <c r="E174" s="57"/>
      <c r="F174" s="57"/>
      <c r="G174" s="57"/>
      <c r="H174" s="101"/>
    </row>
    <row r="175" spans="1:20">
      <c r="A175" s="76" t="s">
        <v>353</v>
      </c>
      <c r="D175" s="57" t="s">
        <v>11</v>
      </c>
      <c r="E175" s="57"/>
      <c r="F175" s="57" t="s">
        <v>11</v>
      </c>
      <c r="G175" s="57"/>
      <c r="H175" s="101"/>
      <c r="J175" s="5" t="s">
        <v>11</v>
      </c>
      <c r="L175" s="5" t="s">
        <v>11</v>
      </c>
      <c r="N175" s="5" t="s">
        <v>11</v>
      </c>
      <c r="R175" s="5" t="s">
        <v>197</v>
      </c>
      <c r="T175" s="5" t="s">
        <v>197</v>
      </c>
    </row>
    <row r="176" spans="1:20">
      <c r="A176" s="76"/>
      <c r="D176" s="57"/>
      <c r="E176" s="57"/>
      <c r="F176" s="57"/>
      <c r="G176" s="57"/>
      <c r="H176" s="101"/>
    </row>
    <row r="177" spans="1:20">
      <c r="A177" s="76" t="s">
        <v>354</v>
      </c>
      <c r="D177" s="57" t="s">
        <v>11</v>
      </c>
      <c r="E177" s="57"/>
      <c r="F177" s="57" t="s">
        <v>11</v>
      </c>
      <c r="G177" s="57"/>
      <c r="H177" s="101" t="s">
        <v>355</v>
      </c>
      <c r="J177" s="57" t="s">
        <v>11</v>
      </c>
      <c r="K177" s="57"/>
      <c r="L177" s="57" t="s">
        <v>11</v>
      </c>
      <c r="M177" s="57"/>
      <c r="N177" s="57" t="s">
        <v>197</v>
      </c>
      <c r="O177" s="57"/>
      <c r="Q177" s="57"/>
      <c r="R177" s="5" t="s">
        <v>197</v>
      </c>
      <c r="T177" s="5" t="s">
        <v>356</v>
      </c>
    </row>
    <row r="178" spans="1:20" ht="6.75" customHeight="1">
      <c r="A178" s="46"/>
      <c r="D178" s="57"/>
      <c r="E178" s="57"/>
      <c r="F178" s="57"/>
      <c r="G178" s="57"/>
      <c r="H178" s="101"/>
    </row>
    <row r="179" spans="1:20">
      <c r="A179" s="46"/>
      <c r="D179" s="57"/>
      <c r="E179" s="57"/>
      <c r="F179" s="57"/>
      <c r="G179" s="57"/>
      <c r="H179" s="101"/>
      <c r="J179" s="3"/>
      <c r="L179" s="3"/>
      <c r="M179" s="3"/>
      <c r="N179" s="3"/>
      <c r="O179" s="3"/>
      <c r="P179" s="90"/>
      <c r="Q179" s="3"/>
      <c r="R179" s="3"/>
      <c r="T179" s="3"/>
    </row>
    <row r="180" spans="1:20">
      <c r="A180" s="46"/>
      <c r="D180" s="57"/>
      <c r="E180" s="57"/>
      <c r="F180" s="57"/>
      <c r="G180" s="57"/>
      <c r="H180" s="101"/>
      <c r="J180" s="3"/>
      <c r="L180" s="3"/>
      <c r="M180" s="3"/>
      <c r="N180" s="3"/>
      <c r="O180" s="3"/>
      <c r="P180" s="90"/>
      <c r="Q180" s="3"/>
      <c r="R180" s="3"/>
      <c r="T180" s="3"/>
    </row>
    <row r="181" spans="1:20">
      <c r="A181" s="46"/>
      <c r="D181" s="57"/>
      <c r="E181" s="57"/>
      <c r="F181" s="57"/>
      <c r="G181" s="57"/>
      <c r="H181" s="101"/>
      <c r="J181" s="3"/>
      <c r="L181" s="3"/>
      <c r="M181" s="3"/>
      <c r="N181" s="3"/>
      <c r="O181" s="3"/>
      <c r="P181" s="90"/>
      <c r="Q181" s="3"/>
      <c r="R181" s="3"/>
      <c r="T181" s="3"/>
    </row>
    <row r="182" spans="1:20">
      <c r="A182" s="46"/>
      <c r="D182" s="57"/>
      <c r="E182" s="57"/>
      <c r="F182" s="57"/>
      <c r="G182" s="57"/>
      <c r="H182" s="101"/>
      <c r="J182" s="3"/>
      <c r="L182" s="3"/>
      <c r="M182" s="3"/>
      <c r="N182" s="3"/>
      <c r="O182" s="3"/>
      <c r="P182" s="90"/>
      <c r="Q182" s="3"/>
      <c r="R182" s="3"/>
      <c r="T182" s="3"/>
    </row>
    <row r="183" spans="1:20">
      <c r="H183" s="100"/>
      <c r="J183" s="3"/>
      <c r="L183" s="3"/>
      <c r="M183" s="3"/>
      <c r="N183" s="3"/>
      <c r="O183" s="3"/>
      <c r="P183" s="90"/>
      <c r="Q183" s="3"/>
      <c r="R183" s="3"/>
      <c r="T183" s="3"/>
    </row>
    <row r="184" spans="1:20">
      <c r="H184" s="100"/>
      <c r="J184" s="3"/>
      <c r="L184" s="3"/>
      <c r="M184" s="3"/>
      <c r="N184" s="3"/>
      <c r="O184" s="3"/>
      <c r="P184" s="90"/>
      <c r="Q184" s="3"/>
      <c r="R184" s="3"/>
      <c r="T184" s="3"/>
    </row>
    <row r="185" spans="1:20">
      <c r="A185" s="76"/>
      <c r="H185" s="100"/>
      <c r="J185" s="3"/>
      <c r="L185" s="3"/>
      <c r="M185" s="3"/>
      <c r="N185" s="3"/>
      <c r="O185" s="3"/>
      <c r="P185" s="90"/>
      <c r="Q185" s="3"/>
      <c r="R185" s="3"/>
      <c r="T185" s="3"/>
    </row>
    <row r="186" spans="1:20">
      <c r="A186" s="5"/>
      <c r="B186" s="76"/>
      <c r="H186" s="100"/>
      <c r="J186" s="3"/>
      <c r="L186" s="3"/>
      <c r="M186" s="3"/>
      <c r="N186" s="3"/>
      <c r="O186" s="3"/>
      <c r="P186" s="90"/>
      <c r="Q186" s="3"/>
      <c r="R186" s="3"/>
      <c r="T186" s="3"/>
    </row>
    <row r="187" spans="1:20">
      <c r="H187" s="100"/>
      <c r="J187" s="3"/>
      <c r="L187" s="3"/>
      <c r="M187" s="3"/>
      <c r="N187" s="3"/>
      <c r="O187" s="3"/>
      <c r="P187" s="90"/>
      <c r="Q187" s="3"/>
      <c r="R187" s="3"/>
      <c r="T187" s="3"/>
    </row>
    <row r="188" spans="1:20">
      <c r="H188" s="100"/>
      <c r="J188" s="3"/>
      <c r="L188" s="3"/>
      <c r="M188" s="3"/>
      <c r="N188" s="3"/>
      <c r="O188" s="3"/>
      <c r="P188" s="90"/>
      <c r="Q188" s="3"/>
      <c r="R188" s="3"/>
      <c r="T188" s="3"/>
    </row>
    <row r="189" spans="1:20">
      <c r="H189" s="100"/>
      <c r="J189" s="3"/>
      <c r="L189" s="3"/>
      <c r="M189" s="3"/>
      <c r="N189" s="3"/>
      <c r="O189" s="3"/>
      <c r="P189" s="90"/>
      <c r="Q189" s="3"/>
      <c r="R189" s="3"/>
      <c r="T189" s="3"/>
    </row>
    <row r="190" spans="1:20">
      <c r="H190" s="100"/>
      <c r="J190" s="3"/>
      <c r="L190" s="3"/>
      <c r="M190" s="3"/>
      <c r="N190" s="3"/>
      <c r="O190" s="3"/>
      <c r="P190" s="90"/>
      <c r="Q190" s="3"/>
      <c r="R190" s="3"/>
      <c r="T190" s="3"/>
    </row>
    <row r="191" spans="1:20">
      <c r="H191" s="100"/>
      <c r="J191" s="3"/>
      <c r="L191" s="3"/>
      <c r="M191" s="3"/>
      <c r="N191" s="3"/>
      <c r="O191" s="3"/>
      <c r="P191" s="90"/>
      <c r="Q191" s="3"/>
      <c r="R191" s="3"/>
      <c r="T191" s="3"/>
    </row>
    <row r="192" spans="1:20">
      <c r="H192" s="100"/>
      <c r="J192" s="3"/>
      <c r="L192" s="3"/>
      <c r="M192" s="3"/>
      <c r="N192" s="3"/>
      <c r="O192" s="3"/>
      <c r="P192" s="90"/>
      <c r="Q192" s="3"/>
      <c r="R192" s="3"/>
      <c r="T192" s="3"/>
    </row>
    <row r="193" spans="4:20">
      <c r="H193" s="100"/>
      <c r="J193" s="3"/>
      <c r="L193" s="3"/>
      <c r="M193" s="3"/>
      <c r="N193" s="3"/>
      <c r="O193" s="3"/>
      <c r="P193" s="90"/>
      <c r="Q193" s="3"/>
      <c r="R193" s="3"/>
      <c r="T193" s="3"/>
    </row>
    <row r="194" spans="4:20">
      <c r="H194" s="100"/>
      <c r="J194" s="3"/>
      <c r="L194" s="3"/>
      <c r="M194" s="3"/>
      <c r="N194" s="3"/>
      <c r="O194" s="3"/>
      <c r="P194" s="90"/>
      <c r="Q194" s="3"/>
      <c r="R194" s="3"/>
      <c r="T194" s="3"/>
    </row>
    <row r="195" spans="4:20">
      <c r="D195" s="3"/>
      <c r="E195" s="3"/>
      <c r="F195" s="3"/>
      <c r="G195" s="3"/>
      <c r="H195" s="100"/>
      <c r="J195" s="3"/>
      <c r="L195" s="3"/>
      <c r="M195" s="3"/>
      <c r="N195" s="3"/>
      <c r="O195" s="3"/>
      <c r="P195" s="90"/>
      <c r="Q195" s="3"/>
      <c r="R195" s="3"/>
      <c r="T195" s="3"/>
    </row>
    <row r="196" spans="4:20">
      <c r="D196" s="3"/>
      <c r="E196" s="3"/>
      <c r="F196" s="3"/>
      <c r="G196" s="3"/>
      <c r="H196" s="100"/>
      <c r="J196" s="3"/>
      <c r="L196" s="3"/>
      <c r="M196" s="3"/>
      <c r="N196" s="3"/>
      <c r="O196" s="3"/>
      <c r="P196" s="90"/>
      <c r="Q196" s="3"/>
      <c r="R196" s="3"/>
      <c r="T196" s="3"/>
    </row>
    <row r="197" spans="4:20">
      <c r="D197" s="3"/>
      <c r="E197" s="3"/>
      <c r="F197" s="3"/>
      <c r="G197" s="3"/>
      <c r="H197" s="100"/>
      <c r="J197" s="3"/>
      <c r="L197" s="3"/>
      <c r="M197" s="3"/>
      <c r="N197" s="3"/>
      <c r="O197" s="3"/>
      <c r="P197" s="90"/>
      <c r="Q197" s="3"/>
      <c r="R197" s="3"/>
      <c r="T197" s="3"/>
    </row>
    <row r="198" spans="4:20">
      <c r="D198" s="3"/>
      <c r="E198" s="3"/>
      <c r="F198" s="3"/>
      <c r="G198" s="3"/>
      <c r="H198" s="100"/>
      <c r="J198" s="3"/>
      <c r="L198" s="3"/>
      <c r="M198" s="3"/>
      <c r="N198" s="3"/>
      <c r="O198" s="3"/>
      <c r="P198" s="90"/>
      <c r="Q198" s="3"/>
      <c r="R198" s="3"/>
      <c r="T198" s="3"/>
    </row>
    <row r="199" spans="4:20">
      <c r="D199" s="3"/>
      <c r="E199" s="3"/>
      <c r="F199" s="3"/>
      <c r="G199" s="3"/>
      <c r="H199" s="100"/>
      <c r="J199" s="3"/>
      <c r="L199" s="3"/>
      <c r="M199" s="3"/>
      <c r="N199" s="3"/>
      <c r="O199" s="3"/>
      <c r="P199" s="90"/>
      <c r="Q199" s="3"/>
      <c r="R199" s="3"/>
      <c r="T199" s="3"/>
    </row>
    <row r="200" spans="4:20">
      <c r="D200" s="3"/>
      <c r="E200" s="3"/>
      <c r="F200" s="3"/>
      <c r="G200" s="3"/>
      <c r="H200" s="100"/>
      <c r="J200" s="3"/>
      <c r="L200" s="3"/>
      <c r="M200" s="3"/>
      <c r="N200" s="3"/>
      <c r="O200" s="3"/>
      <c r="P200" s="90"/>
      <c r="Q200" s="3"/>
      <c r="R200" s="3"/>
      <c r="T200" s="3"/>
    </row>
    <row r="201" spans="4:20">
      <c r="D201" s="3"/>
      <c r="E201" s="3"/>
      <c r="F201" s="3"/>
      <c r="G201" s="3"/>
      <c r="H201" s="100"/>
      <c r="J201" s="3"/>
      <c r="L201" s="3"/>
      <c r="M201" s="3"/>
      <c r="N201" s="3"/>
      <c r="O201" s="3"/>
      <c r="P201" s="90"/>
      <c r="Q201" s="3"/>
      <c r="R201" s="3"/>
      <c r="T201" s="3"/>
    </row>
    <row r="202" spans="4:20">
      <c r="D202" s="3"/>
      <c r="E202" s="3"/>
      <c r="F202" s="3"/>
      <c r="G202" s="3"/>
      <c r="H202" s="100"/>
      <c r="J202" s="3"/>
      <c r="L202" s="3"/>
      <c r="M202" s="3"/>
      <c r="N202" s="3"/>
      <c r="O202" s="3"/>
      <c r="P202" s="90"/>
      <c r="Q202" s="3"/>
      <c r="R202" s="3"/>
      <c r="T202" s="3"/>
    </row>
    <row r="203" spans="4:20">
      <c r="D203" s="3"/>
      <c r="E203" s="3"/>
      <c r="F203" s="3"/>
      <c r="G203" s="3"/>
      <c r="H203" s="100"/>
      <c r="J203" s="3"/>
      <c r="L203" s="3"/>
      <c r="M203" s="3"/>
      <c r="N203" s="3"/>
      <c r="O203" s="3"/>
      <c r="P203" s="90"/>
      <c r="Q203" s="3"/>
      <c r="R203" s="3"/>
      <c r="T203" s="3"/>
    </row>
    <row r="204" spans="4:20">
      <c r="D204" s="3"/>
      <c r="E204" s="3"/>
      <c r="F204" s="3"/>
      <c r="G204" s="3"/>
      <c r="H204" s="100"/>
      <c r="J204" s="3"/>
      <c r="L204" s="3"/>
      <c r="M204" s="3"/>
      <c r="N204" s="3"/>
      <c r="O204" s="3"/>
      <c r="P204" s="90"/>
      <c r="Q204" s="3"/>
      <c r="R204" s="3"/>
      <c r="T204" s="3"/>
    </row>
    <row r="205" spans="4:20">
      <c r="D205" s="3"/>
      <c r="E205" s="3"/>
      <c r="F205" s="3"/>
      <c r="G205" s="3"/>
      <c r="H205" s="100"/>
      <c r="J205" s="3"/>
      <c r="L205" s="3"/>
      <c r="M205" s="3"/>
      <c r="N205" s="3"/>
      <c r="O205" s="3"/>
      <c r="P205" s="90"/>
      <c r="Q205" s="3"/>
      <c r="R205" s="3"/>
      <c r="T205" s="3"/>
    </row>
    <row r="206" spans="4:20">
      <c r="D206" s="3"/>
      <c r="E206" s="3"/>
      <c r="F206" s="3"/>
      <c r="G206" s="3"/>
      <c r="H206" s="100"/>
      <c r="J206" s="3"/>
      <c r="L206" s="3"/>
      <c r="M206" s="3"/>
      <c r="N206" s="3"/>
      <c r="O206" s="3"/>
      <c r="P206" s="90"/>
      <c r="Q206" s="3"/>
      <c r="R206" s="3"/>
      <c r="T206" s="3"/>
    </row>
    <row r="207" spans="4:20">
      <c r="D207" s="3"/>
      <c r="E207" s="3"/>
      <c r="F207" s="3"/>
      <c r="G207" s="3"/>
      <c r="H207" s="100"/>
      <c r="J207" s="3"/>
      <c r="L207" s="3"/>
      <c r="M207" s="3"/>
      <c r="N207" s="3"/>
      <c r="O207" s="3"/>
      <c r="P207" s="90"/>
      <c r="Q207" s="3"/>
      <c r="R207" s="3"/>
      <c r="T207" s="3"/>
    </row>
  </sheetData>
  <pageMargins left="0.2" right="0.2" top="0.23" bottom="0.38" header="0.17" footer="0.17"/>
  <pageSetup scale="77" fitToHeight="3" orientation="landscape" r:id="rId1"/>
  <headerFooter>
    <oddFooter>&amp;L&amp;"Times New Roman,Regular"November 20, 2015&amp;C&amp;"Times New Roman,Regular"confidential and proprietary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Y65"/>
  <sheetViews>
    <sheetView topLeftCell="A3" zoomScale="80" zoomScaleNormal="80" workbookViewId="0">
      <selection activeCell="AH41" sqref="AH41"/>
    </sheetView>
  </sheetViews>
  <sheetFormatPr defaultRowHeight="13"/>
  <cols>
    <col min="1" max="1" width="22.26953125" style="3" customWidth="1"/>
    <col min="2" max="2" width="2.54296875" style="3" customWidth="1"/>
    <col min="3" max="3" width="10.7265625" style="3" customWidth="1"/>
    <col min="4" max="4" width="1.26953125" style="3" customWidth="1"/>
    <col min="5" max="5" width="10.7265625" style="3" customWidth="1"/>
    <col min="6" max="6" width="0.7265625" style="3" customWidth="1"/>
    <col min="7" max="7" width="10.7265625" style="3" customWidth="1"/>
    <col min="8" max="8" width="1.26953125" style="3" customWidth="1"/>
    <col min="9" max="9" width="11.453125" style="3" customWidth="1"/>
    <col min="10" max="10" width="3.7265625" style="391" customWidth="1"/>
    <col min="11" max="11" width="9.54296875" style="5" customWidth="1"/>
    <col min="12" max="12" width="1" style="5" customWidth="1"/>
    <col min="13" max="13" width="12" style="5" customWidth="1"/>
    <col min="14" max="14" width="1.7265625" style="5" customWidth="1"/>
    <col min="15" max="15" width="10.1796875" style="5" customWidth="1"/>
    <col min="16" max="16" width="4.1796875" style="399" customWidth="1"/>
    <col min="17" max="17" width="9.26953125" style="3" customWidth="1"/>
    <col min="18" max="18" width="1.26953125" style="3" customWidth="1"/>
    <col min="19" max="19" width="6.54296875" style="3" customWidth="1"/>
    <col min="20" max="20" width="1" style="3" customWidth="1"/>
    <col min="21" max="21" width="6.54296875" style="3" customWidth="1"/>
    <col min="22" max="22" width="1.1796875" style="3" customWidth="1"/>
    <col min="23" max="23" width="7.7265625" style="3" customWidth="1"/>
    <col min="24" max="24" width="2.1796875" style="3" customWidth="1"/>
    <col min="25" max="25" width="10.81640625" style="3" customWidth="1"/>
    <col min="26" max="26" width="0.7265625" style="3" customWidth="1"/>
    <col min="27" max="27" width="10.7265625" style="3" customWidth="1"/>
    <col min="28" max="28" width="1.26953125" style="3" customWidth="1"/>
    <col min="29" max="29" width="7" style="3" customWidth="1"/>
    <col min="30" max="30" width="1.1796875" style="3" customWidth="1"/>
    <col min="31" max="31" width="14.81640625" style="3" customWidth="1"/>
    <col min="32" max="32" width="0.7265625" style="3" customWidth="1"/>
    <col min="33" max="33" width="11.1796875" style="3" customWidth="1"/>
    <col min="34" max="34" width="4.54296875" style="76" customWidth="1"/>
    <col min="35" max="35" width="10.7265625" style="3" customWidth="1"/>
    <col min="36" max="36" width="13.7265625" style="3" customWidth="1"/>
    <col min="37" max="37" width="2.26953125" style="3" customWidth="1"/>
    <col min="38" max="38" width="2.453125" style="194" customWidth="1"/>
    <col min="39" max="39" width="10.81640625" style="3" customWidth="1"/>
    <col min="40" max="40" width="0.7265625" style="3" customWidth="1"/>
    <col min="41" max="41" width="10.7265625" style="3" customWidth="1"/>
    <col min="42" max="42" width="0.54296875" style="3" customWidth="1"/>
    <col min="43" max="43" width="6.54296875" style="3" customWidth="1"/>
    <col min="44" max="44" width="1.1796875" style="3" customWidth="1"/>
    <col min="45" max="45" width="11.54296875" style="3" customWidth="1"/>
    <col min="46" max="46" width="0.7265625" style="3" customWidth="1"/>
    <col min="47" max="47" width="9.54296875" style="3" customWidth="1"/>
    <col min="48" max="48" width="0.81640625" style="3" customWidth="1"/>
    <col min="49" max="49" width="10.7265625" style="3" customWidth="1"/>
    <col min="50" max="50" width="1.453125" style="3" customWidth="1"/>
    <col min="51" max="51" width="14.26953125" style="3" customWidth="1"/>
    <col min="52" max="193" width="9.1796875" style="3"/>
    <col min="194" max="194" width="22.453125" style="3" bestFit="1" customWidth="1"/>
    <col min="195" max="199" width="12.1796875" style="3" customWidth="1"/>
    <col min="200" max="200" width="18.7265625" style="3" customWidth="1"/>
    <col min="201" max="235" width="12.1796875" style="3" customWidth="1"/>
    <col min="236" max="236" width="15.1796875" style="3" customWidth="1"/>
    <col min="237" max="237" width="3.453125" style="3" customWidth="1"/>
    <col min="238" max="238" width="12.81640625" style="3" customWidth="1"/>
    <col min="239" max="239" width="13.1796875" style="3" customWidth="1"/>
    <col min="240" max="241" width="12.81640625" style="3" customWidth="1"/>
    <col min="242" max="242" width="11.7265625" style="3" customWidth="1"/>
    <col min="243" max="243" width="17.26953125" style="3" customWidth="1"/>
    <col min="244" max="244" width="9.54296875" style="3" customWidth="1"/>
    <col min="245" max="246" width="9.1796875" style="3" customWidth="1"/>
    <col min="247" max="449" width="9.1796875" style="3"/>
    <col min="450" max="450" width="22.453125" style="3" bestFit="1" customWidth="1"/>
    <col min="451" max="455" width="12.1796875" style="3" customWidth="1"/>
    <col min="456" max="456" width="18.7265625" style="3" customWidth="1"/>
    <col min="457" max="491" width="12.1796875" style="3" customWidth="1"/>
    <col min="492" max="492" width="15.1796875" style="3" customWidth="1"/>
    <col min="493" max="493" width="3.453125" style="3" customWidth="1"/>
    <col min="494" max="494" width="12.81640625" style="3" customWidth="1"/>
    <col min="495" max="495" width="13.1796875" style="3" customWidth="1"/>
    <col min="496" max="497" width="12.81640625" style="3" customWidth="1"/>
    <col min="498" max="498" width="11.7265625" style="3" customWidth="1"/>
    <col min="499" max="499" width="17.26953125" style="3" customWidth="1"/>
    <col min="500" max="500" width="9.54296875" style="3" customWidth="1"/>
    <col min="501" max="502" width="9.1796875" style="3" customWidth="1"/>
    <col min="503" max="705" width="9.1796875" style="3"/>
    <col min="706" max="706" width="22.453125" style="3" bestFit="1" customWidth="1"/>
    <col min="707" max="711" width="12.1796875" style="3" customWidth="1"/>
    <col min="712" max="712" width="18.7265625" style="3" customWidth="1"/>
    <col min="713" max="747" width="12.1796875" style="3" customWidth="1"/>
    <col min="748" max="748" width="15.1796875" style="3" customWidth="1"/>
    <col min="749" max="749" width="3.453125" style="3" customWidth="1"/>
    <col min="750" max="750" width="12.81640625" style="3" customWidth="1"/>
    <col min="751" max="751" width="13.1796875" style="3" customWidth="1"/>
    <col min="752" max="753" width="12.81640625" style="3" customWidth="1"/>
    <col min="754" max="754" width="11.7265625" style="3" customWidth="1"/>
    <col min="755" max="755" width="17.26953125" style="3" customWidth="1"/>
    <col min="756" max="756" width="9.54296875" style="3" customWidth="1"/>
    <col min="757" max="758" width="9.1796875" style="3" customWidth="1"/>
    <col min="759" max="961" width="9.1796875" style="3"/>
    <col min="962" max="962" width="22.453125" style="3" bestFit="1" customWidth="1"/>
    <col min="963" max="967" width="12.1796875" style="3" customWidth="1"/>
    <col min="968" max="968" width="18.7265625" style="3" customWidth="1"/>
    <col min="969" max="1003" width="12.1796875" style="3" customWidth="1"/>
    <col min="1004" max="1004" width="15.1796875" style="3" customWidth="1"/>
    <col min="1005" max="1005" width="3.453125" style="3" customWidth="1"/>
    <col min="1006" max="1006" width="12.81640625" style="3" customWidth="1"/>
    <col min="1007" max="1007" width="13.1796875" style="3" customWidth="1"/>
    <col min="1008" max="1009" width="12.81640625" style="3" customWidth="1"/>
    <col min="1010" max="1010" width="11.7265625" style="3" customWidth="1"/>
    <col min="1011" max="1011" width="17.26953125" style="3" customWidth="1"/>
    <col min="1012" max="1012" width="9.54296875" style="3" customWidth="1"/>
    <col min="1013" max="1014" width="9.1796875" style="3" customWidth="1"/>
    <col min="1015" max="1217" width="9.1796875" style="3"/>
    <col min="1218" max="1218" width="22.453125" style="3" bestFit="1" customWidth="1"/>
    <col min="1219" max="1223" width="12.1796875" style="3" customWidth="1"/>
    <col min="1224" max="1224" width="18.7265625" style="3" customWidth="1"/>
    <col min="1225" max="1259" width="12.1796875" style="3" customWidth="1"/>
    <col min="1260" max="1260" width="15.1796875" style="3" customWidth="1"/>
    <col min="1261" max="1261" width="3.453125" style="3" customWidth="1"/>
    <col min="1262" max="1262" width="12.81640625" style="3" customWidth="1"/>
    <col min="1263" max="1263" width="13.1796875" style="3" customWidth="1"/>
    <col min="1264" max="1265" width="12.81640625" style="3" customWidth="1"/>
    <col min="1266" max="1266" width="11.7265625" style="3" customWidth="1"/>
    <col min="1267" max="1267" width="17.26953125" style="3" customWidth="1"/>
    <col min="1268" max="1268" width="9.54296875" style="3" customWidth="1"/>
    <col min="1269" max="1270" width="9.1796875" style="3" customWidth="1"/>
    <col min="1271" max="1473" width="9.1796875" style="3"/>
    <col min="1474" max="1474" width="22.453125" style="3" bestFit="1" customWidth="1"/>
    <col min="1475" max="1479" width="12.1796875" style="3" customWidth="1"/>
    <col min="1480" max="1480" width="18.7265625" style="3" customWidth="1"/>
    <col min="1481" max="1515" width="12.1796875" style="3" customWidth="1"/>
    <col min="1516" max="1516" width="15.1796875" style="3" customWidth="1"/>
    <col min="1517" max="1517" width="3.453125" style="3" customWidth="1"/>
    <col min="1518" max="1518" width="12.81640625" style="3" customWidth="1"/>
    <col min="1519" max="1519" width="13.1796875" style="3" customWidth="1"/>
    <col min="1520" max="1521" width="12.81640625" style="3" customWidth="1"/>
    <col min="1522" max="1522" width="11.7265625" style="3" customWidth="1"/>
    <col min="1523" max="1523" width="17.26953125" style="3" customWidth="1"/>
    <col min="1524" max="1524" width="9.54296875" style="3" customWidth="1"/>
    <col min="1525" max="1526" width="9.1796875" style="3" customWidth="1"/>
    <col min="1527" max="1729" width="9.1796875" style="3"/>
    <col min="1730" max="1730" width="22.453125" style="3" bestFit="1" customWidth="1"/>
    <col min="1731" max="1735" width="12.1796875" style="3" customWidth="1"/>
    <col min="1736" max="1736" width="18.7265625" style="3" customWidth="1"/>
    <col min="1737" max="1771" width="12.1796875" style="3" customWidth="1"/>
    <col min="1772" max="1772" width="15.1796875" style="3" customWidth="1"/>
    <col min="1773" max="1773" width="3.453125" style="3" customWidth="1"/>
    <col min="1774" max="1774" width="12.81640625" style="3" customWidth="1"/>
    <col min="1775" max="1775" width="13.1796875" style="3" customWidth="1"/>
    <col min="1776" max="1777" width="12.81640625" style="3" customWidth="1"/>
    <col min="1778" max="1778" width="11.7265625" style="3" customWidth="1"/>
    <col min="1779" max="1779" width="17.26953125" style="3" customWidth="1"/>
    <col min="1780" max="1780" width="9.54296875" style="3" customWidth="1"/>
    <col min="1781" max="1782" width="9.1796875" style="3" customWidth="1"/>
    <col min="1783" max="1985" width="9.1796875" style="3"/>
    <col min="1986" max="1986" width="22.453125" style="3" bestFit="1" customWidth="1"/>
    <col min="1987" max="1991" width="12.1796875" style="3" customWidth="1"/>
    <col min="1992" max="1992" width="18.7265625" style="3" customWidth="1"/>
    <col min="1993" max="2027" width="12.1796875" style="3" customWidth="1"/>
    <col min="2028" max="2028" width="15.1796875" style="3" customWidth="1"/>
    <col min="2029" max="2029" width="3.453125" style="3" customWidth="1"/>
    <col min="2030" max="2030" width="12.81640625" style="3" customWidth="1"/>
    <col min="2031" max="2031" width="13.1796875" style="3" customWidth="1"/>
    <col min="2032" max="2033" width="12.81640625" style="3" customWidth="1"/>
    <col min="2034" max="2034" width="11.7265625" style="3" customWidth="1"/>
    <col min="2035" max="2035" width="17.26953125" style="3" customWidth="1"/>
    <col min="2036" max="2036" width="9.54296875" style="3" customWidth="1"/>
    <col min="2037" max="2038" width="9.1796875" style="3" customWidth="1"/>
    <col min="2039" max="2241" width="9.1796875" style="3"/>
    <col min="2242" max="2242" width="22.453125" style="3" bestFit="1" customWidth="1"/>
    <col min="2243" max="2247" width="12.1796875" style="3" customWidth="1"/>
    <col min="2248" max="2248" width="18.7265625" style="3" customWidth="1"/>
    <col min="2249" max="2283" width="12.1796875" style="3" customWidth="1"/>
    <col min="2284" max="2284" width="15.1796875" style="3" customWidth="1"/>
    <col min="2285" max="2285" width="3.453125" style="3" customWidth="1"/>
    <col min="2286" max="2286" width="12.81640625" style="3" customWidth="1"/>
    <col min="2287" max="2287" width="13.1796875" style="3" customWidth="1"/>
    <col min="2288" max="2289" width="12.81640625" style="3" customWidth="1"/>
    <col min="2290" max="2290" width="11.7265625" style="3" customWidth="1"/>
    <col min="2291" max="2291" width="17.26953125" style="3" customWidth="1"/>
    <col min="2292" max="2292" width="9.54296875" style="3" customWidth="1"/>
    <col min="2293" max="2294" width="9.1796875" style="3" customWidth="1"/>
    <col min="2295" max="2497" width="9.1796875" style="3"/>
    <col min="2498" max="2498" width="22.453125" style="3" bestFit="1" customWidth="1"/>
    <col min="2499" max="2503" width="12.1796875" style="3" customWidth="1"/>
    <col min="2504" max="2504" width="18.7265625" style="3" customWidth="1"/>
    <col min="2505" max="2539" width="12.1796875" style="3" customWidth="1"/>
    <col min="2540" max="2540" width="15.1796875" style="3" customWidth="1"/>
    <col min="2541" max="2541" width="3.453125" style="3" customWidth="1"/>
    <col min="2542" max="2542" width="12.81640625" style="3" customWidth="1"/>
    <col min="2543" max="2543" width="13.1796875" style="3" customWidth="1"/>
    <col min="2544" max="2545" width="12.81640625" style="3" customWidth="1"/>
    <col min="2546" max="2546" width="11.7265625" style="3" customWidth="1"/>
    <col min="2547" max="2547" width="17.26953125" style="3" customWidth="1"/>
    <col min="2548" max="2548" width="9.54296875" style="3" customWidth="1"/>
    <col min="2549" max="2550" width="9.1796875" style="3" customWidth="1"/>
    <col min="2551" max="2753" width="9.1796875" style="3"/>
    <col min="2754" max="2754" width="22.453125" style="3" bestFit="1" customWidth="1"/>
    <col min="2755" max="2759" width="12.1796875" style="3" customWidth="1"/>
    <col min="2760" max="2760" width="18.7265625" style="3" customWidth="1"/>
    <col min="2761" max="2795" width="12.1796875" style="3" customWidth="1"/>
    <col min="2796" max="2796" width="15.1796875" style="3" customWidth="1"/>
    <col min="2797" max="2797" width="3.453125" style="3" customWidth="1"/>
    <col min="2798" max="2798" width="12.81640625" style="3" customWidth="1"/>
    <col min="2799" max="2799" width="13.1796875" style="3" customWidth="1"/>
    <col min="2800" max="2801" width="12.81640625" style="3" customWidth="1"/>
    <col min="2802" max="2802" width="11.7265625" style="3" customWidth="1"/>
    <col min="2803" max="2803" width="17.26953125" style="3" customWidth="1"/>
    <col min="2804" max="2804" width="9.54296875" style="3" customWidth="1"/>
    <col min="2805" max="2806" width="9.1796875" style="3" customWidth="1"/>
    <col min="2807" max="3009" width="9.1796875" style="3"/>
    <col min="3010" max="3010" width="22.453125" style="3" bestFit="1" customWidth="1"/>
    <col min="3011" max="3015" width="12.1796875" style="3" customWidth="1"/>
    <col min="3016" max="3016" width="18.7265625" style="3" customWidth="1"/>
    <col min="3017" max="3051" width="12.1796875" style="3" customWidth="1"/>
    <col min="3052" max="3052" width="15.1796875" style="3" customWidth="1"/>
    <col min="3053" max="3053" width="3.453125" style="3" customWidth="1"/>
    <col min="3054" max="3054" width="12.81640625" style="3" customWidth="1"/>
    <col min="3055" max="3055" width="13.1796875" style="3" customWidth="1"/>
    <col min="3056" max="3057" width="12.81640625" style="3" customWidth="1"/>
    <col min="3058" max="3058" width="11.7265625" style="3" customWidth="1"/>
    <col min="3059" max="3059" width="17.26953125" style="3" customWidth="1"/>
    <col min="3060" max="3060" width="9.54296875" style="3" customWidth="1"/>
    <col min="3061" max="3062" width="9.1796875" style="3" customWidth="1"/>
    <col min="3063" max="3265" width="9.1796875" style="3"/>
    <col min="3266" max="3266" width="22.453125" style="3" bestFit="1" customWidth="1"/>
    <col min="3267" max="3271" width="12.1796875" style="3" customWidth="1"/>
    <col min="3272" max="3272" width="18.7265625" style="3" customWidth="1"/>
    <col min="3273" max="3307" width="12.1796875" style="3" customWidth="1"/>
    <col min="3308" max="3308" width="15.1796875" style="3" customWidth="1"/>
    <col min="3309" max="3309" width="3.453125" style="3" customWidth="1"/>
    <col min="3310" max="3310" width="12.81640625" style="3" customWidth="1"/>
    <col min="3311" max="3311" width="13.1796875" style="3" customWidth="1"/>
    <col min="3312" max="3313" width="12.81640625" style="3" customWidth="1"/>
    <col min="3314" max="3314" width="11.7265625" style="3" customWidth="1"/>
    <col min="3315" max="3315" width="17.26953125" style="3" customWidth="1"/>
    <col min="3316" max="3316" width="9.54296875" style="3" customWidth="1"/>
    <col min="3317" max="3318" width="9.1796875" style="3" customWidth="1"/>
    <col min="3319" max="3521" width="9.1796875" style="3"/>
    <col min="3522" max="3522" width="22.453125" style="3" bestFit="1" customWidth="1"/>
    <col min="3523" max="3527" width="12.1796875" style="3" customWidth="1"/>
    <col min="3528" max="3528" width="18.7265625" style="3" customWidth="1"/>
    <col min="3529" max="3563" width="12.1796875" style="3" customWidth="1"/>
    <col min="3564" max="3564" width="15.1796875" style="3" customWidth="1"/>
    <col min="3565" max="3565" width="3.453125" style="3" customWidth="1"/>
    <col min="3566" max="3566" width="12.81640625" style="3" customWidth="1"/>
    <col min="3567" max="3567" width="13.1796875" style="3" customWidth="1"/>
    <col min="3568" max="3569" width="12.81640625" style="3" customWidth="1"/>
    <col min="3570" max="3570" width="11.7265625" style="3" customWidth="1"/>
    <col min="3571" max="3571" width="17.26953125" style="3" customWidth="1"/>
    <col min="3572" max="3572" width="9.54296875" style="3" customWidth="1"/>
    <col min="3573" max="3574" width="9.1796875" style="3" customWidth="1"/>
    <col min="3575" max="3777" width="9.1796875" style="3"/>
    <col min="3778" max="3778" width="22.453125" style="3" bestFit="1" customWidth="1"/>
    <col min="3779" max="3783" width="12.1796875" style="3" customWidth="1"/>
    <col min="3784" max="3784" width="18.7265625" style="3" customWidth="1"/>
    <col min="3785" max="3819" width="12.1796875" style="3" customWidth="1"/>
    <col min="3820" max="3820" width="15.1796875" style="3" customWidth="1"/>
    <col min="3821" max="3821" width="3.453125" style="3" customWidth="1"/>
    <col min="3822" max="3822" width="12.81640625" style="3" customWidth="1"/>
    <col min="3823" max="3823" width="13.1796875" style="3" customWidth="1"/>
    <col min="3824" max="3825" width="12.81640625" style="3" customWidth="1"/>
    <col min="3826" max="3826" width="11.7265625" style="3" customWidth="1"/>
    <col min="3827" max="3827" width="17.26953125" style="3" customWidth="1"/>
    <col min="3828" max="3828" width="9.54296875" style="3" customWidth="1"/>
    <col min="3829" max="3830" width="9.1796875" style="3" customWidth="1"/>
    <col min="3831" max="4033" width="9.1796875" style="3"/>
    <col min="4034" max="4034" width="22.453125" style="3" bestFit="1" customWidth="1"/>
    <col min="4035" max="4039" width="12.1796875" style="3" customWidth="1"/>
    <col min="4040" max="4040" width="18.7265625" style="3" customWidth="1"/>
    <col min="4041" max="4075" width="12.1796875" style="3" customWidth="1"/>
    <col min="4076" max="4076" width="15.1796875" style="3" customWidth="1"/>
    <col min="4077" max="4077" width="3.453125" style="3" customWidth="1"/>
    <col min="4078" max="4078" width="12.81640625" style="3" customWidth="1"/>
    <col min="4079" max="4079" width="13.1796875" style="3" customWidth="1"/>
    <col min="4080" max="4081" width="12.81640625" style="3" customWidth="1"/>
    <col min="4082" max="4082" width="11.7265625" style="3" customWidth="1"/>
    <col min="4083" max="4083" width="17.26953125" style="3" customWidth="1"/>
    <col min="4084" max="4084" width="9.54296875" style="3" customWidth="1"/>
    <col min="4085" max="4086" width="9.1796875" style="3" customWidth="1"/>
    <col min="4087" max="4289" width="9.1796875" style="3"/>
    <col min="4290" max="4290" width="22.453125" style="3" bestFit="1" customWidth="1"/>
    <col min="4291" max="4295" width="12.1796875" style="3" customWidth="1"/>
    <col min="4296" max="4296" width="18.7265625" style="3" customWidth="1"/>
    <col min="4297" max="4331" width="12.1796875" style="3" customWidth="1"/>
    <col min="4332" max="4332" width="15.1796875" style="3" customWidth="1"/>
    <col min="4333" max="4333" width="3.453125" style="3" customWidth="1"/>
    <col min="4334" max="4334" width="12.81640625" style="3" customWidth="1"/>
    <col min="4335" max="4335" width="13.1796875" style="3" customWidth="1"/>
    <col min="4336" max="4337" width="12.81640625" style="3" customWidth="1"/>
    <col min="4338" max="4338" width="11.7265625" style="3" customWidth="1"/>
    <col min="4339" max="4339" width="17.26953125" style="3" customWidth="1"/>
    <col min="4340" max="4340" width="9.54296875" style="3" customWidth="1"/>
    <col min="4341" max="4342" width="9.1796875" style="3" customWidth="1"/>
    <col min="4343" max="4545" width="9.1796875" style="3"/>
    <col min="4546" max="4546" width="22.453125" style="3" bestFit="1" customWidth="1"/>
    <col min="4547" max="4551" width="12.1796875" style="3" customWidth="1"/>
    <col min="4552" max="4552" width="18.7265625" style="3" customWidth="1"/>
    <col min="4553" max="4587" width="12.1796875" style="3" customWidth="1"/>
    <col min="4588" max="4588" width="15.1796875" style="3" customWidth="1"/>
    <col min="4589" max="4589" width="3.453125" style="3" customWidth="1"/>
    <col min="4590" max="4590" width="12.81640625" style="3" customWidth="1"/>
    <col min="4591" max="4591" width="13.1796875" style="3" customWidth="1"/>
    <col min="4592" max="4593" width="12.81640625" style="3" customWidth="1"/>
    <col min="4594" max="4594" width="11.7265625" style="3" customWidth="1"/>
    <col min="4595" max="4595" width="17.26953125" style="3" customWidth="1"/>
    <col min="4596" max="4596" width="9.54296875" style="3" customWidth="1"/>
    <col min="4597" max="4598" width="9.1796875" style="3" customWidth="1"/>
    <col min="4599" max="4801" width="9.1796875" style="3"/>
    <col min="4802" max="4802" width="22.453125" style="3" bestFit="1" customWidth="1"/>
    <col min="4803" max="4807" width="12.1796875" style="3" customWidth="1"/>
    <col min="4808" max="4808" width="18.7265625" style="3" customWidth="1"/>
    <col min="4809" max="4843" width="12.1796875" style="3" customWidth="1"/>
    <col min="4844" max="4844" width="15.1796875" style="3" customWidth="1"/>
    <col min="4845" max="4845" width="3.453125" style="3" customWidth="1"/>
    <col min="4846" max="4846" width="12.81640625" style="3" customWidth="1"/>
    <col min="4847" max="4847" width="13.1796875" style="3" customWidth="1"/>
    <col min="4848" max="4849" width="12.81640625" style="3" customWidth="1"/>
    <col min="4850" max="4850" width="11.7265625" style="3" customWidth="1"/>
    <col min="4851" max="4851" width="17.26953125" style="3" customWidth="1"/>
    <col min="4852" max="4852" width="9.54296875" style="3" customWidth="1"/>
    <col min="4853" max="4854" width="9.1796875" style="3" customWidth="1"/>
    <col min="4855" max="5057" width="9.1796875" style="3"/>
    <col min="5058" max="5058" width="22.453125" style="3" bestFit="1" customWidth="1"/>
    <col min="5059" max="5063" width="12.1796875" style="3" customWidth="1"/>
    <col min="5064" max="5064" width="18.7265625" style="3" customWidth="1"/>
    <col min="5065" max="5099" width="12.1796875" style="3" customWidth="1"/>
    <col min="5100" max="5100" width="15.1796875" style="3" customWidth="1"/>
    <col min="5101" max="5101" width="3.453125" style="3" customWidth="1"/>
    <col min="5102" max="5102" width="12.81640625" style="3" customWidth="1"/>
    <col min="5103" max="5103" width="13.1796875" style="3" customWidth="1"/>
    <col min="5104" max="5105" width="12.81640625" style="3" customWidth="1"/>
    <col min="5106" max="5106" width="11.7265625" style="3" customWidth="1"/>
    <col min="5107" max="5107" width="17.26953125" style="3" customWidth="1"/>
    <col min="5108" max="5108" width="9.54296875" style="3" customWidth="1"/>
    <col min="5109" max="5110" width="9.1796875" style="3" customWidth="1"/>
    <col min="5111" max="5313" width="9.1796875" style="3"/>
    <col min="5314" max="5314" width="22.453125" style="3" bestFit="1" customWidth="1"/>
    <col min="5315" max="5319" width="12.1796875" style="3" customWidth="1"/>
    <col min="5320" max="5320" width="18.7265625" style="3" customWidth="1"/>
    <col min="5321" max="5355" width="12.1796875" style="3" customWidth="1"/>
    <col min="5356" max="5356" width="15.1796875" style="3" customWidth="1"/>
    <col min="5357" max="5357" width="3.453125" style="3" customWidth="1"/>
    <col min="5358" max="5358" width="12.81640625" style="3" customWidth="1"/>
    <col min="5359" max="5359" width="13.1796875" style="3" customWidth="1"/>
    <col min="5360" max="5361" width="12.81640625" style="3" customWidth="1"/>
    <col min="5362" max="5362" width="11.7265625" style="3" customWidth="1"/>
    <col min="5363" max="5363" width="17.26953125" style="3" customWidth="1"/>
    <col min="5364" max="5364" width="9.54296875" style="3" customWidth="1"/>
    <col min="5365" max="5366" width="9.1796875" style="3" customWidth="1"/>
    <col min="5367" max="5569" width="9.1796875" style="3"/>
    <col min="5570" max="5570" width="22.453125" style="3" bestFit="1" customWidth="1"/>
    <col min="5571" max="5575" width="12.1796875" style="3" customWidth="1"/>
    <col min="5576" max="5576" width="18.7265625" style="3" customWidth="1"/>
    <col min="5577" max="5611" width="12.1796875" style="3" customWidth="1"/>
    <col min="5612" max="5612" width="15.1796875" style="3" customWidth="1"/>
    <col min="5613" max="5613" width="3.453125" style="3" customWidth="1"/>
    <col min="5614" max="5614" width="12.81640625" style="3" customWidth="1"/>
    <col min="5615" max="5615" width="13.1796875" style="3" customWidth="1"/>
    <col min="5616" max="5617" width="12.81640625" style="3" customWidth="1"/>
    <col min="5618" max="5618" width="11.7265625" style="3" customWidth="1"/>
    <col min="5619" max="5619" width="17.26953125" style="3" customWidth="1"/>
    <col min="5620" max="5620" width="9.54296875" style="3" customWidth="1"/>
    <col min="5621" max="5622" width="9.1796875" style="3" customWidth="1"/>
    <col min="5623" max="5825" width="9.1796875" style="3"/>
    <col min="5826" max="5826" width="22.453125" style="3" bestFit="1" customWidth="1"/>
    <col min="5827" max="5831" width="12.1796875" style="3" customWidth="1"/>
    <col min="5832" max="5832" width="18.7265625" style="3" customWidth="1"/>
    <col min="5833" max="5867" width="12.1796875" style="3" customWidth="1"/>
    <col min="5868" max="5868" width="15.1796875" style="3" customWidth="1"/>
    <col min="5869" max="5869" width="3.453125" style="3" customWidth="1"/>
    <col min="5870" max="5870" width="12.81640625" style="3" customWidth="1"/>
    <col min="5871" max="5871" width="13.1796875" style="3" customWidth="1"/>
    <col min="5872" max="5873" width="12.81640625" style="3" customWidth="1"/>
    <col min="5874" max="5874" width="11.7265625" style="3" customWidth="1"/>
    <col min="5875" max="5875" width="17.26953125" style="3" customWidth="1"/>
    <col min="5876" max="5876" width="9.54296875" style="3" customWidth="1"/>
    <col min="5877" max="5878" width="9.1796875" style="3" customWidth="1"/>
    <col min="5879" max="6081" width="9.1796875" style="3"/>
    <col min="6082" max="6082" width="22.453125" style="3" bestFit="1" customWidth="1"/>
    <col min="6083" max="6087" width="12.1796875" style="3" customWidth="1"/>
    <col min="6088" max="6088" width="18.7265625" style="3" customWidth="1"/>
    <col min="6089" max="6123" width="12.1796875" style="3" customWidth="1"/>
    <col min="6124" max="6124" width="15.1796875" style="3" customWidth="1"/>
    <col min="6125" max="6125" width="3.453125" style="3" customWidth="1"/>
    <col min="6126" max="6126" width="12.81640625" style="3" customWidth="1"/>
    <col min="6127" max="6127" width="13.1796875" style="3" customWidth="1"/>
    <col min="6128" max="6129" width="12.81640625" style="3" customWidth="1"/>
    <col min="6130" max="6130" width="11.7265625" style="3" customWidth="1"/>
    <col min="6131" max="6131" width="17.26953125" style="3" customWidth="1"/>
    <col min="6132" max="6132" width="9.54296875" style="3" customWidth="1"/>
    <col min="6133" max="6134" width="9.1796875" style="3" customWidth="1"/>
    <col min="6135" max="6337" width="9.1796875" style="3"/>
    <col min="6338" max="6338" width="22.453125" style="3" bestFit="1" customWidth="1"/>
    <col min="6339" max="6343" width="12.1796875" style="3" customWidth="1"/>
    <col min="6344" max="6344" width="18.7265625" style="3" customWidth="1"/>
    <col min="6345" max="6379" width="12.1796875" style="3" customWidth="1"/>
    <col min="6380" max="6380" width="15.1796875" style="3" customWidth="1"/>
    <col min="6381" max="6381" width="3.453125" style="3" customWidth="1"/>
    <col min="6382" max="6382" width="12.81640625" style="3" customWidth="1"/>
    <col min="6383" max="6383" width="13.1796875" style="3" customWidth="1"/>
    <col min="6384" max="6385" width="12.81640625" style="3" customWidth="1"/>
    <col min="6386" max="6386" width="11.7265625" style="3" customWidth="1"/>
    <col min="6387" max="6387" width="17.26953125" style="3" customWidth="1"/>
    <col min="6388" max="6388" width="9.54296875" style="3" customWidth="1"/>
    <col min="6389" max="6390" width="9.1796875" style="3" customWidth="1"/>
    <col min="6391" max="6593" width="9.1796875" style="3"/>
    <col min="6594" max="6594" width="22.453125" style="3" bestFit="1" customWidth="1"/>
    <col min="6595" max="6599" width="12.1796875" style="3" customWidth="1"/>
    <col min="6600" max="6600" width="18.7265625" style="3" customWidth="1"/>
    <col min="6601" max="6635" width="12.1796875" style="3" customWidth="1"/>
    <col min="6636" max="6636" width="15.1796875" style="3" customWidth="1"/>
    <col min="6637" max="6637" width="3.453125" style="3" customWidth="1"/>
    <col min="6638" max="6638" width="12.81640625" style="3" customWidth="1"/>
    <col min="6639" max="6639" width="13.1796875" style="3" customWidth="1"/>
    <col min="6640" max="6641" width="12.81640625" style="3" customWidth="1"/>
    <col min="6642" max="6642" width="11.7265625" style="3" customWidth="1"/>
    <col min="6643" max="6643" width="17.26953125" style="3" customWidth="1"/>
    <col min="6644" max="6644" width="9.54296875" style="3" customWidth="1"/>
    <col min="6645" max="6646" width="9.1796875" style="3" customWidth="1"/>
    <col min="6647" max="6849" width="9.1796875" style="3"/>
    <col min="6850" max="6850" width="22.453125" style="3" bestFit="1" customWidth="1"/>
    <col min="6851" max="6855" width="12.1796875" style="3" customWidth="1"/>
    <col min="6856" max="6856" width="18.7265625" style="3" customWidth="1"/>
    <col min="6857" max="6891" width="12.1796875" style="3" customWidth="1"/>
    <col min="6892" max="6892" width="15.1796875" style="3" customWidth="1"/>
    <col min="6893" max="6893" width="3.453125" style="3" customWidth="1"/>
    <col min="6894" max="6894" width="12.81640625" style="3" customWidth="1"/>
    <col min="6895" max="6895" width="13.1796875" style="3" customWidth="1"/>
    <col min="6896" max="6897" width="12.81640625" style="3" customWidth="1"/>
    <col min="6898" max="6898" width="11.7265625" style="3" customWidth="1"/>
    <col min="6899" max="6899" width="17.26953125" style="3" customWidth="1"/>
    <col min="6900" max="6900" width="9.54296875" style="3" customWidth="1"/>
    <col min="6901" max="6902" width="9.1796875" style="3" customWidth="1"/>
    <col min="6903" max="7105" width="9.1796875" style="3"/>
    <col min="7106" max="7106" width="22.453125" style="3" bestFit="1" customWidth="1"/>
    <col min="7107" max="7111" width="12.1796875" style="3" customWidth="1"/>
    <col min="7112" max="7112" width="18.7265625" style="3" customWidth="1"/>
    <col min="7113" max="7147" width="12.1796875" style="3" customWidth="1"/>
    <col min="7148" max="7148" width="15.1796875" style="3" customWidth="1"/>
    <col min="7149" max="7149" width="3.453125" style="3" customWidth="1"/>
    <col min="7150" max="7150" width="12.81640625" style="3" customWidth="1"/>
    <col min="7151" max="7151" width="13.1796875" style="3" customWidth="1"/>
    <col min="7152" max="7153" width="12.81640625" style="3" customWidth="1"/>
    <col min="7154" max="7154" width="11.7265625" style="3" customWidth="1"/>
    <col min="7155" max="7155" width="17.26953125" style="3" customWidth="1"/>
    <col min="7156" max="7156" width="9.54296875" style="3" customWidth="1"/>
    <col min="7157" max="7158" width="9.1796875" style="3" customWidth="1"/>
    <col min="7159" max="7361" width="9.1796875" style="3"/>
    <col min="7362" max="7362" width="22.453125" style="3" bestFit="1" customWidth="1"/>
    <col min="7363" max="7367" width="12.1796875" style="3" customWidth="1"/>
    <col min="7368" max="7368" width="18.7265625" style="3" customWidth="1"/>
    <col min="7369" max="7403" width="12.1796875" style="3" customWidth="1"/>
    <col min="7404" max="7404" width="15.1796875" style="3" customWidth="1"/>
    <col min="7405" max="7405" width="3.453125" style="3" customWidth="1"/>
    <col min="7406" max="7406" width="12.81640625" style="3" customWidth="1"/>
    <col min="7407" max="7407" width="13.1796875" style="3" customWidth="1"/>
    <col min="7408" max="7409" width="12.81640625" style="3" customWidth="1"/>
    <col min="7410" max="7410" width="11.7265625" style="3" customWidth="1"/>
    <col min="7411" max="7411" width="17.26953125" style="3" customWidth="1"/>
    <col min="7412" max="7412" width="9.54296875" style="3" customWidth="1"/>
    <col min="7413" max="7414" width="9.1796875" style="3" customWidth="1"/>
    <col min="7415" max="7617" width="9.1796875" style="3"/>
    <col min="7618" max="7618" width="22.453125" style="3" bestFit="1" customWidth="1"/>
    <col min="7619" max="7623" width="12.1796875" style="3" customWidth="1"/>
    <col min="7624" max="7624" width="18.7265625" style="3" customWidth="1"/>
    <col min="7625" max="7659" width="12.1796875" style="3" customWidth="1"/>
    <col min="7660" max="7660" width="15.1796875" style="3" customWidth="1"/>
    <col min="7661" max="7661" width="3.453125" style="3" customWidth="1"/>
    <col min="7662" max="7662" width="12.81640625" style="3" customWidth="1"/>
    <col min="7663" max="7663" width="13.1796875" style="3" customWidth="1"/>
    <col min="7664" max="7665" width="12.81640625" style="3" customWidth="1"/>
    <col min="7666" max="7666" width="11.7265625" style="3" customWidth="1"/>
    <col min="7667" max="7667" width="17.26953125" style="3" customWidth="1"/>
    <col min="7668" max="7668" width="9.54296875" style="3" customWidth="1"/>
    <col min="7669" max="7670" width="9.1796875" style="3" customWidth="1"/>
    <col min="7671" max="7873" width="9.1796875" style="3"/>
    <col min="7874" max="7874" width="22.453125" style="3" bestFit="1" customWidth="1"/>
    <col min="7875" max="7879" width="12.1796875" style="3" customWidth="1"/>
    <col min="7880" max="7880" width="18.7265625" style="3" customWidth="1"/>
    <col min="7881" max="7915" width="12.1796875" style="3" customWidth="1"/>
    <col min="7916" max="7916" width="15.1796875" style="3" customWidth="1"/>
    <col min="7917" max="7917" width="3.453125" style="3" customWidth="1"/>
    <col min="7918" max="7918" width="12.81640625" style="3" customWidth="1"/>
    <col min="7919" max="7919" width="13.1796875" style="3" customWidth="1"/>
    <col min="7920" max="7921" width="12.81640625" style="3" customWidth="1"/>
    <col min="7922" max="7922" width="11.7265625" style="3" customWidth="1"/>
    <col min="7923" max="7923" width="17.26953125" style="3" customWidth="1"/>
    <col min="7924" max="7924" width="9.54296875" style="3" customWidth="1"/>
    <col min="7925" max="7926" width="9.1796875" style="3" customWidth="1"/>
    <col min="7927" max="8129" width="9.1796875" style="3"/>
    <col min="8130" max="8130" width="22.453125" style="3" bestFit="1" customWidth="1"/>
    <col min="8131" max="8135" width="12.1796875" style="3" customWidth="1"/>
    <col min="8136" max="8136" width="18.7265625" style="3" customWidth="1"/>
    <col min="8137" max="8171" width="12.1796875" style="3" customWidth="1"/>
    <col min="8172" max="8172" width="15.1796875" style="3" customWidth="1"/>
    <col min="8173" max="8173" width="3.453125" style="3" customWidth="1"/>
    <col min="8174" max="8174" width="12.81640625" style="3" customWidth="1"/>
    <col min="8175" max="8175" width="13.1796875" style="3" customWidth="1"/>
    <col min="8176" max="8177" width="12.81640625" style="3" customWidth="1"/>
    <col min="8178" max="8178" width="11.7265625" style="3" customWidth="1"/>
    <col min="8179" max="8179" width="17.26953125" style="3" customWidth="1"/>
    <col min="8180" max="8180" width="9.54296875" style="3" customWidth="1"/>
    <col min="8181" max="8182" width="9.1796875" style="3" customWidth="1"/>
    <col min="8183" max="8385" width="9.1796875" style="3"/>
    <col min="8386" max="8386" width="22.453125" style="3" bestFit="1" customWidth="1"/>
    <col min="8387" max="8391" width="12.1796875" style="3" customWidth="1"/>
    <col min="8392" max="8392" width="18.7265625" style="3" customWidth="1"/>
    <col min="8393" max="8427" width="12.1796875" style="3" customWidth="1"/>
    <col min="8428" max="8428" width="15.1796875" style="3" customWidth="1"/>
    <col min="8429" max="8429" width="3.453125" style="3" customWidth="1"/>
    <col min="8430" max="8430" width="12.81640625" style="3" customWidth="1"/>
    <col min="8431" max="8431" width="13.1796875" style="3" customWidth="1"/>
    <col min="8432" max="8433" width="12.81640625" style="3" customWidth="1"/>
    <col min="8434" max="8434" width="11.7265625" style="3" customWidth="1"/>
    <col min="8435" max="8435" width="17.26953125" style="3" customWidth="1"/>
    <col min="8436" max="8436" width="9.54296875" style="3" customWidth="1"/>
    <col min="8437" max="8438" width="9.1796875" style="3" customWidth="1"/>
    <col min="8439" max="8641" width="9.1796875" style="3"/>
    <col min="8642" max="8642" width="22.453125" style="3" bestFit="1" customWidth="1"/>
    <col min="8643" max="8647" width="12.1796875" style="3" customWidth="1"/>
    <col min="8648" max="8648" width="18.7265625" style="3" customWidth="1"/>
    <col min="8649" max="8683" width="12.1796875" style="3" customWidth="1"/>
    <col min="8684" max="8684" width="15.1796875" style="3" customWidth="1"/>
    <col min="8685" max="8685" width="3.453125" style="3" customWidth="1"/>
    <col min="8686" max="8686" width="12.81640625" style="3" customWidth="1"/>
    <col min="8687" max="8687" width="13.1796875" style="3" customWidth="1"/>
    <col min="8688" max="8689" width="12.81640625" style="3" customWidth="1"/>
    <col min="8690" max="8690" width="11.7265625" style="3" customWidth="1"/>
    <col min="8691" max="8691" width="17.26953125" style="3" customWidth="1"/>
    <col min="8692" max="8692" width="9.54296875" style="3" customWidth="1"/>
    <col min="8693" max="8694" width="9.1796875" style="3" customWidth="1"/>
    <col min="8695" max="8897" width="9.1796875" style="3"/>
    <col min="8898" max="8898" width="22.453125" style="3" bestFit="1" customWidth="1"/>
    <col min="8899" max="8903" width="12.1796875" style="3" customWidth="1"/>
    <col min="8904" max="8904" width="18.7265625" style="3" customWidth="1"/>
    <col min="8905" max="8939" width="12.1796875" style="3" customWidth="1"/>
    <col min="8940" max="8940" width="15.1796875" style="3" customWidth="1"/>
    <col min="8941" max="8941" width="3.453125" style="3" customWidth="1"/>
    <col min="8942" max="8942" width="12.81640625" style="3" customWidth="1"/>
    <col min="8943" max="8943" width="13.1796875" style="3" customWidth="1"/>
    <col min="8944" max="8945" width="12.81640625" style="3" customWidth="1"/>
    <col min="8946" max="8946" width="11.7265625" style="3" customWidth="1"/>
    <col min="8947" max="8947" width="17.26953125" style="3" customWidth="1"/>
    <col min="8948" max="8948" width="9.54296875" style="3" customWidth="1"/>
    <col min="8949" max="8950" width="9.1796875" style="3" customWidth="1"/>
    <col min="8951" max="9153" width="9.1796875" style="3"/>
    <col min="9154" max="9154" width="22.453125" style="3" bestFit="1" customWidth="1"/>
    <col min="9155" max="9159" width="12.1796875" style="3" customWidth="1"/>
    <col min="9160" max="9160" width="18.7265625" style="3" customWidth="1"/>
    <col min="9161" max="9195" width="12.1796875" style="3" customWidth="1"/>
    <col min="9196" max="9196" width="15.1796875" style="3" customWidth="1"/>
    <col min="9197" max="9197" width="3.453125" style="3" customWidth="1"/>
    <col min="9198" max="9198" width="12.81640625" style="3" customWidth="1"/>
    <col min="9199" max="9199" width="13.1796875" style="3" customWidth="1"/>
    <col min="9200" max="9201" width="12.81640625" style="3" customWidth="1"/>
    <col min="9202" max="9202" width="11.7265625" style="3" customWidth="1"/>
    <col min="9203" max="9203" width="17.26953125" style="3" customWidth="1"/>
    <col min="9204" max="9204" width="9.54296875" style="3" customWidth="1"/>
    <col min="9205" max="9206" width="9.1796875" style="3" customWidth="1"/>
    <col min="9207" max="9409" width="9.1796875" style="3"/>
    <col min="9410" max="9410" width="22.453125" style="3" bestFit="1" customWidth="1"/>
    <col min="9411" max="9415" width="12.1796875" style="3" customWidth="1"/>
    <col min="9416" max="9416" width="18.7265625" style="3" customWidth="1"/>
    <col min="9417" max="9451" width="12.1796875" style="3" customWidth="1"/>
    <col min="9452" max="9452" width="15.1796875" style="3" customWidth="1"/>
    <col min="9453" max="9453" width="3.453125" style="3" customWidth="1"/>
    <col min="9454" max="9454" width="12.81640625" style="3" customWidth="1"/>
    <col min="9455" max="9455" width="13.1796875" style="3" customWidth="1"/>
    <col min="9456" max="9457" width="12.81640625" style="3" customWidth="1"/>
    <col min="9458" max="9458" width="11.7265625" style="3" customWidth="1"/>
    <col min="9459" max="9459" width="17.26953125" style="3" customWidth="1"/>
    <col min="9460" max="9460" width="9.54296875" style="3" customWidth="1"/>
    <col min="9461" max="9462" width="9.1796875" style="3" customWidth="1"/>
    <col min="9463" max="9665" width="9.1796875" style="3"/>
    <col min="9666" max="9666" width="22.453125" style="3" bestFit="1" customWidth="1"/>
    <col min="9667" max="9671" width="12.1796875" style="3" customWidth="1"/>
    <col min="9672" max="9672" width="18.7265625" style="3" customWidth="1"/>
    <col min="9673" max="9707" width="12.1796875" style="3" customWidth="1"/>
    <col min="9708" max="9708" width="15.1796875" style="3" customWidth="1"/>
    <col min="9709" max="9709" width="3.453125" style="3" customWidth="1"/>
    <col min="9710" max="9710" width="12.81640625" style="3" customWidth="1"/>
    <col min="9711" max="9711" width="13.1796875" style="3" customWidth="1"/>
    <col min="9712" max="9713" width="12.81640625" style="3" customWidth="1"/>
    <col min="9714" max="9714" width="11.7265625" style="3" customWidth="1"/>
    <col min="9715" max="9715" width="17.26953125" style="3" customWidth="1"/>
    <col min="9716" max="9716" width="9.54296875" style="3" customWidth="1"/>
    <col min="9717" max="9718" width="9.1796875" style="3" customWidth="1"/>
    <col min="9719" max="9921" width="9.1796875" style="3"/>
    <col min="9922" max="9922" width="22.453125" style="3" bestFit="1" customWidth="1"/>
    <col min="9923" max="9927" width="12.1796875" style="3" customWidth="1"/>
    <col min="9928" max="9928" width="18.7265625" style="3" customWidth="1"/>
    <col min="9929" max="9963" width="12.1796875" style="3" customWidth="1"/>
    <col min="9964" max="9964" width="15.1796875" style="3" customWidth="1"/>
    <col min="9965" max="9965" width="3.453125" style="3" customWidth="1"/>
    <col min="9966" max="9966" width="12.81640625" style="3" customWidth="1"/>
    <col min="9967" max="9967" width="13.1796875" style="3" customWidth="1"/>
    <col min="9968" max="9969" width="12.81640625" style="3" customWidth="1"/>
    <col min="9970" max="9970" width="11.7265625" style="3" customWidth="1"/>
    <col min="9971" max="9971" width="17.26953125" style="3" customWidth="1"/>
    <col min="9972" max="9972" width="9.54296875" style="3" customWidth="1"/>
    <col min="9973" max="9974" width="9.1796875" style="3" customWidth="1"/>
    <col min="9975" max="10177" width="9.1796875" style="3"/>
    <col min="10178" max="10178" width="22.453125" style="3" bestFit="1" customWidth="1"/>
    <col min="10179" max="10183" width="12.1796875" style="3" customWidth="1"/>
    <col min="10184" max="10184" width="18.7265625" style="3" customWidth="1"/>
    <col min="10185" max="10219" width="12.1796875" style="3" customWidth="1"/>
    <col min="10220" max="10220" width="15.1796875" style="3" customWidth="1"/>
    <col min="10221" max="10221" width="3.453125" style="3" customWidth="1"/>
    <col min="10222" max="10222" width="12.81640625" style="3" customWidth="1"/>
    <col min="10223" max="10223" width="13.1796875" style="3" customWidth="1"/>
    <col min="10224" max="10225" width="12.81640625" style="3" customWidth="1"/>
    <col min="10226" max="10226" width="11.7265625" style="3" customWidth="1"/>
    <col min="10227" max="10227" width="17.26953125" style="3" customWidth="1"/>
    <col min="10228" max="10228" width="9.54296875" style="3" customWidth="1"/>
    <col min="10229" max="10230" width="9.1796875" style="3" customWidth="1"/>
    <col min="10231" max="10433" width="9.1796875" style="3"/>
    <col min="10434" max="10434" width="22.453125" style="3" bestFit="1" customWidth="1"/>
    <col min="10435" max="10439" width="12.1796875" style="3" customWidth="1"/>
    <col min="10440" max="10440" width="18.7265625" style="3" customWidth="1"/>
    <col min="10441" max="10475" width="12.1796875" style="3" customWidth="1"/>
    <col min="10476" max="10476" width="15.1796875" style="3" customWidth="1"/>
    <col min="10477" max="10477" width="3.453125" style="3" customWidth="1"/>
    <col min="10478" max="10478" width="12.81640625" style="3" customWidth="1"/>
    <col min="10479" max="10479" width="13.1796875" style="3" customWidth="1"/>
    <col min="10480" max="10481" width="12.81640625" style="3" customWidth="1"/>
    <col min="10482" max="10482" width="11.7265625" style="3" customWidth="1"/>
    <col min="10483" max="10483" width="17.26953125" style="3" customWidth="1"/>
    <col min="10484" max="10484" width="9.54296875" style="3" customWidth="1"/>
    <col min="10485" max="10486" width="9.1796875" style="3" customWidth="1"/>
    <col min="10487" max="10689" width="9.1796875" style="3"/>
    <col min="10690" max="10690" width="22.453125" style="3" bestFit="1" customWidth="1"/>
    <col min="10691" max="10695" width="12.1796875" style="3" customWidth="1"/>
    <col min="10696" max="10696" width="18.7265625" style="3" customWidth="1"/>
    <col min="10697" max="10731" width="12.1796875" style="3" customWidth="1"/>
    <col min="10732" max="10732" width="15.1796875" style="3" customWidth="1"/>
    <col min="10733" max="10733" width="3.453125" style="3" customWidth="1"/>
    <col min="10734" max="10734" width="12.81640625" style="3" customWidth="1"/>
    <col min="10735" max="10735" width="13.1796875" style="3" customWidth="1"/>
    <col min="10736" max="10737" width="12.81640625" style="3" customWidth="1"/>
    <col min="10738" max="10738" width="11.7265625" style="3" customWidth="1"/>
    <col min="10739" max="10739" width="17.26953125" style="3" customWidth="1"/>
    <col min="10740" max="10740" width="9.54296875" style="3" customWidth="1"/>
    <col min="10741" max="10742" width="9.1796875" style="3" customWidth="1"/>
    <col min="10743" max="10945" width="9.1796875" style="3"/>
    <col min="10946" max="10946" width="22.453125" style="3" bestFit="1" customWidth="1"/>
    <col min="10947" max="10951" width="12.1796875" style="3" customWidth="1"/>
    <col min="10952" max="10952" width="18.7265625" style="3" customWidth="1"/>
    <col min="10953" max="10987" width="12.1796875" style="3" customWidth="1"/>
    <col min="10988" max="10988" width="15.1796875" style="3" customWidth="1"/>
    <col min="10989" max="10989" width="3.453125" style="3" customWidth="1"/>
    <col min="10990" max="10990" width="12.81640625" style="3" customWidth="1"/>
    <col min="10991" max="10991" width="13.1796875" style="3" customWidth="1"/>
    <col min="10992" max="10993" width="12.81640625" style="3" customWidth="1"/>
    <col min="10994" max="10994" width="11.7265625" style="3" customWidth="1"/>
    <col min="10995" max="10995" width="17.26953125" style="3" customWidth="1"/>
    <col min="10996" max="10996" width="9.54296875" style="3" customWidth="1"/>
    <col min="10997" max="10998" width="9.1796875" style="3" customWidth="1"/>
    <col min="10999" max="11201" width="9.1796875" style="3"/>
    <col min="11202" max="11202" width="22.453125" style="3" bestFit="1" customWidth="1"/>
    <col min="11203" max="11207" width="12.1796875" style="3" customWidth="1"/>
    <col min="11208" max="11208" width="18.7265625" style="3" customWidth="1"/>
    <col min="11209" max="11243" width="12.1796875" style="3" customWidth="1"/>
    <col min="11244" max="11244" width="15.1796875" style="3" customWidth="1"/>
    <col min="11245" max="11245" width="3.453125" style="3" customWidth="1"/>
    <col min="11246" max="11246" width="12.81640625" style="3" customWidth="1"/>
    <col min="11247" max="11247" width="13.1796875" style="3" customWidth="1"/>
    <col min="11248" max="11249" width="12.81640625" style="3" customWidth="1"/>
    <col min="11250" max="11250" width="11.7265625" style="3" customWidth="1"/>
    <col min="11251" max="11251" width="17.26953125" style="3" customWidth="1"/>
    <col min="11252" max="11252" width="9.54296875" style="3" customWidth="1"/>
    <col min="11253" max="11254" width="9.1796875" style="3" customWidth="1"/>
    <col min="11255" max="11457" width="9.1796875" style="3"/>
    <col min="11458" max="11458" width="22.453125" style="3" bestFit="1" customWidth="1"/>
    <col min="11459" max="11463" width="12.1796875" style="3" customWidth="1"/>
    <col min="11464" max="11464" width="18.7265625" style="3" customWidth="1"/>
    <col min="11465" max="11499" width="12.1796875" style="3" customWidth="1"/>
    <col min="11500" max="11500" width="15.1796875" style="3" customWidth="1"/>
    <col min="11501" max="11501" width="3.453125" style="3" customWidth="1"/>
    <col min="11502" max="11502" width="12.81640625" style="3" customWidth="1"/>
    <col min="11503" max="11503" width="13.1796875" style="3" customWidth="1"/>
    <col min="11504" max="11505" width="12.81640625" style="3" customWidth="1"/>
    <col min="11506" max="11506" width="11.7265625" style="3" customWidth="1"/>
    <col min="11507" max="11507" width="17.26953125" style="3" customWidth="1"/>
    <col min="11508" max="11508" width="9.54296875" style="3" customWidth="1"/>
    <col min="11509" max="11510" width="9.1796875" style="3" customWidth="1"/>
    <col min="11511" max="11713" width="9.1796875" style="3"/>
    <col min="11714" max="11714" width="22.453125" style="3" bestFit="1" customWidth="1"/>
    <col min="11715" max="11719" width="12.1796875" style="3" customWidth="1"/>
    <col min="11720" max="11720" width="18.7265625" style="3" customWidth="1"/>
    <col min="11721" max="11755" width="12.1796875" style="3" customWidth="1"/>
    <col min="11756" max="11756" width="15.1796875" style="3" customWidth="1"/>
    <col min="11757" max="11757" width="3.453125" style="3" customWidth="1"/>
    <col min="11758" max="11758" width="12.81640625" style="3" customWidth="1"/>
    <col min="11759" max="11759" width="13.1796875" style="3" customWidth="1"/>
    <col min="11760" max="11761" width="12.81640625" style="3" customWidth="1"/>
    <col min="11762" max="11762" width="11.7265625" style="3" customWidth="1"/>
    <col min="11763" max="11763" width="17.26953125" style="3" customWidth="1"/>
    <col min="11764" max="11764" width="9.54296875" style="3" customWidth="1"/>
    <col min="11765" max="11766" width="9.1796875" style="3" customWidth="1"/>
    <col min="11767" max="11969" width="9.1796875" style="3"/>
    <col min="11970" max="11970" width="22.453125" style="3" bestFit="1" customWidth="1"/>
    <col min="11971" max="11975" width="12.1796875" style="3" customWidth="1"/>
    <col min="11976" max="11976" width="18.7265625" style="3" customWidth="1"/>
    <col min="11977" max="12011" width="12.1796875" style="3" customWidth="1"/>
    <col min="12012" max="12012" width="15.1796875" style="3" customWidth="1"/>
    <col min="12013" max="12013" width="3.453125" style="3" customWidth="1"/>
    <col min="12014" max="12014" width="12.81640625" style="3" customWidth="1"/>
    <col min="12015" max="12015" width="13.1796875" style="3" customWidth="1"/>
    <col min="12016" max="12017" width="12.81640625" style="3" customWidth="1"/>
    <col min="12018" max="12018" width="11.7265625" style="3" customWidth="1"/>
    <col min="12019" max="12019" width="17.26953125" style="3" customWidth="1"/>
    <col min="12020" max="12020" width="9.54296875" style="3" customWidth="1"/>
    <col min="12021" max="12022" width="9.1796875" style="3" customWidth="1"/>
    <col min="12023" max="12225" width="9.1796875" style="3"/>
    <col min="12226" max="12226" width="22.453125" style="3" bestFit="1" customWidth="1"/>
    <col min="12227" max="12231" width="12.1796875" style="3" customWidth="1"/>
    <col min="12232" max="12232" width="18.7265625" style="3" customWidth="1"/>
    <col min="12233" max="12267" width="12.1796875" style="3" customWidth="1"/>
    <col min="12268" max="12268" width="15.1796875" style="3" customWidth="1"/>
    <col min="12269" max="12269" width="3.453125" style="3" customWidth="1"/>
    <col min="12270" max="12270" width="12.81640625" style="3" customWidth="1"/>
    <col min="12271" max="12271" width="13.1796875" style="3" customWidth="1"/>
    <col min="12272" max="12273" width="12.81640625" style="3" customWidth="1"/>
    <col min="12274" max="12274" width="11.7265625" style="3" customWidth="1"/>
    <col min="12275" max="12275" width="17.26953125" style="3" customWidth="1"/>
    <col min="12276" max="12276" width="9.54296875" style="3" customWidth="1"/>
    <col min="12277" max="12278" width="9.1796875" style="3" customWidth="1"/>
    <col min="12279" max="12481" width="9.1796875" style="3"/>
    <col min="12482" max="12482" width="22.453125" style="3" bestFit="1" customWidth="1"/>
    <col min="12483" max="12487" width="12.1796875" style="3" customWidth="1"/>
    <col min="12488" max="12488" width="18.7265625" style="3" customWidth="1"/>
    <col min="12489" max="12523" width="12.1796875" style="3" customWidth="1"/>
    <col min="12524" max="12524" width="15.1796875" style="3" customWidth="1"/>
    <col min="12525" max="12525" width="3.453125" style="3" customWidth="1"/>
    <col min="12526" max="12526" width="12.81640625" style="3" customWidth="1"/>
    <col min="12527" max="12527" width="13.1796875" style="3" customWidth="1"/>
    <col min="12528" max="12529" width="12.81640625" style="3" customWidth="1"/>
    <col min="12530" max="12530" width="11.7265625" style="3" customWidth="1"/>
    <col min="12531" max="12531" width="17.26953125" style="3" customWidth="1"/>
    <col min="12532" max="12532" width="9.54296875" style="3" customWidth="1"/>
    <col min="12533" max="12534" width="9.1796875" style="3" customWidth="1"/>
    <col min="12535" max="12737" width="9.1796875" style="3"/>
    <col min="12738" max="12738" width="22.453125" style="3" bestFit="1" customWidth="1"/>
    <col min="12739" max="12743" width="12.1796875" style="3" customWidth="1"/>
    <col min="12744" max="12744" width="18.7265625" style="3" customWidth="1"/>
    <col min="12745" max="12779" width="12.1796875" style="3" customWidth="1"/>
    <col min="12780" max="12780" width="15.1796875" style="3" customWidth="1"/>
    <col min="12781" max="12781" width="3.453125" style="3" customWidth="1"/>
    <col min="12782" max="12782" width="12.81640625" style="3" customWidth="1"/>
    <col min="12783" max="12783" width="13.1796875" style="3" customWidth="1"/>
    <col min="12784" max="12785" width="12.81640625" style="3" customWidth="1"/>
    <col min="12786" max="12786" width="11.7265625" style="3" customWidth="1"/>
    <col min="12787" max="12787" width="17.26953125" style="3" customWidth="1"/>
    <col min="12788" max="12788" width="9.54296875" style="3" customWidth="1"/>
    <col min="12789" max="12790" width="9.1796875" style="3" customWidth="1"/>
    <col min="12791" max="12993" width="9.1796875" style="3"/>
    <col min="12994" max="12994" width="22.453125" style="3" bestFit="1" customWidth="1"/>
    <col min="12995" max="12999" width="12.1796875" style="3" customWidth="1"/>
    <col min="13000" max="13000" width="18.7265625" style="3" customWidth="1"/>
    <col min="13001" max="13035" width="12.1796875" style="3" customWidth="1"/>
    <col min="13036" max="13036" width="15.1796875" style="3" customWidth="1"/>
    <col min="13037" max="13037" width="3.453125" style="3" customWidth="1"/>
    <col min="13038" max="13038" width="12.81640625" style="3" customWidth="1"/>
    <col min="13039" max="13039" width="13.1796875" style="3" customWidth="1"/>
    <col min="13040" max="13041" width="12.81640625" style="3" customWidth="1"/>
    <col min="13042" max="13042" width="11.7265625" style="3" customWidth="1"/>
    <col min="13043" max="13043" width="17.26953125" style="3" customWidth="1"/>
    <col min="13044" max="13044" width="9.54296875" style="3" customWidth="1"/>
    <col min="13045" max="13046" width="9.1796875" style="3" customWidth="1"/>
    <col min="13047" max="13249" width="9.1796875" style="3"/>
    <col min="13250" max="13250" width="22.453125" style="3" bestFit="1" customWidth="1"/>
    <col min="13251" max="13255" width="12.1796875" style="3" customWidth="1"/>
    <col min="13256" max="13256" width="18.7265625" style="3" customWidth="1"/>
    <col min="13257" max="13291" width="12.1796875" style="3" customWidth="1"/>
    <col min="13292" max="13292" width="15.1796875" style="3" customWidth="1"/>
    <col min="13293" max="13293" width="3.453125" style="3" customWidth="1"/>
    <col min="13294" max="13294" width="12.81640625" style="3" customWidth="1"/>
    <col min="13295" max="13295" width="13.1796875" style="3" customWidth="1"/>
    <col min="13296" max="13297" width="12.81640625" style="3" customWidth="1"/>
    <col min="13298" max="13298" width="11.7265625" style="3" customWidth="1"/>
    <col min="13299" max="13299" width="17.26953125" style="3" customWidth="1"/>
    <col min="13300" max="13300" width="9.54296875" style="3" customWidth="1"/>
    <col min="13301" max="13302" width="9.1796875" style="3" customWidth="1"/>
    <col min="13303" max="13505" width="9.1796875" style="3"/>
    <col min="13506" max="13506" width="22.453125" style="3" bestFit="1" customWidth="1"/>
    <col min="13507" max="13511" width="12.1796875" style="3" customWidth="1"/>
    <col min="13512" max="13512" width="18.7265625" style="3" customWidth="1"/>
    <col min="13513" max="13547" width="12.1796875" style="3" customWidth="1"/>
    <col min="13548" max="13548" width="15.1796875" style="3" customWidth="1"/>
    <col min="13549" max="13549" width="3.453125" style="3" customWidth="1"/>
    <col min="13550" max="13550" width="12.81640625" style="3" customWidth="1"/>
    <col min="13551" max="13551" width="13.1796875" style="3" customWidth="1"/>
    <col min="13552" max="13553" width="12.81640625" style="3" customWidth="1"/>
    <col min="13554" max="13554" width="11.7265625" style="3" customWidth="1"/>
    <col min="13555" max="13555" width="17.26953125" style="3" customWidth="1"/>
    <col min="13556" max="13556" width="9.54296875" style="3" customWidth="1"/>
    <col min="13557" max="13558" width="9.1796875" style="3" customWidth="1"/>
    <col min="13559" max="13761" width="9.1796875" style="3"/>
    <col min="13762" max="13762" width="22.453125" style="3" bestFit="1" customWidth="1"/>
    <col min="13763" max="13767" width="12.1796875" style="3" customWidth="1"/>
    <col min="13768" max="13768" width="18.7265625" style="3" customWidth="1"/>
    <col min="13769" max="13803" width="12.1796875" style="3" customWidth="1"/>
    <col min="13804" max="13804" width="15.1796875" style="3" customWidth="1"/>
    <col min="13805" max="13805" width="3.453125" style="3" customWidth="1"/>
    <col min="13806" max="13806" width="12.81640625" style="3" customWidth="1"/>
    <col min="13807" max="13807" width="13.1796875" style="3" customWidth="1"/>
    <col min="13808" max="13809" width="12.81640625" style="3" customWidth="1"/>
    <col min="13810" max="13810" width="11.7265625" style="3" customWidth="1"/>
    <col min="13811" max="13811" width="17.26953125" style="3" customWidth="1"/>
    <col min="13812" max="13812" width="9.54296875" style="3" customWidth="1"/>
    <col min="13813" max="13814" width="9.1796875" style="3" customWidth="1"/>
    <col min="13815" max="14017" width="9.1796875" style="3"/>
    <col min="14018" max="14018" width="22.453125" style="3" bestFit="1" customWidth="1"/>
    <col min="14019" max="14023" width="12.1796875" style="3" customWidth="1"/>
    <col min="14024" max="14024" width="18.7265625" style="3" customWidth="1"/>
    <col min="14025" max="14059" width="12.1796875" style="3" customWidth="1"/>
    <col min="14060" max="14060" width="15.1796875" style="3" customWidth="1"/>
    <col min="14061" max="14061" width="3.453125" style="3" customWidth="1"/>
    <col min="14062" max="14062" width="12.81640625" style="3" customWidth="1"/>
    <col min="14063" max="14063" width="13.1796875" style="3" customWidth="1"/>
    <col min="14064" max="14065" width="12.81640625" style="3" customWidth="1"/>
    <col min="14066" max="14066" width="11.7265625" style="3" customWidth="1"/>
    <col min="14067" max="14067" width="17.26953125" style="3" customWidth="1"/>
    <col min="14068" max="14068" width="9.54296875" style="3" customWidth="1"/>
    <col min="14069" max="14070" width="9.1796875" style="3" customWidth="1"/>
    <col min="14071" max="14273" width="9.1796875" style="3"/>
    <col min="14274" max="14274" width="22.453125" style="3" bestFit="1" customWidth="1"/>
    <col min="14275" max="14279" width="12.1796875" style="3" customWidth="1"/>
    <col min="14280" max="14280" width="18.7265625" style="3" customWidth="1"/>
    <col min="14281" max="14315" width="12.1796875" style="3" customWidth="1"/>
    <col min="14316" max="14316" width="15.1796875" style="3" customWidth="1"/>
    <col min="14317" max="14317" width="3.453125" style="3" customWidth="1"/>
    <col min="14318" max="14318" width="12.81640625" style="3" customWidth="1"/>
    <col min="14319" max="14319" width="13.1796875" style="3" customWidth="1"/>
    <col min="14320" max="14321" width="12.81640625" style="3" customWidth="1"/>
    <col min="14322" max="14322" width="11.7265625" style="3" customWidth="1"/>
    <col min="14323" max="14323" width="17.26953125" style="3" customWidth="1"/>
    <col min="14324" max="14324" width="9.54296875" style="3" customWidth="1"/>
    <col min="14325" max="14326" width="9.1796875" style="3" customWidth="1"/>
    <col min="14327" max="14529" width="9.1796875" style="3"/>
    <col min="14530" max="14530" width="22.453125" style="3" bestFit="1" customWidth="1"/>
    <col min="14531" max="14535" width="12.1796875" style="3" customWidth="1"/>
    <col min="14536" max="14536" width="18.7265625" style="3" customWidth="1"/>
    <col min="14537" max="14571" width="12.1796875" style="3" customWidth="1"/>
    <col min="14572" max="14572" width="15.1796875" style="3" customWidth="1"/>
    <col min="14573" max="14573" width="3.453125" style="3" customWidth="1"/>
    <col min="14574" max="14574" width="12.81640625" style="3" customWidth="1"/>
    <col min="14575" max="14575" width="13.1796875" style="3" customWidth="1"/>
    <col min="14576" max="14577" width="12.81640625" style="3" customWidth="1"/>
    <col min="14578" max="14578" width="11.7265625" style="3" customWidth="1"/>
    <col min="14579" max="14579" width="17.26953125" style="3" customWidth="1"/>
    <col min="14580" max="14580" width="9.54296875" style="3" customWidth="1"/>
    <col min="14581" max="14582" width="9.1796875" style="3" customWidth="1"/>
    <col min="14583" max="14785" width="9.1796875" style="3"/>
    <col min="14786" max="14786" width="22.453125" style="3" bestFit="1" customWidth="1"/>
    <col min="14787" max="14791" width="12.1796875" style="3" customWidth="1"/>
    <col min="14792" max="14792" width="18.7265625" style="3" customWidth="1"/>
    <col min="14793" max="14827" width="12.1796875" style="3" customWidth="1"/>
    <col min="14828" max="14828" width="15.1796875" style="3" customWidth="1"/>
    <col min="14829" max="14829" width="3.453125" style="3" customWidth="1"/>
    <col min="14830" max="14830" width="12.81640625" style="3" customWidth="1"/>
    <col min="14831" max="14831" width="13.1796875" style="3" customWidth="1"/>
    <col min="14832" max="14833" width="12.81640625" style="3" customWidth="1"/>
    <col min="14834" max="14834" width="11.7265625" style="3" customWidth="1"/>
    <col min="14835" max="14835" width="17.26953125" style="3" customWidth="1"/>
    <col min="14836" max="14836" width="9.54296875" style="3" customWidth="1"/>
    <col min="14837" max="14838" width="9.1796875" style="3" customWidth="1"/>
    <col min="14839" max="15041" width="9.1796875" style="3"/>
    <col min="15042" max="15042" width="22.453125" style="3" bestFit="1" customWidth="1"/>
    <col min="15043" max="15047" width="12.1796875" style="3" customWidth="1"/>
    <col min="15048" max="15048" width="18.7265625" style="3" customWidth="1"/>
    <col min="15049" max="15083" width="12.1796875" style="3" customWidth="1"/>
    <col min="15084" max="15084" width="15.1796875" style="3" customWidth="1"/>
    <col min="15085" max="15085" width="3.453125" style="3" customWidth="1"/>
    <col min="15086" max="15086" width="12.81640625" style="3" customWidth="1"/>
    <col min="15087" max="15087" width="13.1796875" style="3" customWidth="1"/>
    <col min="15088" max="15089" width="12.81640625" style="3" customWidth="1"/>
    <col min="15090" max="15090" width="11.7265625" style="3" customWidth="1"/>
    <col min="15091" max="15091" width="17.26953125" style="3" customWidth="1"/>
    <col min="15092" max="15092" width="9.54296875" style="3" customWidth="1"/>
    <col min="15093" max="15094" width="9.1796875" style="3" customWidth="1"/>
    <col min="15095" max="15297" width="9.1796875" style="3"/>
    <col min="15298" max="15298" width="22.453125" style="3" bestFit="1" customWidth="1"/>
    <col min="15299" max="15303" width="12.1796875" style="3" customWidth="1"/>
    <col min="15304" max="15304" width="18.7265625" style="3" customWidth="1"/>
    <col min="15305" max="15339" width="12.1796875" style="3" customWidth="1"/>
    <col min="15340" max="15340" width="15.1796875" style="3" customWidth="1"/>
    <col min="15341" max="15341" width="3.453125" style="3" customWidth="1"/>
    <col min="15342" max="15342" width="12.81640625" style="3" customWidth="1"/>
    <col min="15343" max="15343" width="13.1796875" style="3" customWidth="1"/>
    <col min="15344" max="15345" width="12.81640625" style="3" customWidth="1"/>
    <col min="15346" max="15346" width="11.7265625" style="3" customWidth="1"/>
    <col min="15347" max="15347" width="17.26953125" style="3" customWidth="1"/>
    <col min="15348" max="15348" width="9.54296875" style="3" customWidth="1"/>
    <col min="15349" max="15350" width="9.1796875" style="3" customWidth="1"/>
    <col min="15351" max="15553" width="9.1796875" style="3"/>
    <col min="15554" max="15554" width="22.453125" style="3" bestFit="1" customWidth="1"/>
    <col min="15555" max="15559" width="12.1796875" style="3" customWidth="1"/>
    <col min="15560" max="15560" width="18.7265625" style="3" customWidth="1"/>
    <col min="15561" max="15595" width="12.1796875" style="3" customWidth="1"/>
    <col min="15596" max="15596" width="15.1796875" style="3" customWidth="1"/>
    <col min="15597" max="15597" width="3.453125" style="3" customWidth="1"/>
    <col min="15598" max="15598" width="12.81640625" style="3" customWidth="1"/>
    <col min="15599" max="15599" width="13.1796875" style="3" customWidth="1"/>
    <col min="15600" max="15601" width="12.81640625" style="3" customWidth="1"/>
    <col min="15602" max="15602" width="11.7265625" style="3" customWidth="1"/>
    <col min="15603" max="15603" width="17.26953125" style="3" customWidth="1"/>
    <col min="15604" max="15604" width="9.54296875" style="3" customWidth="1"/>
    <col min="15605" max="15606" width="9.1796875" style="3" customWidth="1"/>
    <col min="15607" max="15809" width="9.1796875" style="3"/>
    <col min="15810" max="15810" width="22.453125" style="3" bestFit="1" customWidth="1"/>
    <col min="15811" max="15815" width="12.1796875" style="3" customWidth="1"/>
    <col min="15816" max="15816" width="18.7265625" style="3" customWidth="1"/>
    <col min="15817" max="15851" width="12.1796875" style="3" customWidth="1"/>
    <col min="15852" max="15852" width="15.1796875" style="3" customWidth="1"/>
    <col min="15853" max="15853" width="3.453125" style="3" customWidth="1"/>
    <col min="15854" max="15854" width="12.81640625" style="3" customWidth="1"/>
    <col min="15855" max="15855" width="13.1796875" style="3" customWidth="1"/>
    <col min="15856" max="15857" width="12.81640625" style="3" customWidth="1"/>
    <col min="15858" max="15858" width="11.7265625" style="3" customWidth="1"/>
    <col min="15859" max="15859" width="17.26953125" style="3" customWidth="1"/>
    <col min="15860" max="15860" width="9.54296875" style="3" customWidth="1"/>
    <col min="15861" max="15862" width="9.1796875" style="3" customWidth="1"/>
    <col min="15863" max="16065" width="9.1796875" style="3"/>
    <col min="16066" max="16066" width="22.453125" style="3" bestFit="1" customWidth="1"/>
    <col min="16067" max="16071" width="12.1796875" style="3" customWidth="1"/>
    <col min="16072" max="16072" width="18.7265625" style="3" customWidth="1"/>
    <col min="16073" max="16107" width="12.1796875" style="3" customWidth="1"/>
    <col min="16108" max="16108" width="15.1796875" style="3" customWidth="1"/>
    <col min="16109" max="16109" width="3.453125" style="3" customWidth="1"/>
    <col min="16110" max="16110" width="12.81640625" style="3" customWidth="1"/>
    <col min="16111" max="16111" width="13.1796875" style="3" customWidth="1"/>
    <col min="16112" max="16113" width="12.81640625" style="3" customWidth="1"/>
    <col min="16114" max="16114" width="11.7265625" style="3" customWidth="1"/>
    <col min="16115" max="16115" width="17.26953125" style="3" customWidth="1"/>
    <col min="16116" max="16116" width="9.54296875" style="3" customWidth="1"/>
    <col min="16117" max="16118" width="9.1796875" style="3" customWidth="1"/>
    <col min="16119" max="16384" width="9.1796875" style="3"/>
  </cols>
  <sheetData>
    <row r="1" spans="1:51">
      <c r="F1" s="83" t="s">
        <v>7</v>
      </c>
      <c r="AJ1" s="148"/>
    </row>
    <row r="2" spans="1:51">
      <c r="F2" s="83" t="s">
        <v>176</v>
      </c>
    </row>
    <row r="3" spans="1:51">
      <c r="F3" s="57" t="s">
        <v>1270</v>
      </c>
      <c r="AI3" s="95"/>
      <c r="AW3" s="95"/>
    </row>
    <row r="4" spans="1:51">
      <c r="D4" s="57"/>
      <c r="AI4" s="95"/>
      <c r="AW4" s="95"/>
      <c r="AX4" s="95"/>
      <c r="AY4" s="95"/>
    </row>
    <row r="5" spans="1:51">
      <c r="Y5" s="118"/>
      <c r="Z5" s="118"/>
      <c r="AA5" s="118"/>
      <c r="AB5" s="118"/>
      <c r="AC5" s="118"/>
      <c r="AD5" s="85" t="s">
        <v>1272</v>
      </c>
      <c r="AE5" s="195"/>
      <c r="AF5" s="195"/>
      <c r="AG5" s="195"/>
      <c r="AH5" s="386"/>
      <c r="AI5" s="88"/>
      <c r="AJ5" s="5"/>
      <c r="AK5" s="5"/>
      <c r="AM5" s="118"/>
      <c r="AN5" s="118"/>
      <c r="AO5" s="118"/>
      <c r="AP5" s="118"/>
      <c r="AQ5" s="118"/>
      <c r="AR5" s="85" t="s">
        <v>455</v>
      </c>
      <c r="AS5" s="195"/>
      <c r="AT5" s="195"/>
      <c r="AU5" s="195"/>
      <c r="AV5" s="118"/>
      <c r="AW5" s="88"/>
      <c r="AX5" s="163"/>
      <c r="AY5" s="163"/>
    </row>
    <row r="6" spans="1:51">
      <c r="B6" s="196"/>
      <c r="E6" s="85" t="s">
        <v>120</v>
      </c>
      <c r="F6" s="90"/>
      <c r="G6" s="118"/>
      <c r="H6" s="90"/>
      <c r="I6" s="118"/>
      <c r="J6" s="392"/>
      <c r="K6" s="85"/>
      <c r="L6" s="85" t="s">
        <v>121</v>
      </c>
      <c r="M6" s="85"/>
      <c r="N6" s="85"/>
      <c r="O6" s="85"/>
      <c r="P6" s="393"/>
      <c r="Q6" s="118"/>
      <c r="S6" s="85" t="s">
        <v>122</v>
      </c>
      <c r="T6" s="118"/>
      <c r="U6" s="118"/>
      <c r="W6" s="118"/>
      <c r="X6" s="90"/>
      <c r="Y6" s="5" t="s">
        <v>123</v>
      </c>
      <c r="AA6" s="197"/>
      <c r="AB6" s="197"/>
      <c r="AC6" s="195"/>
      <c r="AD6" s="118"/>
      <c r="AE6" s="195" t="s">
        <v>124</v>
      </c>
      <c r="AF6" s="195"/>
      <c r="AG6" s="195"/>
      <c r="AI6" s="197" t="s">
        <v>964</v>
      </c>
      <c r="AJ6" s="57"/>
      <c r="AK6" s="57"/>
      <c r="AL6" s="198"/>
      <c r="AM6" s="5" t="s">
        <v>123</v>
      </c>
      <c r="AO6" s="197"/>
      <c r="AP6" s="197"/>
      <c r="AQ6" s="195"/>
      <c r="AR6" s="118"/>
      <c r="AS6" s="195" t="s">
        <v>124</v>
      </c>
      <c r="AT6" s="195"/>
      <c r="AU6" s="195"/>
      <c r="AW6" s="197" t="s">
        <v>964</v>
      </c>
      <c r="AX6" s="197"/>
      <c r="AY6" s="197"/>
    </row>
    <row r="7" spans="1:51">
      <c r="A7" s="199" t="s">
        <v>175</v>
      </c>
      <c r="B7" s="196"/>
      <c r="C7" s="85">
        <v>2013</v>
      </c>
      <c r="D7" s="57"/>
      <c r="E7" s="85">
        <v>2014</v>
      </c>
      <c r="F7" s="57"/>
      <c r="G7" s="85">
        <v>2015</v>
      </c>
      <c r="H7" s="57"/>
      <c r="I7" s="85">
        <v>2016</v>
      </c>
      <c r="J7" s="393"/>
      <c r="K7" s="85">
        <v>2016</v>
      </c>
      <c r="L7" s="57"/>
      <c r="M7" s="57"/>
      <c r="N7" s="57"/>
      <c r="O7" s="85">
        <v>2015</v>
      </c>
      <c r="P7" s="393"/>
      <c r="Q7" s="85">
        <v>2013</v>
      </c>
      <c r="R7" s="57"/>
      <c r="S7" s="85">
        <v>2014</v>
      </c>
      <c r="T7" s="57"/>
      <c r="U7" s="85">
        <v>2015</v>
      </c>
      <c r="V7" s="5"/>
      <c r="W7" s="85">
        <v>2016</v>
      </c>
      <c r="X7" s="57"/>
      <c r="Y7" s="85" t="s">
        <v>125</v>
      </c>
      <c r="AA7" s="195" t="s">
        <v>126</v>
      </c>
      <c r="AB7" s="200"/>
      <c r="AC7" s="195" t="s">
        <v>963</v>
      </c>
      <c r="AE7" s="195" t="s">
        <v>127</v>
      </c>
      <c r="AF7" s="200"/>
      <c r="AG7" s="195" t="s">
        <v>107</v>
      </c>
      <c r="AI7" s="195" t="s">
        <v>965</v>
      </c>
      <c r="AJ7" s="57"/>
      <c r="AK7" s="57"/>
      <c r="AL7" s="57"/>
      <c r="AM7" s="85" t="s">
        <v>125</v>
      </c>
      <c r="AO7" s="195" t="s">
        <v>126</v>
      </c>
      <c r="AP7" s="200"/>
      <c r="AQ7" s="195" t="s">
        <v>963</v>
      </c>
      <c r="AS7" s="195" t="s">
        <v>127</v>
      </c>
      <c r="AT7" s="200"/>
      <c r="AU7" s="195" t="s">
        <v>107</v>
      </c>
      <c r="AW7" s="195" t="s">
        <v>965</v>
      </c>
      <c r="AX7" s="200"/>
      <c r="AY7" s="200"/>
    </row>
    <row r="8" spans="1:51">
      <c r="A8" s="103"/>
      <c r="B8" s="196"/>
      <c r="Y8" s="43"/>
      <c r="Z8" s="43"/>
      <c r="AA8" s="43"/>
      <c r="AB8" s="43"/>
      <c r="AC8" s="43"/>
      <c r="AD8" s="43"/>
      <c r="AE8" s="43"/>
      <c r="AF8" s="43"/>
      <c r="AG8" s="43"/>
      <c r="AH8" s="387"/>
      <c r="AI8" s="43"/>
      <c r="AJ8" s="194"/>
      <c r="AK8" s="194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</row>
    <row r="9" spans="1:51">
      <c r="A9" s="3" t="s">
        <v>128</v>
      </c>
      <c r="C9" s="16">
        <v>3925</v>
      </c>
      <c r="D9" s="16"/>
      <c r="E9" s="16">
        <v>2150</v>
      </c>
      <c r="F9" s="16"/>
      <c r="G9" s="16">
        <v>3311</v>
      </c>
      <c r="H9" s="16"/>
      <c r="I9" s="16">
        <v>860</v>
      </c>
      <c r="J9" s="394"/>
      <c r="K9" s="266">
        <v>6.5000000000000002E-2</v>
      </c>
      <c r="L9" s="266"/>
      <c r="M9" s="267">
        <f>I9*K9</f>
        <v>55.9</v>
      </c>
      <c r="N9" s="267"/>
      <c r="O9" s="266">
        <v>6.5000000000000002E-2</v>
      </c>
      <c r="P9" s="396"/>
      <c r="Q9" s="148">
        <v>5.8520000000000004E-3</v>
      </c>
      <c r="R9" s="16"/>
      <c r="S9" s="148">
        <v>3.8E-3</v>
      </c>
      <c r="T9" s="16"/>
      <c r="U9" s="148">
        <v>4.4799999999999996E-3</v>
      </c>
      <c r="V9" s="8"/>
      <c r="W9" s="148">
        <v>4.8830000000000002E-3</v>
      </c>
      <c r="X9" s="148"/>
      <c r="Y9" s="168">
        <v>2436</v>
      </c>
      <c r="Z9" s="174"/>
      <c r="AA9" s="174"/>
      <c r="AB9" s="174"/>
      <c r="AC9" s="174"/>
      <c r="AD9" s="174"/>
      <c r="AE9" s="174">
        <v>1200</v>
      </c>
      <c r="AF9" s="174"/>
      <c r="AG9" s="174">
        <v>3876</v>
      </c>
      <c r="AH9" s="388"/>
      <c r="AI9" s="174">
        <v>3500</v>
      </c>
      <c r="AJ9" s="148"/>
      <c r="AK9" s="148"/>
      <c r="AL9" s="148"/>
      <c r="AM9" s="168">
        <v>6756</v>
      </c>
      <c r="AN9" s="174"/>
      <c r="AO9" s="174"/>
      <c r="AP9" s="174"/>
      <c r="AQ9" s="174"/>
      <c r="AR9" s="174"/>
      <c r="AS9" s="174">
        <v>3500</v>
      </c>
      <c r="AT9" s="174"/>
      <c r="AU9" s="174">
        <v>3177</v>
      </c>
      <c r="AV9" s="174"/>
      <c r="AW9" s="174">
        <v>3232</v>
      </c>
      <c r="AX9" s="87"/>
      <c r="AY9" s="87"/>
    </row>
    <row r="10" spans="1:51">
      <c r="A10" s="3" t="s">
        <v>129</v>
      </c>
      <c r="C10" s="18">
        <v>121</v>
      </c>
      <c r="D10" s="18"/>
      <c r="E10" s="18">
        <v>598</v>
      </c>
      <c r="F10" s="18"/>
      <c r="G10" s="18">
        <f>377-91</f>
        <v>286</v>
      </c>
      <c r="H10" s="18"/>
      <c r="I10" s="18">
        <v>0</v>
      </c>
      <c r="J10" s="395"/>
      <c r="K10" s="266">
        <v>0.02</v>
      </c>
      <c r="L10" s="266"/>
      <c r="M10" s="267">
        <f t="shared" ref="M10:M55" si="0">I10*K10</f>
        <v>0</v>
      </c>
      <c r="N10" s="267"/>
      <c r="O10" s="266">
        <f>598/29923</f>
        <v>1.9984627209838585E-2</v>
      </c>
      <c r="P10" s="396"/>
      <c r="Q10" s="148">
        <v>2.48E-3</v>
      </c>
      <c r="R10" s="18"/>
      <c r="S10" s="148">
        <v>2.3270000000000001E-3</v>
      </c>
      <c r="T10" s="18"/>
      <c r="U10" s="148">
        <v>2.5999999999999999E-3</v>
      </c>
      <c r="V10" s="8"/>
      <c r="W10" s="148">
        <v>2.5999999999999999E-3</v>
      </c>
      <c r="X10" s="148"/>
      <c r="Y10" s="43"/>
      <c r="Z10" s="38"/>
      <c r="AA10" s="38"/>
      <c r="AB10" s="38"/>
      <c r="AC10" s="38"/>
      <c r="AD10" s="38"/>
      <c r="AE10" s="38">
        <v>688</v>
      </c>
      <c r="AF10" s="38"/>
      <c r="AG10" s="38"/>
      <c r="AH10" s="389"/>
      <c r="AI10" s="38">
        <v>688</v>
      </c>
      <c r="AJ10" s="148"/>
      <c r="AK10" s="148"/>
      <c r="AL10" s="148"/>
      <c r="AM10" s="43"/>
      <c r="AN10" s="38"/>
      <c r="AO10" s="38"/>
      <c r="AP10" s="38"/>
      <c r="AQ10" s="38"/>
      <c r="AR10" s="38"/>
      <c r="AS10" s="38">
        <v>688</v>
      </c>
      <c r="AT10" s="38"/>
      <c r="AU10" s="38"/>
      <c r="AV10" s="38"/>
      <c r="AW10" s="38">
        <v>974</v>
      </c>
      <c r="AX10" s="87"/>
      <c r="AY10" s="87"/>
    </row>
    <row r="11" spans="1:51">
      <c r="A11" s="3" t="s">
        <v>130</v>
      </c>
      <c r="C11" s="18">
        <v>6034</v>
      </c>
      <c r="D11" s="18"/>
      <c r="E11" s="18">
        <v>24549</v>
      </c>
      <c r="F11" s="18"/>
      <c r="G11" s="18">
        <f>29297+89</f>
        <v>29386</v>
      </c>
      <c r="H11" s="18"/>
      <c r="I11" s="18">
        <v>11654</v>
      </c>
      <c r="J11" s="395"/>
      <c r="K11" s="266">
        <v>0.06</v>
      </c>
      <c r="L11" s="266"/>
      <c r="M11" s="267">
        <f t="shared" si="0"/>
        <v>699.24</v>
      </c>
      <c r="N11" s="267"/>
      <c r="O11" s="266">
        <v>6.5000000000000002E-2</v>
      </c>
      <c r="P11" s="396"/>
      <c r="Q11" s="148">
        <v>2.4E-2</v>
      </c>
      <c r="R11" s="18"/>
      <c r="S11" s="148">
        <v>2.7394000000000002E-2</v>
      </c>
      <c r="T11" s="18"/>
      <c r="U11" s="148">
        <v>2.7799000000000001E-2</v>
      </c>
      <c r="V11" s="8"/>
      <c r="W11" s="148">
        <v>2.6769000000000001E-2</v>
      </c>
      <c r="X11" s="148"/>
      <c r="Y11" s="43"/>
      <c r="Z11" s="38"/>
      <c r="AA11" s="38">
        <f>31455-11455</f>
        <v>20000</v>
      </c>
      <c r="AB11" s="38"/>
      <c r="AC11" s="38"/>
      <c r="AD11" s="38"/>
      <c r="AE11" s="38">
        <f>AA11+AI11-I11</f>
        <v>19801</v>
      </c>
      <c r="AF11" s="38"/>
      <c r="AG11" s="38"/>
      <c r="AH11" s="389"/>
      <c r="AI11" s="38">
        <v>11455</v>
      </c>
      <c r="AJ11" s="148"/>
      <c r="AK11" s="148"/>
      <c r="AL11" s="148"/>
      <c r="AM11" s="43"/>
      <c r="AN11" s="38"/>
      <c r="AO11" s="38">
        <v>37000</v>
      </c>
      <c r="AP11" s="38"/>
      <c r="AQ11" s="38"/>
      <c r="AR11" s="38"/>
      <c r="AS11" s="38">
        <v>11455</v>
      </c>
      <c r="AT11" s="38"/>
      <c r="AU11" s="38"/>
      <c r="AV11" s="38"/>
      <c r="AW11" s="38">
        <v>1841</v>
      </c>
      <c r="AX11" s="87"/>
      <c r="AY11" s="87"/>
    </row>
    <row r="12" spans="1:51">
      <c r="A12" s="3" t="s">
        <v>131</v>
      </c>
      <c r="C12" s="18">
        <v>268</v>
      </c>
      <c r="D12" s="18"/>
      <c r="E12" s="18">
        <v>553</v>
      </c>
      <c r="F12" s="18"/>
      <c r="G12" s="18">
        <v>558</v>
      </c>
      <c r="H12" s="18"/>
      <c r="I12" s="18">
        <v>83</v>
      </c>
      <c r="J12" s="395"/>
      <c r="K12" s="266">
        <v>0.02</v>
      </c>
      <c r="L12" s="266"/>
      <c r="M12" s="267">
        <f t="shared" si="0"/>
        <v>1.6600000000000001</v>
      </c>
      <c r="N12" s="267"/>
      <c r="O12" s="266">
        <f>553/17264</f>
        <v>3.203197405004634E-2</v>
      </c>
      <c r="P12" s="396"/>
      <c r="Q12" s="148">
        <v>0</v>
      </c>
      <c r="R12" s="18"/>
      <c r="S12" s="148">
        <v>0</v>
      </c>
      <c r="T12" s="18"/>
      <c r="U12" s="148">
        <v>0</v>
      </c>
      <c r="V12" s="8"/>
      <c r="W12" s="148">
        <v>0</v>
      </c>
      <c r="X12" s="148"/>
      <c r="Y12" s="43"/>
      <c r="Z12" s="38"/>
      <c r="AA12" s="38"/>
      <c r="AB12" s="38"/>
      <c r="AC12" s="38"/>
      <c r="AD12" s="38"/>
      <c r="AE12" s="38">
        <v>4147</v>
      </c>
      <c r="AF12" s="38"/>
      <c r="AG12" s="38"/>
      <c r="AH12" s="389"/>
      <c r="AI12" s="38">
        <v>4230</v>
      </c>
      <c r="AJ12" s="148"/>
      <c r="AK12" s="148"/>
      <c r="AL12" s="148"/>
      <c r="AM12" s="43"/>
      <c r="AN12" s="38"/>
      <c r="AO12" s="38"/>
      <c r="AP12" s="38"/>
      <c r="AQ12" s="38"/>
      <c r="AR12" s="38"/>
      <c r="AS12" s="38">
        <v>4230</v>
      </c>
      <c r="AT12" s="38"/>
      <c r="AU12" s="38"/>
      <c r="AV12" s="38"/>
      <c r="AW12" s="38">
        <v>4788</v>
      </c>
      <c r="AX12" s="87"/>
      <c r="AY12" s="87"/>
    </row>
    <row r="13" spans="1:51">
      <c r="A13" s="3" t="s">
        <v>132</v>
      </c>
      <c r="C13" s="18">
        <v>52041</v>
      </c>
      <c r="D13" s="18"/>
      <c r="E13" s="18">
        <v>265459</v>
      </c>
      <c r="F13" s="18"/>
      <c r="G13" s="18">
        <f>351090+2172</f>
        <v>353262</v>
      </c>
      <c r="H13" s="18"/>
      <c r="I13" s="18">
        <v>161380</v>
      </c>
      <c r="J13" s="395"/>
      <c r="K13" s="266">
        <v>8.8400000000000006E-2</v>
      </c>
      <c r="L13" s="266"/>
      <c r="M13" s="267">
        <f t="shared" si="0"/>
        <v>14265.992</v>
      </c>
      <c r="N13" s="267"/>
      <c r="O13" s="266">
        <v>8.8400000000000006E-2</v>
      </c>
      <c r="P13" s="396"/>
      <c r="Q13" s="148">
        <v>0.16400000000000001</v>
      </c>
      <c r="R13" s="18"/>
      <c r="S13" s="148">
        <v>0.23418600000000001</v>
      </c>
      <c r="T13" s="18"/>
      <c r="U13" s="148">
        <v>0.24790000000000001</v>
      </c>
      <c r="V13" s="8"/>
      <c r="W13" s="148">
        <v>0.25711400000000001</v>
      </c>
      <c r="X13" s="148"/>
      <c r="Y13" s="43"/>
      <c r="Z13" s="38"/>
      <c r="AA13" s="38">
        <v>250000</v>
      </c>
      <c r="AB13" s="38"/>
      <c r="AC13" s="38"/>
      <c r="AD13" s="38"/>
      <c r="AE13" s="38">
        <v>800</v>
      </c>
      <c r="AF13" s="38"/>
      <c r="AG13" s="38">
        <f>AA13+AI13-I13-AE13</f>
        <v>229966</v>
      </c>
      <c r="AH13" s="389" t="s">
        <v>1273</v>
      </c>
      <c r="AI13" s="38">
        <v>142146</v>
      </c>
      <c r="AK13" s="148"/>
      <c r="AL13" s="148"/>
      <c r="AM13" s="43"/>
      <c r="AN13" s="38"/>
      <c r="AO13" s="38">
        <f>100000+120000+220000</f>
        <v>440000</v>
      </c>
      <c r="AP13" s="38"/>
      <c r="AQ13" s="38"/>
      <c r="AR13" s="38"/>
      <c r="AS13" s="38">
        <v>142146</v>
      </c>
      <c r="AT13" s="38"/>
      <c r="AU13" s="38"/>
      <c r="AV13" s="38"/>
      <c r="AW13" s="38">
        <v>55408</v>
      </c>
      <c r="AX13" s="87"/>
      <c r="AY13" s="87"/>
    </row>
    <row r="14" spans="1:51">
      <c r="A14" s="3" t="s">
        <v>133</v>
      </c>
      <c r="C14" s="18">
        <v>14235</v>
      </c>
      <c r="D14" s="18"/>
      <c r="E14" s="18">
        <v>42299</v>
      </c>
      <c r="F14" s="18"/>
      <c r="G14" s="18">
        <v>45844</v>
      </c>
      <c r="H14" s="18"/>
      <c r="I14" s="18">
        <v>9459</v>
      </c>
      <c r="J14" s="395"/>
      <c r="K14" s="266">
        <v>4.6300000000000001E-2</v>
      </c>
      <c r="L14" s="266"/>
      <c r="M14" s="267">
        <f t="shared" si="0"/>
        <v>437.95170000000002</v>
      </c>
      <c r="N14" s="267"/>
      <c r="O14" s="266">
        <v>4.6300000000000001E-2</v>
      </c>
      <c r="P14" s="396"/>
      <c r="Q14" s="148">
        <v>7.6999999999999999E-2</v>
      </c>
      <c r="R14" s="18"/>
      <c r="S14" s="148">
        <v>7.5148000000000006E-2</v>
      </c>
      <c r="T14" s="18"/>
      <c r="U14" s="148">
        <v>6.3744999999999996E-2</v>
      </c>
      <c r="V14" s="8"/>
      <c r="W14" s="148">
        <v>5.7411999999999998E-2</v>
      </c>
      <c r="X14" s="148"/>
      <c r="Y14" s="43"/>
      <c r="Z14" s="38"/>
      <c r="AA14" s="38">
        <v>0</v>
      </c>
      <c r="AB14" s="38"/>
      <c r="AC14" s="38"/>
      <c r="AD14" s="38"/>
      <c r="AE14" s="38">
        <v>0</v>
      </c>
      <c r="AF14" s="38"/>
      <c r="AG14" s="38">
        <v>51569</v>
      </c>
      <c r="AH14" s="389"/>
      <c r="AI14" s="38">
        <v>31028</v>
      </c>
      <c r="AJ14" s="148"/>
      <c r="AK14" s="148"/>
      <c r="AL14" s="148"/>
      <c r="AM14" s="43"/>
      <c r="AN14" s="38"/>
      <c r="AO14" s="38">
        <f>76872-15872</f>
        <v>61000</v>
      </c>
      <c r="AP14" s="38"/>
      <c r="AQ14" s="38"/>
      <c r="AR14" s="38"/>
      <c r="AS14" s="38">
        <v>31028</v>
      </c>
      <c r="AT14" s="38"/>
      <c r="AU14" s="38"/>
      <c r="AV14" s="38"/>
      <c r="AW14" s="38">
        <v>15872</v>
      </c>
      <c r="AX14" s="197"/>
      <c r="AY14" s="197"/>
    </row>
    <row r="15" spans="1:51">
      <c r="A15" s="8" t="s">
        <v>134</v>
      </c>
      <c r="C15" s="18">
        <v>9068</v>
      </c>
      <c r="D15" s="18"/>
      <c r="E15" s="18">
        <v>5944</v>
      </c>
      <c r="F15" s="18"/>
      <c r="G15" s="18">
        <f>7700+30</f>
        <v>7730</v>
      </c>
      <c r="H15" s="18"/>
      <c r="I15" s="18">
        <v>3441</v>
      </c>
      <c r="J15" s="395"/>
      <c r="K15" s="266">
        <v>7.4999999999999997E-2</v>
      </c>
      <c r="L15" s="266"/>
      <c r="M15" s="267">
        <f t="shared" si="0"/>
        <v>258.07499999999999</v>
      </c>
      <c r="N15" s="267"/>
      <c r="O15" s="266">
        <v>7.4999999999999997E-2</v>
      </c>
      <c r="P15" s="396"/>
      <c r="Q15" s="148">
        <v>1.12E-2</v>
      </c>
      <c r="R15" s="18"/>
      <c r="S15" s="148">
        <v>6.1619999999999999E-3</v>
      </c>
      <c r="T15" s="18"/>
      <c r="U15" s="148">
        <v>6.0000000000000001E-3</v>
      </c>
      <c r="V15" s="8"/>
      <c r="W15" s="148">
        <v>6.3229999999999996E-3</v>
      </c>
      <c r="X15" s="148"/>
      <c r="Y15" s="43"/>
      <c r="Z15" s="38"/>
      <c r="AA15" s="38">
        <v>9000</v>
      </c>
      <c r="AB15" s="38"/>
      <c r="AC15" s="38"/>
      <c r="AD15" s="38"/>
      <c r="AE15" s="38">
        <v>9825</v>
      </c>
      <c r="AF15" s="38"/>
      <c r="AG15" s="38"/>
      <c r="AH15" s="389"/>
      <c r="AI15" s="38">
        <v>4266</v>
      </c>
      <c r="AJ15" s="148"/>
      <c r="AK15" s="148"/>
      <c r="AL15" s="148"/>
      <c r="AM15" s="43"/>
      <c r="AN15" s="38"/>
      <c r="AO15" s="38">
        <v>9000</v>
      </c>
      <c r="AP15" s="38"/>
      <c r="AQ15" s="38"/>
      <c r="AR15" s="38"/>
      <c r="AS15" s="38">
        <v>4266</v>
      </c>
      <c r="AT15" s="38"/>
      <c r="AU15" s="38"/>
      <c r="AV15" s="38"/>
      <c r="AW15" s="38">
        <v>2996</v>
      </c>
      <c r="AX15" s="87"/>
      <c r="AY15" s="87"/>
    </row>
    <row r="16" spans="1:51">
      <c r="A16" s="3" t="s">
        <v>135</v>
      </c>
      <c r="C16" s="18">
        <v>2609</v>
      </c>
      <c r="D16" s="18"/>
      <c r="E16" s="18">
        <v>1391</v>
      </c>
      <c r="F16" s="18"/>
      <c r="G16" s="18">
        <v>1729</v>
      </c>
      <c r="H16" s="18"/>
      <c r="I16" s="18">
        <v>419</v>
      </c>
      <c r="J16" s="395"/>
      <c r="K16" s="266">
        <v>8.6999999999999994E-2</v>
      </c>
      <c r="L16" s="266"/>
      <c r="M16" s="267">
        <f t="shared" si="0"/>
        <v>36.452999999999996</v>
      </c>
      <c r="N16" s="267"/>
      <c r="O16" s="266">
        <v>8.6999999999999994E-2</v>
      </c>
      <c r="P16" s="396"/>
      <c r="Q16" s="148">
        <v>2.5769999999999999E-3</v>
      </c>
      <c r="R16" s="18"/>
      <c r="S16" s="148">
        <v>1.2470000000000001E-3</v>
      </c>
      <c r="T16" s="18"/>
      <c r="U16" s="148">
        <v>1.1900000000000001E-3</v>
      </c>
      <c r="V16" s="8"/>
      <c r="W16" s="148">
        <v>1.2620000000000001E-3</v>
      </c>
      <c r="X16" s="148"/>
      <c r="Y16" s="43"/>
      <c r="Z16" s="38"/>
      <c r="AA16" s="38">
        <v>0</v>
      </c>
      <c r="AB16" s="38"/>
      <c r="AC16" s="38"/>
      <c r="AD16" s="38"/>
      <c r="AE16" s="38">
        <f>AI16-I16</f>
        <v>1961</v>
      </c>
      <c r="AF16" s="38"/>
      <c r="AG16" s="38"/>
      <c r="AH16" s="389"/>
      <c r="AI16" s="38">
        <v>2380</v>
      </c>
      <c r="AJ16" s="148"/>
      <c r="AK16" s="148"/>
      <c r="AL16" s="148"/>
      <c r="AM16" s="43"/>
      <c r="AN16" s="38"/>
      <c r="AO16" s="38"/>
      <c r="AP16" s="38"/>
      <c r="AQ16" s="38"/>
      <c r="AR16" s="38"/>
      <c r="AS16" s="38">
        <v>2380</v>
      </c>
      <c r="AT16" s="38"/>
      <c r="AU16" s="38"/>
      <c r="AV16" s="38"/>
      <c r="AW16" s="38">
        <v>2109</v>
      </c>
      <c r="AX16" s="87"/>
      <c r="AY16" s="87"/>
    </row>
    <row r="17" spans="1:51">
      <c r="A17" s="3" t="s">
        <v>136</v>
      </c>
      <c r="C17" s="18">
        <v>4437</v>
      </c>
      <c r="D17" s="18"/>
      <c r="E17" s="18">
        <v>15142</v>
      </c>
      <c r="F17" s="18"/>
      <c r="G17" s="18">
        <f>22662+574</f>
        <v>23236</v>
      </c>
      <c r="H17" s="18"/>
      <c r="I17" s="18">
        <v>7172</v>
      </c>
      <c r="J17" s="395"/>
      <c r="K17" s="266">
        <v>5.5E-2</v>
      </c>
      <c r="L17" s="266"/>
      <c r="M17" s="267">
        <f t="shared" si="0"/>
        <v>394.46</v>
      </c>
      <c r="N17" s="267"/>
      <c r="O17" s="266">
        <v>5.5E-2</v>
      </c>
      <c r="P17" s="396"/>
      <c r="Q17" s="202">
        <v>2.2702E-2</v>
      </c>
      <c r="R17" s="18"/>
      <c r="S17" s="202">
        <v>2.5926000000000001E-2</v>
      </c>
      <c r="T17" s="18"/>
      <c r="U17" s="202">
        <v>2.7709999999999999E-2</v>
      </c>
      <c r="V17" s="141"/>
      <c r="W17" s="202">
        <v>2.4702999999999999E-2</v>
      </c>
      <c r="X17" s="202"/>
      <c r="Y17" s="43"/>
      <c r="Z17" s="203"/>
      <c r="AA17" s="203">
        <f>24732-AI17</f>
        <v>16000</v>
      </c>
      <c r="AB17" s="203"/>
      <c r="AC17" s="203"/>
      <c r="AD17" s="203"/>
      <c r="AE17" s="38">
        <f>AA17+AI17-I17</f>
        <v>17560</v>
      </c>
      <c r="AF17" s="203"/>
      <c r="AG17" s="203"/>
      <c r="AH17" s="389"/>
      <c r="AI17" s="203">
        <v>8732</v>
      </c>
      <c r="AJ17" s="202"/>
      <c r="AK17" s="202"/>
      <c r="AL17" s="148"/>
      <c r="AM17" s="43"/>
      <c r="AN17" s="203"/>
      <c r="AO17" s="203">
        <f>3000+3000+6000+16000</f>
        <v>28000</v>
      </c>
      <c r="AP17" s="203"/>
      <c r="AQ17" s="203"/>
      <c r="AR17" s="203"/>
      <c r="AS17" s="203">
        <v>8732</v>
      </c>
      <c r="AT17" s="203"/>
      <c r="AU17" s="203"/>
      <c r="AV17" s="203"/>
      <c r="AW17" s="203">
        <v>3968</v>
      </c>
      <c r="AX17" s="197"/>
      <c r="AY17" s="197"/>
    </row>
    <row r="18" spans="1:51">
      <c r="A18" s="3" t="s">
        <v>137</v>
      </c>
      <c r="C18" s="18">
        <v>13201</v>
      </c>
      <c r="D18" s="18"/>
      <c r="E18" s="18">
        <v>13492</v>
      </c>
      <c r="F18" s="18"/>
      <c r="G18" s="18">
        <v>18991</v>
      </c>
      <c r="H18" s="18"/>
      <c r="I18" s="18">
        <v>8488</v>
      </c>
      <c r="J18" s="395"/>
      <c r="K18" s="266">
        <v>0.06</v>
      </c>
      <c r="L18" s="266"/>
      <c r="M18" s="267">
        <f t="shared" si="0"/>
        <v>509.28</v>
      </c>
      <c r="N18" s="267"/>
      <c r="O18" s="266">
        <v>0.06</v>
      </c>
      <c r="P18" s="396"/>
      <c r="Q18" s="202">
        <v>2.0253E-2</v>
      </c>
      <c r="R18" s="18"/>
      <c r="S18" s="202">
        <v>1.6625999999999998E-2</v>
      </c>
      <c r="T18" s="18"/>
      <c r="U18" s="202">
        <v>1.8950000000000002E-2</v>
      </c>
      <c r="V18" s="141"/>
      <c r="W18" s="202">
        <v>1.8252000000000001E-2</v>
      </c>
      <c r="X18" s="202"/>
      <c r="Y18" s="43"/>
      <c r="Z18" s="203"/>
      <c r="AA18" s="203">
        <f>11642-AI18:AI19</f>
        <v>9046</v>
      </c>
      <c r="AB18" s="203"/>
      <c r="AC18" s="203"/>
      <c r="AD18" s="203"/>
      <c r="AE18" s="38">
        <f>AA18+AI18-I18</f>
        <v>3154</v>
      </c>
      <c r="AF18" s="203"/>
      <c r="AG18" s="203"/>
      <c r="AH18" s="389"/>
      <c r="AI18" s="203">
        <v>2596</v>
      </c>
      <c r="AJ18" s="202"/>
      <c r="AK18" s="202"/>
      <c r="AL18" s="148"/>
      <c r="AM18" s="43"/>
      <c r="AN18" s="203"/>
      <c r="AO18" s="203">
        <v>19555</v>
      </c>
      <c r="AP18" s="203"/>
      <c r="AQ18" s="203"/>
      <c r="AR18" s="203"/>
      <c r="AS18" s="203">
        <v>2596</v>
      </c>
      <c r="AT18" s="203"/>
      <c r="AU18" s="203"/>
      <c r="AV18" s="203"/>
      <c r="AW18" s="203">
        <v>2032</v>
      </c>
      <c r="AX18" s="87"/>
      <c r="AY18" s="87"/>
    </row>
    <row r="19" spans="1:51">
      <c r="A19" s="3" t="s">
        <v>138</v>
      </c>
      <c r="C19" s="18">
        <v>1575</v>
      </c>
      <c r="D19" s="18"/>
      <c r="E19" s="18">
        <v>7354</v>
      </c>
      <c r="F19" s="18"/>
      <c r="G19" s="18">
        <v>8533</v>
      </c>
      <c r="H19" s="18"/>
      <c r="I19" s="18">
        <v>3384</v>
      </c>
      <c r="J19" s="395"/>
      <c r="K19" s="266">
        <v>5.3999999999999999E-2</v>
      </c>
      <c r="L19" s="266"/>
      <c r="M19" s="267">
        <f t="shared" si="0"/>
        <v>182.73599999999999</v>
      </c>
      <c r="N19" s="267"/>
      <c r="O19" s="266">
        <v>6.4000000000000001E-2</v>
      </c>
      <c r="P19" s="396"/>
      <c r="Q19" s="202">
        <v>1.093E-2</v>
      </c>
      <c r="R19" s="18"/>
      <c r="S19" s="202">
        <v>1.10954E-2</v>
      </c>
      <c r="T19" s="18"/>
      <c r="U19" s="202">
        <v>1.025E-2</v>
      </c>
      <c r="V19" s="141"/>
      <c r="W19" s="202">
        <v>9.8346000000000006E-3</v>
      </c>
      <c r="X19" s="202"/>
      <c r="Y19" s="43"/>
      <c r="Z19" s="203"/>
      <c r="AA19" s="203">
        <f>13040-AI19</f>
        <v>6000</v>
      </c>
      <c r="AB19" s="203"/>
      <c r="AC19" s="203"/>
      <c r="AD19" s="203"/>
      <c r="AE19" s="38">
        <f>AA19+AI19-I19</f>
        <v>9656</v>
      </c>
      <c r="AF19" s="203"/>
      <c r="AG19" s="203"/>
      <c r="AH19" s="389"/>
      <c r="AI19" s="203">
        <v>7040</v>
      </c>
      <c r="AJ19" s="202"/>
      <c r="AK19" s="202"/>
      <c r="AL19" s="148"/>
      <c r="AM19" s="43"/>
      <c r="AN19" s="203"/>
      <c r="AO19" s="203">
        <v>12000</v>
      </c>
      <c r="AP19" s="203"/>
      <c r="AQ19" s="203"/>
      <c r="AR19" s="203"/>
      <c r="AS19" s="203">
        <v>7040</v>
      </c>
      <c r="AT19" s="203"/>
      <c r="AU19" s="203"/>
      <c r="AV19" s="203"/>
      <c r="AW19" s="203">
        <v>3573</v>
      </c>
      <c r="AX19" s="87"/>
      <c r="AY19" s="87"/>
    </row>
    <row r="20" spans="1:51">
      <c r="A20" s="3" t="s">
        <v>139</v>
      </c>
      <c r="C20" s="18">
        <v>2089</v>
      </c>
      <c r="D20" s="18"/>
      <c r="E20" s="18">
        <v>8215</v>
      </c>
      <c r="F20" s="18"/>
      <c r="G20" s="18">
        <v>10461</v>
      </c>
      <c r="H20" s="18"/>
      <c r="I20" s="18">
        <f>4912+10</f>
        <v>4922</v>
      </c>
      <c r="J20" s="395"/>
      <c r="K20" s="266">
        <v>7.3999999999999996E-2</v>
      </c>
      <c r="L20" s="266"/>
      <c r="M20" s="267">
        <f t="shared" si="0"/>
        <v>364.22800000000001</v>
      </c>
      <c r="N20" s="267"/>
      <c r="O20" s="266">
        <v>7.3999999999999996E-2</v>
      </c>
      <c r="P20" s="396"/>
      <c r="Q20" s="202">
        <v>7.9399999999999991E-3</v>
      </c>
      <c r="R20" s="18"/>
      <c r="S20" s="202">
        <v>8.5299999999999994E-3</v>
      </c>
      <c r="T20" s="18"/>
      <c r="U20" s="202">
        <v>8.6160000000000004E-3</v>
      </c>
      <c r="V20" s="141"/>
      <c r="W20" s="202">
        <v>9.0589999999999993E-3</v>
      </c>
      <c r="X20" s="202"/>
      <c r="Y20" s="43"/>
      <c r="Z20" s="203"/>
      <c r="AA20" s="203">
        <f>12365-AI20</f>
        <v>8000</v>
      </c>
      <c r="AB20" s="203"/>
      <c r="AC20" s="203"/>
      <c r="AD20" s="203"/>
      <c r="AE20" s="38">
        <f>AA20+AI20-I20</f>
        <v>7443</v>
      </c>
      <c r="AF20" s="203"/>
      <c r="AG20" s="203"/>
      <c r="AH20" s="389"/>
      <c r="AI20" s="203">
        <v>4365</v>
      </c>
      <c r="AJ20" s="202"/>
      <c r="AK20" s="202"/>
      <c r="AL20" s="148"/>
      <c r="AM20" s="43"/>
      <c r="AN20" s="203"/>
      <c r="AO20" s="203">
        <f>3000+3000+6000</f>
        <v>12000</v>
      </c>
      <c r="AP20" s="203"/>
      <c r="AQ20" s="203"/>
      <c r="AR20" s="203"/>
      <c r="AS20" s="203">
        <v>4365</v>
      </c>
      <c r="AT20" s="203"/>
      <c r="AU20" s="203"/>
      <c r="AV20" s="203"/>
      <c r="AW20" s="203">
        <v>2834</v>
      </c>
      <c r="AX20" s="87"/>
      <c r="AY20" s="87"/>
    </row>
    <row r="21" spans="1:51">
      <c r="A21" s="3" t="s">
        <v>140</v>
      </c>
      <c r="C21" s="18">
        <v>8882</v>
      </c>
      <c r="D21" s="18"/>
      <c r="E21" s="18">
        <v>27076</v>
      </c>
      <c r="F21" s="18"/>
      <c r="G21" s="18">
        <f>29078+1081</f>
        <v>30159</v>
      </c>
      <c r="H21" s="18"/>
      <c r="I21" s="18">
        <v>12032</v>
      </c>
      <c r="J21" s="395"/>
      <c r="K21" s="266">
        <f>0.025+0.0525</f>
        <v>7.7499999999999999E-2</v>
      </c>
      <c r="L21" s="266"/>
      <c r="M21" s="267">
        <f t="shared" si="0"/>
        <v>932.48</v>
      </c>
      <c r="N21" s="267"/>
      <c r="O21" s="266">
        <v>9.5000000000000001E-2</v>
      </c>
      <c r="P21" s="396"/>
      <c r="Q21" s="202">
        <v>1.8991000000000001E-2</v>
      </c>
      <c r="R21" s="18"/>
      <c r="S21" s="202">
        <v>2.2276000000000001E-2</v>
      </c>
      <c r="T21" s="18"/>
      <c r="U21" s="202">
        <v>0.02</v>
      </c>
      <c r="V21" s="141"/>
      <c r="W21" s="202">
        <v>2.1700000000000001E-2</v>
      </c>
      <c r="X21" s="202"/>
      <c r="Y21" s="43"/>
      <c r="Z21" s="203"/>
      <c r="AA21" s="203">
        <f>37324-AI21</f>
        <v>20000</v>
      </c>
      <c r="AB21" s="203"/>
      <c r="AC21" s="203"/>
      <c r="AD21" s="203"/>
      <c r="AE21" s="203"/>
      <c r="AF21" s="203"/>
      <c r="AG21" s="203">
        <f>AA21+AI21-I21</f>
        <v>25292</v>
      </c>
      <c r="AH21" s="389"/>
      <c r="AI21" s="203">
        <v>17324</v>
      </c>
      <c r="AJ21" s="202"/>
      <c r="AK21" s="202"/>
      <c r="AL21" s="148"/>
      <c r="AM21" s="43"/>
      <c r="AN21" s="203"/>
      <c r="AO21" s="203">
        <f>6000+6000+12000+20000</f>
        <v>44000</v>
      </c>
      <c r="AP21" s="203"/>
      <c r="AQ21" s="203"/>
      <c r="AR21" s="203"/>
      <c r="AS21" s="203">
        <v>17324</v>
      </c>
      <c r="AT21" s="203"/>
      <c r="AU21" s="203"/>
      <c r="AV21" s="203"/>
      <c r="AW21" s="203">
        <v>3482</v>
      </c>
      <c r="AX21" s="87"/>
      <c r="AY21" s="87"/>
    </row>
    <row r="22" spans="1:51">
      <c r="A22" s="3" t="s">
        <v>141</v>
      </c>
      <c r="C22" s="18">
        <v>792</v>
      </c>
      <c r="D22" s="18"/>
      <c r="E22" s="18">
        <v>3434</v>
      </c>
      <c r="F22" s="18"/>
      <c r="G22" s="18">
        <v>5449</v>
      </c>
      <c r="H22" s="18"/>
      <c r="I22" s="18">
        <v>2267</v>
      </c>
      <c r="J22" s="395"/>
      <c r="K22" s="266">
        <v>7.0000000000000007E-2</v>
      </c>
      <c r="L22" s="266"/>
      <c r="M22" s="267">
        <f t="shared" si="0"/>
        <v>158.69000000000003</v>
      </c>
      <c r="N22" s="267"/>
      <c r="O22" s="266">
        <v>7.1199999999999999E-2</v>
      </c>
      <c r="P22" s="396"/>
      <c r="Q22" s="202">
        <v>2.7000000000000001E-3</v>
      </c>
      <c r="R22" s="18"/>
      <c r="S22" s="202">
        <v>3.3999999999999998E-3</v>
      </c>
      <c r="T22" s="18"/>
      <c r="U22" s="202">
        <v>4.7000000000000002E-3</v>
      </c>
      <c r="V22" s="141"/>
      <c r="W22" s="202">
        <v>4.7000000000000002E-3</v>
      </c>
      <c r="X22" s="202"/>
      <c r="Y22" s="43"/>
      <c r="Z22" s="203"/>
      <c r="AA22" s="203">
        <f>9128-AI22</f>
        <v>6884</v>
      </c>
      <c r="AB22" s="203"/>
      <c r="AC22" s="203"/>
      <c r="AD22" s="203"/>
      <c r="AE22" s="38">
        <f>AA22+AI22-I22-AG22</f>
        <v>2400</v>
      </c>
      <c r="AF22" s="203"/>
      <c r="AG22" s="203">
        <v>4461</v>
      </c>
      <c r="AH22" s="389"/>
      <c r="AI22" s="203">
        <v>2244</v>
      </c>
      <c r="AJ22" s="202"/>
      <c r="AK22" s="202"/>
      <c r="AL22" s="148"/>
      <c r="AM22" s="43"/>
      <c r="AN22" s="203"/>
      <c r="AO22" s="203">
        <f>1000+4000</f>
        <v>5000</v>
      </c>
      <c r="AP22" s="203"/>
      <c r="AQ22" s="203"/>
      <c r="AR22" s="203"/>
      <c r="AS22" s="203">
        <v>2244</v>
      </c>
      <c r="AT22" s="203"/>
      <c r="AU22" s="203"/>
      <c r="AV22" s="203"/>
      <c r="AW22" s="203">
        <v>2693</v>
      </c>
      <c r="AX22" s="87"/>
      <c r="AY22" s="87"/>
    </row>
    <row r="23" spans="1:51">
      <c r="A23" s="3" t="s">
        <v>142</v>
      </c>
      <c r="C23" s="18">
        <v>214</v>
      </c>
      <c r="D23" s="18"/>
      <c r="E23" s="18">
        <v>1114</v>
      </c>
      <c r="F23" s="18"/>
      <c r="G23" s="18">
        <f>1828+5</f>
        <v>1833</v>
      </c>
      <c r="H23" s="18"/>
      <c r="I23" s="18">
        <v>901</v>
      </c>
      <c r="J23" s="395"/>
      <c r="K23" s="266">
        <v>0.06</v>
      </c>
      <c r="L23" s="266"/>
      <c r="M23" s="267">
        <f t="shared" si="0"/>
        <v>54.059999999999995</v>
      </c>
      <c r="N23" s="267"/>
      <c r="O23" s="266">
        <v>6.3E-2</v>
      </c>
      <c r="P23" s="396"/>
      <c r="Q23" s="202">
        <v>1.4261499999999999E-3</v>
      </c>
      <c r="R23" s="18"/>
      <c r="S23" s="202">
        <v>1.84224E-3</v>
      </c>
      <c r="T23" s="18"/>
      <c r="U23" s="202">
        <v>2.3599999999999999E-2</v>
      </c>
      <c r="V23" s="141"/>
      <c r="W23" s="202">
        <v>2.3847400000000001E-2</v>
      </c>
      <c r="X23" s="202"/>
      <c r="Y23" s="43"/>
      <c r="Z23" s="203"/>
      <c r="AA23" s="203">
        <v>0</v>
      </c>
      <c r="AB23" s="203"/>
      <c r="AC23" s="203"/>
      <c r="AD23" s="203"/>
      <c r="AE23" s="38">
        <f>AA23+AI23-I23-AG23</f>
        <v>1027</v>
      </c>
      <c r="AF23" s="203"/>
      <c r="AG23" s="203"/>
      <c r="AH23" s="389"/>
      <c r="AI23" s="203">
        <v>1928</v>
      </c>
      <c r="AJ23" s="202"/>
      <c r="AK23" s="202"/>
      <c r="AL23" s="148"/>
      <c r="AM23" s="43"/>
      <c r="AN23" s="203"/>
      <c r="AO23" s="203">
        <f>1000+2000</f>
        <v>3000</v>
      </c>
      <c r="AP23" s="203"/>
      <c r="AQ23" s="203"/>
      <c r="AR23" s="203"/>
      <c r="AS23" s="203">
        <v>1928</v>
      </c>
      <c r="AT23" s="203"/>
      <c r="AU23" s="203"/>
      <c r="AV23" s="203"/>
      <c r="AW23" s="203">
        <v>761</v>
      </c>
      <c r="AX23" s="87"/>
      <c r="AY23" s="87"/>
    </row>
    <row r="24" spans="1:51">
      <c r="A24" s="3" t="s">
        <v>143</v>
      </c>
      <c r="C24" s="18">
        <v>529</v>
      </c>
      <c r="D24" s="18"/>
      <c r="E24" s="18">
        <v>1347</v>
      </c>
      <c r="F24" s="18"/>
      <c r="G24" s="18">
        <v>1757</v>
      </c>
      <c r="H24" s="18"/>
      <c r="I24" s="18">
        <v>445</v>
      </c>
      <c r="J24" s="395"/>
      <c r="K24" s="266">
        <v>0.04</v>
      </c>
      <c r="L24" s="266"/>
      <c r="M24" s="267">
        <f t="shared" si="0"/>
        <v>17.8</v>
      </c>
      <c r="N24" s="267"/>
      <c r="O24" s="266">
        <v>0.04</v>
      </c>
      <c r="P24" s="396"/>
      <c r="Q24" s="202">
        <v>3.0170000000000002E-3</v>
      </c>
      <c r="R24" s="18"/>
      <c r="S24" s="202">
        <v>2.6350000000000002E-3</v>
      </c>
      <c r="T24" s="18"/>
      <c r="U24" s="202">
        <v>2.6589999999999999E-3</v>
      </c>
      <c r="V24" s="141"/>
      <c r="W24" s="202">
        <v>2.947E-3</v>
      </c>
      <c r="X24" s="202"/>
      <c r="Y24" s="43"/>
      <c r="Z24" s="203"/>
      <c r="AA24" s="203">
        <v>0</v>
      </c>
      <c r="AB24" s="203"/>
      <c r="AC24" s="203"/>
      <c r="AD24" s="203"/>
      <c r="AE24" s="38">
        <f>AA24+AI24-I24-AG24</f>
        <v>2113</v>
      </c>
      <c r="AF24" s="203"/>
      <c r="AG24" s="203"/>
      <c r="AH24" s="389"/>
      <c r="AI24" s="203">
        <v>2558</v>
      </c>
      <c r="AJ24" s="202"/>
      <c r="AK24" s="202"/>
      <c r="AL24" s="148"/>
      <c r="AM24" s="43"/>
      <c r="AN24" s="203"/>
      <c r="AO24" s="203">
        <v>2000</v>
      </c>
      <c r="AP24" s="203"/>
      <c r="AQ24" s="203"/>
      <c r="AR24" s="203"/>
      <c r="AS24" s="203">
        <v>2558</v>
      </c>
      <c r="AT24" s="203"/>
      <c r="AU24" s="203"/>
      <c r="AV24" s="203"/>
      <c r="AW24" s="203">
        <v>2315</v>
      </c>
      <c r="AX24" s="87"/>
      <c r="AY24" s="87"/>
    </row>
    <row r="25" spans="1:51">
      <c r="A25" s="3" t="s">
        <v>144</v>
      </c>
      <c r="C25" s="18">
        <v>175</v>
      </c>
      <c r="D25" s="18"/>
      <c r="E25" s="18">
        <v>1252</v>
      </c>
      <c r="F25" s="18"/>
      <c r="G25" s="18">
        <v>2619</v>
      </c>
      <c r="H25" s="18"/>
      <c r="I25" s="18">
        <v>4595</v>
      </c>
      <c r="J25" s="395"/>
      <c r="K25" s="266">
        <v>0.05</v>
      </c>
      <c r="L25" s="266"/>
      <c r="M25" s="267">
        <f t="shared" si="0"/>
        <v>229.75</v>
      </c>
      <c r="N25" s="267"/>
      <c r="O25" s="266">
        <v>4.1599999999999998E-2</v>
      </c>
      <c r="P25" s="396"/>
      <c r="Q25" s="202">
        <v>3.0140000000000002E-3</v>
      </c>
      <c r="R25" s="18"/>
      <c r="S25" s="202">
        <f>1881848/636305228</f>
        <v>2.9574611635911313E-3</v>
      </c>
      <c r="T25" s="18"/>
      <c r="U25" s="202">
        <v>3.7690000000000002E-3</v>
      </c>
      <c r="V25" s="141"/>
      <c r="W25" s="202">
        <v>3.264E-3</v>
      </c>
      <c r="X25" s="202"/>
      <c r="Y25" s="43">
        <v>4420</v>
      </c>
      <c r="Z25" s="203"/>
      <c r="AA25" s="203"/>
      <c r="AB25" s="203"/>
      <c r="AC25" s="203">
        <v>200</v>
      </c>
      <c r="AD25" s="203"/>
      <c r="AE25" s="203"/>
      <c r="AF25" s="203"/>
      <c r="AG25" s="203">
        <v>0</v>
      </c>
      <c r="AH25" s="389"/>
      <c r="AI25" s="203"/>
      <c r="AJ25" s="202"/>
      <c r="AK25" s="202"/>
      <c r="AL25" s="148"/>
      <c r="AM25" s="43">
        <v>4685</v>
      </c>
      <c r="AN25" s="203"/>
      <c r="AO25" s="203"/>
      <c r="AP25" s="203"/>
      <c r="AQ25" s="203"/>
      <c r="AR25" s="203"/>
      <c r="AS25" s="203"/>
      <c r="AT25" s="203"/>
      <c r="AU25" s="203">
        <v>4510</v>
      </c>
      <c r="AV25" s="203"/>
      <c r="AW25" s="203"/>
      <c r="AX25" s="87"/>
      <c r="AY25" s="87"/>
    </row>
    <row r="26" spans="1:51">
      <c r="A26" s="3" t="s">
        <v>145</v>
      </c>
      <c r="C26" s="18">
        <v>615</v>
      </c>
      <c r="D26" s="18"/>
      <c r="E26" s="18">
        <v>943</v>
      </c>
      <c r="F26" s="18"/>
      <c r="G26" s="18">
        <v>1894</v>
      </c>
      <c r="H26" s="18"/>
      <c r="I26" s="18">
        <v>581</v>
      </c>
      <c r="J26" s="395"/>
      <c r="K26" s="266">
        <v>0.04</v>
      </c>
      <c r="L26" s="266"/>
      <c r="M26" s="267">
        <f t="shared" si="0"/>
        <v>23.240000000000002</v>
      </c>
      <c r="N26" s="267"/>
      <c r="O26" s="266">
        <v>0.04</v>
      </c>
      <c r="P26" s="396"/>
      <c r="Q26" s="202">
        <v>1.5E-3</v>
      </c>
      <c r="R26" s="18"/>
      <c r="S26" s="202">
        <v>2.5999999999999999E-3</v>
      </c>
      <c r="T26" s="18"/>
      <c r="U26" s="202">
        <v>3.7000000000000002E-3</v>
      </c>
      <c r="V26" s="141"/>
      <c r="W26" s="202">
        <v>3.7000000000000002E-3</v>
      </c>
      <c r="X26" s="202"/>
      <c r="Y26" s="43"/>
      <c r="Z26" s="203"/>
      <c r="AA26" s="203">
        <v>2000</v>
      </c>
      <c r="AB26" s="203"/>
      <c r="AC26" s="203"/>
      <c r="AD26" s="203"/>
      <c r="AE26" s="38">
        <f>AA26+AI26-I26-AG26</f>
        <v>2582</v>
      </c>
      <c r="AF26" s="203"/>
      <c r="AG26" s="203">
        <v>0</v>
      </c>
      <c r="AH26" s="389"/>
      <c r="AI26" s="203">
        <v>1163</v>
      </c>
      <c r="AJ26" s="202"/>
      <c r="AK26" s="202"/>
      <c r="AL26" s="148"/>
      <c r="AM26" s="43"/>
      <c r="AN26" s="203"/>
      <c r="AO26" s="203">
        <f>1000+2000</f>
        <v>3000</v>
      </c>
      <c r="AP26" s="203"/>
      <c r="AQ26" s="203"/>
      <c r="AR26" s="203"/>
      <c r="AS26" s="203">
        <v>1163</v>
      </c>
      <c r="AT26" s="203"/>
      <c r="AU26" s="203"/>
      <c r="AV26" s="203"/>
      <c r="AW26" s="203">
        <v>57</v>
      </c>
      <c r="AX26" s="87"/>
      <c r="AY26" s="87"/>
    </row>
    <row r="27" spans="1:51">
      <c r="A27" s="3" t="s">
        <v>146</v>
      </c>
      <c r="C27" s="18">
        <v>20348</v>
      </c>
      <c r="D27" s="18"/>
      <c r="E27" s="18">
        <v>12740</v>
      </c>
      <c r="F27" s="18"/>
      <c r="G27" s="18">
        <v>15111</v>
      </c>
      <c r="H27" s="18"/>
      <c r="I27" s="18">
        <v>6573</v>
      </c>
      <c r="J27" s="395"/>
      <c r="K27" s="266">
        <v>8.2500000000000004E-2</v>
      </c>
      <c r="L27" s="266"/>
      <c r="M27" s="267">
        <f t="shared" si="0"/>
        <v>542.27250000000004</v>
      </c>
      <c r="N27" s="267"/>
      <c r="O27" s="266">
        <v>8.2500000000000004E-2</v>
      </c>
      <c r="P27" s="396"/>
      <c r="Q27" s="202">
        <v>2.2688E-2</v>
      </c>
      <c r="R27" s="18"/>
      <c r="S27" s="202">
        <v>1.2043E-2</v>
      </c>
      <c r="T27" s="18"/>
      <c r="U27" s="202">
        <v>1.14E-2</v>
      </c>
      <c r="V27" s="141"/>
      <c r="W27" s="202">
        <v>1.1207E-2</v>
      </c>
      <c r="X27" s="202"/>
      <c r="Y27" s="43">
        <v>32855</v>
      </c>
      <c r="Z27" s="203"/>
      <c r="AA27" s="203"/>
      <c r="AB27" s="203"/>
      <c r="AC27" s="203"/>
      <c r="AD27" s="203"/>
      <c r="AE27" s="203"/>
      <c r="AF27" s="203"/>
      <c r="AG27" s="203">
        <v>26282</v>
      </c>
      <c r="AH27" s="389" t="s">
        <v>1273</v>
      </c>
      <c r="AI27" s="203"/>
      <c r="AJ27" s="202"/>
      <c r="AK27" s="202"/>
      <c r="AL27" s="148"/>
      <c r="AM27" s="43">
        <v>30135</v>
      </c>
      <c r="AN27" s="203"/>
      <c r="AO27" s="203"/>
      <c r="AP27" s="203"/>
      <c r="AQ27" s="203"/>
      <c r="AR27" s="203"/>
      <c r="AS27" s="203"/>
      <c r="AT27" s="203"/>
      <c r="AU27" s="203">
        <v>15024</v>
      </c>
      <c r="AV27" s="203"/>
      <c r="AW27" s="203"/>
      <c r="AX27" s="87"/>
      <c r="AY27" s="87"/>
    </row>
    <row r="28" spans="1:51">
      <c r="A28" s="3" t="s">
        <v>147</v>
      </c>
      <c r="C28" s="18">
        <v>13186</v>
      </c>
      <c r="D28" s="18"/>
      <c r="E28" s="18">
        <v>7530</v>
      </c>
      <c r="F28" s="18"/>
      <c r="G28" s="18">
        <v>7436</v>
      </c>
      <c r="H28" s="18"/>
      <c r="I28" s="18">
        <v>4082</v>
      </c>
      <c r="J28" s="395"/>
      <c r="K28" s="266">
        <v>0.08</v>
      </c>
      <c r="L28" s="266"/>
      <c r="M28" s="267">
        <f t="shared" si="0"/>
        <v>326.56</v>
      </c>
      <c r="N28" s="267"/>
      <c r="O28" s="266">
        <v>0.08</v>
      </c>
      <c r="P28" s="396"/>
      <c r="Q28" s="202">
        <v>1.487E-2</v>
      </c>
      <c r="R28" s="18"/>
      <c r="S28" s="202">
        <v>6.7380000000000001E-3</v>
      </c>
      <c r="T28" s="18"/>
      <c r="U28" s="202">
        <v>5.293E-3</v>
      </c>
      <c r="V28" s="141"/>
      <c r="W28" s="202">
        <v>5.4990000000000004E-3</v>
      </c>
      <c r="X28" s="202"/>
      <c r="Y28" s="43"/>
      <c r="Z28" s="203"/>
      <c r="AA28" s="203">
        <f>14023-AI28</f>
        <v>6000</v>
      </c>
      <c r="AB28" s="203"/>
      <c r="AC28" s="203"/>
      <c r="AD28" s="203"/>
      <c r="AE28" s="38">
        <f>AA28+AI28-I28</f>
        <v>9941</v>
      </c>
      <c r="AF28" s="203"/>
      <c r="AG28" s="203"/>
      <c r="AH28" s="389"/>
      <c r="AI28" s="203">
        <v>8023</v>
      </c>
      <c r="AJ28" s="202"/>
      <c r="AK28" s="202"/>
      <c r="AL28" s="148"/>
      <c r="AM28" s="43"/>
      <c r="AN28" s="203"/>
      <c r="AO28" s="203">
        <f>6000+3000</f>
        <v>9000</v>
      </c>
      <c r="AP28" s="203"/>
      <c r="AQ28" s="203"/>
      <c r="AR28" s="203"/>
      <c r="AS28" s="203">
        <v>8023</v>
      </c>
      <c r="AT28" s="203"/>
      <c r="AU28" s="203"/>
      <c r="AV28" s="203"/>
      <c r="AW28" s="203">
        <v>6459</v>
      </c>
      <c r="AX28" s="87"/>
      <c r="AY28" s="87"/>
    </row>
    <row r="29" spans="1:51">
      <c r="A29" s="3" t="s">
        <v>148</v>
      </c>
      <c r="B29" s="5"/>
      <c r="C29" s="143">
        <v>3523</v>
      </c>
      <c r="D29" s="143"/>
      <c r="E29" s="143">
        <v>13348</v>
      </c>
      <c r="F29" s="143"/>
      <c r="G29" s="143">
        <v>19241</v>
      </c>
      <c r="H29" s="143"/>
      <c r="I29" s="143">
        <v>9257</v>
      </c>
      <c r="J29" s="396"/>
      <c r="K29" s="266">
        <v>0.06</v>
      </c>
      <c r="L29" s="266"/>
      <c r="M29" s="267">
        <f t="shared" si="0"/>
        <v>555.41999999999996</v>
      </c>
      <c r="N29" s="267"/>
      <c r="O29" s="266">
        <v>0.06</v>
      </c>
      <c r="P29" s="396"/>
      <c r="Q29" s="202">
        <v>1.6435999999999999E-2</v>
      </c>
      <c r="R29" s="143"/>
      <c r="S29" s="202">
        <v>1.7298000000000001E-2</v>
      </c>
      <c r="T29" s="143"/>
      <c r="U29" s="202">
        <v>1.9778E-2</v>
      </c>
      <c r="V29" s="141"/>
      <c r="W29" s="202">
        <v>2.1595E-2</v>
      </c>
      <c r="X29" s="202"/>
      <c r="Y29" s="43">
        <v>10977</v>
      </c>
      <c r="Z29" s="203"/>
      <c r="AA29" s="203"/>
      <c r="AB29" s="203"/>
      <c r="AC29" s="203"/>
      <c r="AD29" s="203"/>
      <c r="AE29" s="203"/>
      <c r="AF29" s="203"/>
      <c r="AG29" s="203">
        <f>Y29+AI29-I29</f>
        <v>1720</v>
      </c>
      <c r="AH29" s="389"/>
      <c r="AI29" s="203"/>
      <c r="AJ29" s="202"/>
      <c r="AK29" s="202"/>
      <c r="AL29" s="148"/>
      <c r="AM29" s="43">
        <v>29981</v>
      </c>
      <c r="AN29" s="203"/>
      <c r="AO29" s="203"/>
      <c r="AP29" s="203"/>
      <c r="AQ29" s="203"/>
      <c r="AR29" s="203"/>
      <c r="AS29" s="203"/>
      <c r="AT29" s="203"/>
      <c r="AU29" s="203">
        <v>10740</v>
      </c>
      <c r="AV29" s="203"/>
      <c r="AW29" s="203"/>
      <c r="AX29" s="87"/>
      <c r="AY29" s="87"/>
    </row>
    <row r="30" spans="1:51">
      <c r="A30" s="3" t="s">
        <v>149</v>
      </c>
      <c r="C30" s="18">
        <v>4242</v>
      </c>
      <c r="D30" s="18"/>
      <c r="E30" s="18">
        <v>10653</v>
      </c>
      <c r="F30" s="18"/>
      <c r="G30" s="18">
        <v>13715</v>
      </c>
      <c r="H30" s="18"/>
      <c r="I30" s="18">
        <v>8214</v>
      </c>
      <c r="J30" s="395"/>
      <c r="K30" s="266">
        <v>9.8000000000000004E-2</v>
      </c>
      <c r="L30" s="266"/>
      <c r="M30" s="267">
        <f t="shared" si="0"/>
        <v>804.97199999999998</v>
      </c>
      <c r="N30" s="267"/>
      <c r="O30" s="266">
        <v>9.8000000000000004E-2</v>
      </c>
      <c r="P30" s="396"/>
      <c r="Q30" s="202">
        <v>7.6660000000000001E-3</v>
      </c>
      <c r="R30" s="18"/>
      <c r="S30" s="202">
        <v>8.5360000000000002E-3</v>
      </c>
      <c r="T30" s="18"/>
      <c r="U30" s="202">
        <v>8.3000000000000001E-3</v>
      </c>
      <c r="V30" s="141"/>
      <c r="W30" s="202">
        <v>9.6139999999999993E-3</v>
      </c>
      <c r="X30" s="141"/>
      <c r="Y30" s="43"/>
      <c r="Z30" s="203"/>
      <c r="AA30" s="203">
        <f>15612-AI30</f>
        <v>8000</v>
      </c>
      <c r="AB30" s="203"/>
      <c r="AC30" s="203"/>
      <c r="AD30" s="203"/>
      <c r="AE30" s="38">
        <f>AA30+AI30-I30</f>
        <v>7398</v>
      </c>
      <c r="AF30" s="203"/>
      <c r="AG30" s="203"/>
      <c r="AH30" s="389"/>
      <c r="AI30" s="203">
        <v>7612</v>
      </c>
      <c r="AJ30" s="202"/>
      <c r="AK30" s="202"/>
      <c r="AL30" s="148"/>
      <c r="AM30" s="43"/>
      <c r="AN30" s="203"/>
      <c r="AO30" s="203">
        <f>9000+10000</f>
        <v>19000</v>
      </c>
      <c r="AP30" s="203"/>
      <c r="AQ30" s="203"/>
      <c r="AR30" s="203"/>
      <c r="AS30" s="203">
        <v>7612</v>
      </c>
      <c r="AT30" s="203"/>
      <c r="AU30" s="203"/>
      <c r="AV30" s="203"/>
      <c r="AW30" s="203">
        <v>2327</v>
      </c>
      <c r="AX30" s="87"/>
      <c r="AY30" s="87"/>
    </row>
    <row r="31" spans="1:51">
      <c r="A31" s="3" t="s">
        <v>150</v>
      </c>
      <c r="C31" s="18">
        <v>641</v>
      </c>
      <c r="D31" s="18"/>
      <c r="E31" s="18">
        <v>1763</v>
      </c>
      <c r="F31" s="18"/>
      <c r="G31" s="18">
        <f>1724+44</f>
        <v>1768</v>
      </c>
      <c r="H31" s="18"/>
      <c r="I31" s="18">
        <v>455</v>
      </c>
      <c r="J31" s="395"/>
      <c r="K31" s="266">
        <f>455/10306</f>
        <v>4.414903939452746E-2</v>
      </c>
      <c r="L31" s="266"/>
      <c r="M31" s="267">
        <f t="shared" si="0"/>
        <v>20.087812924509993</v>
      </c>
      <c r="N31" s="267"/>
      <c r="O31" s="266">
        <v>4.5999999999999999E-2</v>
      </c>
      <c r="P31" s="396"/>
      <c r="Q31" s="202">
        <v>1.645E-3</v>
      </c>
      <c r="R31" s="18"/>
      <c r="S31" s="202">
        <v>1.3359999999999999E-3</v>
      </c>
      <c r="T31" s="18"/>
      <c r="U31" s="202">
        <v>1.235E-3</v>
      </c>
      <c r="V31" s="141"/>
      <c r="W31" s="202">
        <v>8.0499999999999999E-3</v>
      </c>
      <c r="X31" s="91"/>
      <c r="Y31" s="43"/>
      <c r="Z31" s="203"/>
      <c r="AA31" s="203">
        <f>4232-AI31</f>
        <v>2000</v>
      </c>
      <c r="AB31" s="203"/>
      <c r="AC31" s="203"/>
      <c r="AD31" s="203"/>
      <c r="AE31" s="38">
        <f>AA31+AI31-I31</f>
        <v>3777</v>
      </c>
      <c r="AF31" s="203"/>
      <c r="AG31" s="203"/>
      <c r="AH31" s="389"/>
      <c r="AI31" s="203">
        <v>2232</v>
      </c>
      <c r="AJ31" s="202"/>
      <c r="AK31" s="202"/>
      <c r="AL31" s="148"/>
      <c r="AM31" s="43"/>
      <c r="AN31" s="203"/>
      <c r="AO31" s="203">
        <f>1000+1000+2000</f>
        <v>4000</v>
      </c>
      <c r="AP31" s="203"/>
      <c r="AQ31" s="203"/>
      <c r="AR31" s="203"/>
      <c r="AS31" s="203">
        <v>2232</v>
      </c>
      <c r="AT31" s="203"/>
      <c r="AU31" s="203"/>
      <c r="AV31" s="203"/>
      <c r="AW31" s="203"/>
      <c r="AX31" s="87"/>
      <c r="AY31" s="87"/>
    </row>
    <row r="32" spans="1:51">
      <c r="A32" s="3" t="s">
        <v>151</v>
      </c>
      <c r="C32" s="18">
        <v>1530</v>
      </c>
      <c r="D32" s="18"/>
      <c r="E32" s="18">
        <v>4556</v>
      </c>
      <c r="F32" s="18"/>
      <c r="G32" s="18">
        <v>5870</v>
      </c>
      <c r="H32" s="18"/>
      <c r="I32" s="18">
        <v>1314</v>
      </c>
      <c r="J32" s="395"/>
      <c r="K32" s="266">
        <v>6.25E-2</v>
      </c>
      <c r="L32" s="266"/>
      <c r="M32" s="267">
        <f t="shared" si="0"/>
        <v>82.125</v>
      </c>
      <c r="N32" s="267"/>
      <c r="O32" s="266">
        <v>6.25E-2</v>
      </c>
      <c r="P32" s="396"/>
      <c r="Q32" s="202">
        <v>6.4900000000000001E-3</v>
      </c>
      <c r="R32" s="18"/>
      <c r="S32" s="202">
        <v>6.7499999999999999E-3</v>
      </c>
      <c r="T32" s="18"/>
      <c r="U32" s="202">
        <v>6.6299999999999996E-3</v>
      </c>
      <c r="V32" s="141"/>
      <c r="W32" s="202">
        <v>6.1500000000000001E-3</v>
      </c>
      <c r="X32" s="141"/>
      <c r="Y32" s="43"/>
      <c r="Z32" s="203"/>
      <c r="AA32" s="203">
        <v>4000</v>
      </c>
      <c r="AB32" s="203"/>
      <c r="AC32" s="203"/>
      <c r="AD32" s="203"/>
      <c r="AE32" s="38">
        <f>AA32+AI32-I32</f>
        <v>6402</v>
      </c>
      <c r="AF32" s="203"/>
      <c r="AG32" s="203"/>
      <c r="AH32" s="389"/>
      <c r="AI32" s="203">
        <v>3716</v>
      </c>
      <c r="AJ32" s="202"/>
      <c r="AK32" s="202"/>
      <c r="AL32" s="148"/>
      <c r="AM32" s="43"/>
      <c r="AN32" s="203"/>
      <c r="AO32" s="203">
        <f>3000+5000</f>
        <v>8000</v>
      </c>
      <c r="AP32" s="203"/>
      <c r="AQ32" s="203"/>
      <c r="AR32" s="203"/>
      <c r="AS32" s="203">
        <v>3716</v>
      </c>
      <c r="AT32" s="203"/>
      <c r="AU32" s="203"/>
      <c r="AV32" s="203"/>
      <c r="AW32" s="203">
        <v>1586</v>
      </c>
      <c r="AX32" s="87"/>
      <c r="AY32" s="87"/>
    </row>
    <row r="33" spans="1:51">
      <c r="A33" s="3" t="s">
        <v>152</v>
      </c>
      <c r="C33" s="18">
        <v>1524</v>
      </c>
      <c r="D33" s="18"/>
      <c r="E33" s="18">
        <v>5018</v>
      </c>
      <c r="F33" s="18"/>
      <c r="G33" s="18">
        <v>7188</v>
      </c>
      <c r="H33" s="18"/>
      <c r="I33" s="18">
        <v>1678</v>
      </c>
      <c r="J33" s="395"/>
      <c r="K33" s="266"/>
      <c r="L33" s="266"/>
      <c r="M33" s="267">
        <f t="shared" si="0"/>
        <v>0</v>
      </c>
      <c r="N33" s="267"/>
      <c r="O33" s="266">
        <v>6.7500000000000004E-2</v>
      </c>
      <c r="P33" s="396"/>
      <c r="Q33" s="202">
        <v>5.1060000000000003E-3</v>
      </c>
      <c r="R33" s="18"/>
      <c r="S33" s="202">
        <v>5.7999999999999996E-3</v>
      </c>
      <c r="T33" s="18"/>
      <c r="U33" s="202">
        <v>6.424E-3</v>
      </c>
      <c r="V33" s="141"/>
      <c r="W33" s="202">
        <v>6.515E-3</v>
      </c>
      <c r="X33" s="141"/>
      <c r="Y33" s="43"/>
      <c r="Z33" s="203"/>
      <c r="AA33" s="203">
        <v>6000</v>
      </c>
      <c r="AB33" s="203"/>
      <c r="AC33" s="203"/>
      <c r="AD33" s="203"/>
      <c r="AE33" s="38">
        <f>AA33+AI33-I33</f>
        <v>7367</v>
      </c>
      <c r="AF33" s="203"/>
      <c r="AG33" s="203"/>
      <c r="AH33" s="389"/>
      <c r="AI33" s="203">
        <v>3045</v>
      </c>
      <c r="AJ33" s="202"/>
      <c r="AK33" s="202"/>
      <c r="AL33" s="148"/>
      <c r="AM33" s="43"/>
      <c r="AN33" s="203"/>
      <c r="AO33" s="203">
        <f>5000+4000</f>
        <v>9000</v>
      </c>
      <c r="AP33" s="203"/>
      <c r="AQ33" s="203"/>
      <c r="AR33" s="203"/>
      <c r="AS33" s="203">
        <v>3045</v>
      </c>
      <c r="AT33" s="203"/>
      <c r="AU33" s="203"/>
      <c r="AV33" s="203"/>
      <c r="AW33" s="203">
        <v>1233</v>
      </c>
      <c r="AX33" s="87"/>
      <c r="AY33" s="87"/>
    </row>
    <row r="34" spans="1:51">
      <c r="A34" s="3" t="s">
        <v>153</v>
      </c>
      <c r="C34" s="18">
        <v>298</v>
      </c>
      <c r="D34" s="18"/>
      <c r="E34" s="18">
        <v>1131</v>
      </c>
      <c r="F34" s="18"/>
      <c r="G34" s="18">
        <f>1535+1</f>
        <v>1536</v>
      </c>
      <c r="H34" s="18"/>
      <c r="I34" s="18">
        <v>364</v>
      </c>
      <c r="J34" s="395"/>
      <c r="K34" s="266">
        <f>364/6518</f>
        <v>5.5845351334765266E-2</v>
      </c>
      <c r="L34" s="266"/>
      <c r="M34" s="267">
        <f t="shared" si="0"/>
        <v>20.327707885854558</v>
      </c>
      <c r="N34" s="267"/>
      <c r="O34" s="266">
        <f>1131/20270</f>
        <v>5.5796743956586091E-2</v>
      </c>
      <c r="P34" s="396"/>
      <c r="Q34" s="202">
        <v>1.3389999999999999E-3</v>
      </c>
      <c r="R34" s="18"/>
      <c r="S34" s="202">
        <v>1.668E-3</v>
      </c>
      <c r="T34" s="18"/>
      <c r="U34" s="202">
        <v>1.756E-3</v>
      </c>
      <c r="V34" s="141"/>
      <c r="W34" s="202">
        <v>1.755E-3</v>
      </c>
      <c r="X34" s="202"/>
      <c r="Y34" s="43"/>
      <c r="Z34" s="203"/>
      <c r="AA34" s="203">
        <v>0</v>
      </c>
      <c r="AB34" s="203"/>
      <c r="AC34" s="203"/>
      <c r="AD34" s="203"/>
      <c r="AE34" s="38">
        <f>AA34+AI34-I34</f>
        <v>2171</v>
      </c>
      <c r="AF34" s="203"/>
      <c r="AG34" s="203"/>
      <c r="AH34" s="389"/>
      <c r="AI34" s="203">
        <v>2535</v>
      </c>
      <c r="AJ34" s="202"/>
      <c r="AK34" s="202"/>
      <c r="AL34" s="148"/>
      <c r="AM34" s="43"/>
      <c r="AN34" s="203"/>
      <c r="AO34" s="203">
        <f>1000+1000+2000</f>
        <v>4000</v>
      </c>
      <c r="AP34" s="203"/>
      <c r="AQ34" s="203"/>
      <c r="AR34" s="203"/>
      <c r="AS34" s="203">
        <v>2535</v>
      </c>
      <c r="AT34" s="203"/>
      <c r="AU34" s="203"/>
      <c r="AV34" s="203"/>
      <c r="AW34" s="203">
        <v>71</v>
      </c>
      <c r="AX34" s="87"/>
      <c r="AY34" s="87"/>
    </row>
    <row r="35" spans="1:51">
      <c r="A35" s="3" t="s">
        <v>154</v>
      </c>
      <c r="B35" s="5"/>
      <c r="C35" s="143"/>
      <c r="D35" s="143"/>
      <c r="E35" s="143"/>
      <c r="F35" s="143"/>
      <c r="G35" s="143"/>
      <c r="H35" s="143"/>
      <c r="I35" s="143"/>
      <c r="J35" s="396"/>
      <c r="K35" s="266"/>
      <c r="L35" s="266"/>
      <c r="M35" s="267">
        <f t="shared" si="0"/>
        <v>0</v>
      </c>
      <c r="N35" s="267"/>
      <c r="O35" s="266"/>
      <c r="P35" s="396"/>
      <c r="Q35" s="202"/>
      <c r="R35" s="143"/>
      <c r="S35" s="202"/>
      <c r="T35" s="143"/>
      <c r="U35" s="202"/>
      <c r="V35" s="141"/>
      <c r="W35" s="141"/>
      <c r="X35" s="141"/>
      <c r="Y35" s="43"/>
      <c r="Z35" s="203"/>
      <c r="AA35" s="203"/>
      <c r="AB35" s="203"/>
      <c r="AC35" s="203"/>
      <c r="AD35" s="203"/>
      <c r="AE35" s="38"/>
      <c r="AF35" s="203"/>
      <c r="AG35" s="203"/>
      <c r="AH35" s="389"/>
      <c r="AI35" s="203"/>
      <c r="AJ35" s="202"/>
      <c r="AK35" s="202"/>
      <c r="AL35" s="148"/>
      <c r="AM35" s="43"/>
      <c r="AN35" s="203"/>
      <c r="AO35" s="203"/>
      <c r="AP35" s="203"/>
      <c r="AQ35" s="203"/>
      <c r="AR35" s="203"/>
      <c r="AS35" s="203"/>
      <c r="AT35" s="203"/>
      <c r="AU35" s="203"/>
      <c r="AV35" s="203"/>
      <c r="AW35" s="203"/>
      <c r="AX35" s="87"/>
      <c r="AY35" s="87"/>
    </row>
    <row r="36" spans="1:51">
      <c r="A36" s="3" t="s">
        <v>155</v>
      </c>
      <c r="B36" s="5"/>
      <c r="C36" s="143"/>
      <c r="D36" s="143"/>
      <c r="E36" s="143"/>
      <c r="F36" s="143"/>
      <c r="G36" s="143"/>
      <c r="H36" s="143"/>
      <c r="I36" s="143"/>
      <c r="J36" s="396"/>
      <c r="K36" s="266"/>
      <c r="L36" s="266"/>
      <c r="M36" s="267">
        <f t="shared" si="0"/>
        <v>0</v>
      </c>
      <c r="N36" s="267"/>
      <c r="O36" s="266"/>
      <c r="P36" s="396"/>
      <c r="Q36" s="202"/>
      <c r="R36" s="143"/>
      <c r="S36" s="202"/>
      <c r="T36" s="143"/>
      <c r="U36" s="202"/>
      <c r="V36" s="141"/>
      <c r="W36" s="141"/>
      <c r="X36" s="141"/>
      <c r="Y36" s="43"/>
      <c r="Z36" s="203"/>
      <c r="AA36" s="203"/>
      <c r="AB36" s="203"/>
      <c r="AC36" s="203"/>
      <c r="AD36" s="203"/>
      <c r="AE36" s="38"/>
      <c r="AF36" s="203"/>
      <c r="AG36" s="203"/>
      <c r="AH36" s="389"/>
      <c r="AI36" s="203"/>
      <c r="AJ36" s="202"/>
      <c r="AK36" s="202"/>
      <c r="AL36" s="148"/>
      <c r="AM36" s="43"/>
      <c r="AN36" s="203"/>
      <c r="AO36" s="203"/>
      <c r="AP36" s="203"/>
      <c r="AQ36" s="203"/>
      <c r="AR36" s="203"/>
      <c r="AS36" s="203"/>
      <c r="AT36" s="203"/>
      <c r="AU36" s="203"/>
      <c r="AV36" s="203"/>
      <c r="AW36" s="203"/>
      <c r="AX36" s="87"/>
      <c r="AY36" s="87"/>
    </row>
    <row r="37" spans="1:51">
      <c r="A37" s="3" t="s">
        <v>156</v>
      </c>
      <c r="C37" s="18">
        <v>33935</v>
      </c>
      <c r="D37" s="18"/>
      <c r="E37" s="18">
        <v>31938</v>
      </c>
      <c r="F37" s="18"/>
      <c r="G37" s="18">
        <v>39187</v>
      </c>
      <c r="H37" s="18"/>
      <c r="I37" s="18">
        <v>16350</v>
      </c>
      <c r="J37" s="395"/>
      <c r="K37" s="266">
        <f>39187/435415</f>
        <v>8.9999196169171944E-2</v>
      </c>
      <c r="L37" s="266"/>
      <c r="M37" s="267">
        <f t="shared" si="0"/>
        <v>1471.4868573659612</v>
      </c>
      <c r="N37" s="267"/>
      <c r="O37" s="266">
        <f>39187/435415</f>
        <v>8.9999196169171944E-2</v>
      </c>
      <c r="P37" s="396"/>
      <c r="Q37" s="202">
        <v>3.6191000000000001E-2</v>
      </c>
      <c r="R37" s="18"/>
      <c r="S37" s="202">
        <v>2.4149E-2</v>
      </c>
      <c r="T37" s="18"/>
      <c r="U37" s="202">
        <v>2.4199999999999999E-2</v>
      </c>
      <c r="V37" s="141"/>
      <c r="W37" s="202">
        <v>2.1499000000000001E-2</v>
      </c>
      <c r="X37" s="141"/>
      <c r="Y37" s="43">
        <v>16111</v>
      </c>
      <c r="Z37" s="203"/>
      <c r="AA37" s="203"/>
      <c r="AB37" s="203"/>
      <c r="AC37" s="203">
        <v>260</v>
      </c>
      <c r="AD37" s="203"/>
      <c r="AE37" s="38"/>
      <c r="AF37" s="203"/>
      <c r="AG37" s="203">
        <v>0</v>
      </c>
      <c r="AH37" s="389"/>
      <c r="AI37" s="203"/>
      <c r="AJ37" s="202"/>
      <c r="AK37" s="202"/>
      <c r="AL37" s="148"/>
      <c r="AM37" s="43">
        <v>54188</v>
      </c>
      <c r="AN37" s="203"/>
      <c r="AO37" s="203"/>
      <c r="AP37" s="203"/>
      <c r="AQ37" s="203"/>
      <c r="AR37" s="203"/>
      <c r="AS37" s="203"/>
      <c r="AT37" s="203"/>
      <c r="AU37" s="203">
        <v>15001</v>
      </c>
      <c r="AV37" s="203"/>
      <c r="AW37" s="203"/>
      <c r="AX37" s="87"/>
      <c r="AY37" s="87"/>
    </row>
    <row r="38" spans="1:51">
      <c r="A38" s="3" t="s">
        <v>157</v>
      </c>
      <c r="C38" s="18">
        <v>1122</v>
      </c>
      <c r="D38" s="18"/>
      <c r="E38" s="18">
        <v>3659</v>
      </c>
      <c r="F38" s="18"/>
      <c r="G38" s="18">
        <v>4967</v>
      </c>
      <c r="H38" s="18"/>
      <c r="I38" s="18">
        <v>1208</v>
      </c>
      <c r="J38" s="395"/>
      <c r="K38" s="266">
        <f>4967/68369</f>
        <v>7.2649885181880675E-2</v>
      </c>
      <c r="L38" s="266"/>
      <c r="M38" s="267">
        <f t="shared" si="0"/>
        <v>87.761061299711855</v>
      </c>
      <c r="N38" s="267"/>
      <c r="O38" s="266">
        <f>4967/68369</f>
        <v>7.2649885181880675E-2</v>
      </c>
      <c r="P38" s="396"/>
      <c r="Q38" s="202">
        <v>3.607E-3</v>
      </c>
      <c r="R38" s="18"/>
      <c r="S38" s="202">
        <v>3.9940000000000002E-3</v>
      </c>
      <c r="T38" s="18"/>
      <c r="U38" s="202">
        <v>4.6299999999999996E-3</v>
      </c>
      <c r="V38" s="141"/>
      <c r="W38" s="202">
        <v>4.7600000000000003E-3</v>
      </c>
      <c r="X38" s="202"/>
      <c r="Y38" s="43"/>
      <c r="Z38" s="203"/>
      <c r="AA38" s="203">
        <f>5836-AI38</f>
        <v>4000</v>
      </c>
      <c r="AB38" s="203"/>
      <c r="AC38" s="203"/>
      <c r="AD38" s="203"/>
      <c r="AE38" s="38">
        <f>AA38+AI38-I38</f>
        <v>4628</v>
      </c>
      <c r="AF38" s="203"/>
      <c r="AG38" s="203"/>
      <c r="AH38" s="389"/>
      <c r="AI38" s="203">
        <v>1836</v>
      </c>
      <c r="AJ38" s="202"/>
      <c r="AK38" s="202"/>
      <c r="AL38" s="148"/>
      <c r="AM38" s="43"/>
      <c r="AN38" s="203"/>
      <c r="AO38" s="203">
        <f>6803-1303</f>
        <v>5500</v>
      </c>
      <c r="AP38" s="203"/>
      <c r="AQ38" s="203"/>
      <c r="AR38" s="203"/>
      <c r="AS38" s="203">
        <v>1836</v>
      </c>
      <c r="AT38" s="203"/>
      <c r="AU38" s="203"/>
      <c r="AV38" s="203"/>
      <c r="AW38" s="203">
        <v>1303</v>
      </c>
      <c r="AX38" s="87"/>
      <c r="AY38" s="87"/>
    </row>
    <row r="39" spans="1:51">
      <c r="A39" s="3" t="s">
        <v>158</v>
      </c>
      <c r="C39" s="18">
        <v>16166</v>
      </c>
      <c r="D39" s="18"/>
      <c r="E39" s="18">
        <v>28358</v>
      </c>
      <c r="F39" s="18"/>
      <c r="G39" s="18">
        <f>32591+6</f>
        <v>32597</v>
      </c>
      <c r="H39" s="18"/>
      <c r="I39" s="18">
        <v>14029</v>
      </c>
      <c r="J39" s="395"/>
      <c r="K39" s="266">
        <f>14029/154708</f>
        <v>9.0680507795330559E-2</v>
      </c>
      <c r="L39" s="266"/>
      <c r="M39" s="267">
        <f t="shared" si="0"/>
        <v>1272.1568438606923</v>
      </c>
      <c r="N39" s="267"/>
      <c r="O39" s="266">
        <f>32597/317781</f>
        <v>0.10257693191222886</v>
      </c>
      <c r="P39" s="396"/>
      <c r="Q39" s="202">
        <v>3.0605E-2</v>
      </c>
      <c r="R39" s="18"/>
      <c r="S39" s="202">
        <v>3.0282E-2</v>
      </c>
      <c r="T39" s="18"/>
      <c r="U39" s="202">
        <v>1.9230000000000001E-2</v>
      </c>
      <c r="V39" s="141"/>
      <c r="W39" s="202">
        <v>1.9755000000000002E-2</v>
      </c>
      <c r="X39" s="202"/>
      <c r="Y39" s="43"/>
      <c r="Z39" s="203"/>
      <c r="AA39" s="203">
        <f>49574-AI39</f>
        <v>32029</v>
      </c>
      <c r="AB39" s="203"/>
      <c r="AC39" s="203"/>
      <c r="AD39" s="203"/>
      <c r="AE39" s="38">
        <f>AA39+AI39-I39</f>
        <v>35545</v>
      </c>
      <c r="AF39" s="203"/>
      <c r="AG39" s="203"/>
      <c r="AH39" s="389"/>
      <c r="AI39" s="203">
        <v>17545</v>
      </c>
      <c r="AJ39" s="202"/>
      <c r="AK39" s="202"/>
      <c r="AL39" s="148"/>
      <c r="AM39" s="43"/>
      <c r="AN39" s="203"/>
      <c r="AO39" s="203">
        <v>50142</v>
      </c>
      <c r="AP39" s="203"/>
      <c r="AQ39" s="203"/>
      <c r="AR39" s="203"/>
      <c r="AS39" s="203">
        <v>17545</v>
      </c>
      <c r="AT39" s="203"/>
      <c r="AU39" s="203"/>
      <c r="AV39" s="203"/>
      <c r="AW39" s="203"/>
      <c r="AX39" s="87"/>
      <c r="AY39" s="87"/>
    </row>
    <row r="40" spans="1:51">
      <c r="A40" s="3" t="s">
        <v>159</v>
      </c>
      <c r="C40" s="18">
        <v>3285</v>
      </c>
      <c r="D40" s="18"/>
      <c r="E40" s="18">
        <v>6755</v>
      </c>
      <c r="F40" s="18"/>
      <c r="G40" s="18">
        <f>7023+1</f>
        <v>7024</v>
      </c>
      <c r="H40" s="18"/>
      <c r="I40" s="18">
        <v>3592</v>
      </c>
      <c r="J40" s="395"/>
      <c r="K40" s="266">
        <f>3592/154708</f>
        <v>2.32179331385578E-2</v>
      </c>
      <c r="L40" s="266"/>
      <c r="M40" s="267">
        <f t="shared" si="0"/>
        <v>83.398815833699615</v>
      </c>
      <c r="N40" s="267"/>
      <c r="O40" s="266">
        <f>7024/317781</f>
        <v>2.2103272379405944E-2</v>
      </c>
      <c r="P40" s="396"/>
      <c r="Q40" s="202"/>
      <c r="R40" s="18"/>
      <c r="S40" s="202"/>
      <c r="T40" s="18"/>
      <c r="U40" s="202"/>
      <c r="V40" s="141"/>
      <c r="W40" s="141"/>
      <c r="X40" s="141"/>
      <c r="Y40" s="43"/>
      <c r="Z40" s="203"/>
      <c r="AA40" s="203">
        <f>11942-AI40</f>
        <v>8161</v>
      </c>
      <c r="AB40" s="203"/>
      <c r="AC40" s="203"/>
      <c r="AD40" s="203"/>
      <c r="AE40" s="38">
        <f>AA40+AI40-I40</f>
        <v>8350</v>
      </c>
      <c r="AF40" s="203"/>
      <c r="AG40" s="203"/>
      <c r="AH40" s="389"/>
      <c r="AI40" s="203">
        <v>3781</v>
      </c>
      <c r="AJ40" s="202"/>
      <c r="AK40" s="202"/>
      <c r="AL40" s="148"/>
      <c r="AM40" s="43"/>
      <c r="AN40" s="203"/>
      <c r="AO40" s="203">
        <v>10805</v>
      </c>
      <c r="AP40" s="203"/>
      <c r="AQ40" s="203"/>
      <c r="AR40" s="203"/>
      <c r="AS40" s="203">
        <v>3781</v>
      </c>
      <c r="AT40" s="203"/>
      <c r="AU40" s="203"/>
      <c r="AV40" s="203"/>
      <c r="AW40" s="203"/>
      <c r="AX40" s="87"/>
      <c r="AY40" s="87"/>
    </row>
    <row r="41" spans="1:51">
      <c r="A41" s="8" t="s">
        <v>160</v>
      </c>
      <c r="C41" s="18">
        <v>12460</v>
      </c>
      <c r="D41" s="18"/>
      <c r="E41" s="18">
        <v>9837</v>
      </c>
      <c r="F41" s="18"/>
      <c r="G41" s="18">
        <f>14584+120</f>
        <v>14704</v>
      </c>
      <c r="H41" s="18"/>
      <c r="I41" s="18">
        <v>6597</v>
      </c>
      <c r="J41" s="395"/>
      <c r="K41" s="266">
        <v>7.0000000000000007E-2</v>
      </c>
      <c r="L41" s="266"/>
      <c r="M41" s="267">
        <f t="shared" si="0"/>
        <v>461.79</v>
      </c>
      <c r="N41" s="267"/>
      <c r="O41" s="266">
        <f>14584/216684</f>
        <v>6.7305384799985227E-2</v>
      </c>
      <c r="P41" s="396"/>
      <c r="Q41" s="202">
        <v>1.5389E-2</v>
      </c>
      <c r="R41" s="18"/>
      <c r="S41" s="202">
        <v>1.0855999999999999E-2</v>
      </c>
      <c r="T41" s="18"/>
      <c r="U41" s="202">
        <v>1.2710000000000001E-2</v>
      </c>
      <c r="V41" s="141"/>
      <c r="W41" s="202">
        <v>1.2451E-2</v>
      </c>
      <c r="X41" s="141"/>
      <c r="Y41" s="43"/>
      <c r="Z41" s="203"/>
      <c r="AA41" s="203">
        <v>14000</v>
      </c>
      <c r="AB41" s="203"/>
      <c r="AC41" s="203"/>
      <c r="AD41" s="203"/>
      <c r="AE41" s="38">
        <v>3000</v>
      </c>
      <c r="AF41" s="38"/>
      <c r="AG41" s="38">
        <f>AA41+AI41-I41-AE41</f>
        <v>7842</v>
      </c>
      <c r="AH41" s="389" t="s">
        <v>1273</v>
      </c>
      <c r="AI41" s="203">
        <v>3439</v>
      </c>
      <c r="AJ41" s="202"/>
      <c r="AK41" s="202"/>
      <c r="AL41" s="148"/>
      <c r="AM41" s="43"/>
      <c r="AN41" s="203"/>
      <c r="AO41" s="203">
        <f>2000+2000+5000+8000</f>
        <v>17000</v>
      </c>
      <c r="AP41" s="203"/>
      <c r="AQ41" s="203"/>
      <c r="AR41" s="203"/>
      <c r="AS41" s="203">
        <v>3439</v>
      </c>
      <c r="AT41" s="203"/>
      <c r="AU41" s="203"/>
      <c r="AV41" s="203"/>
      <c r="AW41" s="203">
        <v>1143</v>
      </c>
      <c r="AX41" s="87"/>
      <c r="AY41" s="87"/>
    </row>
    <row r="42" spans="1:51">
      <c r="A42" s="8" t="s">
        <v>161</v>
      </c>
      <c r="C42" s="18">
        <v>22</v>
      </c>
      <c r="D42" s="18"/>
      <c r="E42" s="18">
        <v>121</v>
      </c>
      <c r="F42" s="18"/>
      <c r="G42" s="18">
        <v>259</v>
      </c>
      <c r="H42" s="18"/>
      <c r="I42" s="18">
        <v>71</v>
      </c>
      <c r="J42" s="395"/>
      <c r="K42" s="266">
        <f>71/5008</f>
        <v>1.4177316293929713E-2</v>
      </c>
      <c r="L42" s="266"/>
      <c r="M42" s="267">
        <f t="shared" si="0"/>
        <v>1.0065894568690097</v>
      </c>
      <c r="N42" s="267"/>
      <c r="O42" s="266">
        <v>1.4800000000000001E-2</v>
      </c>
      <c r="P42" s="396"/>
      <c r="Q42" s="202">
        <v>2.92E-6</v>
      </c>
      <c r="R42" s="18"/>
      <c r="S42" s="202">
        <v>6.3500000000000004E-4</v>
      </c>
      <c r="T42" s="18"/>
      <c r="U42" s="202">
        <v>1E-3</v>
      </c>
      <c r="V42" s="141"/>
      <c r="W42" s="202">
        <v>1.261E-3</v>
      </c>
      <c r="X42" s="202"/>
      <c r="Y42" s="43"/>
      <c r="Z42" s="203"/>
      <c r="AA42" s="203">
        <v>0</v>
      </c>
      <c r="AB42" s="203"/>
      <c r="AC42" s="203"/>
      <c r="AD42" s="203"/>
      <c r="AE42" s="38">
        <f>AA42+AI42-I42</f>
        <v>1027</v>
      </c>
      <c r="AF42" s="203"/>
      <c r="AG42" s="203"/>
      <c r="AH42" s="389"/>
      <c r="AI42" s="203">
        <v>1098</v>
      </c>
      <c r="AJ42" s="202"/>
      <c r="AK42" s="202"/>
      <c r="AL42" s="148"/>
      <c r="AM42" s="43"/>
      <c r="AN42" s="203"/>
      <c r="AO42" s="203">
        <v>1000</v>
      </c>
      <c r="AP42" s="203"/>
      <c r="AQ42" s="203"/>
      <c r="AR42" s="203"/>
      <c r="AS42" s="203">
        <v>1098</v>
      </c>
      <c r="AT42" s="203"/>
      <c r="AU42" s="203"/>
      <c r="AV42" s="203"/>
      <c r="AW42" s="203">
        <v>357</v>
      </c>
      <c r="AX42" s="87"/>
      <c r="AY42" s="87"/>
    </row>
    <row r="43" spans="1:51">
      <c r="A43" s="3" t="s">
        <v>162</v>
      </c>
      <c r="C43" s="143"/>
      <c r="D43" s="143"/>
      <c r="E43" s="143"/>
      <c r="F43" s="143"/>
      <c r="G43" s="143"/>
      <c r="H43" s="143"/>
      <c r="I43" s="143"/>
      <c r="J43" s="396"/>
      <c r="K43" s="266"/>
      <c r="L43" s="266"/>
      <c r="M43" s="267">
        <f t="shared" si="0"/>
        <v>0</v>
      </c>
      <c r="N43" s="267"/>
      <c r="O43" s="266"/>
      <c r="P43" s="396"/>
      <c r="Q43" s="202"/>
      <c r="R43" s="143"/>
      <c r="S43" s="202"/>
      <c r="T43" s="143"/>
      <c r="U43" s="202"/>
      <c r="V43" s="141"/>
      <c r="W43" s="141"/>
      <c r="X43" s="141"/>
      <c r="Y43" s="43"/>
      <c r="Z43" s="203"/>
      <c r="AA43" s="203">
        <v>0</v>
      </c>
      <c r="AB43" s="203"/>
      <c r="AC43" s="203"/>
      <c r="AD43" s="203"/>
      <c r="AE43" s="38">
        <v>0</v>
      </c>
      <c r="AF43" s="203"/>
      <c r="AG43" s="203"/>
      <c r="AH43" s="389"/>
      <c r="AI43" s="203"/>
      <c r="AJ43" s="202"/>
      <c r="AK43" s="202"/>
      <c r="AL43" s="148"/>
      <c r="AM43" s="43"/>
      <c r="AN43" s="203"/>
      <c r="AO43" s="203"/>
      <c r="AP43" s="203"/>
      <c r="AQ43" s="203"/>
      <c r="AR43" s="203"/>
      <c r="AS43" s="203"/>
      <c r="AT43" s="203"/>
      <c r="AU43" s="203"/>
      <c r="AV43" s="203"/>
      <c r="AW43" s="203"/>
      <c r="AX43" s="87"/>
      <c r="AY43" s="87"/>
    </row>
    <row r="44" spans="1:51">
      <c r="A44" s="3" t="s">
        <v>163</v>
      </c>
      <c r="C44" s="143">
        <v>1535</v>
      </c>
      <c r="D44" s="143"/>
      <c r="E44" s="143">
        <v>2445</v>
      </c>
      <c r="F44" s="143"/>
      <c r="G44" s="143">
        <v>2462</v>
      </c>
      <c r="H44" s="143"/>
      <c r="I44" s="143">
        <v>710</v>
      </c>
      <c r="J44" s="396"/>
      <c r="K44" s="266">
        <v>0.06</v>
      </c>
      <c r="L44" s="266"/>
      <c r="M44" s="267">
        <f t="shared" si="0"/>
        <v>42.6</v>
      </c>
      <c r="N44" s="267"/>
      <c r="O44" s="266">
        <v>0.06</v>
      </c>
      <c r="P44" s="396"/>
      <c r="Q44" s="202">
        <v>2.3319999999999999E-3</v>
      </c>
      <c r="R44" s="143"/>
      <c r="S44" s="202">
        <v>0</v>
      </c>
      <c r="T44" s="143"/>
      <c r="U44" s="202">
        <v>0</v>
      </c>
      <c r="V44" s="141"/>
      <c r="W44" s="202">
        <v>0</v>
      </c>
      <c r="X44" s="202"/>
      <c r="Y44" s="43"/>
      <c r="Z44" s="203"/>
      <c r="AA44" s="203">
        <v>4000</v>
      </c>
      <c r="AB44" s="203"/>
      <c r="AC44" s="203"/>
      <c r="AD44" s="203"/>
      <c r="AE44" s="38">
        <f>AA44+AI44-I44</f>
        <v>7119</v>
      </c>
      <c r="AF44" s="203"/>
      <c r="AG44" s="203"/>
      <c r="AH44" s="389"/>
      <c r="AI44" s="203">
        <v>3829</v>
      </c>
      <c r="AJ44" s="202"/>
      <c r="AK44" s="202"/>
      <c r="AL44" s="148"/>
      <c r="AM44" s="43"/>
      <c r="AN44" s="203"/>
      <c r="AO44" s="203"/>
      <c r="AP44" s="203"/>
      <c r="AQ44" s="203"/>
      <c r="AR44" s="203"/>
      <c r="AS44" s="203">
        <v>3829</v>
      </c>
      <c r="AT44" s="203"/>
      <c r="AU44" s="203"/>
      <c r="AV44" s="203"/>
      <c r="AW44" s="203">
        <v>6291</v>
      </c>
      <c r="AX44" s="87"/>
      <c r="AY44" s="87"/>
    </row>
    <row r="45" spans="1:51">
      <c r="A45" s="8" t="s">
        <v>164</v>
      </c>
      <c r="C45" s="18">
        <v>30000</v>
      </c>
      <c r="D45" s="18"/>
      <c r="E45" s="18">
        <v>52902</v>
      </c>
      <c r="F45" s="18"/>
      <c r="G45" s="18">
        <v>61586</v>
      </c>
      <c r="H45" s="18"/>
      <c r="I45" s="18">
        <v>50000</v>
      </c>
      <c r="J45" s="395"/>
      <c r="K45" s="266">
        <v>7.5999999999999998E-2</v>
      </c>
      <c r="L45" s="266"/>
      <c r="M45" s="267">
        <f t="shared" si="0"/>
        <v>3800</v>
      </c>
      <c r="N45" s="267"/>
      <c r="O45" s="266">
        <f>61586/933126</f>
        <v>6.5999661353343494E-2</v>
      </c>
      <c r="P45" s="396"/>
      <c r="Q45" s="202">
        <v>6.4576999999999996E-2</v>
      </c>
      <c r="R45" s="18"/>
      <c r="S45" s="202">
        <v>6.3899999999999998E-2</v>
      </c>
      <c r="T45" s="18"/>
      <c r="U45" s="202">
        <v>5.7568000000000001E-2</v>
      </c>
      <c r="V45" s="141"/>
      <c r="W45" s="202">
        <v>5.2394000000000003E-2</v>
      </c>
      <c r="X45" s="141"/>
      <c r="Y45" s="43"/>
      <c r="Z45" s="203"/>
      <c r="AA45" s="203">
        <v>40000</v>
      </c>
      <c r="AB45" s="203"/>
      <c r="AC45" s="203"/>
      <c r="AD45" s="203"/>
      <c r="AE45" s="38">
        <f>AA45+AI45-I45</f>
        <v>27195</v>
      </c>
      <c r="AF45" s="203"/>
      <c r="AG45" s="203"/>
      <c r="AH45" s="389"/>
      <c r="AI45" s="203">
        <v>37195</v>
      </c>
      <c r="AJ45" s="202"/>
      <c r="AK45" s="202"/>
      <c r="AL45" s="148"/>
      <c r="AM45" s="43"/>
      <c r="AN45" s="203"/>
      <c r="AO45" s="203">
        <f>9000+15000+15000+45000</f>
        <v>84000</v>
      </c>
      <c r="AP45" s="203"/>
      <c r="AQ45" s="203"/>
      <c r="AR45" s="203"/>
      <c r="AS45" s="203">
        <v>37195</v>
      </c>
      <c r="AT45" s="203"/>
      <c r="AU45" s="203"/>
      <c r="AV45" s="203"/>
      <c r="AW45" s="203">
        <v>14781</v>
      </c>
      <c r="AX45" s="87"/>
      <c r="AY45" s="87"/>
    </row>
    <row r="46" spans="1:51">
      <c r="A46" s="8" t="s">
        <v>165</v>
      </c>
      <c r="C46" s="18">
        <v>18983</v>
      </c>
      <c r="D46" s="18"/>
      <c r="E46" s="18">
        <v>17398</v>
      </c>
      <c r="F46" s="18"/>
      <c r="G46" s="18">
        <v>22115</v>
      </c>
      <c r="H46" s="18"/>
      <c r="I46" s="18">
        <v>10406</v>
      </c>
      <c r="J46" s="395"/>
      <c r="K46" s="266">
        <v>9.9900000000000003E-2</v>
      </c>
      <c r="L46" s="266"/>
      <c r="M46" s="267">
        <f t="shared" si="0"/>
        <v>1039.5594000000001</v>
      </c>
      <c r="N46" s="267"/>
      <c r="O46" s="266">
        <v>9.9900000000000003E-2</v>
      </c>
      <c r="P46" s="396"/>
      <c r="Q46" s="202">
        <v>1.7492E-3</v>
      </c>
      <c r="R46" s="18"/>
      <c r="S46" s="202">
        <v>1.2904000000000001E-2</v>
      </c>
      <c r="T46" s="18"/>
      <c r="U46" s="202">
        <v>1.316E-2</v>
      </c>
      <c r="V46" s="141"/>
      <c r="W46" s="202">
        <v>1.3863E-2</v>
      </c>
      <c r="X46" s="141"/>
      <c r="Y46" s="43"/>
      <c r="Z46" s="203"/>
      <c r="AA46" s="203">
        <f>25487-AI46</f>
        <v>14000</v>
      </c>
      <c r="AB46" s="203"/>
      <c r="AC46" s="203"/>
      <c r="AD46" s="203"/>
      <c r="AE46" s="38">
        <f>AA46+AI46-I46</f>
        <v>15081</v>
      </c>
      <c r="AF46" s="203"/>
      <c r="AG46" s="203"/>
      <c r="AH46" s="389"/>
      <c r="AI46" s="203">
        <v>11487</v>
      </c>
      <c r="AJ46" s="202"/>
      <c r="AK46" s="202"/>
      <c r="AL46" s="148"/>
      <c r="AM46" s="43"/>
      <c r="AN46" s="203"/>
      <c r="AO46" s="203">
        <f>33602-3602</f>
        <v>30000</v>
      </c>
      <c r="AP46" s="203"/>
      <c r="AQ46" s="203"/>
      <c r="AR46" s="203"/>
      <c r="AS46" s="203">
        <v>11487</v>
      </c>
      <c r="AT46" s="203"/>
      <c r="AU46" s="203"/>
      <c r="AV46" s="203"/>
      <c r="AW46" s="203">
        <v>3602</v>
      </c>
      <c r="AX46" s="87"/>
      <c r="AY46" s="87"/>
    </row>
    <row r="47" spans="1:51">
      <c r="A47" s="8" t="s">
        <v>166</v>
      </c>
      <c r="C47" s="18">
        <v>1000</v>
      </c>
      <c r="D47" s="18"/>
      <c r="E47" s="18"/>
      <c r="F47" s="18"/>
      <c r="G47" s="18"/>
      <c r="H47" s="18"/>
      <c r="I47" s="18"/>
      <c r="J47" s="395"/>
      <c r="K47" s="266"/>
      <c r="L47" s="266"/>
      <c r="M47" s="267">
        <f t="shared" si="0"/>
        <v>0</v>
      </c>
      <c r="N47" s="267"/>
      <c r="O47" s="266"/>
      <c r="P47" s="396"/>
      <c r="Q47" s="202">
        <v>0</v>
      </c>
      <c r="R47" s="18"/>
      <c r="S47" s="202"/>
      <c r="T47" s="18"/>
      <c r="U47" s="202"/>
      <c r="V47" s="141"/>
      <c r="W47" s="141"/>
      <c r="X47" s="141"/>
      <c r="Y47" s="43"/>
      <c r="Z47" s="203"/>
      <c r="AA47" s="203"/>
      <c r="AB47" s="203"/>
      <c r="AC47" s="203"/>
      <c r="AD47" s="203"/>
      <c r="AE47" s="38">
        <v>0</v>
      </c>
      <c r="AF47" s="203"/>
      <c r="AG47" s="203"/>
      <c r="AH47" s="389"/>
      <c r="AI47" s="203"/>
      <c r="AJ47" s="202"/>
      <c r="AK47" s="202"/>
      <c r="AL47" s="148"/>
      <c r="AM47" s="43"/>
      <c r="AN47" s="203"/>
      <c r="AO47" s="203"/>
      <c r="AP47" s="203"/>
      <c r="AQ47" s="203"/>
      <c r="AR47" s="203"/>
      <c r="AS47" s="203"/>
      <c r="AT47" s="203"/>
      <c r="AU47" s="203"/>
      <c r="AV47" s="203"/>
      <c r="AW47" s="203"/>
      <c r="AX47" s="87"/>
      <c r="AY47" s="87"/>
    </row>
    <row r="48" spans="1:51">
      <c r="A48" s="3" t="s">
        <v>167</v>
      </c>
      <c r="C48" s="18">
        <v>5724</v>
      </c>
      <c r="D48" s="18"/>
      <c r="E48" s="18">
        <v>5976</v>
      </c>
      <c r="F48" s="18"/>
      <c r="G48" s="18">
        <f>7839+2</f>
        <v>7841</v>
      </c>
      <c r="H48" s="18"/>
      <c r="I48" s="18">
        <v>3275</v>
      </c>
      <c r="J48" s="395"/>
      <c r="K48" s="266">
        <v>0.05</v>
      </c>
      <c r="L48" s="266"/>
      <c r="M48" s="267">
        <f t="shared" si="0"/>
        <v>163.75</v>
      </c>
      <c r="N48" s="267"/>
      <c r="O48" s="266">
        <v>0.05</v>
      </c>
      <c r="P48" s="396"/>
      <c r="Q48" s="202">
        <v>1.0539E-2</v>
      </c>
      <c r="R48" s="18"/>
      <c r="S48" s="202">
        <v>9.2420000000000002E-3</v>
      </c>
      <c r="T48" s="18"/>
      <c r="U48" s="202">
        <v>9.7190000000000002E-3</v>
      </c>
      <c r="V48" s="141"/>
      <c r="W48" s="202">
        <v>9.0679999999999997E-3</v>
      </c>
      <c r="X48" s="202"/>
      <c r="Y48" s="43"/>
      <c r="Z48" s="203"/>
      <c r="AA48" s="203">
        <v>6000</v>
      </c>
      <c r="AB48" s="203"/>
      <c r="AC48" s="203"/>
      <c r="AD48" s="203"/>
      <c r="AE48" s="38">
        <f>AA48+AI48-I48</f>
        <v>6400</v>
      </c>
      <c r="AF48" s="203"/>
      <c r="AG48" s="203"/>
      <c r="AH48" s="389"/>
      <c r="AI48" s="203">
        <v>3675</v>
      </c>
      <c r="AJ48" s="202"/>
      <c r="AK48" s="202"/>
      <c r="AL48" s="148"/>
      <c r="AM48" s="43"/>
      <c r="AN48" s="203"/>
      <c r="AO48" s="203">
        <f>2000+2000+2000+4448</f>
        <v>10448</v>
      </c>
      <c r="AP48" s="203"/>
      <c r="AQ48" s="203"/>
      <c r="AR48" s="203"/>
      <c r="AS48" s="203">
        <v>3675</v>
      </c>
      <c r="AT48" s="203"/>
      <c r="AU48" s="203"/>
      <c r="AV48" s="203"/>
      <c r="AW48" s="203">
        <v>1016</v>
      </c>
      <c r="AX48" s="87"/>
      <c r="AY48" s="87"/>
    </row>
    <row r="49" spans="1:51">
      <c r="A49" s="3" t="s">
        <v>168</v>
      </c>
      <c r="B49" s="5"/>
      <c r="C49" s="202"/>
      <c r="D49" s="202"/>
      <c r="E49" s="202"/>
      <c r="F49" s="202"/>
      <c r="G49" s="202"/>
      <c r="H49" s="202"/>
      <c r="I49" s="202"/>
      <c r="J49" s="397"/>
      <c r="K49" s="266"/>
      <c r="L49" s="266"/>
      <c r="M49" s="267">
        <f t="shared" si="0"/>
        <v>0</v>
      </c>
      <c r="N49" s="267"/>
      <c r="O49" s="266"/>
      <c r="P49" s="396"/>
      <c r="Q49" s="202"/>
      <c r="R49" s="202"/>
      <c r="S49" s="202"/>
      <c r="T49" s="143"/>
      <c r="U49" s="202"/>
      <c r="V49" s="141"/>
      <c r="W49" s="141"/>
      <c r="X49" s="141"/>
      <c r="Y49" s="43"/>
      <c r="Z49" s="203"/>
      <c r="AA49" s="203"/>
      <c r="AB49" s="203"/>
      <c r="AC49" s="203"/>
      <c r="AD49" s="203"/>
      <c r="AE49" s="38"/>
      <c r="AF49" s="203"/>
      <c r="AG49" s="203"/>
      <c r="AH49" s="389"/>
      <c r="AI49" s="203"/>
      <c r="AJ49" s="202"/>
      <c r="AK49" s="202"/>
      <c r="AL49" s="148"/>
      <c r="AM49" s="43"/>
      <c r="AN49" s="203"/>
      <c r="AO49" s="203"/>
      <c r="AP49" s="203"/>
      <c r="AQ49" s="203"/>
      <c r="AR49" s="203"/>
      <c r="AS49" s="203"/>
      <c r="AT49" s="203"/>
      <c r="AU49" s="203"/>
      <c r="AV49" s="203"/>
      <c r="AW49" s="203"/>
      <c r="AX49" s="87"/>
      <c r="AY49" s="87"/>
    </row>
    <row r="50" spans="1:51">
      <c r="A50" s="3" t="s">
        <v>169</v>
      </c>
      <c r="C50" s="18">
        <v>45682</v>
      </c>
      <c r="D50" s="18"/>
      <c r="E50" s="18">
        <v>54754</v>
      </c>
      <c r="F50" s="18"/>
      <c r="G50" s="18">
        <v>50000</v>
      </c>
      <c r="H50" s="18"/>
      <c r="I50" s="18">
        <v>42432.61</v>
      </c>
      <c r="J50" s="395"/>
      <c r="K50" s="266">
        <v>3.7499999999999999E-2</v>
      </c>
      <c r="L50" s="266"/>
      <c r="M50" s="267">
        <f t="shared" si="0"/>
        <v>1591.2228749999999</v>
      </c>
      <c r="N50" s="267"/>
      <c r="O50" s="266">
        <v>7.6499999999999999E-2</v>
      </c>
      <c r="P50" s="396"/>
      <c r="Q50" s="202" t="s">
        <v>11</v>
      </c>
      <c r="R50" s="18"/>
      <c r="S50" s="202">
        <v>2.3650000000000001E-2</v>
      </c>
      <c r="T50" s="18"/>
      <c r="U50" s="202"/>
      <c r="V50" s="141"/>
      <c r="W50" s="202">
        <v>2.4459999999999999E-2</v>
      </c>
      <c r="X50" s="141"/>
      <c r="Y50" s="43"/>
      <c r="Z50" s="203"/>
      <c r="AA50" s="203"/>
      <c r="AB50" s="203"/>
      <c r="AC50" s="203"/>
      <c r="AD50" s="203"/>
      <c r="AE50" s="38"/>
      <c r="AF50" s="203"/>
      <c r="AG50" s="203"/>
      <c r="AH50" s="389"/>
      <c r="AI50" s="203"/>
      <c r="AJ50" s="202"/>
      <c r="AK50" s="202"/>
      <c r="AL50" s="148"/>
      <c r="AM50" s="43"/>
      <c r="AN50" s="203"/>
      <c r="AO50" s="203"/>
      <c r="AP50" s="203"/>
      <c r="AQ50" s="203"/>
      <c r="AR50" s="203"/>
      <c r="AS50" s="203"/>
      <c r="AT50" s="203"/>
      <c r="AU50" s="203"/>
      <c r="AV50" s="203"/>
      <c r="AW50" s="203"/>
      <c r="AX50" s="87"/>
      <c r="AY50" s="87"/>
    </row>
    <row r="51" spans="1:51">
      <c r="A51" s="3" t="s">
        <v>170</v>
      </c>
      <c r="C51" s="18">
        <v>3893</v>
      </c>
      <c r="D51" s="18"/>
      <c r="E51" s="18">
        <v>11159</v>
      </c>
      <c r="F51" s="18"/>
      <c r="G51" s="18">
        <v>14948</v>
      </c>
      <c r="H51" s="18"/>
      <c r="I51" s="18">
        <v>4363</v>
      </c>
      <c r="J51" s="395"/>
      <c r="K51" s="266">
        <v>0.05</v>
      </c>
      <c r="L51" s="266"/>
      <c r="M51" s="267">
        <f t="shared" si="0"/>
        <v>218.15</v>
      </c>
      <c r="N51" s="267"/>
      <c r="O51" s="266">
        <v>0.05</v>
      </c>
      <c r="P51" s="396"/>
      <c r="Q51" s="202">
        <v>1.6087000000000001E-2</v>
      </c>
      <c r="R51" s="18"/>
      <c r="S51" s="202">
        <v>1.6924000000000002E-2</v>
      </c>
      <c r="T51" s="18"/>
      <c r="U51" s="202">
        <v>1.7510000000000001E-2</v>
      </c>
      <c r="V51" s="141"/>
      <c r="W51" s="202">
        <v>1.9191E-2</v>
      </c>
      <c r="X51" s="141"/>
      <c r="Y51" s="43">
        <v>7818</v>
      </c>
      <c r="Z51" s="203"/>
      <c r="AA51" s="203"/>
      <c r="AB51" s="203"/>
      <c r="AC51" s="203"/>
      <c r="AD51" s="203"/>
      <c r="AE51" s="38"/>
      <c r="AF51" s="203"/>
      <c r="AG51" s="203">
        <f>Y51+AI51-I51</f>
        <v>3455</v>
      </c>
      <c r="AH51" s="389"/>
      <c r="AI51" s="203"/>
      <c r="AJ51" s="202"/>
      <c r="AK51" s="202"/>
      <c r="AL51" s="148"/>
      <c r="AM51" s="43">
        <v>21601</v>
      </c>
      <c r="AN51" s="203"/>
      <c r="AO51" s="203"/>
      <c r="AP51" s="203"/>
      <c r="AQ51" s="203"/>
      <c r="AR51" s="203"/>
      <c r="AS51" s="203"/>
      <c r="AT51" s="203"/>
      <c r="AU51" s="203">
        <v>6653</v>
      </c>
      <c r="AV51" s="203"/>
      <c r="AW51" s="203"/>
      <c r="AX51" s="87"/>
      <c r="AY51" s="87"/>
    </row>
    <row r="52" spans="1:51">
      <c r="A52" s="3" t="s">
        <v>171</v>
      </c>
      <c r="C52" s="18">
        <v>600</v>
      </c>
      <c r="D52" s="18"/>
      <c r="E52" s="18">
        <v>860</v>
      </c>
      <c r="F52" s="18"/>
      <c r="G52" s="18"/>
      <c r="H52" s="18"/>
      <c r="I52" s="18"/>
      <c r="J52" s="395"/>
      <c r="K52" s="266"/>
      <c r="L52" s="266"/>
      <c r="M52" s="267">
        <f t="shared" si="0"/>
        <v>0</v>
      </c>
      <c r="N52" s="267"/>
      <c r="O52" s="266">
        <f>860/13714</f>
        <v>6.2709639784162163E-2</v>
      </c>
      <c r="P52" s="396"/>
      <c r="Q52" s="202">
        <v>8.1364000000000002E-3</v>
      </c>
      <c r="R52" s="18"/>
      <c r="S52" s="202">
        <v>1.0694499999999999E-2</v>
      </c>
      <c r="T52" s="18"/>
      <c r="U52" s="202"/>
      <c r="V52" s="141"/>
      <c r="W52" s="141"/>
      <c r="X52" s="141"/>
      <c r="Y52" s="43">
        <v>0</v>
      </c>
      <c r="Z52" s="203"/>
      <c r="AA52" s="203"/>
      <c r="AB52" s="203"/>
      <c r="AC52" s="203"/>
      <c r="AD52" s="203"/>
      <c r="AE52" s="38"/>
      <c r="AF52" s="203"/>
      <c r="AG52" s="203"/>
      <c r="AH52" s="389"/>
      <c r="AI52" s="203"/>
      <c r="AJ52" s="202"/>
      <c r="AK52" s="202"/>
      <c r="AL52" s="148"/>
      <c r="AM52" s="4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3"/>
      <c r="AX52" s="87"/>
      <c r="AY52" s="87"/>
    </row>
    <row r="53" spans="1:51">
      <c r="A53" s="3" t="s">
        <v>172</v>
      </c>
      <c r="C53" s="18">
        <v>4727</v>
      </c>
      <c r="D53" s="18"/>
      <c r="E53" s="18">
        <v>17872</v>
      </c>
      <c r="F53" s="18"/>
      <c r="G53" s="18">
        <v>24813</v>
      </c>
      <c r="H53" s="18"/>
      <c r="I53" s="18">
        <v>9593</v>
      </c>
      <c r="J53" s="395"/>
      <c r="K53" s="266">
        <v>0.06</v>
      </c>
      <c r="L53" s="266"/>
      <c r="M53" s="267">
        <f t="shared" si="0"/>
        <v>575.57999999999993</v>
      </c>
      <c r="N53" s="267"/>
      <c r="O53" s="266">
        <v>0.06</v>
      </c>
      <c r="P53" s="396"/>
      <c r="Q53" s="202">
        <v>2.2121999999999999E-2</v>
      </c>
      <c r="R53" s="18"/>
      <c r="S53" s="202">
        <v>2.3229079999999999E-2</v>
      </c>
      <c r="T53" s="18"/>
      <c r="U53" s="202">
        <v>2.5815000000000001E-2</v>
      </c>
      <c r="V53" s="141"/>
      <c r="W53" s="202">
        <v>2.251736E-2</v>
      </c>
      <c r="X53" s="141"/>
      <c r="Y53" s="43">
        <v>16468</v>
      </c>
      <c r="Z53" s="203"/>
      <c r="AA53" s="203"/>
      <c r="AB53" s="203"/>
      <c r="AC53" s="203"/>
      <c r="AD53" s="203"/>
      <c r="AE53" s="38"/>
      <c r="AF53" s="203"/>
      <c r="AG53" s="203">
        <f>Y53+AI53-I53</f>
        <v>6875</v>
      </c>
      <c r="AH53" s="389"/>
      <c r="AI53" s="203"/>
      <c r="AJ53" s="202"/>
      <c r="AK53" s="202"/>
      <c r="AL53" s="148"/>
      <c r="AM53" s="43">
        <v>38658</v>
      </c>
      <c r="AN53" s="203"/>
      <c r="AO53" s="203"/>
      <c r="AP53" s="203"/>
      <c r="AQ53" s="203"/>
      <c r="AR53" s="203"/>
      <c r="AS53" s="203"/>
      <c r="AT53" s="203"/>
      <c r="AU53" s="203">
        <v>13845</v>
      </c>
      <c r="AV53" s="203"/>
      <c r="AW53" s="203"/>
      <c r="AX53" s="87"/>
      <c r="AY53" s="87"/>
    </row>
    <row r="54" spans="1:51">
      <c r="A54" s="3" t="s">
        <v>173</v>
      </c>
      <c r="B54" s="5"/>
      <c r="C54" s="143"/>
      <c r="D54" s="143"/>
      <c r="E54" s="143"/>
      <c r="F54" s="143"/>
      <c r="G54" s="143"/>
      <c r="H54" s="143"/>
      <c r="I54" s="143"/>
      <c r="J54" s="396"/>
      <c r="K54" s="266"/>
      <c r="L54" s="266"/>
      <c r="M54" s="267">
        <f t="shared" si="0"/>
        <v>0</v>
      </c>
      <c r="N54" s="267"/>
      <c r="O54" s="266"/>
      <c r="P54" s="396"/>
      <c r="Q54" s="202"/>
      <c r="R54" s="143"/>
      <c r="S54" s="202"/>
      <c r="T54" s="143"/>
      <c r="U54" s="202"/>
      <c r="V54" s="141"/>
      <c r="W54" s="141"/>
      <c r="X54" s="141"/>
      <c r="Y54" s="43"/>
      <c r="Z54" s="203"/>
      <c r="AA54" s="203"/>
      <c r="AB54" s="203"/>
      <c r="AC54" s="203"/>
      <c r="AD54" s="203"/>
      <c r="AE54" s="203"/>
      <c r="AF54" s="203"/>
      <c r="AG54" s="203"/>
      <c r="AH54" s="389"/>
      <c r="AI54" s="203"/>
      <c r="AJ54" s="202"/>
      <c r="AK54" s="202"/>
      <c r="AL54" s="148"/>
      <c r="AM54" s="43"/>
      <c r="AN54" s="203"/>
      <c r="AO54" s="203"/>
      <c r="AP54" s="203"/>
      <c r="AQ54" s="203"/>
      <c r="AR54" s="203"/>
      <c r="AS54" s="203"/>
      <c r="AT54" s="203"/>
      <c r="AU54" s="203"/>
      <c r="AV54" s="203"/>
      <c r="AW54" s="203"/>
      <c r="AX54" s="87"/>
      <c r="AY54" s="87"/>
    </row>
    <row r="55" spans="1:51">
      <c r="A55" s="3" t="s">
        <v>174</v>
      </c>
      <c r="C55" s="18">
        <v>2093</v>
      </c>
      <c r="D55" s="18"/>
      <c r="E55" s="18">
        <v>3328</v>
      </c>
      <c r="F55" s="18"/>
      <c r="G55" s="18">
        <v>6859</v>
      </c>
      <c r="H55" s="18"/>
      <c r="I55" s="18">
        <v>3718</v>
      </c>
      <c r="J55" s="395"/>
      <c r="K55" s="266">
        <v>7.9000000000000001E-2</v>
      </c>
      <c r="L55" s="266"/>
      <c r="M55" s="267">
        <f t="shared" si="0"/>
        <v>293.72199999999998</v>
      </c>
      <c r="N55" s="267"/>
      <c r="O55" s="266">
        <v>7.9000000000000001E-2</v>
      </c>
      <c r="P55" s="396"/>
      <c r="Q55" s="202">
        <v>2.3700000000000001E-3</v>
      </c>
      <c r="R55" s="18"/>
      <c r="S55" s="202">
        <v>3.192E-3</v>
      </c>
      <c r="T55" s="18"/>
      <c r="U55" s="202">
        <v>4.7819999999999998E-3</v>
      </c>
      <c r="V55" s="141"/>
      <c r="W55" s="202">
        <v>6.0740000000000004E-3</v>
      </c>
      <c r="X55" s="141"/>
      <c r="Y55" s="43">
        <v>5826</v>
      </c>
      <c r="Z55" s="203"/>
      <c r="AA55" s="203"/>
      <c r="AB55" s="203"/>
      <c r="AC55" s="203"/>
      <c r="AD55" s="203"/>
      <c r="AE55" s="203"/>
      <c r="AF55" s="203"/>
      <c r="AG55" s="203">
        <f>Y55+AI55-I55</f>
        <v>2108</v>
      </c>
      <c r="AH55" s="390"/>
      <c r="AI55" s="202"/>
      <c r="AJ55" s="202"/>
      <c r="AK55" s="202"/>
      <c r="AL55" s="148"/>
      <c r="AM55" s="43">
        <v>9455</v>
      </c>
      <c r="AN55" s="203"/>
      <c r="AO55" s="203"/>
      <c r="AP55" s="203"/>
      <c r="AQ55" s="203"/>
      <c r="AR55" s="203"/>
      <c r="AS55" s="203"/>
      <c r="AT55" s="203"/>
      <c r="AU55" s="203">
        <v>2596</v>
      </c>
      <c r="AV55" s="202"/>
      <c r="AW55" s="202"/>
      <c r="AX55" s="18"/>
      <c r="AY55" s="18"/>
    </row>
    <row r="56" spans="1:51" ht="13.5" thickBot="1">
      <c r="C56" s="204">
        <f>SUM(C9:C55)</f>
        <v>347329</v>
      </c>
      <c r="D56" s="23"/>
      <c r="E56" s="204">
        <f>SUM(E9:E55)</f>
        <v>726413</v>
      </c>
      <c r="F56" s="205"/>
      <c r="G56" s="204">
        <f>SUM(G9:G55)</f>
        <v>908265</v>
      </c>
      <c r="H56" s="205"/>
      <c r="I56" s="204">
        <f>SUM(I9:I55)</f>
        <v>430364.61</v>
      </c>
      <c r="J56" s="398"/>
      <c r="K56" s="400">
        <f>M56/I56</f>
        <v>7.4532023354864849E-2</v>
      </c>
      <c r="L56" s="268"/>
      <c r="M56" s="269">
        <f>SUM(M9:M55)</f>
        <v>32075.945163627301</v>
      </c>
      <c r="N56" s="268"/>
      <c r="O56" s="400">
        <v>7.8E-2</v>
      </c>
      <c r="P56" s="398"/>
      <c r="Q56" s="206">
        <f>SUM(Q9:Q55)</f>
        <v>0.66952966999999997</v>
      </c>
      <c r="R56" s="23"/>
      <c r="S56" s="206">
        <f>SUM(S9:S55)</f>
        <v>0.74197268116359127</v>
      </c>
      <c r="T56" s="23"/>
      <c r="U56" s="206">
        <f>SUM(U9:U55)</f>
        <v>0.72880800000000001</v>
      </c>
      <c r="V56" s="207"/>
      <c r="W56" s="206">
        <f>SUM(W9:W55)</f>
        <v>0.75604835999999997</v>
      </c>
      <c r="X56" s="208"/>
      <c r="Y56" s="204">
        <f>SUM(Y9:Y55)</f>
        <v>96911</v>
      </c>
      <c r="AA56" s="204">
        <f>SUM(AA9:AA55)</f>
        <v>495120</v>
      </c>
      <c r="AC56" s="204">
        <f>SUM(AC9:AC55)</f>
        <v>460</v>
      </c>
      <c r="AE56" s="204">
        <f>SUM(AE9:AE55)</f>
        <v>229758</v>
      </c>
      <c r="AG56" s="204">
        <f>SUM(AG9:AG55)</f>
        <v>363446</v>
      </c>
      <c r="AI56" s="204">
        <f>SUM(AI9:AI55)</f>
        <v>358691</v>
      </c>
      <c r="AJ56" s="208"/>
      <c r="AK56" s="208"/>
      <c r="AL56" s="209"/>
      <c r="AM56" s="204">
        <f>SUM(AM9:AM55)</f>
        <v>195459</v>
      </c>
      <c r="AO56" s="204">
        <f>SUM(AO9:AO55)</f>
        <v>937450</v>
      </c>
      <c r="AQ56" s="204">
        <f>SUM(AQ9:AQ55)</f>
        <v>0</v>
      </c>
      <c r="AS56" s="204">
        <f>SUM(AS9:AS55)</f>
        <v>358691</v>
      </c>
      <c r="AU56" s="204">
        <f>SUM(AU9:AU55)</f>
        <v>71546</v>
      </c>
      <c r="AW56" s="204">
        <f>SUM(AW9:AW55)</f>
        <v>149104</v>
      </c>
      <c r="AX56" s="205"/>
      <c r="AY56" s="205"/>
    </row>
    <row r="57" spans="1:51" ht="13.5" thickTop="1">
      <c r="K57" s="401" t="s">
        <v>1274</v>
      </c>
      <c r="O57" s="401" t="s">
        <v>1274</v>
      </c>
      <c r="AL57" s="3"/>
    </row>
    <row r="58" spans="1:51">
      <c r="K58" s="402"/>
      <c r="AL58" s="3"/>
    </row>
    <row r="59" spans="1:51">
      <c r="AL59" s="3"/>
    </row>
    <row r="60" spans="1:51">
      <c r="AL60" s="3"/>
    </row>
    <row r="61" spans="1:51">
      <c r="O61" s="215"/>
      <c r="AL61" s="3"/>
    </row>
    <row r="62" spans="1:51">
      <c r="O62" s="215"/>
      <c r="AL62" s="3"/>
    </row>
    <row r="63" spans="1:51">
      <c r="O63" s="215"/>
    </row>
    <row r="64" spans="1:51">
      <c r="O64" s="215"/>
    </row>
    <row r="65" spans="15:15">
      <c r="O65" s="215"/>
    </row>
  </sheetData>
  <pageMargins left="0.2" right="0.2" top="0.26" bottom="0.27" header="0.17" footer="0.14000000000000001"/>
  <pageSetup scale="44" orientation="landscape" r:id="rId1"/>
  <headerFooter>
    <oddFooter>&amp;L&amp;"Times New Roman,Regular"February 1, 2016&amp;C&amp;"Times New Roman,Regular"confidential and proprietary</oddFoot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FF00"/>
    <pageSetUpPr fitToPage="1"/>
  </sheetPr>
  <dimension ref="A1:R58"/>
  <sheetViews>
    <sheetView topLeftCell="A33" zoomScale="80" zoomScaleNormal="80" workbookViewId="0">
      <selection activeCell="A58" sqref="A58"/>
    </sheetView>
  </sheetViews>
  <sheetFormatPr defaultColWidth="9.1796875" defaultRowHeight="13" outlineLevelRow="1" outlineLevelCol="1"/>
  <cols>
    <col min="1" max="1" width="51.1796875" style="233" customWidth="1"/>
    <col min="2" max="2" width="3.54296875" style="233" customWidth="1" outlineLevel="1"/>
    <col min="3" max="3" width="14" style="233" customWidth="1" outlineLevel="1"/>
    <col min="4" max="4" width="3.54296875" style="233" customWidth="1" outlineLevel="1"/>
    <col min="5" max="5" width="14" style="233" customWidth="1" outlineLevel="1"/>
    <col min="6" max="6" width="3.54296875" style="233" customWidth="1" outlineLevel="1"/>
    <col min="7" max="7" width="14" style="233" customWidth="1" outlineLevel="1"/>
    <col min="8" max="8" width="3.54296875" style="233" customWidth="1" outlineLevel="1"/>
    <col min="9" max="9" width="14" style="233" customWidth="1" outlineLevel="1"/>
    <col min="10" max="10" width="3.54296875" style="233" customWidth="1"/>
    <col min="11" max="11" width="14" style="233" customWidth="1"/>
    <col min="12" max="12" width="4.81640625" style="233" customWidth="1"/>
    <col min="13" max="13" width="14" style="233" customWidth="1"/>
    <col min="14" max="14" width="9.1796875" style="233"/>
    <col min="15" max="15" width="5.1796875" style="233" customWidth="1"/>
    <col min="16" max="16" width="9.1796875" style="233"/>
    <col min="17" max="17" width="16" style="233" customWidth="1"/>
    <col min="18" max="18" width="10" style="455" customWidth="1"/>
    <col min="19" max="16384" width="9.1796875" style="233"/>
  </cols>
  <sheetData>
    <row r="1" spans="1:18">
      <c r="A1" s="494" t="s">
        <v>425</v>
      </c>
      <c r="B1" s="495"/>
      <c r="C1" s="502" t="s">
        <v>2276</v>
      </c>
      <c r="D1" s="495"/>
      <c r="E1" s="495"/>
      <c r="F1" s="495"/>
      <c r="G1" s="495"/>
      <c r="H1" s="495"/>
      <c r="I1" s="495"/>
      <c r="J1" s="495"/>
      <c r="K1" s="495"/>
      <c r="L1" s="495"/>
      <c r="M1" s="495"/>
    </row>
    <row r="2" spans="1:18">
      <c r="A2" s="494" t="s">
        <v>985</v>
      </c>
      <c r="B2" s="495"/>
      <c r="C2" s="495"/>
      <c r="D2" s="495"/>
      <c r="E2" s="495"/>
      <c r="F2" s="495"/>
      <c r="G2" s="495"/>
      <c r="H2" s="495"/>
      <c r="I2" s="495"/>
      <c r="J2" s="495"/>
      <c r="K2" s="495"/>
      <c r="L2" s="495"/>
      <c r="M2" s="495"/>
    </row>
    <row r="3" spans="1:18">
      <c r="A3" s="496" t="str">
        <f>"As of "&amp;TEXT($K$8,"MMMM DD, YYYY")&amp;" and "&amp;TEXT($M$8,"MMMM DD, YYYY")</f>
        <v>As of December 31, 2016 and December 31, 2015</v>
      </c>
      <c r="B3" s="495"/>
      <c r="C3" s="495"/>
      <c r="D3" s="495"/>
      <c r="E3" s="495"/>
      <c r="F3" s="495"/>
      <c r="G3" s="497"/>
      <c r="H3" s="495"/>
      <c r="I3" s="495"/>
      <c r="J3" s="495"/>
      <c r="K3" s="497"/>
      <c r="L3" s="497"/>
      <c r="M3" s="495"/>
    </row>
    <row r="4" spans="1:18">
      <c r="A4" s="494" t="s">
        <v>1480</v>
      </c>
      <c r="B4" s="495"/>
      <c r="C4" s="495"/>
      <c r="D4" s="495"/>
      <c r="E4" s="495"/>
      <c r="F4" s="495"/>
      <c r="G4" s="495"/>
      <c r="H4" s="495"/>
      <c r="I4" s="495"/>
      <c r="J4" s="495"/>
      <c r="K4" s="495"/>
      <c r="L4" s="495"/>
      <c r="M4" s="495"/>
    </row>
    <row r="5" spans="1:18">
      <c r="A5" s="498"/>
      <c r="B5" s="499"/>
      <c r="C5" s="500"/>
      <c r="D5" s="500"/>
      <c r="E5" s="500"/>
      <c r="F5" s="500"/>
      <c r="G5" s="500"/>
      <c r="H5" s="500"/>
      <c r="I5" s="500"/>
      <c r="J5" s="501"/>
      <c r="K5" s="495"/>
      <c r="L5" s="495"/>
      <c r="M5" s="495"/>
    </row>
    <row r="6" spans="1:18">
      <c r="A6" s="216"/>
      <c r="B6" s="216"/>
      <c r="C6" s="681" t="s">
        <v>986</v>
      </c>
      <c r="D6" s="682"/>
      <c r="E6" s="682"/>
      <c r="F6" s="682"/>
      <c r="G6" s="682"/>
      <c r="H6" s="682"/>
      <c r="I6" s="683"/>
      <c r="J6" s="216"/>
      <c r="K6" s="658"/>
      <c r="L6" s="658"/>
      <c r="M6" s="658"/>
    </row>
    <row r="7" spans="1:18">
      <c r="A7" s="216"/>
      <c r="B7" s="216"/>
      <c r="C7" s="659"/>
      <c r="D7" s="659"/>
      <c r="E7" s="659"/>
      <c r="F7" s="659"/>
      <c r="G7" s="660"/>
      <c r="H7" s="660"/>
      <c r="I7" s="660"/>
      <c r="J7" s="216"/>
      <c r="K7" s="661"/>
      <c r="L7" s="661"/>
      <c r="M7" s="661"/>
    </row>
    <row r="8" spans="1:18" s="234" customFormat="1" ht="26">
      <c r="A8" s="219"/>
      <c r="B8" s="219"/>
      <c r="C8" s="508" t="s">
        <v>987</v>
      </c>
      <c r="D8" s="505"/>
      <c r="E8" s="508" t="s">
        <v>0</v>
      </c>
      <c r="F8" s="505"/>
      <c r="G8" s="508" t="s">
        <v>988</v>
      </c>
      <c r="H8" s="508"/>
      <c r="I8" s="508" t="s">
        <v>989</v>
      </c>
      <c r="J8" s="219"/>
      <c r="K8" s="510" t="s">
        <v>1481</v>
      </c>
      <c r="L8" s="511"/>
      <c r="M8" s="662" t="s">
        <v>990</v>
      </c>
      <c r="Q8" s="456" t="s">
        <v>1409</v>
      </c>
      <c r="R8" s="457" t="s">
        <v>1483</v>
      </c>
    </row>
    <row r="9" spans="1:18">
      <c r="A9" s="216" t="s">
        <v>991</v>
      </c>
      <c r="B9" s="216"/>
      <c r="C9" s="216"/>
      <c r="D9" s="216"/>
      <c r="E9" s="216"/>
      <c r="F9" s="216"/>
      <c r="G9" s="216"/>
      <c r="H9" s="216"/>
      <c r="I9" s="216"/>
      <c r="J9" s="216"/>
      <c r="K9" s="218"/>
      <c r="L9" s="218"/>
      <c r="M9" s="216"/>
    </row>
    <row r="10" spans="1:18">
      <c r="A10" s="216" t="s">
        <v>992</v>
      </c>
      <c r="B10" s="663"/>
      <c r="C10" s="663">
        <f>[13]WA_BS!H28</f>
        <v>59498695.959999993</v>
      </c>
      <c r="D10" s="663"/>
      <c r="E10" s="663">
        <f>[13]CT_BS!H28</f>
        <v>4498013.3100000005</v>
      </c>
      <c r="F10" s="663"/>
      <c r="G10" s="663"/>
      <c r="H10" s="663"/>
      <c r="I10" s="663">
        <f>SUM(C10:G10)</f>
        <v>63996709.269999996</v>
      </c>
      <c r="J10" s="663"/>
      <c r="K10" s="663">
        <f>I10/1000</f>
        <v>63996.709269999999</v>
      </c>
      <c r="L10" s="663"/>
      <c r="M10" s="663">
        <v>65762</v>
      </c>
      <c r="Q10" s="454">
        <v>65762</v>
      </c>
      <c r="R10" s="461">
        <f>M10-Q10</f>
        <v>0</v>
      </c>
    </row>
    <row r="11" spans="1:18">
      <c r="A11" s="216" t="s">
        <v>993</v>
      </c>
      <c r="B11" s="523"/>
      <c r="C11" s="523">
        <f>[13]WA_BS!H89-C14</f>
        <v>447077478.39999998</v>
      </c>
      <c r="D11" s="523"/>
      <c r="E11" s="523">
        <f>[13]CT_BS!H72-E14</f>
        <v>3226046.64</v>
      </c>
      <c r="F11" s="523"/>
      <c r="G11" s="663">
        <f>-1875239.57*'[13]CT Ownership Calc'!J46</f>
        <v>-1257047.2917768555</v>
      </c>
      <c r="H11" s="523"/>
      <c r="I11" s="523">
        <f t="shared" ref="I11:I22" si="0">SUM(C11:G11)</f>
        <v>449046477.74822313</v>
      </c>
      <c r="J11" s="523"/>
      <c r="K11" s="523">
        <f t="shared" ref="K11:K16" si="1">I11/1000</f>
        <v>449046.47774822311</v>
      </c>
      <c r="L11" s="523"/>
      <c r="M11" s="523">
        <v>256016</v>
      </c>
      <c r="Q11" s="454">
        <v>256017</v>
      </c>
      <c r="R11" s="461">
        <f t="shared" ref="R11:R16" si="2">M11-Q11</f>
        <v>-1</v>
      </c>
    </row>
    <row r="12" spans="1:18">
      <c r="A12" s="216" t="s">
        <v>994</v>
      </c>
      <c r="B12" s="523"/>
      <c r="C12" s="523">
        <f>[13]WA_BS!H110</f>
        <v>38896966.119999982</v>
      </c>
      <c r="D12" s="523"/>
      <c r="E12" s="523">
        <f>[13]CT_BS!H85</f>
        <v>15646736.579999998</v>
      </c>
      <c r="F12" s="523"/>
      <c r="G12" s="523"/>
      <c r="H12" s="523"/>
      <c r="I12" s="523">
        <f t="shared" si="0"/>
        <v>54543702.699999981</v>
      </c>
      <c r="J12" s="523"/>
      <c r="K12" s="523">
        <f t="shared" si="1"/>
        <v>54543.70269999998</v>
      </c>
      <c r="L12" s="523"/>
      <c r="M12" s="523">
        <v>45863</v>
      </c>
      <c r="Q12" s="454">
        <v>45863</v>
      </c>
      <c r="R12" s="461">
        <f t="shared" si="2"/>
        <v>0</v>
      </c>
    </row>
    <row r="13" spans="1:18" ht="15.75" customHeight="1">
      <c r="A13" s="216" t="s">
        <v>995</v>
      </c>
      <c r="B13" s="523"/>
      <c r="C13" s="523">
        <f>[13]WA_BS!H130</f>
        <v>31781009.73</v>
      </c>
      <c r="D13" s="523"/>
      <c r="E13" s="523">
        <f>[13]CT_BS!H104</f>
        <v>363457.12999999995</v>
      </c>
      <c r="F13" s="523"/>
      <c r="G13" s="523"/>
      <c r="H13" s="523"/>
      <c r="I13" s="523">
        <f t="shared" si="0"/>
        <v>32144466.859999999</v>
      </c>
      <c r="J13" s="523"/>
      <c r="K13" s="523">
        <f t="shared" si="1"/>
        <v>32144.46686</v>
      </c>
      <c r="L13" s="523"/>
      <c r="M13" s="523">
        <v>36247</v>
      </c>
      <c r="Q13" s="454">
        <v>36248</v>
      </c>
      <c r="R13" s="461">
        <f t="shared" si="2"/>
        <v>-1</v>
      </c>
    </row>
    <row r="14" spans="1:18" outlineLevel="1">
      <c r="A14" s="216" t="s">
        <v>996</v>
      </c>
      <c r="B14" s="523"/>
      <c r="C14" s="523">
        <f>[13]WA_BS!H35</f>
        <v>2763988.17</v>
      </c>
      <c r="D14" s="523"/>
      <c r="E14" s="523">
        <f>[13]CT_BS!H37</f>
        <v>-2763988.17</v>
      </c>
      <c r="F14" s="523"/>
      <c r="G14" s="523"/>
      <c r="H14" s="523"/>
      <c r="I14" s="523">
        <f t="shared" si="0"/>
        <v>0</v>
      </c>
      <c r="J14" s="523"/>
      <c r="K14" s="523">
        <f t="shared" si="1"/>
        <v>0</v>
      </c>
      <c r="L14" s="523"/>
      <c r="M14" s="523">
        <v>0</v>
      </c>
      <c r="R14" s="461">
        <f t="shared" si="2"/>
        <v>0</v>
      </c>
    </row>
    <row r="15" spans="1:18">
      <c r="A15" s="216" t="s">
        <v>997</v>
      </c>
      <c r="B15" s="523"/>
      <c r="C15" s="523">
        <v>0</v>
      </c>
      <c r="D15" s="523"/>
      <c r="E15" s="523">
        <f>+[13]CT_BS!H112</f>
        <v>5767923.2699999996</v>
      </c>
      <c r="F15" s="523"/>
      <c r="G15" s="663"/>
      <c r="H15" s="523"/>
      <c r="I15" s="523">
        <f t="shared" si="0"/>
        <v>5767923.2699999996</v>
      </c>
      <c r="J15" s="523"/>
      <c r="K15" s="523">
        <f t="shared" si="1"/>
        <v>5767.9232699999993</v>
      </c>
      <c r="L15" s="523"/>
      <c r="M15" s="523">
        <v>5400</v>
      </c>
      <c r="Q15" s="233">
        <v>5400</v>
      </c>
      <c r="R15" s="461">
        <f t="shared" si="2"/>
        <v>0</v>
      </c>
    </row>
    <row r="16" spans="1:18">
      <c r="A16" s="216" t="s">
        <v>998</v>
      </c>
      <c r="B16" s="523"/>
      <c r="C16" s="523"/>
      <c r="D16" s="523"/>
      <c r="E16" s="523">
        <f>[13]CT_BS!H116</f>
        <v>2302972.84</v>
      </c>
      <c r="F16" s="523"/>
      <c r="G16" s="523"/>
      <c r="H16" s="523"/>
      <c r="I16" s="523">
        <f t="shared" si="0"/>
        <v>2302972.84</v>
      </c>
      <c r="J16" s="523"/>
      <c r="K16" s="523">
        <f t="shared" si="1"/>
        <v>2302.9728399999999</v>
      </c>
      <c r="L16" s="523"/>
      <c r="M16" s="523">
        <v>3681</v>
      </c>
      <c r="Q16" s="233">
        <v>3681</v>
      </c>
      <c r="R16" s="461">
        <f t="shared" si="2"/>
        <v>0</v>
      </c>
    </row>
    <row r="17" spans="1:18" ht="9.75" customHeight="1">
      <c r="A17" s="216"/>
      <c r="B17" s="523"/>
      <c r="C17" s="664"/>
      <c r="D17" s="523"/>
      <c r="E17" s="664"/>
      <c r="F17" s="523"/>
      <c r="G17" s="664"/>
      <c r="H17" s="523"/>
      <c r="I17" s="664"/>
      <c r="J17" s="523"/>
      <c r="K17" s="664"/>
      <c r="L17" s="523"/>
      <c r="M17" s="664"/>
      <c r="Q17" s="235"/>
      <c r="R17" s="462"/>
    </row>
    <row r="18" spans="1:18">
      <c r="A18" s="216" t="s">
        <v>426</v>
      </c>
      <c r="B18" s="523"/>
      <c r="C18" s="665">
        <f>SUM(C10:C16)</f>
        <v>580018138.37999988</v>
      </c>
      <c r="D18" s="523"/>
      <c r="E18" s="665">
        <f>SUM(E10:E16)</f>
        <v>29041161.600000001</v>
      </c>
      <c r="F18" s="523"/>
      <c r="G18" s="665">
        <f>SUM(G10:G16)</f>
        <v>-1257047.2917768555</v>
      </c>
      <c r="H18" s="523"/>
      <c r="I18" s="665">
        <f>SUM(I10:I16)</f>
        <v>607802252.68822312</v>
      </c>
      <c r="J18" s="523"/>
      <c r="K18" s="665">
        <f>SUM(K10:K16)</f>
        <v>607802.25268822315</v>
      </c>
      <c r="L18" s="665"/>
      <c r="M18" s="665">
        <v>412968</v>
      </c>
      <c r="Q18" s="237">
        <f>SUM(Q10:Q16)</f>
        <v>412971</v>
      </c>
      <c r="R18" s="461">
        <f>M18-Q18</f>
        <v>-3</v>
      </c>
    </row>
    <row r="19" spans="1:18" ht="22.5" customHeight="1">
      <c r="A19" s="216" t="s">
        <v>1</v>
      </c>
      <c r="B19" s="523"/>
      <c r="C19" s="523">
        <f>[13]WA_BS!H161</f>
        <v>25527840.890000008</v>
      </c>
      <c r="D19" s="523"/>
      <c r="E19" s="523">
        <f>[13]CT_BS!H153</f>
        <v>5995904.4100000095</v>
      </c>
      <c r="F19" s="523"/>
      <c r="G19" s="523"/>
      <c r="H19" s="523"/>
      <c r="I19" s="523">
        <f t="shared" si="0"/>
        <v>31523745.300000019</v>
      </c>
      <c r="J19" s="523"/>
      <c r="K19" s="523">
        <f>I19/1000</f>
        <v>31523.745300000021</v>
      </c>
      <c r="L19" s="523"/>
      <c r="M19" s="523">
        <v>32583</v>
      </c>
      <c r="Q19" s="233">
        <v>32584</v>
      </c>
      <c r="R19" s="461">
        <f>M19-Q19</f>
        <v>-1</v>
      </c>
    </row>
    <row r="20" spans="1:18">
      <c r="A20" s="216" t="s">
        <v>2</v>
      </c>
      <c r="B20" s="523"/>
      <c r="C20" s="523">
        <f>[13]WA_BS!H166</f>
        <v>292284.58</v>
      </c>
      <c r="D20" s="523"/>
      <c r="E20" s="523">
        <f>[13]CT_BS!H162</f>
        <v>140429.54999999999</v>
      </c>
      <c r="F20" s="523"/>
      <c r="G20" s="523"/>
      <c r="H20" s="523"/>
      <c r="I20" s="523">
        <f t="shared" si="0"/>
        <v>432714.13</v>
      </c>
      <c r="J20" s="523"/>
      <c r="K20" s="523">
        <f>I20/1000</f>
        <v>432.71413000000001</v>
      </c>
      <c r="L20" s="523"/>
      <c r="M20" s="523">
        <v>387</v>
      </c>
      <c r="Q20" s="233">
        <v>387</v>
      </c>
      <c r="R20" s="461">
        <f t="shared" ref="R20:R22" si="3">M20-Q20</f>
        <v>0</v>
      </c>
    </row>
    <row r="21" spans="1:18" outlineLevel="1">
      <c r="A21" s="216" t="s">
        <v>999</v>
      </c>
      <c r="B21" s="523"/>
      <c r="C21" s="523"/>
      <c r="D21" s="523"/>
      <c r="E21" s="523">
        <f>[13]CT_BS!H167</f>
        <v>8618366.916783236</v>
      </c>
      <c r="F21" s="523"/>
      <c r="G21" s="523">
        <f>-E21</f>
        <v>-8618366.916783236</v>
      </c>
      <c r="H21" s="523"/>
      <c r="I21" s="523">
        <f t="shared" si="0"/>
        <v>0</v>
      </c>
      <c r="J21" s="523"/>
      <c r="K21" s="523">
        <f>I21/1000</f>
        <v>0</v>
      </c>
      <c r="L21" s="523"/>
      <c r="M21" s="523">
        <v>0</v>
      </c>
      <c r="N21" s="236"/>
      <c r="O21" s="236"/>
      <c r="Q21" s="237"/>
      <c r="R21" s="461">
        <f t="shared" si="3"/>
        <v>0</v>
      </c>
    </row>
    <row r="22" spans="1:18">
      <c r="A22" s="216" t="s">
        <v>2260</v>
      </c>
      <c r="B22" s="523"/>
      <c r="C22" s="523"/>
      <c r="D22" s="523"/>
      <c r="E22" s="523">
        <f>[13]CT_BS!H171</f>
        <v>-826068.25</v>
      </c>
      <c r="F22" s="523"/>
      <c r="G22" s="523"/>
      <c r="H22" s="523"/>
      <c r="I22" s="523">
        <f t="shared" si="0"/>
        <v>-826068.25</v>
      </c>
      <c r="J22" s="523"/>
      <c r="K22" s="523">
        <f>I22/1000</f>
        <v>-826.06825000000003</v>
      </c>
      <c r="L22" s="523"/>
      <c r="M22" s="523">
        <v>775</v>
      </c>
      <c r="Q22" s="233">
        <v>775</v>
      </c>
      <c r="R22" s="461">
        <f t="shared" si="3"/>
        <v>0</v>
      </c>
    </row>
    <row r="23" spans="1:18" ht="5.25" customHeight="1">
      <c r="A23" s="216"/>
      <c r="B23" s="523"/>
      <c r="C23" s="664"/>
      <c r="D23" s="523"/>
      <c r="E23" s="664"/>
      <c r="F23" s="523"/>
      <c r="G23" s="664"/>
      <c r="H23" s="523"/>
      <c r="I23" s="664"/>
      <c r="J23" s="523"/>
      <c r="K23" s="664"/>
      <c r="L23" s="523"/>
      <c r="M23" s="664"/>
      <c r="Q23" s="235"/>
      <c r="R23" s="461"/>
    </row>
    <row r="24" spans="1:18" ht="13.5" thickBot="1">
      <c r="A24" s="216" t="s">
        <v>1000</v>
      </c>
      <c r="B24" s="663"/>
      <c r="C24" s="666">
        <f>SUM(C18:C22)</f>
        <v>605838263.8499999</v>
      </c>
      <c r="D24" s="663"/>
      <c r="E24" s="666">
        <f>SUM(E18:E22)</f>
        <v>42969794.226783246</v>
      </c>
      <c r="F24" s="663"/>
      <c r="G24" s="666">
        <f>SUM(G18:G22)</f>
        <v>-9875414.2085600905</v>
      </c>
      <c r="H24" s="663"/>
      <c r="I24" s="666">
        <f>SUM(I18:I22)</f>
        <v>638932643.86822319</v>
      </c>
      <c r="J24" s="663"/>
      <c r="K24" s="666">
        <f>SUM(K18:K22)</f>
        <v>638932.64386822318</v>
      </c>
      <c r="L24" s="663"/>
      <c r="M24" s="666">
        <v>446714</v>
      </c>
      <c r="Q24" s="238">
        <f>Q18+Q19+Q20+Q22</f>
        <v>446717</v>
      </c>
      <c r="R24" s="463">
        <f>M24-Q24</f>
        <v>-3</v>
      </c>
    </row>
    <row r="25" spans="1:18" ht="13.5" thickTop="1">
      <c r="A25" s="216"/>
      <c r="B25" s="663"/>
      <c r="C25" s="663"/>
      <c r="D25" s="663"/>
      <c r="E25" s="663"/>
      <c r="F25" s="663"/>
      <c r="G25" s="663"/>
      <c r="H25" s="663"/>
      <c r="I25" s="663"/>
      <c r="J25" s="663"/>
      <c r="K25" s="663"/>
      <c r="L25" s="663"/>
      <c r="M25" s="663"/>
      <c r="R25" s="461"/>
    </row>
    <row r="26" spans="1:18">
      <c r="A26" s="216" t="s">
        <v>427</v>
      </c>
      <c r="B26" s="663"/>
      <c r="C26" s="663"/>
      <c r="D26" s="663"/>
      <c r="E26" s="663"/>
      <c r="F26" s="663"/>
      <c r="G26" s="663"/>
      <c r="H26" s="663"/>
      <c r="I26" s="663"/>
      <c r="J26" s="663"/>
      <c r="K26" s="663"/>
      <c r="L26" s="663"/>
      <c r="M26" s="663"/>
      <c r="R26" s="461"/>
    </row>
    <row r="27" spans="1:18" outlineLevel="1">
      <c r="A27" s="216" t="s">
        <v>1001</v>
      </c>
      <c r="B27" s="663"/>
      <c r="C27" s="663">
        <f>[13]WA_BS!H170</f>
        <v>0</v>
      </c>
      <c r="D27" s="663"/>
      <c r="E27" s="663">
        <f>[13]CT_BS!H175</f>
        <v>0</v>
      </c>
      <c r="F27" s="663"/>
      <c r="G27" s="663"/>
      <c r="H27" s="663"/>
      <c r="I27" s="663">
        <f t="shared" ref="I27:I33" si="4">SUM(C27:G27)</f>
        <v>0</v>
      </c>
      <c r="J27" s="663"/>
      <c r="K27" s="663">
        <f>I27/1000</f>
        <v>0</v>
      </c>
      <c r="L27" s="663"/>
      <c r="M27" s="663">
        <v>0</v>
      </c>
      <c r="Q27" s="454"/>
      <c r="R27" s="461">
        <f>M27-Q27</f>
        <v>0</v>
      </c>
    </row>
    <row r="28" spans="1:18">
      <c r="A28" s="216" t="s">
        <v>1002</v>
      </c>
      <c r="B28" s="523"/>
      <c r="C28" s="523"/>
      <c r="D28" s="523"/>
      <c r="E28" s="523">
        <f>[13]CT_BS!H176</f>
        <v>0</v>
      </c>
      <c r="F28" s="523"/>
      <c r="G28" s="523"/>
      <c r="H28" s="523"/>
      <c r="I28" s="523">
        <f t="shared" si="4"/>
        <v>0</v>
      </c>
      <c r="J28" s="523"/>
      <c r="K28" s="523">
        <f>I28/1000</f>
        <v>0</v>
      </c>
      <c r="L28" s="523"/>
      <c r="M28" s="523">
        <v>0</v>
      </c>
      <c r="Q28" s="454"/>
      <c r="R28" s="461">
        <f t="shared" ref="R28:R34" si="5">M28-Q28</f>
        <v>0</v>
      </c>
    </row>
    <row r="29" spans="1:18">
      <c r="A29" s="216" t="s">
        <v>428</v>
      </c>
      <c r="B29" s="523"/>
      <c r="C29" s="523">
        <f>[13]WA_BS!H181</f>
        <v>210862066.45999998</v>
      </c>
      <c r="D29" s="523"/>
      <c r="E29" s="523">
        <f>[13]CT_BS!H187</f>
        <v>5415770.3300000001</v>
      </c>
      <c r="F29" s="523"/>
      <c r="G29" s="523"/>
      <c r="H29" s="523"/>
      <c r="I29" s="523">
        <f t="shared" si="4"/>
        <v>216277836.78999999</v>
      </c>
      <c r="J29" s="523"/>
      <c r="K29" s="523">
        <f>(I29/1000)+K59</f>
        <v>216277.83679</v>
      </c>
      <c r="L29" s="523"/>
      <c r="M29" s="523">
        <v>166930</v>
      </c>
      <c r="Q29" s="454">
        <v>166932</v>
      </c>
      <c r="R29" s="461">
        <f t="shared" si="5"/>
        <v>-2</v>
      </c>
    </row>
    <row r="30" spans="1:18">
      <c r="A30" s="216" t="s">
        <v>1003</v>
      </c>
      <c r="B30" s="523"/>
      <c r="C30" s="523">
        <f>[13]WA_BS!H221+C59</f>
        <v>367527142.01000005</v>
      </c>
      <c r="D30" s="523"/>
      <c r="E30" s="523">
        <f>[13]CT_BS!H219+E59</f>
        <v>5833009.6799999997</v>
      </c>
      <c r="F30" s="523"/>
      <c r="G30" s="663"/>
      <c r="H30" s="523"/>
      <c r="I30" s="523">
        <f>SUM(C30:G30)+I59</f>
        <v>373360151.69000006</v>
      </c>
      <c r="J30" s="523"/>
      <c r="K30" s="523">
        <f t="shared" ref="K30:K34" si="6">I30/1000</f>
        <v>373360.15169000009</v>
      </c>
      <c r="L30" s="523"/>
      <c r="M30" s="523">
        <v>217410</v>
      </c>
      <c r="Q30" s="454">
        <v>217637</v>
      </c>
      <c r="R30" s="461">
        <f t="shared" si="5"/>
        <v>-227</v>
      </c>
    </row>
    <row r="31" spans="1:18">
      <c r="A31" s="216" t="s">
        <v>1004</v>
      </c>
      <c r="B31" s="523"/>
      <c r="C31" s="523">
        <f>[13]WA_BS!H235</f>
        <v>3062972.41</v>
      </c>
      <c r="D31" s="523"/>
      <c r="E31" s="523">
        <f>[13]CT_BS!H232</f>
        <v>3611407.5300000003</v>
      </c>
      <c r="F31" s="523"/>
      <c r="G31" s="523"/>
      <c r="H31" s="523"/>
      <c r="I31" s="523">
        <f t="shared" si="4"/>
        <v>6674379.9400000004</v>
      </c>
      <c r="J31" s="523"/>
      <c r="K31" s="523">
        <f t="shared" si="6"/>
        <v>6674.3799400000007</v>
      </c>
      <c r="L31" s="523"/>
      <c r="M31" s="523">
        <v>7814</v>
      </c>
      <c r="Q31" s="454">
        <v>7814</v>
      </c>
      <c r="R31" s="461">
        <f t="shared" si="5"/>
        <v>0</v>
      </c>
    </row>
    <row r="32" spans="1:18">
      <c r="A32" s="216" t="s">
        <v>1005</v>
      </c>
      <c r="B32" s="523"/>
      <c r="C32" s="523">
        <f>[13]WA_BS!H244</f>
        <v>0</v>
      </c>
      <c r="D32" s="523"/>
      <c r="E32" s="523"/>
      <c r="F32" s="523"/>
      <c r="G32" s="523"/>
      <c r="H32" s="523"/>
      <c r="I32" s="523">
        <f t="shared" si="4"/>
        <v>0</v>
      </c>
      <c r="J32" s="523"/>
      <c r="K32" s="523">
        <f t="shared" si="6"/>
        <v>0</v>
      </c>
      <c r="L32" s="523"/>
      <c r="M32" s="523">
        <v>90</v>
      </c>
      <c r="Q32" s="454">
        <v>90</v>
      </c>
      <c r="R32" s="461">
        <f t="shared" si="5"/>
        <v>0</v>
      </c>
    </row>
    <row r="33" spans="1:18">
      <c r="A33" s="216" t="s">
        <v>1006</v>
      </c>
      <c r="B33" s="523"/>
      <c r="C33" s="523">
        <f>[13]WA_BS!H240</f>
        <v>1170696.94</v>
      </c>
      <c r="D33" s="523"/>
      <c r="E33" s="523">
        <f>[13]CT_BS!H263</f>
        <v>302975.34000000003</v>
      </c>
      <c r="F33" s="523"/>
      <c r="G33" s="523"/>
      <c r="H33" s="523"/>
      <c r="I33" s="523">
        <f t="shared" si="4"/>
        <v>1473672.28</v>
      </c>
      <c r="J33" s="523"/>
      <c r="K33" s="523">
        <f t="shared" si="6"/>
        <v>1473.67228</v>
      </c>
      <c r="L33" s="523"/>
      <c r="M33" s="523">
        <v>227</v>
      </c>
      <c r="Q33" s="454"/>
      <c r="R33" s="461">
        <f t="shared" si="5"/>
        <v>227</v>
      </c>
    </row>
    <row r="34" spans="1:18" ht="12.75" customHeight="1">
      <c r="A34" s="216" t="s">
        <v>1007</v>
      </c>
      <c r="B34" s="523"/>
      <c r="C34" s="523">
        <f>[13]WA_BS!H248</f>
        <v>74269</v>
      </c>
      <c r="D34" s="523"/>
      <c r="E34" s="523">
        <f>[13]CT_BS!H244</f>
        <v>258417.71</v>
      </c>
      <c r="F34" s="523"/>
      <c r="G34" s="523"/>
      <c r="H34" s="523"/>
      <c r="I34" s="523">
        <f>SUM(C34:F34)+G34</f>
        <v>332686.70999999996</v>
      </c>
      <c r="J34" s="523"/>
      <c r="K34" s="523">
        <f t="shared" si="6"/>
        <v>332.68670999999995</v>
      </c>
      <c r="L34" s="523"/>
      <c r="M34" s="523">
        <v>0</v>
      </c>
      <c r="Q34" s="454"/>
      <c r="R34" s="461">
        <f t="shared" si="5"/>
        <v>0</v>
      </c>
    </row>
    <row r="35" spans="1:18" ht="15.75" customHeight="1">
      <c r="A35" s="216"/>
      <c r="B35" s="523"/>
      <c r="C35" s="664"/>
      <c r="D35" s="523"/>
      <c r="E35" s="664"/>
      <c r="F35" s="523"/>
      <c r="G35" s="664"/>
      <c r="H35" s="523"/>
      <c r="I35" s="664"/>
      <c r="J35" s="523"/>
      <c r="K35" s="664"/>
      <c r="L35" s="523"/>
      <c r="M35" s="664"/>
      <c r="Q35" s="235"/>
      <c r="R35" s="464"/>
    </row>
    <row r="36" spans="1:18">
      <c r="A36" s="216" t="s">
        <v>429</v>
      </c>
      <c r="B36" s="523"/>
      <c r="C36" s="523">
        <f>SUM(C27:C34)</f>
        <v>582697146.82000005</v>
      </c>
      <c r="D36" s="523"/>
      <c r="E36" s="523">
        <f>SUM(E27:E34)</f>
        <v>15421580.59</v>
      </c>
      <c r="F36" s="523"/>
      <c r="G36" s="523">
        <f>SUM(G27:G34)</f>
        <v>0</v>
      </c>
      <c r="H36" s="523"/>
      <c r="I36" s="523">
        <f>SUM(I25:I34)</f>
        <v>598118727.41000009</v>
      </c>
      <c r="J36" s="523"/>
      <c r="K36" s="523">
        <f>SUM(K25:K34)</f>
        <v>598118.72741000017</v>
      </c>
      <c r="L36" s="523"/>
      <c r="M36" s="523">
        <v>392471</v>
      </c>
      <c r="Q36" s="454">
        <f>SUM(Q27:Q34)</f>
        <v>392473</v>
      </c>
      <c r="R36" s="465">
        <f>SUM(R27:R34)</f>
        <v>-2</v>
      </c>
    </row>
    <row r="37" spans="1:18" ht="22.5" customHeight="1">
      <c r="A37" s="216" t="s">
        <v>1008</v>
      </c>
      <c r="B37" s="523"/>
      <c r="C37" s="523">
        <f>[13]WA_BS!H256</f>
        <v>243036.62</v>
      </c>
      <c r="D37" s="523"/>
      <c r="E37" s="523">
        <f>[13]CT_BS!H252</f>
        <v>845642.15</v>
      </c>
      <c r="F37" s="523"/>
      <c r="G37" s="523"/>
      <c r="H37" s="523"/>
      <c r="I37" s="523">
        <f t="shared" ref="I37:I39" si="7">SUM(C37:G37)</f>
        <v>1088678.77</v>
      </c>
      <c r="J37" s="523"/>
      <c r="K37" s="523">
        <f>I37/1000</f>
        <v>1088.67877</v>
      </c>
      <c r="L37" s="523"/>
      <c r="M37" s="523">
        <v>0</v>
      </c>
      <c r="R37" s="461"/>
    </row>
    <row r="38" spans="1:18">
      <c r="A38" s="216" t="s">
        <v>1009</v>
      </c>
      <c r="B38" s="523"/>
      <c r="C38" s="523">
        <f>[13]WA_BS!E252</f>
        <v>0</v>
      </c>
      <c r="D38" s="523"/>
      <c r="E38" s="523"/>
      <c r="F38" s="523"/>
      <c r="G38" s="523"/>
      <c r="H38" s="523"/>
      <c r="I38" s="523">
        <f t="shared" si="7"/>
        <v>0</v>
      </c>
      <c r="J38" s="523"/>
      <c r="K38" s="523">
        <f>I38/1000</f>
        <v>0</v>
      </c>
      <c r="L38" s="523"/>
      <c r="M38" s="523">
        <v>0</v>
      </c>
      <c r="R38" s="461"/>
    </row>
    <row r="39" spans="1:18">
      <c r="A39" s="216" t="s">
        <v>1010</v>
      </c>
      <c r="B39" s="523"/>
      <c r="C39" s="523"/>
      <c r="D39" s="523"/>
      <c r="E39" s="523">
        <f>[13]CT_BS!H259</f>
        <v>0</v>
      </c>
      <c r="F39" s="523"/>
      <c r="G39" s="523"/>
      <c r="H39" s="523"/>
      <c r="I39" s="523">
        <f t="shared" si="7"/>
        <v>0</v>
      </c>
      <c r="J39" s="523"/>
      <c r="K39" s="523">
        <f>I39/1000</f>
        <v>0</v>
      </c>
      <c r="L39" s="523"/>
      <c r="M39" s="523">
        <v>0</v>
      </c>
      <c r="R39" s="461"/>
    </row>
    <row r="40" spans="1:18" ht="14.25" customHeight="1">
      <c r="A40" s="216"/>
      <c r="B40" s="523"/>
      <c r="C40" s="664"/>
      <c r="D40" s="523"/>
      <c r="E40" s="664"/>
      <c r="F40" s="523"/>
      <c r="G40" s="664"/>
      <c r="H40" s="523"/>
      <c r="I40" s="664"/>
      <c r="J40" s="523"/>
      <c r="K40" s="664"/>
      <c r="L40" s="523"/>
      <c r="M40" s="664"/>
      <c r="R40" s="461"/>
    </row>
    <row r="41" spans="1:18">
      <c r="A41" s="216" t="s">
        <v>430</v>
      </c>
      <c r="B41" s="523"/>
      <c r="C41" s="664">
        <f>SUM(C36:C40)</f>
        <v>582940183.44000006</v>
      </c>
      <c r="D41" s="523"/>
      <c r="E41" s="664">
        <f>SUM(E36:E40)</f>
        <v>16267222.74</v>
      </c>
      <c r="F41" s="523"/>
      <c r="G41" s="664">
        <f>SUM(G36:G40)</f>
        <v>0</v>
      </c>
      <c r="H41" s="523"/>
      <c r="I41" s="664">
        <f>SUM(I36:I40)</f>
        <v>599207406.18000007</v>
      </c>
      <c r="J41" s="523"/>
      <c r="K41" s="664">
        <f>SUM(K36:K40)</f>
        <v>599207.40618000017</v>
      </c>
      <c r="L41" s="523"/>
      <c r="M41" s="664">
        <v>392471</v>
      </c>
      <c r="Q41" s="459">
        <f>Q36</f>
        <v>392473</v>
      </c>
      <c r="R41" s="466">
        <f>M41-Q41</f>
        <v>-2</v>
      </c>
    </row>
    <row r="42" spans="1:18" ht="22.5" customHeight="1">
      <c r="A42" s="216" t="s">
        <v>1011</v>
      </c>
      <c r="B42" s="523"/>
      <c r="C42" s="523"/>
      <c r="D42" s="523"/>
      <c r="E42" s="523"/>
      <c r="F42" s="523"/>
      <c r="G42" s="523"/>
      <c r="H42" s="523"/>
      <c r="I42" s="523"/>
      <c r="J42" s="523"/>
      <c r="K42" s="523"/>
      <c r="L42" s="523"/>
      <c r="M42" s="523"/>
      <c r="R42" s="461"/>
    </row>
    <row r="43" spans="1:18">
      <c r="A43" s="216" t="s">
        <v>1012</v>
      </c>
      <c r="B43" s="523"/>
      <c r="C43" s="523">
        <f>[13]WA_BS!H262+[13]WA_BS!H263</f>
        <v>-4930665.01</v>
      </c>
      <c r="D43" s="523"/>
      <c r="E43" s="523">
        <f>[13]CT_BS!H280</f>
        <v>4695229.5599999996</v>
      </c>
      <c r="F43" s="523"/>
      <c r="G43" s="523">
        <f>-C43</f>
        <v>4930665.01</v>
      </c>
      <c r="H43" s="523"/>
      <c r="I43" s="523">
        <f t="shared" ref="I43:I49" si="8">SUM(C43:G43)</f>
        <v>4695229.5599999996</v>
      </c>
      <c r="J43" s="523"/>
      <c r="K43" s="523">
        <f t="shared" ref="K43:K48" si="9">I43/1000</f>
        <v>4695.2295599999998</v>
      </c>
      <c r="L43" s="523"/>
      <c r="M43" s="523">
        <v>4634.8715599999996</v>
      </c>
      <c r="Q43" s="454">
        <v>4635</v>
      </c>
      <c r="R43" s="461">
        <f>M43-Q43</f>
        <v>-0.12844000000040978</v>
      </c>
    </row>
    <row r="44" spans="1:18" outlineLevel="1">
      <c r="A44" s="216" t="s">
        <v>1013</v>
      </c>
      <c r="B44" s="523"/>
      <c r="C44" s="523">
        <f>[13]WA_BS!H265</f>
        <v>7607722.1699999999</v>
      </c>
      <c r="D44" s="523"/>
      <c r="E44" s="523"/>
      <c r="F44" s="523"/>
      <c r="G44" s="523">
        <f>-C44</f>
        <v>-7607722.1699999999</v>
      </c>
      <c r="H44" s="523"/>
      <c r="I44" s="523">
        <f t="shared" si="8"/>
        <v>0</v>
      </c>
      <c r="J44" s="523"/>
      <c r="K44" s="523">
        <f t="shared" si="9"/>
        <v>0</v>
      </c>
      <c r="L44" s="523"/>
      <c r="M44" s="523">
        <v>0</v>
      </c>
      <c r="Q44" s="454"/>
      <c r="R44" s="461">
        <f t="shared" ref="R44:R49" si="10">M44-Q44</f>
        <v>0</v>
      </c>
    </row>
    <row r="45" spans="1:18">
      <c r="A45" s="216" t="s">
        <v>431</v>
      </c>
      <c r="B45" s="523"/>
      <c r="C45" s="523">
        <v>0</v>
      </c>
      <c r="D45" s="523"/>
      <c r="E45" s="523">
        <f>[13]CT_BS!H281</f>
        <v>-176133</v>
      </c>
      <c r="F45" s="523"/>
      <c r="G45" s="523"/>
      <c r="H45" s="523"/>
      <c r="I45" s="523">
        <f t="shared" si="8"/>
        <v>-176133</v>
      </c>
      <c r="J45" s="523"/>
      <c r="K45" s="523">
        <f t="shared" si="9"/>
        <v>-176.13300000000001</v>
      </c>
      <c r="L45" s="523"/>
      <c r="M45" s="523">
        <v>-176.13300000000001</v>
      </c>
      <c r="Q45" s="454">
        <v>-176</v>
      </c>
      <c r="R45" s="461">
        <f t="shared" si="10"/>
        <v>-0.13300000000000978</v>
      </c>
    </row>
    <row r="46" spans="1:18" outlineLevel="1">
      <c r="A46" s="216" t="s">
        <v>1014</v>
      </c>
      <c r="B46" s="523"/>
      <c r="C46" s="523">
        <f>[13]WA_BS!H267+[13]WA_BS!H268</f>
        <v>-260645594.82999998</v>
      </c>
      <c r="D46" s="523"/>
      <c r="E46" s="523"/>
      <c r="F46" s="523"/>
      <c r="G46" s="523">
        <f>-C46</f>
        <v>260645594.82999998</v>
      </c>
      <c r="H46" s="523"/>
      <c r="I46" s="523">
        <f t="shared" si="8"/>
        <v>0</v>
      </c>
      <c r="J46" s="523"/>
      <c r="K46" s="523">
        <f t="shared" si="9"/>
        <v>0</v>
      </c>
      <c r="L46" s="523"/>
      <c r="M46" s="523">
        <v>0</v>
      </c>
      <c r="Q46" s="454"/>
      <c r="R46" s="461">
        <f t="shared" si="10"/>
        <v>0</v>
      </c>
    </row>
    <row r="47" spans="1:18">
      <c r="A47" s="216" t="s">
        <v>1015</v>
      </c>
      <c r="B47" s="523"/>
      <c r="C47" s="665">
        <f>[13]WA_BS!H269</f>
        <v>290339468.69999999</v>
      </c>
      <c r="D47" s="523"/>
      <c r="E47" s="523">
        <f>[13]CT_BS!H282+[13]CT_BS!H283</f>
        <v>34113257.410000011</v>
      </c>
      <c r="F47" s="523"/>
      <c r="G47" s="523">
        <f>-C47</f>
        <v>-290339468.69999999</v>
      </c>
      <c r="H47" s="523"/>
      <c r="I47" s="523">
        <f>SUM(C47:G47)</f>
        <v>34113257.410000026</v>
      </c>
      <c r="J47" s="523"/>
      <c r="K47" s="523">
        <f>I47/1000</f>
        <v>34113.257410000027</v>
      </c>
      <c r="L47" s="667"/>
      <c r="M47" s="523">
        <v>26235.960189999969</v>
      </c>
      <c r="Q47" s="454">
        <v>34114</v>
      </c>
      <c r="R47" s="461">
        <f t="shared" si="10"/>
        <v>-7878.0398100000311</v>
      </c>
    </row>
    <row r="48" spans="1:18">
      <c r="A48" s="216" t="s">
        <v>1016</v>
      </c>
      <c r="B48" s="523"/>
      <c r="C48" s="523">
        <f>[13]WA_BS!H270</f>
        <v>-9472850.6199998185</v>
      </c>
      <c r="D48" s="523"/>
      <c r="E48" s="523">
        <f>'[13]Consol IS'!E29</f>
        <v>-11929782.48321679</v>
      </c>
      <c r="F48" s="523"/>
      <c r="G48" s="523">
        <f>-C48</f>
        <v>9472850.6199998185</v>
      </c>
      <c r="H48" s="523"/>
      <c r="I48" s="523">
        <f>SUM(C48:G48)</f>
        <v>-11929782.483216792</v>
      </c>
      <c r="J48" s="523"/>
      <c r="K48" s="523">
        <f t="shared" si="9"/>
        <v>-11929.782483216792</v>
      </c>
      <c r="L48" s="523"/>
      <c r="M48" s="523">
        <v>7877.2969464442604</v>
      </c>
      <c r="Q48" s="454"/>
      <c r="R48" s="461">
        <f t="shared" si="10"/>
        <v>7877.2969464442604</v>
      </c>
    </row>
    <row r="49" spans="1:18">
      <c r="A49" s="216" t="s">
        <v>432</v>
      </c>
      <c r="B49" s="523"/>
      <c r="C49" s="523"/>
      <c r="D49" s="523"/>
      <c r="E49" s="523"/>
      <c r="F49" s="523"/>
      <c r="G49" s="523">
        <f>'[13]Consol SOSE'!K109*1000</f>
        <v>13022666.201440081</v>
      </c>
      <c r="H49" s="523"/>
      <c r="I49" s="523">
        <f t="shared" si="8"/>
        <v>13022666.201440081</v>
      </c>
      <c r="J49" s="523"/>
      <c r="K49" s="523">
        <f>(I49/1000)</f>
        <v>13022.666201440081</v>
      </c>
      <c r="L49" s="523"/>
      <c r="M49" s="523">
        <v>15670.8154918784</v>
      </c>
      <c r="Q49" s="454">
        <v>15671</v>
      </c>
      <c r="R49" s="461">
        <f t="shared" si="10"/>
        <v>-0.18450812159971974</v>
      </c>
    </row>
    <row r="50" spans="1:18" ht="13.5" customHeight="1">
      <c r="A50" s="216"/>
      <c r="B50" s="523"/>
      <c r="C50" s="664"/>
      <c r="D50" s="523"/>
      <c r="E50" s="664"/>
      <c r="F50" s="523"/>
      <c r="G50" s="664"/>
      <c r="H50" s="523"/>
      <c r="I50" s="664"/>
      <c r="J50" s="523"/>
      <c r="K50" s="664"/>
      <c r="L50" s="523"/>
      <c r="M50" s="664"/>
      <c r="Q50" s="454"/>
      <c r="R50" s="461"/>
    </row>
    <row r="51" spans="1:18">
      <c r="A51" s="216" t="s">
        <v>1017</v>
      </c>
      <c r="B51" s="523"/>
      <c r="C51" s="664">
        <f>SUM(C43:C49)</f>
        <v>22898080.410000183</v>
      </c>
      <c r="D51" s="523"/>
      <c r="E51" s="664">
        <f>SUM(E43:E49)</f>
        <v>26702571.486783221</v>
      </c>
      <c r="F51" s="523"/>
      <c r="G51" s="664">
        <f>SUM(G43:G49)</f>
        <v>-9875414.2085601017</v>
      </c>
      <c r="H51" s="664"/>
      <c r="I51" s="664">
        <f>SUM(I42:I49)</f>
        <v>39725237.688223317</v>
      </c>
      <c r="J51" s="523"/>
      <c r="K51" s="664">
        <f>SUM(K43:K49)</f>
        <v>39725.237688223315</v>
      </c>
      <c r="L51" s="523"/>
      <c r="M51" s="664">
        <v>54243</v>
      </c>
      <c r="Q51" s="460">
        <f>SUM(Q43:Q49)</f>
        <v>54244</v>
      </c>
      <c r="R51" s="466">
        <f>M51-Q51</f>
        <v>-1</v>
      </c>
    </row>
    <row r="52" spans="1:18">
      <c r="A52" s="216"/>
      <c r="B52" s="523"/>
      <c r="C52" s="523"/>
      <c r="D52" s="523"/>
      <c r="E52" s="523"/>
      <c r="F52" s="523"/>
      <c r="G52" s="523"/>
      <c r="H52" s="523"/>
      <c r="I52" s="523"/>
      <c r="J52" s="523"/>
      <c r="K52" s="523"/>
      <c r="L52" s="523"/>
      <c r="M52" s="523"/>
      <c r="R52" s="461"/>
    </row>
    <row r="53" spans="1:18" ht="13.5" thickBot="1">
      <c r="A53" s="216" t="s">
        <v>1018</v>
      </c>
      <c r="B53" s="663"/>
      <c r="C53" s="666">
        <f>C51+C41</f>
        <v>605838263.85000026</v>
      </c>
      <c r="D53" s="663"/>
      <c r="E53" s="666">
        <f>E51+E41</f>
        <v>42969794.226783223</v>
      </c>
      <c r="F53" s="663"/>
      <c r="G53" s="666">
        <f>G51+G41</f>
        <v>-9875414.2085601017</v>
      </c>
      <c r="H53" s="663"/>
      <c r="I53" s="666">
        <f>I51+I41</f>
        <v>638932643.86822343</v>
      </c>
      <c r="J53" s="663"/>
      <c r="K53" s="666">
        <f>K51+K41</f>
        <v>638932.64386822353</v>
      </c>
      <c r="L53" s="663"/>
      <c r="M53" s="666">
        <v>446714</v>
      </c>
      <c r="Q53" s="458">
        <f>Q41+Q51</f>
        <v>446717</v>
      </c>
      <c r="R53" s="467">
        <f>M53-Q53</f>
        <v>-3</v>
      </c>
    </row>
    <row r="54" spans="1:18" ht="13.5" thickTop="1">
      <c r="A54" s="216"/>
      <c r="B54" s="663"/>
      <c r="C54" s="663"/>
      <c r="D54" s="663"/>
      <c r="E54" s="663"/>
      <c r="F54" s="663"/>
      <c r="G54" s="663"/>
      <c r="H54" s="663"/>
      <c r="I54" s="663"/>
      <c r="J54" s="663"/>
      <c r="K54" s="663"/>
      <c r="L54" s="663"/>
      <c r="M54" s="663"/>
    </row>
    <row r="58" spans="1:18">
      <c r="I58" s="239"/>
    </row>
  </sheetData>
  <mergeCells count="1">
    <mergeCell ref="C6:I6"/>
  </mergeCells>
  <printOptions headings="1" gridLines="1"/>
  <pageMargins left="0.4" right="0.2" top="0.22" bottom="0.19" header="0.17" footer="0.17"/>
  <pageSetup scale="75" orientation="landscape" r:id="rId1"/>
  <headerFooter>
    <oddFooter>&amp;L&amp;Z&amp;F&amp;R&amp;A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FF00"/>
    <pageSetUpPr fitToPage="1"/>
  </sheetPr>
  <dimension ref="A1:O192"/>
  <sheetViews>
    <sheetView topLeftCell="A50" zoomScale="90" zoomScaleNormal="90" workbookViewId="0">
      <selection activeCell="F87" sqref="F87"/>
    </sheetView>
  </sheetViews>
  <sheetFormatPr defaultColWidth="9.1796875" defaultRowHeight="13"/>
  <cols>
    <col min="1" max="1" width="30.81640625" style="7" customWidth="1"/>
    <col min="2" max="2" width="35.7265625" style="7" bestFit="1" customWidth="1"/>
    <col min="3" max="3" width="1.453125" style="7" customWidth="1"/>
    <col min="4" max="4" width="15.81640625" style="7" customWidth="1"/>
    <col min="5" max="5" width="5.54296875" style="7" customWidth="1"/>
    <col min="6" max="6" width="15.26953125" style="362" customWidth="1"/>
    <col min="7" max="7" width="1" style="7" customWidth="1"/>
    <col min="8" max="8" width="11" style="7" bestFit="1" customWidth="1"/>
    <col min="9" max="9" width="9" style="14" customWidth="1"/>
    <col min="10" max="10" width="11.54296875" style="7" bestFit="1" customWidth="1"/>
    <col min="11" max="11" width="4.7265625" style="7" bestFit="1" customWidth="1"/>
    <col min="12" max="12" width="16" style="7" customWidth="1"/>
    <col min="13" max="13" width="9.1796875" style="7"/>
    <col min="14" max="14" width="21.54296875" style="7" customWidth="1"/>
    <col min="15" max="16384" width="9.1796875" style="7"/>
  </cols>
  <sheetData>
    <row r="1" spans="1:15">
      <c r="B1" s="244"/>
      <c r="C1" s="244"/>
      <c r="D1" s="245" t="s">
        <v>582</v>
      </c>
      <c r="E1" s="245"/>
      <c r="F1" s="424"/>
      <c r="G1" s="246"/>
      <c r="H1" s="246"/>
      <c r="I1" s="274"/>
    </row>
    <row r="2" spans="1:15">
      <c r="B2" s="247"/>
      <c r="C2" s="247"/>
      <c r="D2" s="413" t="s">
        <v>583</v>
      </c>
      <c r="E2" s="413"/>
      <c r="F2" s="425"/>
      <c r="G2" s="246"/>
      <c r="H2" s="246"/>
      <c r="I2" s="274"/>
    </row>
    <row r="3" spans="1:15">
      <c r="B3" s="248"/>
      <c r="C3" s="248"/>
      <c r="D3" s="413"/>
      <c r="E3" s="413"/>
      <c r="F3" s="425"/>
      <c r="G3" s="246"/>
      <c r="H3" s="246"/>
      <c r="I3" s="274"/>
    </row>
    <row r="4" spans="1:15">
      <c r="B4" s="248"/>
      <c r="C4" s="248"/>
      <c r="D4" s="413"/>
      <c r="E4" s="413"/>
      <c r="F4" s="425"/>
      <c r="G4" s="246"/>
      <c r="H4" s="246"/>
      <c r="I4" s="274"/>
    </row>
    <row r="5" spans="1:15">
      <c r="B5" s="247"/>
      <c r="C5" s="247"/>
      <c r="D5" s="247"/>
      <c r="E5" s="247"/>
      <c r="F5" s="426"/>
      <c r="G5" s="246"/>
      <c r="H5" s="246"/>
      <c r="I5" s="274"/>
    </row>
    <row r="6" spans="1:15">
      <c r="B6" s="249"/>
      <c r="C6" s="249"/>
      <c r="D6" s="250" t="s">
        <v>1068</v>
      </c>
      <c r="E6" s="251"/>
      <c r="F6" s="427" t="s">
        <v>1277</v>
      </c>
      <c r="G6" s="246"/>
      <c r="H6" s="246"/>
      <c r="I6" s="274"/>
      <c r="J6" s="256"/>
      <c r="K6" s="256"/>
      <c r="L6" s="257"/>
    </row>
    <row r="7" spans="1:15">
      <c r="A7" s="430" t="s">
        <v>1482</v>
      </c>
      <c r="B7" s="430" t="s">
        <v>1407</v>
      </c>
      <c r="C7" s="249"/>
      <c r="D7" s="252" t="s">
        <v>584</v>
      </c>
      <c r="E7" s="253"/>
      <c r="F7" s="428" t="s">
        <v>584</v>
      </c>
      <c r="G7" s="246"/>
      <c r="H7" s="246"/>
      <c r="I7" s="274"/>
      <c r="J7" s="247"/>
      <c r="K7" s="247"/>
      <c r="L7" s="258"/>
    </row>
    <row r="8" spans="1:15">
      <c r="A8" s="429" t="s">
        <v>1275</v>
      </c>
      <c r="B8" s="404" t="s">
        <v>1275</v>
      </c>
      <c r="C8" s="249"/>
      <c r="D8" s="403">
        <v>0</v>
      </c>
      <c r="E8" s="253"/>
      <c r="F8" s="448">
        <f>VLOOKUP(A8,'CT -BS for updates'!$B$13:$D$142,3,FALSE)</f>
        <v>980401.35</v>
      </c>
      <c r="G8" s="246"/>
      <c r="H8" s="246"/>
      <c r="I8" s="274"/>
      <c r="J8" s="247"/>
      <c r="K8" s="247"/>
      <c r="L8" s="258"/>
    </row>
    <row r="9" spans="1:15">
      <c r="A9" s="429" t="s">
        <v>1402</v>
      </c>
      <c r="B9" s="419" t="s">
        <v>585</v>
      </c>
      <c r="C9" s="419"/>
      <c r="D9" s="259">
        <v>46320</v>
      </c>
      <c r="E9" s="433"/>
      <c r="F9" s="448">
        <f>VLOOKUP(A9,'CT -BS for updates'!$B$13:$D$142,3,FALSE)</f>
        <v>74392.7</v>
      </c>
      <c r="G9" s="246"/>
      <c r="H9" s="254"/>
      <c r="I9" s="274"/>
      <c r="J9" s="260"/>
      <c r="K9" s="261"/>
      <c r="L9" s="259"/>
    </row>
    <row r="10" spans="1:15">
      <c r="A10" s="429" t="s">
        <v>1401</v>
      </c>
      <c r="B10" s="419" t="s">
        <v>586</v>
      </c>
      <c r="C10" s="419"/>
      <c r="D10" s="259">
        <v>0</v>
      </c>
      <c r="E10" s="433"/>
      <c r="F10" s="448">
        <f>VLOOKUP(A10,'CT -BS for updates'!$B$13:$D$142,3,FALSE)</f>
        <v>-1344448.23</v>
      </c>
      <c r="G10" s="246"/>
      <c r="H10" s="254"/>
      <c r="I10" s="274"/>
      <c r="J10" s="260"/>
      <c r="K10" s="261"/>
      <c r="L10" s="259"/>
      <c r="O10" s="404"/>
    </row>
    <row r="11" spans="1:15">
      <c r="A11" s="429" t="s">
        <v>1399</v>
      </c>
      <c r="B11" s="419" t="s">
        <v>587</v>
      </c>
      <c r="C11" s="419"/>
      <c r="D11" s="259">
        <v>4865941.75</v>
      </c>
      <c r="E11" s="433"/>
      <c r="F11" s="448">
        <f>VLOOKUP(A11,'CT -BS for updates'!$B$13:$D$142,3,FALSE)</f>
        <v>0</v>
      </c>
      <c r="G11" s="246"/>
      <c r="H11" s="254"/>
      <c r="I11" s="274"/>
      <c r="J11" s="260"/>
      <c r="K11" s="261"/>
      <c r="L11" s="259"/>
    </row>
    <row r="12" spans="1:15">
      <c r="A12" s="429" t="s">
        <v>1398</v>
      </c>
      <c r="B12" s="419" t="s">
        <v>588</v>
      </c>
      <c r="C12" s="419"/>
      <c r="D12" s="259">
        <v>114084.42</v>
      </c>
      <c r="E12" s="433"/>
      <c r="F12" s="448">
        <f>VLOOKUP(A12,'CT -BS for updates'!$B$13:$D$142,3,FALSE)</f>
        <v>3394862.32</v>
      </c>
      <c r="G12" s="246"/>
      <c r="H12" s="254"/>
      <c r="I12" s="274"/>
      <c r="J12" s="260"/>
      <c r="K12" s="261"/>
      <c r="L12" s="259"/>
    </row>
    <row r="13" spans="1:15">
      <c r="A13" s="429" t="s">
        <v>1397</v>
      </c>
      <c r="B13" s="419" t="s">
        <v>589</v>
      </c>
      <c r="C13" s="419"/>
      <c r="D13" s="259">
        <v>20007.86</v>
      </c>
      <c r="E13" s="433"/>
      <c r="F13" s="448">
        <f>VLOOKUP(A13,'CT -BS for updates'!$B$13:$D$142,3,FALSE)</f>
        <v>23806.94</v>
      </c>
      <c r="H13" s="254"/>
      <c r="J13" s="260"/>
      <c r="K13" s="261"/>
      <c r="L13" s="259"/>
    </row>
    <row r="14" spans="1:15">
      <c r="A14" s="429" t="s">
        <v>1396</v>
      </c>
      <c r="B14" s="419" t="s">
        <v>590</v>
      </c>
      <c r="C14" s="419"/>
      <c r="D14" s="259">
        <v>24550</v>
      </c>
      <c r="E14" s="433"/>
      <c r="F14" s="448">
        <f>VLOOKUP(A14,'CT -BS for updates'!$B$13:$D$142,3,FALSE)</f>
        <v>24550</v>
      </c>
      <c r="H14" s="254"/>
      <c r="J14" s="260"/>
      <c r="K14" s="261"/>
      <c r="L14" s="259"/>
    </row>
    <row r="15" spans="1:15">
      <c r="A15" s="429" t="s">
        <v>1395</v>
      </c>
      <c r="B15" s="419" t="s">
        <v>591</v>
      </c>
      <c r="C15" s="419"/>
      <c r="D15" s="262">
        <v>714861.26</v>
      </c>
      <c r="E15" s="433"/>
      <c r="F15" s="448">
        <f>VLOOKUP(A15,'CT -BS for updates'!$B$13:$D$142,3,FALSE)</f>
        <v>1011955.12</v>
      </c>
      <c r="H15" s="254"/>
      <c r="J15" s="260"/>
      <c r="K15" s="261"/>
      <c r="L15" s="259"/>
    </row>
    <row r="16" spans="1:15">
      <c r="A16" s="429" t="s">
        <v>1394</v>
      </c>
      <c r="B16" s="419" t="s">
        <v>592</v>
      </c>
      <c r="C16" s="419"/>
      <c r="D16" s="262">
        <v>-13636.11</v>
      </c>
      <c r="E16" s="433"/>
      <c r="F16" s="448">
        <f>VLOOKUP(A16,'CT -BS for updates'!$B$13:$D$142,3,FALSE)</f>
        <v>-75472.479999999996</v>
      </c>
      <c r="H16" s="254"/>
      <c r="J16" s="260"/>
      <c r="K16" s="261"/>
      <c r="L16" s="259"/>
    </row>
    <row r="17" spans="1:12">
      <c r="A17" s="429" t="s">
        <v>1393</v>
      </c>
      <c r="B17" s="419" t="s">
        <v>593</v>
      </c>
      <c r="C17" s="419"/>
      <c r="D17" s="262">
        <v>-329680.06</v>
      </c>
      <c r="E17" s="433"/>
      <c r="F17" s="448">
        <f>VLOOKUP(A17,'CT -BS for updates'!$B$13:$D$142,3,FALSE)</f>
        <v>-2763988.17</v>
      </c>
      <c r="H17" s="254"/>
      <c r="J17" s="260"/>
      <c r="K17" s="261"/>
      <c r="L17" s="259"/>
    </row>
    <row r="18" spans="1:12">
      <c r="A18" s="429" t="s">
        <v>1392</v>
      </c>
      <c r="B18" s="419" t="s">
        <v>594</v>
      </c>
      <c r="C18" s="419"/>
      <c r="D18" s="262">
        <v>1271615.6299999999</v>
      </c>
      <c r="E18" s="433"/>
      <c r="F18" s="448">
        <f>VLOOKUP(A18,'CT -BS for updates'!$B$13:$D$142,3,FALSE)</f>
        <v>826097.26</v>
      </c>
      <c r="H18" s="254"/>
      <c r="J18" s="260"/>
      <c r="K18" s="261"/>
      <c r="L18" s="259"/>
    </row>
    <row r="19" spans="1:12">
      <c r="A19" s="429" t="s">
        <v>1391</v>
      </c>
      <c r="B19" s="419" t="s">
        <v>595</v>
      </c>
      <c r="C19" s="419"/>
      <c r="D19" s="262">
        <v>15431</v>
      </c>
      <c r="E19" s="433"/>
      <c r="F19" s="448">
        <f>VLOOKUP(A19,'CT -BS for updates'!$B$13:$D$142,3,FALSE)</f>
        <v>-56671</v>
      </c>
      <c r="H19" s="254"/>
      <c r="J19" s="260"/>
      <c r="K19" s="261"/>
      <c r="L19" s="259"/>
    </row>
    <row r="20" spans="1:12">
      <c r="A20" s="429" t="s">
        <v>1390</v>
      </c>
      <c r="B20" s="419" t="s">
        <v>596</v>
      </c>
      <c r="C20" s="419"/>
      <c r="D20" s="262">
        <v>224069.49</v>
      </c>
      <c r="E20" s="433"/>
      <c r="F20" s="448">
        <f>VLOOKUP(A20,'CT -BS for updates'!$B$13:$D$142,3,FALSE)</f>
        <v>-48119.040000000001</v>
      </c>
      <c r="H20" s="254"/>
      <c r="J20" s="260"/>
      <c r="K20" s="261"/>
      <c r="L20" s="259"/>
    </row>
    <row r="21" spans="1:12">
      <c r="A21" s="429" t="s">
        <v>1389</v>
      </c>
      <c r="B21" s="419" t="s">
        <v>597</v>
      </c>
      <c r="C21" s="419"/>
      <c r="D21" s="262">
        <v>581511.42000000004</v>
      </c>
      <c r="E21" s="433"/>
      <c r="F21" s="448">
        <f>VLOOKUP(A21,'CT -BS for updates'!$B$13:$D$142,3,FALSE)</f>
        <v>287273.69</v>
      </c>
      <c r="H21" s="254"/>
      <c r="J21" s="260"/>
      <c r="K21" s="261"/>
      <c r="L21" s="259"/>
    </row>
    <row r="22" spans="1:12">
      <c r="A22" s="429" t="s">
        <v>1388</v>
      </c>
      <c r="B22" s="419"/>
      <c r="C22" s="419"/>
      <c r="D22" s="262"/>
      <c r="E22" s="433"/>
      <c r="F22" s="448">
        <f>VLOOKUP(A22,'CT -BS for updates'!$B$13:$D$142,3,FALSE)</f>
        <v>37.42</v>
      </c>
      <c r="H22" s="254"/>
      <c r="J22" s="260"/>
      <c r="K22" s="261"/>
      <c r="L22" s="259"/>
    </row>
    <row r="23" spans="1:12">
      <c r="A23" s="429" t="s">
        <v>1387</v>
      </c>
      <c r="B23" s="419" t="s">
        <v>598</v>
      </c>
      <c r="C23" s="419"/>
      <c r="D23" s="262">
        <v>67004.429999999993</v>
      </c>
      <c r="E23" s="433"/>
      <c r="F23" s="448">
        <f>VLOOKUP(A23,'CT -BS for updates'!$B$13:$D$142,3,FALSE)</f>
        <v>56686.33</v>
      </c>
      <c r="H23" s="254"/>
      <c r="J23" s="260"/>
      <c r="K23" s="261"/>
      <c r="L23" s="259"/>
    </row>
    <row r="24" spans="1:12">
      <c r="A24" s="429" t="s">
        <v>1386</v>
      </c>
      <c r="B24" s="419" t="s">
        <v>599</v>
      </c>
      <c r="C24" s="419"/>
      <c r="D24" s="262">
        <v>5580.23</v>
      </c>
      <c r="E24" s="433"/>
      <c r="F24" s="448">
        <f>VLOOKUP(A24,'CT -BS for updates'!$B$13:$D$142,3,FALSE)</f>
        <v>30620.6</v>
      </c>
      <c r="H24" s="254"/>
      <c r="J24" s="260"/>
      <c r="K24" s="261"/>
      <c r="L24" s="259"/>
    </row>
    <row r="25" spans="1:12">
      <c r="A25" s="429" t="s">
        <v>1385</v>
      </c>
      <c r="B25" s="419" t="s">
        <v>600</v>
      </c>
      <c r="C25" s="419"/>
      <c r="D25" s="262">
        <v>-129704.57</v>
      </c>
      <c r="E25" s="433"/>
      <c r="F25" s="448">
        <f>VLOOKUP(A25,'CT -BS for updates'!$B$13:$D$142,3,FALSE)</f>
        <v>0</v>
      </c>
      <c r="H25" s="15">
        <f>F25/1000</f>
        <v>0</v>
      </c>
      <c r="I25" s="14" t="s">
        <v>1029</v>
      </c>
      <c r="J25" s="263"/>
      <c r="K25" s="261"/>
      <c r="L25" s="259"/>
    </row>
    <row r="26" spans="1:12">
      <c r="A26" s="447" t="s">
        <v>1384</v>
      </c>
      <c r="B26" s="419"/>
      <c r="C26" s="419"/>
      <c r="D26" s="262"/>
      <c r="E26" s="433"/>
      <c r="F26" s="448">
        <f>VLOOKUP(A26,'CT -BS for updates'!$B$13:$D$142,3,FALSE)</f>
        <v>-29700.78</v>
      </c>
      <c r="H26" s="15">
        <f>F26/1000</f>
        <v>-29.700779999999998</v>
      </c>
      <c r="I26" s="14" t="s">
        <v>1029</v>
      </c>
      <c r="J26" s="263"/>
      <c r="K26" s="261"/>
      <c r="L26" s="259"/>
    </row>
    <row r="27" spans="1:12">
      <c r="A27" s="447" t="s">
        <v>1383</v>
      </c>
      <c r="B27" s="419" t="s">
        <v>601</v>
      </c>
      <c r="C27" s="419"/>
      <c r="D27" s="262">
        <v>-181980.87</v>
      </c>
      <c r="E27" s="433"/>
      <c r="F27" s="448">
        <f>VLOOKUP(A27,'CT -BS for updates'!$B$13:$D$142,3,FALSE)</f>
        <v>-78358.91</v>
      </c>
      <c r="H27" s="15">
        <f>F27/1000</f>
        <v>-78.358910000000009</v>
      </c>
      <c r="I27" s="14" t="s">
        <v>1029</v>
      </c>
      <c r="J27" s="263"/>
      <c r="K27" s="261"/>
      <c r="L27" s="259"/>
    </row>
    <row r="28" spans="1:12">
      <c r="A28" s="429" t="s">
        <v>1382</v>
      </c>
      <c r="B28" s="419"/>
      <c r="C28" s="419"/>
      <c r="D28" s="262"/>
      <c r="E28" s="433"/>
      <c r="F28" s="448">
        <f>VLOOKUP(A28,'CT -BS for updates'!$B$13:$D$142,3,FALSE)</f>
        <v>-71762.149999999994</v>
      </c>
      <c r="H28" s="15"/>
      <c r="J28" s="263"/>
      <c r="K28" s="261"/>
      <c r="L28" s="259"/>
    </row>
    <row r="29" spans="1:12">
      <c r="A29" s="429" t="s">
        <v>1381</v>
      </c>
      <c r="B29" s="419" t="s">
        <v>602</v>
      </c>
      <c r="C29" s="419"/>
      <c r="D29" s="262">
        <v>101556.41</v>
      </c>
      <c r="E29" s="433"/>
      <c r="F29" s="448">
        <f>VLOOKUP(A29,'CT -BS for updates'!$B$13:$D$142,3,FALSE)</f>
        <v>325564.40000000002</v>
      </c>
      <c r="H29" s="254"/>
      <c r="J29" s="263"/>
      <c r="K29" s="261"/>
      <c r="L29" s="259"/>
    </row>
    <row r="30" spans="1:12">
      <c r="A30" s="429" t="s">
        <v>1380</v>
      </c>
      <c r="B30" s="419" t="s">
        <v>603</v>
      </c>
      <c r="C30" s="419"/>
      <c r="D30" s="262">
        <v>277670.52</v>
      </c>
      <c r="E30" s="433"/>
      <c r="F30" s="448">
        <f>VLOOKUP(A30,'CT -BS for updates'!$B$13:$D$142,3,FALSE)</f>
        <v>997153.8</v>
      </c>
      <c r="H30" s="254"/>
      <c r="J30" s="260"/>
      <c r="K30" s="261"/>
      <c r="L30" s="259"/>
    </row>
    <row r="31" spans="1:12">
      <c r="A31" s="429" t="s">
        <v>1379</v>
      </c>
      <c r="B31" s="419" t="s">
        <v>604</v>
      </c>
      <c r="C31" s="419"/>
      <c r="D31" s="262">
        <v>0</v>
      </c>
      <c r="E31" s="433"/>
      <c r="F31" s="448">
        <f>VLOOKUP(A31,'CT -BS for updates'!$B$13:$D$142,3,FALSE)</f>
        <v>52391.66</v>
      </c>
      <c r="H31" s="254"/>
      <c r="L31" s="259"/>
    </row>
    <row r="32" spans="1:12">
      <c r="A32" s="429" t="s">
        <v>1378</v>
      </c>
      <c r="B32" s="419" t="s">
        <v>605</v>
      </c>
      <c r="C32" s="419"/>
      <c r="D32" s="262">
        <v>-1649.28</v>
      </c>
      <c r="E32" s="433"/>
      <c r="F32" s="448">
        <f>VLOOKUP(A32,'CT -BS for updates'!$B$13:$D$142,3,FALSE)</f>
        <v>-1649.28</v>
      </c>
      <c r="H32" s="254"/>
      <c r="J32" s="260"/>
      <c r="K32" s="261"/>
      <c r="L32" s="259"/>
    </row>
    <row r="33" spans="1:12">
      <c r="A33" s="447" t="s">
        <v>1377</v>
      </c>
      <c r="B33" s="419" t="s">
        <v>606</v>
      </c>
      <c r="C33" s="419"/>
      <c r="D33" s="259">
        <v>18079959.489999998</v>
      </c>
      <c r="E33" s="433"/>
      <c r="F33" s="448">
        <f>VLOOKUP(A33,'CT -BS for updates'!$B$13:$D$142,3,FALSE)</f>
        <v>18349264.149999999</v>
      </c>
      <c r="H33" s="15">
        <f>F33/1000</f>
        <v>18349.264149999999</v>
      </c>
      <c r="I33" s="446">
        <v>5.45E-2</v>
      </c>
      <c r="J33" s="445">
        <f>H33*I33</f>
        <v>1000.034896175</v>
      </c>
      <c r="K33" s="14" t="s">
        <v>1029</v>
      </c>
      <c r="L33" s="259"/>
    </row>
    <row r="34" spans="1:12">
      <c r="A34" s="447" t="s">
        <v>1376</v>
      </c>
      <c r="B34" s="419" t="s">
        <v>607</v>
      </c>
      <c r="C34" s="419"/>
      <c r="D34" s="259">
        <v>-40079.71</v>
      </c>
      <c r="E34" s="433"/>
      <c r="F34" s="448">
        <f>VLOOKUP(A34,'CT -BS for updates'!$B$13:$D$142,3,FALSE)</f>
        <v>-457728.51</v>
      </c>
      <c r="H34" s="15">
        <f>F34/1000</f>
        <v>-457.72851000000003</v>
      </c>
      <c r="I34" s="14" t="s">
        <v>1029</v>
      </c>
      <c r="J34" s="260"/>
      <c r="K34" s="261"/>
      <c r="L34" s="259"/>
    </row>
    <row r="35" spans="1:12">
      <c r="A35" s="429" t="s">
        <v>1375</v>
      </c>
      <c r="B35" s="419" t="s">
        <v>608</v>
      </c>
      <c r="C35" s="419"/>
      <c r="D35" s="259"/>
      <c r="E35" s="433"/>
      <c r="F35" s="448">
        <f>VLOOKUP(A35,'CT -BS for updates'!$B$13:$D$142,3,FALSE)</f>
        <v>-16855.82</v>
      </c>
      <c r="H35" s="254"/>
      <c r="J35" s="260"/>
      <c r="K35" s="261"/>
      <c r="L35" s="259"/>
    </row>
    <row r="36" spans="1:12">
      <c r="A36" s="429" t="s">
        <v>1374</v>
      </c>
      <c r="B36" s="419" t="s">
        <v>609</v>
      </c>
      <c r="C36" s="419"/>
      <c r="D36" s="259"/>
      <c r="E36" s="433"/>
      <c r="F36" s="448">
        <f>VLOOKUP(A36,'CT -BS for updates'!$B$13:$D$142,3,FALSE)</f>
        <v>2812.59</v>
      </c>
      <c r="H36" s="254"/>
      <c r="J36" s="260"/>
      <c r="K36" s="261"/>
      <c r="L36" s="259"/>
    </row>
    <row r="37" spans="1:12">
      <c r="A37" s="429" t="s">
        <v>1373</v>
      </c>
      <c r="B37" s="419"/>
      <c r="C37" s="419"/>
      <c r="D37" s="259"/>
      <c r="E37" s="433"/>
      <c r="F37" s="448">
        <f>VLOOKUP(A37,'CT -BS for updates'!$B$13:$D$142,3,FALSE)</f>
        <v>0</v>
      </c>
      <c r="H37" s="254"/>
      <c r="J37" s="260"/>
      <c r="K37" s="261"/>
      <c r="L37" s="259"/>
    </row>
    <row r="38" spans="1:12">
      <c r="A38" s="429" t="s">
        <v>1372</v>
      </c>
      <c r="B38" s="419" t="s">
        <v>610</v>
      </c>
      <c r="C38" s="419"/>
      <c r="D38" s="441">
        <v>270472.53000000003</v>
      </c>
      <c r="E38" s="433"/>
      <c r="F38" s="448">
        <f>VLOOKUP(A38,'CT -BS for updates'!$B$13:$D$142,3,FALSE)</f>
        <v>199971.27</v>
      </c>
      <c r="H38" s="254"/>
      <c r="J38" s="260"/>
      <c r="K38" s="261"/>
      <c r="L38" s="259"/>
    </row>
    <row r="39" spans="1:12">
      <c r="A39" s="429" t="s">
        <v>1371</v>
      </c>
      <c r="B39" s="419"/>
      <c r="C39" s="419"/>
      <c r="D39" s="441"/>
      <c r="E39" s="433"/>
      <c r="F39" s="448">
        <f>VLOOKUP(A39,'CT -BS for updates'!$B$13:$D$142,3,FALSE)</f>
        <v>-116449.24</v>
      </c>
      <c r="H39" s="254"/>
      <c r="J39" s="260"/>
      <c r="K39" s="261"/>
      <c r="L39" s="259"/>
    </row>
    <row r="40" spans="1:12">
      <c r="A40" s="429" t="s">
        <v>1370</v>
      </c>
      <c r="B40" s="419" t="s">
        <v>611</v>
      </c>
      <c r="C40" s="419"/>
      <c r="D40" s="441">
        <v>-2273390.17</v>
      </c>
      <c r="E40" s="433"/>
      <c r="F40" s="448">
        <f>VLOOKUP(A40,'CT -BS for updates'!$B$13:$D$142,3,FALSE)</f>
        <v>-2405560.38</v>
      </c>
      <c r="H40" s="254"/>
      <c r="J40" s="260"/>
      <c r="K40" s="261"/>
      <c r="L40" s="259"/>
    </row>
    <row r="41" spans="1:12">
      <c r="A41" s="429" t="s">
        <v>1369</v>
      </c>
      <c r="B41" s="419" t="s">
        <v>612</v>
      </c>
      <c r="C41" s="419"/>
      <c r="D41" s="441">
        <v>147280.04999999999</v>
      </c>
      <c r="E41" s="433"/>
      <c r="F41" s="448">
        <f>VLOOKUP(A41,'CT -BS for updates'!$B$13:$D$142,3,FALSE)</f>
        <v>91282.52</v>
      </c>
      <c r="H41" s="254"/>
      <c r="J41" s="260"/>
      <c r="K41" s="261"/>
      <c r="L41" s="259"/>
    </row>
    <row r="42" spans="1:12">
      <c r="A42" s="447" t="s">
        <v>1368</v>
      </c>
      <c r="B42" s="419" t="s">
        <v>613</v>
      </c>
      <c r="C42" s="419"/>
      <c r="D42" s="441">
        <v>50020.18</v>
      </c>
      <c r="E42" s="433"/>
      <c r="F42" s="448">
        <f>VLOOKUP(A42,'CT -BS for updates'!$B$13:$D$142,3,FALSE)</f>
        <v>264748.34999999998</v>
      </c>
      <c r="H42" s="450">
        <f>F42/1000</f>
        <v>264.74834999999996</v>
      </c>
      <c r="I42" s="14" t="s">
        <v>1029</v>
      </c>
      <c r="J42" s="260"/>
      <c r="K42" s="261"/>
      <c r="L42" s="259"/>
    </row>
    <row r="43" spans="1:12">
      <c r="A43" s="429" t="s">
        <v>1367</v>
      </c>
      <c r="B43" s="419" t="s">
        <v>614</v>
      </c>
      <c r="C43" s="419"/>
      <c r="D43" s="441">
        <v>8617.67</v>
      </c>
      <c r="E43" s="433"/>
      <c r="F43" s="448">
        <f>VLOOKUP(A43,'CT -BS for updates'!$B$13:$D$142,3,FALSE)</f>
        <v>39906.01</v>
      </c>
      <c r="H43" s="254"/>
      <c r="J43" s="260"/>
      <c r="K43" s="261"/>
      <c r="L43" s="259"/>
    </row>
    <row r="44" spans="1:12">
      <c r="A44" s="429" t="s">
        <v>1366</v>
      </c>
      <c r="B44" s="419" t="s">
        <v>615</v>
      </c>
      <c r="C44" s="419"/>
      <c r="D44" s="441">
        <v>20503.98</v>
      </c>
      <c r="E44" s="433"/>
      <c r="F44" s="448">
        <f>VLOOKUP(A44,'CT -BS for updates'!$B$13:$D$142,3,FALSE)</f>
        <v>19407.16</v>
      </c>
      <c r="H44" s="254"/>
      <c r="J44" s="260"/>
      <c r="K44" s="261"/>
      <c r="L44" s="259"/>
    </row>
    <row r="45" spans="1:12">
      <c r="A45" s="429" t="s">
        <v>1365</v>
      </c>
      <c r="B45" s="419" t="s">
        <v>616</v>
      </c>
      <c r="C45" s="419"/>
      <c r="D45" s="441">
        <v>36856.74</v>
      </c>
      <c r="E45" s="433"/>
      <c r="F45" s="448">
        <f>VLOOKUP(A45,'CT -BS for updates'!$B$13:$D$142,3,FALSE)</f>
        <v>31396.52</v>
      </c>
      <c r="H45" s="254"/>
      <c r="J45" s="260"/>
      <c r="K45" s="261"/>
      <c r="L45" s="259"/>
    </row>
    <row r="46" spans="1:12">
      <c r="A46" s="429" t="s">
        <v>1364</v>
      </c>
      <c r="B46" s="419" t="s">
        <v>617</v>
      </c>
      <c r="C46" s="419"/>
      <c r="D46" s="441">
        <v>31023.71</v>
      </c>
      <c r="E46" s="433"/>
      <c r="F46" s="448">
        <f>VLOOKUP(A46,'CT -BS for updates'!$B$13:$D$142,3,FALSE)</f>
        <v>-9579.01</v>
      </c>
      <c r="H46" s="254"/>
      <c r="J46" s="260"/>
      <c r="K46" s="261"/>
      <c r="L46" s="259"/>
    </row>
    <row r="47" spans="1:12">
      <c r="A47" s="429" t="s">
        <v>1363</v>
      </c>
      <c r="B47" s="419" t="s">
        <v>618</v>
      </c>
      <c r="C47" s="419"/>
      <c r="D47" s="441">
        <v>36240.400000000001</v>
      </c>
      <c r="E47" s="433"/>
      <c r="F47" s="448">
        <f>VLOOKUP(A47,'CT -BS for updates'!$B$13:$D$142,3,FALSE)</f>
        <v>17578.099999999999</v>
      </c>
      <c r="H47" s="254"/>
      <c r="J47" s="260"/>
      <c r="K47" s="261"/>
      <c r="L47" s="259"/>
    </row>
    <row r="48" spans="1:12">
      <c r="B48" s="419" t="s">
        <v>689</v>
      </c>
      <c r="C48" s="419"/>
      <c r="D48" s="438">
        <v>0</v>
      </c>
      <c r="E48" s="433"/>
      <c r="F48" s="448"/>
      <c r="H48" s="254"/>
      <c r="J48" s="260"/>
      <c r="K48" s="261"/>
      <c r="L48" s="259"/>
    </row>
    <row r="49" spans="1:12">
      <c r="A49" s="404" t="s">
        <v>1289</v>
      </c>
      <c r="B49" s="419" t="s">
        <v>690</v>
      </c>
      <c r="C49" s="419"/>
      <c r="D49" s="441">
        <v>3466180.92</v>
      </c>
      <c r="E49" s="433"/>
      <c r="F49" s="448">
        <f>-VLOOKUP(A49,'CT -BS for updates'!$B$13:$D$142,3,FALSE)</f>
        <v>5767923.2699999996</v>
      </c>
      <c r="H49" s="254"/>
      <c r="J49" s="260"/>
      <c r="K49" s="261"/>
      <c r="L49" s="259"/>
    </row>
    <row r="50" spans="1:12">
      <c r="B50" s="419" t="s">
        <v>691</v>
      </c>
      <c r="C50" s="419"/>
      <c r="D50" s="433">
        <v>0</v>
      </c>
      <c r="E50" s="433"/>
      <c r="F50" s="448"/>
      <c r="H50" s="254"/>
      <c r="J50" s="260"/>
      <c r="K50" s="261"/>
      <c r="L50" s="259"/>
    </row>
    <row r="51" spans="1:12">
      <c r="A51" s="429" t="s">
        <v>1362</v>
      </c>
      <c r="B51" s="419" t="s">
        <v>619</v>
      </c>
      <c r="C51" s="419"/>
      <c r="D51" s="438">
        <v>5813816.8399999999</v>
      </c>
      <c r="E51" s="433"/>
      <c r="F51" s="448">
        <f>VLOOKUP(A51,'CT -BS for updates'!$B$13:$D$142,3,FALSE)</f>
        <v>2302972.84</v>
      </c>
      <c r="H51" s="254"/>
      <c r="J51" s="260"/>
      <c r="K51" s="261"/>
      <c r="L51" s="259"/>
    </row>
    <row r="52" spans="1:12">
      <c r="A52" s="447" t="s">
        <v>1361</v>
      </c>
      <c r="B52" s="419" t="s">
        <v>620</v>
      </c>
      <c r="C52" s="419"/>
      <c r="D52" s="438">
        <v>1953375.89</v>
      </c>
      <c r="E52" s="433"/>
      <c r="F52" s="448">
        <f>VLOOKUP(A52,'CT -BS for updates'!$B$13:$D$142,3,FALSE)</f>
        <v>3305737.28</v>
      </c>
      <c r="H52" s="254">
        <f>F52/1000</f>
        <v>3305.7372799999998</v>
      </c>
      <c r="J52" s="260"/>
      <c r="K52" s="261"/>
      <c r="L52" s="259"/>
    </row>
    <row r="53" spans="1:12">
      <c r="A53" s="429" t="s">
        <v>1360</v>
      </c>
      <c r="B53" s="419" t="s">
        <v>621</v>
      </c>
      <c r="C53" s="419"/>
      <c r="D53" s="438">
        <v>9495345.5999999996</v>
      </c>
      <c r="E53" s="433"/>
      <c r="F53" s="448">
        <f>VLOOKUP(A53,'CT -BS for updates'!$B$13:$D$142,3,FALSE)</f>
        <v>9507435.8499999996</v>
      </c>
      <c r="H53" s="254"/>
      <c r="J53" s="260"/>
      <c r="K53" s="261"/>
      <c r="L53" s="259"/>
    </row>
    <row r="54" spans="1:12">
      <c r="A54" s="429" t="s">
        <v>1359</v>
      </c>
      <c r="B54" s="419" t="s">
        <v>622</v>
      </c>
      <c r="C54" s="419"/>
      <c r="D54" s="438">
        <v>3563753.19</v>
      </c>
      <c r="E54" s="433"/>
      <c r="F54" s="448">
        <f>VLOOKUP(A54,'CT -BS for updates'!$B$13:$D$142,3,FALSE)</f>
        <v>3625233.52</v>
      </c>
      <c r="H54" s="254"/>
      <c r="J54" s="260"/>
      <c r="K54" s="261"/>
      <c r="L54" s="259"/>
    </row>
    <row r="55" spans="1:12">
      <c r="A55" s="429" t="s">
        <v>1358</v>
      </c>
      <c r="B55" s="419" t="s">
        <v>623</v>
      </c>
      <c r="C55" s="419"/>
      <c r="D55" s="438">
        <v>3422494.19</v>
      </c>
      <c r="E55" s="433"/>
      <c r="F55" s="448">
        <f>VLOOKUP(A55,'CT -BS for updates'!$B$13:$D$142,3,FALSE)</f>
        <v>3465501.25</v>
      </c>
      <c r="H55" s="254"/>
      <c r="J55" s="260"/>
      <c r="K55" s="261"/>
      <c r="L55" s="259"/>
    </row>
    <row r="56" spans="1:12">
      <c r="A56" s="429" t="s">
        <v>1357</v>
      </c>
      <c r="B56" s="419" t="s">
        <v>624</v>
      </c>
      <c r="C56" s="419"/>
      <c r="D56" s="438">
        <v>1186678.3500000001</v>
      </c>
      <c r="E56" s="433"/>
      <c r="F56" s="448">
        <f>VLOOKUP(A56,'CT -BS for updates'!$B$13:$D$142,3,FALSE)</f>
        <v>1186678.3500000001</v>
      </c>
      <c r="H56" s="254"/>
      <c r="J56" s="260"/>
      <c r="K56" s="261"/>
      <c r="L56" s="259"/>
    </row>
    <row r="57" spans="1:12">
      <c r="A57" s="429" t="s">
        <v>1356</v>
      </c>
      <c r="B57" s="419" t="s">
        <v>625</v>
      </c>
      <c r="C57" s="419"/>
      <c r="D57" s="438">
        <v>12373980.73</v>
      </c>
      <c r="E57" s="433"/>
      <c r="F57" s="448">
        <f>VLOOKUP(A57,'CT -BS for updates'!$B$13:$D$142,3,FALSE)</f>
        <v>12388294.58</v>
      </c>
      <c r="H57" s="254"/>
      <c r="J57" s="260"/>
      <c r="K57" s="261"/>
      <c r="L57" s="259"/>
    </row>
    <row r="58" spans="1:12">
      <c r="A58" s="429" t="s">
        <v>1355</v>
      </c>
      <c r="B58" s="419" t="s">
        <v>626</v>
      </c>
      <c r="C58" s="419"/>
      <c r="D58" s="438">
        <v>19977974.629999999</v>
      </c>
      <c r="E58" s="433"/>
      <c r="F58" s="448">
        <f>VLOOKUP(A58,'CT -BS for updates'!$B$13:$D$142,3,FALSE)</f>
        <v>21202634.469999999</v>
      </c>
      <c r="H58" s="254"/>
      <c r="J58" s="260"/>
      <c r="K58" s="261"/>
      <c r="L58" s="259"/>
    </row>
    <row r="59" spans="1:12">
      <c r="A59" s="429" t="s">
        <v>1354</v>
      </c>
      <c r="B59" s="419" t="s">
        <v>627</v>
      </c>
      <c r="C59" s="419"/>
      <c r="D59" s="438">
        <v>1022522.71</v>
      </c>
      <c r="E59" s="433"/>
      <c r="F59" s="448">
        <f>VLOOKUP(A59,'CT -BS for updates'!$B$13:$D$142,3,FALSE)</f>
        <v>1040172.43</v>
      </c>
      <c r="H59" s="254"/>
      <c r="J59" s="445">
        <f>SUM(F53:F61)/1000+(F63/1000)</f>
        <v>53082.396079999999</v>
      </c>
      <c r="K59" s="261" t="s">
        <v>1408</v>
      </c>
      <c r="L59" s="259"/>
    </row>
    <row r="60" spans="1:12">
      <c r="A60" s="429" t="s">
        <v>1353</v>
      </c>
      <c r="B60" s="419" t="s">
        <v>628</v>
      </c>
      <c r="C60" s="419"/>
      <c r="D60" s="438">
        <v>601045.36</v>
      </c>
      <c r="E60" s="433"/>
      <c r="F60" s="448">
        <f>VLOOKUP(A60,'CT -BS for updates'!$B$13:$D$142,3,FALSE)</f>
        <v>601045.36</v>
      </c>
      <c r="H60" s="254"/>
      <c r="J60" s="260"/>
      <c r="K60" s="261"/>
      <c r="L60" s="259"/>
    </row>
    <row r="61" spans="1:12">
      <c r="A61" s="429" t="s">
        <v>1352</v>
      </c>
      <c r="B61" s="419" t="s">
        <v>629</v>
      </c>
      <c r="C61" s="419"/>
      <c r="D61" s="438">
        <v>538284.27</v>
      </c>
      <c r="E61" s="433"/>
      <c r="F61" s="448">
        <f>VLOOKUP(A61,'CT -BS for updates'!$B$13:$D$142,3,FALSE)</f>
        <v>538284.27</v>
      </c>
      <c r="H61" s="254"/>
      <c r="J61" s="260"/>
      <c r="K61" s="261"/>
      <c r="L61" s="259"/>
    </row>
    <row r="62" spans="1:12">
      <c r="A62" s="429" t="s">
        <v>1351</v>
      </c>
      <c r="B62" s="419" t="s">
        <v>630</v>
      </c>
      <c r="C62" s="419"/>
      <c r="D62" s="438">
        <v>14235</v>
      </c>
      <c r="E62" s="433"/>
      <c r="F62" s="448">
        <f>VLOOKUP(A62,'CT -BS for updates'!$B$13:$D$142,3,FALSE)</f>
        <v>14235</v>
      </c>
      <c r="H62" s="254"/>
      <c r="J62" s="260"/>
      <c r="K62" s="261"/>
      <c r="L62" s="259"/>
    </row>
    <row r="63" spans="1:12">
      <c r="A63" s="429" t="s">
        <v>1350</v>
      </c>
      <c r="B63" s="419" t="s">
        <v>631</v>
      </c>
      <c r="C63" s="419"/>
      <c r="D63" s="438">
        <v>-472884</v>
      </c>
      <c r="E63" s="433"/>
      <c r="F63" s="448">
        <f>VLOOKUP(A63,'CT -BS for updates'!$B$13:$D$142,3,FALSE)</f>
        <v>-472884</v>
      </c>
      <c r="H63" s="254"/>
      <c r="J63" s="260"/>
      <c r="K63" s="261"/>
      <c r="L63" s="259"/>
    </row>
    <row r="64" spans="1:12">
      <c r="A64" s="429" t="s">
        <v>1349</v>
      </c>
      <c r="B64" s="419" t="s">
        <v>632</v>
      </c>
      <c r="C64" s="419"/>
      <c r="D64" s="438">
        <v>-1862755.91</v>
      </c>
      <c r="E64" s="433"/>
      <c r="F64" s="448">
        <f>VLOOKUP(A64,'CT -BS for updates'!$B$13:$D$142,3,FALSE)</f>
        <v>-2133228.23</v>
      </c>
      <c r="H64" s="254">
        <f>F64/1000</f>
        <v>-2133.2282300000002</v>
      </c>
      <c r="J64" s="260"/>
      <c r="K64" s="261"/>
      <c r="L64" s="259"/>
    </row>
    <row r="65" spans="1:12" ht="13.5" thickBot="1">
      <c r="A65" s="429" t="s">
        <v>1348</v>
      </c>
      <c r="B65" s="419" t="s">
        <v>633</v>
      </c>
      <c r="C65" s="419"/>
      <c r="D65" s="438">
        <v>-8447418.6500000004</v>
      </c>
      <c r="E65" s="433"/>
      <c r="F65" s="448">
        <f>VLOOKUP(A65,'CT -BS for updates'!$B$13:$D$142,3,FALSE)</f>
        <v>-8616576.9700000007</v>
      </c>
      <c r="H65" s="444">
        <f>SUM(H52:H64)</f>
        <v>1172.5090499999997</v>
      </c>
      <c r="I65" s="14" t="s">
        <v>1029</v>
      </c>
      <c r="J65" s="260"/>
      <c r="K65" s="261"/>
      <c r="L65" s="259"/>
    </row>
    <row r="66" spans="1:12" ht="13.5" thickTop="1">
      <c r="A66" s="429" t="s">
        <v>1347</v>
      </c>
      <c r="B66" s="419" t="s">
        <v>634</v>
      </c>
      <c r="C66" s="419"/>
      <c r="D66" s="438">
        <v>-553457.09</v>
      </c>
      <c r="E66" s="433"/>
      <c r="F66" s="448">
        <f>VLOOKUP(A66,'CT -BS for updates'!$B$13:$D$142,3,FALSE)</f>
        <v>-553457.09</v>
      </c>
      <c r="H66" s="254"/>
      <c r="J66" s="260"/>
      <c r="K66" s="261"/>
      <c r="L66" s="259"/>
    </row>
    <row r="67" spans="1:12">
      <c r="A67" s="429" t="s">
        <v>1346</v>
      </c>
      <c r="B67" s="419" t="s">
        <v>635</v>
      </c>
      <c r="C67" s="419"/>
      <c r="D67" s="438">
        <v>-3080628.66</v>
      </c>
      <c r="E67" s="433"/>
      <c r="F67" s="448">
        <f>VLOOKUP(A67,'CT -BS for updates'!$B$13:$D$142,3,FALSE)</f>
        <v>-3190601.85</v>
      </c>
      <c r="H67" s="254"/>
      <c r="J67" s="260"/>
      <c r="K67" s="261"/>
      <c r="L67" s="259"/>
    </row>
    <row r="68" spans="1:12">
      <c r="A68" s="429" t="s">
        <v>1345</v>
      </c>
      <c r="B68" s="419" t="s">
        <v>636</v>
      </c>
      <c r="C68" s="419"/>
      <c r="D68" s="438">
        <v>-141672.29999999999</v>
      </c>
      <c r="E68" s="433"/>
      <c r="F68" s="448">
        <f>VLOOKUP(A68,'CT -BS for updates'!$B$13:$D$142,3,FALSE)</f>
        <v>-141672.29999999999</v>
      </c>
      <c r="H68" s="254"/>
      <c r="J68" s="260"/>
      <c r="K68" s="261"/>
      <c r="L68" s="259"/>
    </row>
    <row r="69" spans="1:12">
      <c r="A69" s="429" t="s">
        <v>1344</v>
      </c>
      <c r="B69" s="419" t="s">
        <v>637</v>
      </c>
      <c r="C69" s="419"/>
      <c r="D69" s="438">
        <v>-3004067.33</v>
      </c>
      <c r="E69" s="433"/>
      <c r="F69" s="448">
        <f>VLOOKUP(A69,'CT -BS for updates'!$B$13:$D$142,3,FALSE)</f>
        <v>-3082522.94</v>
      </c>
      <c r="H69" s="254"/>
      <c r="J69" s="260"/>
      <c r="K69" s="261"/>
      <c r="L69" s="259"/>
    </row>
    <row r="70" spans="1:12">
      <c r="A70" s="429" t="s">
        <v>1343</v>
      </c>
      <c r="B70" s="419" t="s">
        <v>638</v>
      </c>
      <c r="C70" s="419"/>
      <c r="D70" s="438">
        <v>-196883.15</v>
      </c>
      <c r="E70" s="433"/>
      <c r="F70" s="448">
        <f>VLOOKUP(A70,'CT -BS for updates'!$B$13:$D$142,3,FALSE)</f>
        <v>-196883.15</v>
      </c>
      <c r="H70" s="254"/>
      <c r="J70" s="260"/>
      <c r="K70" s="261"/>
      <c r="L70" s="259"/>
    </row>
    <row r="71" spans="1:12">
      <c r="A71" s="429" t="s">
        <v>1342</v>
      </c>
      <c r="B71" s="419" t="s">
        <v>639</v>
      </c>
      <c r="C71" s="419"/>
      <c r="D71" s="438">
        <v>-1045020.35</v>
      </c>
      <c r="E71" s="433"/>
      <c r="F71" s="448">
        <f>VLOOKUP(A71,'CT -BS for updates'!$B$13:$D$142,3,FALSE)</f>
        <v>-1084452.6200000001</v>
      </c>
      <c r="H71" s="254"/>
      <c r="J71" s="260"/>
      <c r="K71" s="261"/>
      <c r="L71" s="259"/>
    </row>
    <row r="72" spans="1:12">
      <c r="A72" s="429" t="s">
        <v>1341</v>
      </c>
      <c r="B72" s="419" t="s">
        <v>640</v>
      </c>
      <c r="C72" s="419"/>
      <c r="D72" s="438">
        <v>-20253.98</v>
      </c>
      <c r="E72" s="433"/>
      <c r="F72" s="448">
        <f>VLOOKUP(A72,'CT -BS for updates'!$B$13:$D$142,3,FALSE)</f>
        <v>-20253.98</v>
      </c>
      <c r="H72" s="254"/>
      <c r="J72" s="260"/>
      <c r="K72" s="261"/>
      <c r="L72" s="259"/>
    </row>
    <row r="73" spans="1:12">
      <c r="A73" s="429" t="s">
        <v>1340</v>
      </c>
      <c r="B73" s="419" t="s">
        <v>641</v>
      </c>
      <c r="C73" s="419"/>
      <c r="D73" s="438">
        <v>-12039867.15</v>
      </c>
      <c r="E73" s="433"/>
      <c r="F73" s="448">
        <f>VLOOKUP(A73,'CT -BS for updates'!$B$13:$D$142,3,FALSE)</f>
        <v>-12215838.029999999</v>
      </c>
      <c r="H73" s="254"/>
      <c r="J73" s="260"/>
      <c r="K73" s="261"/>
      <c r="L73" s="259"/>
    </row>
    <row r="74" spans="1:12">
      <c r="A74" s="429" t="s">
        <v>1339</v>
      </c>
      <c r="B74" s="419" t="s">
        <v>642</v>
      </c>
      <c r="C74" s="419"/>
      <c r="D74" s="438">
        <v>-80573.98</v>
      </c>
      <c r="E74" s="433"/>
      <c r="F74" s="448">
        <f>VLOOKUP(A74,'CT -BS for updates'!$B$13:$D$142,3,FALSE)</f>
        <v>-80573.98</v>
      </c>
      <c r="H74" s="254"/>
      <c r="J74" s="260"/>
      <c r="K74" s="261"/>
      <c r="L74" s="259"/>
    </row>
    <row r="75" spans="1:12">
      <c r="A75" s="429" t="s">
        <v>1338</v>
      </c>
      <c r="B75" s="419" t="s">
        <v>643</v>
      </c>
      <c r="C75" s="419"/>
      <c r="D75" s="438">
        <v>-16835377.530000001</v>
      </c>
      <c r="E75" s="433"/>
      <c r="F75" s="448">
        <f>VLOOKUP(A75,'CT -BS for updates'!$B$13:$D$142,3,FALSE)</f>
        <v>-17398379.32</v>
      </c>
      <c r="H75" s="254"/>
      <c r="J75" s="260"/>
      <c r="K75" s="261"/>
      <c r="L75" s="259"/>
    </row>
    <row r="76" spans="1:12">
      <c r="A76" s="429" t="s">
        <v>1337</v>
      </c>
      <c r="B76" s="419" t="s">
        <v>644</v>
      </c>
      <c r="C76" s="419"/>
      <c r="D76" s="438">
        <v>-1526.45</v>
      </c>
      <c r="E76" s="433"/>
      <c r="F76" s="448">
        <f>VLOOKUP(A76,'CT -BS for updates'!$B$13:$D$142,3,FALSE)</f>
        <v>-1526.45</v>
      </c>
      <c r="H76" s="254"/>
      <c r="J76" s="260"/>
      <c r="K76" s="261"/>
      <c r="L76" s="259"/>
    </row>
    <row r="77" spans="1:12">
      <c r="A77" s="429" t="s">
        <v>1336</v>
      </c>
      <c r="B77" s="419" t="s">
        <v>645</v>
      </c>
      <c r="C77" s="419"/>
      <c r="D77" s="438">
        <v>-971845.76</v>
      </c>
      <c r="E77" s="433"/>
      <c r="F77" s="448">
        <f>VLOOKUP(A77,'CT -BS for updates'!$B$13:$D$142,3,FALSE)</f>
        <v>-988720.37</v>
      </c>
      <c r="H77" s="254"/>
      <c r="J77" s="260"/>
      <c r="K77" s="261"/>
      <c r="L77" s="259"/>
    </row>
    <row r="78" spans="1:12">
      <c r="A78" s="429" t="s">
        <v>1335</v>
      </c>
      <c r="B78" s="419" t="s">
        <v>646</v>
      </c>
      <c r="C78" s="419"/>
      <c r="D78" s="438">
        <v>-22569.18</v>
      </c>
      <c r="E78" s="433"/>
      <c r="F78" s="448">
        <f>VLOOKUP(A78,'CT -BS for updates'!$B$13:$D$142,3,FALSE)</f>
        <v>-22569.18</v>
      </c>
      <c r="H78" s="254"/>
      <c r="J78" s="451">
        <f>SUM(F65:F82)/1000+(F63/1000)</f>
        <v>-48731.884720000002</v>
      </c>
      <c r="K78" s="261"/>
      <c r="L78" s="259"/>
    </row>
    <row r="79" spans="1:12">
      <c r="A79" s="429" t="s">
        <v>1334</v>
      </c>
      <c r="B79" s="419" t="s">
        <v>647</v>
      </c>
      <c r="C79" s="419"/>
      <c r="D79" s="438">
        <v>-508033.24</v>
      </c>
      <c r="E79" s="433"/>
      <c r="F79" s="448">
        <f>VLOOKUP(A79,'CT -BS for updates'!$B$13:$D$142,3,FALSE)</f>
        <v>-530843.65</v>
      </c>
      <c r="H79" s="254"/>
      <c r="J79" s="56">
        <f>SUM(J59:J78)</f>
        <v>4350.5113599999968</v>
      </c>
      <c r="K79" s="261"/>
      <c r="L79" s="259"/>
    </row>
    <row r="80" spans="1:12">
      <c r="A80" s="429" t="s">
        <v>1333</v>
      </c>
      <c r="B80" s="419" t="s">
        <v>648</v>
      </c>
      <c r="C80" s="419"/>
      <c r="D80" s="438">
        <v>-517573.11</v>
      </c>
      <c r="E80" s="433"/>
      <c r="F80" s="448">
        <f>VLOOKUP(A80,'CT -BS for updates'!$B$13:$D$142,3,FALSE)</f>
        <v>-530710.69999999995</v>
      </c>
      <c r="H80" s="254"/>
      <c r="J80" s="443">
        <v>90</v>
      </c>
      <c r="K80" s="261"/>
      <c r="L80" s="259"/>
    </row>
    <row r="81" spans="1:12">
      <c r="A81" s="429" t="s">
        <v>1332</v>
      </c>
      <c r="B81" s="419" t="s">
        <v>649</v>
      </c>
      <c r="C81" s="419"/>
      <c r="D81" s="438">
        <v>10026.74</v>
      </c>
      <c r="E81" s="433"/>
      <c r="F81" s="448">
        <f>VLOOKUP(A81,'CT -BS for updates'!$B$13:$D$142,3,FALSE)</f>
        <v>120732.86</v>
      </c>
      <c r="H81" s="254"/>
      <c r="J81" s="56">
        <f>cbs!E19/1000</f>
        <v>5995.9044100000092</v>
      </c>
      <c r="K81" s="261"/>
      <c r="L81" s="259"/>
    </row>
    <row r="82" spans="1:12">
      <c r="A82" s="429" t="s">
        <v>1331</v>
      </c>
      <c r="B82" s="419" t="s">
        <v>650</v>
      </c>
      <c r="C82" s="419"/>
      <c r="D82" s="438">
        <v>181272.2</v>
      </c>
      <c r="E82" s="433"/>
      <c r="F82" s="448">
        <f>VLOOKUP(A82,'CT -BS for updates'!$B$13:$D$142,3,FALSE)</f>
        <v>275849</v>
      </c>
      <c r="H82" s="254">
        <f>F63+F81+F82</f>
        <v>-76302.140000000014</v>
      </c>
      <c r="J82" s="260"/>
      <c r="K82" s="261"/>
      <c r="L82" s="259"/>
    </row>
    <row r="83" spans="1:12">
      <c r="A83" s="429" t="s">
        <v>1330</v>
      </c>
      <c r="B83" s="419" t="s">
        <v>651</v>
      </c>
      <c r="C83" s="419"/>
      <c r="D83" s="438">
        <v>-14235</v>
      </c>
      <c r="E83" s="433"/>
      <c r="F83" s="448">
        <f>VLOOKUP(A83,'CT -BS for updates'!$B$13:$D$142,3,FALSE)</f>
        <v>-14235</v>
      </c>
      <c r="H83" s="254"/>
      <c r="J83" s="260"/>
      <c r="K83" s="261"/>
      <c r="L83" s="259"/>
    </row>
    <row r="84" spans="1:12">
      <c r="A84" s="429" t="s">
        <v>1329</v>
      </c>
      <c r="B84" s="419" t="s">
        <v>652</v>
      </c>
      <c r="C84" s="419"/>
      <c r="D84" s="438">
        <v>69478.41</v>
      </c>
      <c r="E84" s="433"/>
      <c r="F84" s="448">
        <f>VLOOKUP(A84,'CT -BS for updates'!$B$13:$D$142,3,FALSE)</f>
        <v>101557.05</v>
      </c>
      <c r="H84" s="254"/>
      <c r="J84" s="260"/>
      <c r="K84" s="261"/>
      <c r="L84" s="259"/>
    </row>
    <row r="85" spans="1:12">
      <c r="A85" s="429" t="s">
        <v>1328</v>
      </c>
      <c r="B85" s="419"/>
      <c r="C85" s="419"/>
      <c r="D85" s="7">
        <v>0</v>
      </c>
      <c r="E85" s="433"/>
      <c r="F85" s="448">
        <f>VLOOKUP(A85,'CT -BS for updates'!$B$13:$D$142,3,FALSE)</f>
        <v>800</v>
      </c>
      <c r="H85" s="254"/>
      <c r="J85" s="260"/>
      <c r="K85" s="261"/>
      <c r="L85" s="259"/>
    </row>
    <row r="86" spans="1:12" ht="14.5">
      <c r="A86" s="429" t="s">
        <v>1327</v>
      </c>
      <c r="B86" s="419" t="s">
        <v>653</v>
      </c>
      <c r="C86" s="419"/>
      <c r="D86" s="438">
        <v>25572.5</v>
      </c>
      <c r="E86" s="433"/>
      <c r="F86" s="448">
        <f>VLOOKUP(A86,'CT -BS for updates'!$B$13:$D$142,3,FALSE)</f>
        <v>38072.5</v>
      </c>
      <c r="H86" s="254"/>
      <c r="J86" s="260"/>
      <c r="K86" s="261"/>
      <c r="L86" s="243"/>
    </row>
    <row r="87" spans="1:12" ht="14.5">
      <c r="A87" s="429" t="s">
        <v>1326</v>
      </c>
      <c r="B87" s="419" t="s">
        <v>654</v>
      </c>
      <c r="C87" s="419"/>
      <c r="D87" s="438">
        <v>852325.75</v>
      </c>
      <c r="E87" s="433"/>
      <c r="F87" s="448">
        <f>VLOOKUP(A87,'CT -BS for updates'!$B$13:$D$142,3,FALSE)</f>
        <v>-826068.25</v>
      </c>
      <c r="H87" s="254"/>
      <c r="J87" s="242"/>
      <c r="K87" s="241"/>
      <c r="L87" s="243"/>
    </row>
    <row r="88" spans="1:12" ht="14.5">
      <c r="A88" s="429" t="s">
        <v>1325</v>
      </c>
      <c r="B88" s="419" t="s">
        <v>655</v>
      </c>
      <c r="D88" s="438">
        <v>18410371.689527415</v>
      </c>
      <c r="E88" s="433"/>
      <c r="F88" s="448">
        <f>VLOOKUP(A88,'CT -BS for updates'!$B$13:$D$142,3,FALSE)</f>
        <v>8618366.9199999999</v>
      </c>
      <c r="H88" s="254"/>
      <c r="J88" s="242"/>
      <c r="K88" s="241"/>
      <c r="L88" s="243"/>
    </row>
    <row r="89" spans="1:12" ht="15" thickBot="1">
      <c r="A89" s="429" t="s">
        <v>656</v>
      </c>
      <c r="C89" s="419"/>
      <c r="D89" s="435">
        <f>SUM(D8:D88)</f>
        <v>57203150.549527399</v>
      </c>
      <c r="E89" s="433"/>
      <c r="F89" s="449">
        <f>SUM(F8:F88)</f>
        <v>41625346.000000015</v>
      </c>
      <c r="H89" s="27"/>
      <c r="J89" s="242"/>
      <c r="K89" s="241"/>
      <c r="L89" s="243"/>
    </row>
    <row r="90" spans="1:12" ht="15" thickTop="1">
      <c r="A90" s="429"/>
      <c r="B90" s="255" t="s">
        <v>656</v>
      </c>
      <c r="C90" s="419"/>
      <c r="D90" s="433"/>
      <c r="E90" s="433"/>
      <c r="F90" s="432"/>
      <c r="H90" s="27"/>
      <c r="J90" s="242"/>
      <c r="K90" s="241"/>
      <c r="L90" s="243"/>
    </row>
    <row r="91" spans="1:12" ht="14.5">
      <c r="A91" s="429" t="s">
        <v>657</v>
      </c>
      <c r="B91" s="419"/>
      <c r="C91" s="419"/>
      <c r="D91" s="433"/>
      <c r="E91" s="433"/>
      <c r="F91" s="432"/>
      <c r="J91" s="242"/>
      <c r="K91" s="241"/>
      <c r="L91" s="243"/>
    </row>
    <row r="92" spans="1:12" ht="14.5">
      <c r="A92" s="429" t="s">
        <v>1324</v>
      </c>
      <c r="B92" s="255" t="s">
        <v>657</v>
      </c>
      <c r="C92" s="419"/>
      <c r="D92" s="438">
        <v>2312690.63</v>
      </c>
      <c r="E92" s="433"/>
      <c r="F92" s="448">
        <f>VLOOKUP(A92,'CT -BS for updates'!$B$13:$D$142,3,FALSE)</f>
        <v>1635531.5</v>
      </c>
      <c r="J92" s="242"/>
      <c r="K92" s="241"/>
      <c r="L92" s="243"/>
    </row>
    <row r="93" spans="1:12" ht="14.5">
      <c r="A93" s="429" t="s">
        <v>1323</v>
      </c>
      <c r="B93" s="419" t="s">
        <v>658</v>
      </c>
      <c r="C93" s="419"/>
      <c r="D93" s="438">
        <v>1415691.96</v>
      </c>
      <c r="E93" s="433"/>
      <c r="F93" s="448">
        <f>VLOOKUP(A93,'CT -BS for updates'!$B$13:$D$142,3,FALSE)</f>
        <v>1563421.03</v>
      </c>
      <c r="J93" s="242"/>
      <c r="K93" s="241"/>
      <c r="L93" s="243"/>
    </row>
    <row r="94" spans="1:12" ht="14.5">
      <c r="A94" s="429" t="s">
        <v>1322</v>
      </c>
      <c r="B94" s="419" t="s">
        <v>659</v>
      </c>
      <c r="C94" s="419"/>
      <c r="D94" s="438">
        <v>6113.33</v>
      </c>
      <c r="E94" s="433"/>
      <c r="F94" s="448">
        <f>VLOOKUP(A94,'CT -BS for updates'!$B$13:$D$142,3,FALSE)</f>
        <v>6650.67</v>
      </c>
      <c r="J94" s="242"/>
      <c r="K94" s="241"/>
      <c r="L94" s="243"/>
    </row>
    <row r="95" spans="1:12" ht="14.5">
      <c r="A95" s="429" t="s">
        <v>1321</v>
      </c>
      <c r="B95" s="419" t="s">
        <v>660</v>
      </c>
      <c r="C95" s="419"/>
      <c r="D95" s="438">
        <v>587306.78</v>
      </c>
      <c r="E95" s="433"/>
      <c r="F95" s="448">
        <f>VLOOKUP(A95,'CT -BS for updates'!$B$13:$D$142,3,FALSE)</f>
        <v>541286.19999999995</v>
      </c>
      <c r="J95" s="242"/>
      <c r="K95" s="241"/>
      <c r="L95" s="243"/>
    </row>
    <row r="96" spans="1:12" ht="14.5">
      <c r="A96" s="429" t="s">
        <v>1320</v>
      </c>
      <c r="B96" s="419" t="s">
        <v>661</v>
      </c>
      <c r="C96" s="419"/>
      <c r="D96" s="441">
        <v>2667166.81</v>
      </c>
      <c r="E96" s="433"/>
      <c r="F96" s="448">
        <f>VLOOKUP(A96,'CT -BS for updates'!$B$13:$D$142,3,FALSE)</f>
        <v>324432.7</v>
      </c>
      <c r="J96" s="242"/>
      <c r="K96" s="241"/>
      <c r="L96" s="243"/>
    </row>
    <row r="97" spans="1:14" ht="14.5">
      <c r="A97" s="429" t="s">
        <v>1319</v>
      </c>
      <c r="B97" s="419" t="s">
        <v>662</v>
      </c>
      <c r="C97" s="419"/>
      <c r="D97" s="441"/>
      <c r="E97" s="433"/>
      <c r="F97" s="448">
        <f>VLOOKUP(A97,'CT -BS for updates'!$B$13:$D$142,3,FALSE)</f>
        <v>0</v>
      </c>
      <c r="J97" s="242"/>
      <c r="K97" s="241"/>
      <c r="L97" s="243"/>
    </row>
    <row r="98" spans="1:14" ht="14.5">
      <c r="A98" s="429" t="s">
        <v>1318</v>
      </c>
      <c r="B98" s="419"/>
      <c r="C98" s="419"/>
      <c r="D98" s="438">
        <v>343296.8</v>
      </c>
      <c r="E98" s="433"/>
      <c r="F98" s="448">
        <f>VLOOKUP(A98,'CT -BS for updates'!$B$13:$D$142,3,FALSE)</f>
        <v>460276.61</v>
      </c>
      <c r="J98" s="242"/>
      <c r="K98" s="241"/>
      <c r="L98" s="243"/>
    </row>
    <row r="99" spans="1:14" ht="14.5">
      <c r="A99" s="429" t="s">
        <v>1317</v>
      </c>
      <c r="B99" s="419" t="s">
        <v>663</v>
      </c>
      <c r="C99" s="419"/>
      <c r="D99" s="433"/>
      <c r="E99" s="433"/>
      <c r="F99" s="448">
        <f>VLOOKUP(A99,'CT -BS for updates'!$B$13:$D$142,3,FALSE)</f>
        <v>258417.71</v>
      </c>
      <c r="J99" s="242"/>
      <c r="K99" s="241"/>
      <c r="L99" s="243"/>
    </row>
    <row r="100" spans="1:14" ht="14.5">
      <c r="A100" s="429" t="s">
        <v>1316</v>
      </c>
      <c r="B100" s="419" t="s">
        <v>664</v>
      </c>
      <c r="C100" s="419"/>
      <c r="D100" s="438">
        <v>0</v>
      </c>
      <c r="E100" s="433"/>
      <c r="F100" s="448">
        <f>VLOOKUP(A100,'CT -BS for updates'!$B$13:$D$142,3,FALSE)</f>
        <v>150972.65</v>
      </c>
      <c r="J100" s="242"/>
      <c r="K100" s="241"/>
      <c r="L100" s="243"/>
    </row>
    <row r="101" spans="1:14" ht="14.5">
      <c r="A101" s="429" t="s">
        <v>1315</v>
      </c>
      <c r="B101" s="419" t="s">
        <v>665</v>
      </c>
      <c r="C101" s="419"/>
      <c r="D101" s="438">
        <v>56567.25</v>
      </c>
      <c r="E101" s="433"/>
      <c r="F101" s="448">
        <f>VLOOKUP(A101,'CT -BS for updates'!$B$13:$D$142,3,FALSE)</f>
        <v>106367.67999999999</v>
      </c>
      <c r="H101" s="17"/>
      <c r="J101" s="242"/>
      <c r="K101" s="241"/>
      <c r="L101" s="243"/>
    </row>
    <row r="102" spans="1:14" ht="14.5">
      <c r="A102" s="429" t="s">
        <v>1314</v>
      </c>
      <c r="B102" s="419" t="s">
        <v>666</v>
      </c>
      <c r="C102" s="419"/>
      <c r="D102" s="438">
        <v>809506.6</v>
      </c>
      <c r="E102" s="433"/>
      <c r="F102" s="448">
        <f>VLOOKUP(A102,'CT -BS for updates'!$B$13:$D$142,3,FALSE)</f>
        <v>968934.08</v>
      </c>
      <c r="H102" s="17"/>
      <c r="J102" s="242"/>
      <c r="K102" s="241"/>
      <c r="L102" s="243"/>
    </row>
    <row r="103" spans="1:14" ht="14.5">
      <c r="A103" s="429" t="s">
        <v>1313</v>
      </c>
      <c r="B103" s="419" t="s">
        <v>667</v>
      </c>
      <c r="C103" s="419"/>
      <c r="D103" s="438">
        <v>709</v>
      </c>
      <c r="E103" s="433"/>
      <c r="F103" s="448">
        <f>VLOOKUP(A103,'CT -BS for updates'!$B$13:$D$142,3,FALSE)</f>
        <v>370.46</v>
      </c>
      <c r="H103" s="17"/>
      <c r="J103" s="242"/>
      <c r="K103" s="241"/>
      <c r="L103" s="243"/>
    </row>
    <row r="104" spans="1:14" ht="14.5">
      <c r="A104" s="429" t="s">
        <v>1312</v>
      </c>
      <c r="B104" s="419" t="s">
        <v>668</v>
      </c>
      <c r="C104" s="419"/>
      <c r="D104" s="438">
        <v>413648.1</v>
      </c>
      <c r="E104" s="433"/>
      <c r="F104" s="448">
        <f>VLOOKUP(A104,'CT -BS for updates'!$B$13:$D$142,3,FALSE)</f>
        <v>314548.96000000002</v>
      </c>
      <c r="H104" s="17"/>
      <c r="J104" s="242"/>
      <c r="K104" s="241"/>
      <c r="L104" s="243"/>
    </row>
    <row r="105" spans="1:14" ht="14.5">
      <c r="A105" s="429" t="s">
        <v>1311</v>
      </c>
      <c r="B105" s="419" t="s">
        <v>669</v>
      </c>
      <c r="C105" s="419"/>
      <c r="D105" s="438">
        <v>0</v>
      </c>
      <c r="E105" s="433"/>
      <c r="F105" s="448">
        <f>VLOOKUP(A105,'CT -BS for updates'!$B$13:$D$142,3,FALSE)</f>
        <v>22019.439999999999</v>
      </c>
      <c r="H105" s="17"/>
      <c r="J105" s="242"/>
      <c r="K105" s="241"/>
      <c r="L105" s="243"/>
    </row>
    <row r="106" spans="1:14" ht="14.5">
      <c r="A106" s="429" t="s">
        <v>1310</v>
      </c>
      <c r="B106" s="419" t="s">
        <v>670</v>
      </c>
      <c r="C106" s="419"/>
      <c r="D106" s="438">
        <v>1793603.81</v>
      </c>
      <c r="E106" s="433"/>
      <c r="F106" s="448">
        <f>VLOOKUP(A106,'CT -BS for updates'!$B$13:$D$142,3,FALSE)</f>
        <v>1822501.94</v>
      </c>
      <c r="H106" s="17"/>
      <c r="J106" s="242"/>
      <c r="K106" s="241"/>
      <c r="L106" s="243"/>
    </row>
    <row r="107" spans="1:14" ht="14.5">
      <c r="A107" s="429" t="s">
        <v>1309</v>
      </c>
      <c r="B107" s="419" t="s">
        <v>671</v>
      </c>
      <c r="C107" s="419"/>
      <c r="D107" s="438">
        <v>61253.91</v>
      </c>
      <c r="E107" s="433"/>
      <c r="F107" s="448">
        <f>VLOOKUP(A107,'CT -BS for updates'!$B$13:$D$142,3,FALSE)</f>
        <v>258878.91</v>
      </c>
      <c r="H107" s="17"/>
      <c r="J107" s="242"/>
      <c r="K107" s="241"/>
      <c r="L107" s="243"/>
    </row>
    <row r="108" spans="1:14" ht="14.5">
      <c r="A108" s="429" t="s">
        <v>1308</v>
      </c>
      <c r="B108" s="419" t="s">
        <v>672</v>
      </c>
      <c r="C108" s="419"/>
      <c r="D108" s="438">
        <v>7752.94</v>
      </c>
      <c r="E108" s="433"/>
      <c r="F108" s="448">
        <f>VLOOKUP(A108,'CT -BS for updates'!$B$13:$D$142,3,FALSE)</f>
        <v>-14012.07</v>
      </c>
      <c r="H108" s="17"/>
      <c r="J108" s="242"/>
      <c r="K108" s="241"/>
    </row>
    <row r="109" spans="1:14" ht="14.5">
      <c r="A109" s="429" t="s">
        <v>1307</v>
      </c>
      <c r="B109" s="419" t="s">
        <v>673</v>
      </c>
      <c r="C109" s="419"/>
      <c r="D109" s="438">
        <v>156241.15</v>
      </c>
      <c r="E109" s="433"/>
      <c r="F109" s="448">
        <f>VLOOKUP(A109,'CT -BS for updates'!$B$13:$D$142,3,FALSE)</f>
        <v>163583.21</v>
      </c>
      <c r="H109" s="17"/>
      <c r="K109" s="281"/>
      <c r="N109" s="14"/>
    </row>
    <row r="110" spans="1:14" ht="14.5">
      <c r="A110" s="429" t="s">
        <v>1306</v>
      </c>
      <c r="B110" s="419" t="s">
        <v>674</v>
      </c>
      <c r="C110" s="419"/>
      <c r="D110" s="438">
        <v>243904</v>
      </c>
      <c r="E110" s="433"/>
      <c r="F110" s="448">
        <f>VLOOKUP(A110,'CT -BS for updates'!$B$13:$D$142,3,FALSE)</f>
        <v>100775.34</v>
      </c>
      <c r="H110" s="17"/>
      <c r="K110" s="241"/>
      <c r="L110" s="243"/>
    </row>
    <row r="111" spans="1:14" ht="14.5">
      <c r="A111" s="429" t="s">
        <v>1305</v>
      </c>
      <c r="B111" s="419" t="s">
        <v>675</v>
      </c>
      <c r="C111" s="419"/>
      <c r="D111" s="438">
        <v>-855.02</v>
      </c>
      <c r="E111" s="433"/>
      <c r="F111" s="448">
        <f>VLOOKUP(A111,'CT -BS for updates'!$B$13:$D$142,3,FALSE)</f>
        <v>1663.43</v>
      </c>
      <c r="H111" s="23" t="s">
        <v>1198</v>
      </c>
      <c r="J111" s="277" t="s">
        <v>1197</v>
      </c>
      <c r="K111" s="241"/>
      <c r="L111" s="282" t="s">
        <v>1199</v>
      </c>
    </row>
    <row r="112" spans="1:14" ht="14.5">
      <c r="A112" s="447" t="s">
        <v>1304</v>
      </c>
      <c r="B112" s="419" t="s">
        <v>676</v>
      </c>
      <c r="C112" s="419"/>
      <c r="D112" s="438">
        <v>104470.31</v>
      </c>
      <c r="E112" s="433"/>
      <c r="F112" s="448">
        <f>VLOOKUP(A112,'CT -BS for updates'!$B$13:$D$142,3,FALSE)</f>
        <v>6529.46</v>
      </c>
      <c r="H112" s="17">
        <f>F112/1000</f>
        <v>6.5294600000000003</v>
      </c>
      <c r="J112" s="442">
        <f>F132/1000</f>
        <v>302.97534000000002</v>
      </c>
      <c r="K112" s="241"/>
      <c r="L112" s="243">
        <f>SUM(H112:J112)</f>
        <v>309.50480000000005</v>
      </c>
      <c r="M112" s="14" t="s">
        <v>1029</v>
      </c>
    </row>
    <row r="113" spans="1:12" ht="14.5">
      <c r="A113" s="429" t="s">
        <v>1303</v>
      </c>
      <c r="B113" s="419" t="s">
        <v>677</v>
      </c>
      <c r="C113" s="419"/>
      <c r="D113" s="438">
        <v>-17049.77</v>
      </c>
      <c r="E113" s="433"/>
      <c r="F113" s="448">
        <f>VLOOKUP(A113,'CT -BS for updates'!$B$13:$D$142,3,FALSE)</f>
        <v>-16877.91</v>
      </c>
      <c r="J113" s="242"/>
      <c r="K113" s="241"/>
      <c r="L113" s="243"/>
    </row>
    <row r="114" spans="1:12" ht="14.5">
      <c r="A114" s="447" t="s">
        <v>1302</v>
      </c>
      <c r="B114" s="419" t="s">
        <v>678</v>
      </c>
      <c r="C114" s="419"/>
      <c r="D114" s="438">
        <v>319211.63</v>
      </c>
      <c r="E114" s="433"/>
      <c r="F114" s="448">
        <f>VLOOKUP(A114,'CT -BS for updates'!$B$13:$D$142,3,FALSE)</f>
        <v>344301.66</v>
      </c>
      <c r="H114" s="452">
        <f>F114/1000</f>
        <v>344.30165999999997</v>
      </c>
      <c r="I114" s="14" t="s">
        <v>1029</v>
      </c>
      <c r="J114" s="242"/>
      <c r="K114" s="241"/>
    </row>
    <row r="115" spans="1:12">
      <c r="A115" s="429" t="s">
        <v>1301</v>
      </c>
      <c r="B115" s="419" t="s">
        <v>679</v>
      </c>
      <c r="C115" s="419"/>
      <c r="D115" s="438">
        <v>28264.37</v>
      </c>
      <c r="E115" s="433"/>
      <c r="F115" s="448">
        <f>VLOOKUP(A115,'CT -BS for updates'!$B$13:$D$142,3,FALSE)</f>
        <v>15050.78</v>
      </c>
    </row>
    <row r="116" spans="1:12" ht="14.5">
      <c r="A116" s="429" t="s">
        <v>1300</v>
      </c>
      <c r="B116" s="419" t="s">
        <v>680</v>
      </c>
      <c r="C116" s="419"/>
      <c r="D116" s="438">
        <v>2025815.11</v>
      </c>
      <c r="E116" s="433"/>
      <c r="F116" s="448">
        <f>VLOOKUP(A116,'CT -BS for updates'!$B$13:$D$142,3,FALSE)</f>
        <v>2091038.78</v>
      </c>
      <c r="L116" s="243"/>
    </row>
    <row r="117" spans="1:12" ht="14.5">
      <c r="A117" s="429" t="s">
        <v>1299</v>
      </c>
      <c r="B117" s="419" t="s">
        <v>681</v>
      </c>
      <c r="C117" s="419"/>
      <c r="D117" s="441">
        <v>164043.87</v>
      </c>
      <c r="E117" s="433"/>
      <c r="F117" s="448">
        <f>VLOOKUP(A117,'CT -BS for updates'!$B$13:$D$142,3,FALSE)</f>
        <v>77351.759999999995</v>
      </c>
      <c r="H117" s="17"/>
      <c r="J117" s="277">
        <v>2016</v>
      </c>
      <c r="K117" s="241"/>
      <c r="L117" s="276">
        <v>2015</v>
      </c>
    </row>
    <row r="118" spans="1:12" ht="14.5">
      <c r="A118" s="447" t="s">
        <v>1298</v>
      </c>
      <c r="B118" s="419" t="s">
        <v>682</v>
      </c>
      <c r="C118" s="419"/>
      <c r="D118" s="438">
        <v>1031984.7</v>
      </c>
      <c r="E118" s="433"/>
      <c r="F118" s="448">
        <f>VLOOKUP(A118,'CT -BS for updates'!$B$13:$D$142,3,FALSE)</f>
        <v>883331.03</v>
      </c>
      <c r="H118" s="17">
        <f>F118/1000</f>
        <v>883.33103000000006</v>
      </c>
      <c r="I118" s="179">
        <f>L118</f>
        <v>-928.78623000000005</v>
      </c>
      <c r="J118" s="275">
        <f>H118*I118</f>
        <v>-820425.69719571702</v>
      </c>
      <c r="K118" s="14" t="s">
        <v>1029</v>
      </c>
      <c r="L118" s="453">
        <f>(D118/1000)*-0.9</f>
        <v>-928.78623000000005</v>
      </c>
    </row>
    <row r="119" spans="1:12" ht="14.5">
      <c r="A119" s="429" t="s">
        <v>1297</v>
      </c>
      <c r="B119" s="419" t="s">
        <v>683</v>
      </c>
      <c r="C119" s="419"/>
      <c r="D119" s="438"/>
      <c r="E119" s="433"/>
      <c r="F119" s="448">
        <f>VLOOKUP(A119,'CT -BS for updates'!$B$13:$D$142,3,FALSE)</f>
        <v>-36464.57</v>
      </c>
      <c r="H119" s="17"/>
      <c r="I119" s="179"/>
      <c r="J119" s="242"/>
      <c r="K119" s="241"/>
      <c r="L119" s="243"/>
    </row>
    <row r="120" spans="1:12" ht="14.5">
      <c r="A120" s="429" t="s">
        <v>1296</v>
      </c>
      <c r="B120" s="419"/>
      <c r="C120" s="419"/>
      <c r="D120" s="438">
        <v>139866.23999999999</v>
      </c>
      <c r="E120" s="433"/>
      <c r="F120" s="448">
        <f>VLOOKUP(A120,'CT -BS for updates'!$B$13:$D$142,3,FALSE)</f>
        <v>158541.64000000001</v>
      </c>
      <c r="J120" s="242"/>
      <c r="K120" s="241"/>
      <c r="L120" s="243"/>
    </row>
    <row r="121" spans="1:12" ht="14.5">
      <c r="A121" s="429" t="s">
        <v>1295</v>
      </c>
      <c r="B121" s="419" t="s">
        <v>684</v>
      </c>
      <c r="C121" s="419"/>
      <c r="D121" s="441">
        <v>194841.49</v>
      </c>
      <c r="E121" s="433"/>
      <c r="F121" s="448">
        <f>VLOOKUP(A121,'CT -BS for updates'!$B$13:$D$142,3,FALSE)</f>
        <v>194688.01</v>
      </c>
      <c r="J121" s="242"/>
      <c r="K121" s="241"/>
      <c r="L121" s="243"/>
    </row>
    <row r="122" spans="1:12" ht="14.5">
      <c r="A122" s="429" t="s">
        <v>1294</v>
      </c>
      <c r="B122" s="419" t="s">
        <v>685</v>
      </c>
      <c r="C122" s="419"/>
      <c r="D122" s="438">
        <v>104939.42</v>
      </c>
      <c r="E122" s="433"/>
      <c r="F122" s="448">
        <f>VLOOKUP(A122,'CT -BS for updates'!$B$13:$D$142,3,FALSE)</f>
        <v>125431.33</v>
      </c>
      <c r="J122" s="242"/>
      <c r="K122" s="241"/>
      <c r="L122" s="243"/>
    </row>
    <row r="123" spans="1:12" ht="14.5">
      <c r="A123" s="429" t="s">
        <v>1293</v>
      </c>
      <c r="B123" s="419" t="s">
        <v>686</v>
      </c>
      <c r="C123" s="419"/>
      <c r="D123" s="438">
        <v>4432.53</v>
      </c>
      <c r="E123" s="433"/>
      <c r="F123" s="448">
        <f>VLOOKUP(A123,'CT -BS for updates'!$B$13:$D$142,3,FALSE)</f>
        <v>2848.93</v>
      </c>
      <c r="J123" s="242"/>
      <c r="K123" s="240"/>
      <c r="L123" s="243"/>
    </row>
    <row r="124" spans="1:12" ht="14.5">
      <c r="A124" s="429" t="s">
        <v>1292</v>
      </c>
      <c r="B124" s="419" t="s">
        <v>687</v>
      </c>
      <c r="C124" s="419"/>
      <c r="D124" s="438"/>
      <c r="E124" s="433"/>
      <c r="F124" s="448">
        <f>VLOOKUP(A124,'CT -BS for updates'!$B$13:$D$142,3,FALSE)</f>
        <v>0</v>
      </c>
      <c r="J124" s="242"/>
      <c r="K124" s="240"/>
      <c r="L124" s="243"/>
    </row>
    <row r="125" spans="1:12" ht="14.5">
      <c r="A125" s="429" t="s">
        <v>1291</v>
      </c>
      <c r="B125" s="419"/>
      <c r="C125" s="419"/>
      <c r="D125" s="438"/>
      <c r="E125" s="433"/>
      <c r="F125" s="448">
        <f>VLOOKUP(A125,'CT -BS for updates'!$B$13:$D$142,3,FALSE)</f>
        <v>-0.01</v>
      </c>
      <c r="J125" s="242"/>
      <c r="K125" s="240"/>
      <c r="L125" s="243"/>
    </row>
    <row r="126" spans="1:12" ht="14.5">
      <c r="A126" s="429" t="s">
        <v>1290</v>
      </c>
      <c r="B126" s="419" t="s">
        <v>688</v>
      </c>
      <c r="C126" s="419"/>
      <c r="D126" s="441">
        <v>1165086.3799999999</v>
      </c>
      <c r="E126" s="433"/>
      <c r="F126" s="448">
        <f>VLOOKUP(A126,'CT -BS for updates'!$B$13:$D$142,3,FALSE)</f>
        <v>831223.32</v>
      </c>
      <c r="J126" s="242"/>
      <c r="K126" s="240"/>
      <c r="L126" s="243"/>
    </row>
    <row r="127" spans="1:12" ht="14.5">
      <c r="A127" s="429" t="s">
        <v>1289</v>
      </c>
      <c r="C127" s="419"/>
      <c r="D127" s="441"/>
      <c r="E127" s="433"/>
      <c r="F127" s="448"/>
      <c r="J127" s="242"/>
      <c r="K127" s="240"/>
      <c r="L127" s="243"/>
    </row>
    <row r="128" spans="1:12" ht="14.5">
      <c r="A128" s="429" t="s">
        <v>1288</v>
      </c>
      <c r="B128" s="419" t="s">
        <v>692</v>
      </c>
      <c r="C128" s="419"/>
      <c r="D128" s="438">
        <v>38082.51</v>
      </c>
      <c r="E128" s="433"/>
      <c r="F128" s="448">
        <f>VLOOKUP(A128,'CT -BS for updates'!$B$13:$D$142,3,FALSE)</f>
        <v>168961.68</v>
      </c>
      <c r="J128" s="242"/>
      <c r="K128" s="240"/>
      <c r="L128" s="243"/>
    </row>
    <row r="129" spans="1:12" ht="14.5">
      <c r="A129" s="429" t="s">
        <v>1287</v>
      </c>
      <c r="B129" s="419" t="s">
        <v>693</v>
      </c>
      <c r="C129" s="419"/>
      <c r="D129" s="438">
        <v>8506.9</v>
      </c>
      <c r="E129" s="433"/>
      <c r="F129" s="448">
        <f>VLOOKUP(A129,'CT -BS for updates'!$B$13:$D$142,3,FALSE)</f>
        <v>8524.0499999999993</v>
      </c>
      <c r="J129" s="275"/>
      <c r="K129" s="240"/>
      <c r="L129" s="243"/>
    </row>
    <row r="130" spans="1:12" ht="14.5">
      <c r="A130" s="429" t="s">
        <v>1286</v>
      </c>
      <c r="B130" s="419" t="s">
        <v>694</v>
      </c>
      <c r="C130" s="419"/>
      <c r="D130" s="438">
        <v>132917.72</v>
      </c>
      <c r="E130" s="433"/>
      <c r="F130" s="448">
        <f>VLOOKUP(A130,'CT -BS for updates'!$B$13:$D$142,3,FALSE)</f>
        <v>233056.63</v>
      </c>
      <c r="H130" s="17">
        <f>F130/1000</f>
        <v>233.05663000000001</v>
      </c>
      <c r="I130" s="14" t="s">
        <v>1029</v>
      </c>
      <c r="J130" s="280"/>
      <c r="K130" s="14"/>
    </row>
    <row r="131" spans="1:12" ht="14.5">
      <c r="A131" s="429" t="s">
        <v>1285</v>
      </c>
      <c r="C131" s="419"/>
      <c r="D131" s="438"/>
      <c r="E131" s="433"/>
      <c r="F131" s="448">
        <f>VLOOKUP(A131,'CT -BS for updates'!$B$13:$D$142,3,FALSE)</f>
        <v>845642.15</v>
      </c>
      <c r="H131" s="17"/>
      <c r="J131" s="280"/>
      <c r="K131" s="14"/>
    </row>
    <row r="132" spans="1:12">
      <c r="A132" s="429" t="s">
        <v>1284</v>
      </c>
      <c r="B132" s="419" t="s">
        <v>695</v>
      </c>
      <c r="C132" s="419"/>
      <c r="D132" s="438">
        <v>246843.14</v>
      </c>
      <c r="E132" s="433"/>
      <c r="F132" s="448">
        <f>VLOOKUP(A132,'CT -BS for updates'!$B$13:$D$142,3,FALSE)</f>
        <v>302975.34000000003</v>
      </c>
      <c r="H132" s="17"/>
    </row>
    <row r="133" spans="1:12">
      <c r="A133" s="429" t="s">
        <v>1283</v>
      </c>
      <c r="B133" s="419" t="s">
        <v>696</v>
      </c>
      <c r="C133" s="419"/>
      <c r="D133" s="440">
        <f>SUM(D92:D132)</f>
        <v>16566854.6</v>
      </c>
      <c r="E133" s="433"/>
      <c r="F133" s="439">
        <f>SUM(F92:F132)</f>
        <v>14922774.510000002</v>
      </c>
      <c r="L133" s="17"/>
    </row>
    <row r="134" spans="1:12">
      <c r="A134" s="429" t="s">
        <v>1281</v>
      </c>
      <c r="B134" s="419" t="s">
        <v>697</v>
      </c>
      <c r="C134" s="419"/>
      <c r="D134" s="438">
        <v>4589450.5599999996</v>
      </c>
      <c r="E134" s="433"/>
      <c r="F134" s="448">
        <f>VLOOKUP(A134,'CT -BS for updates'!$B$13:$D$142,3,FALSE)</f>
        <v>4695229.5599999996</v>
      </c>
      <c r="K134" s="17"/>
      <c r="L134" s="17"/>
    </row>
    <row r="135" spans="1:12">
      <c r="A135" s="429" t="s">
        <v>1280</v>
      </c>
      <c r="B135" s="419" t="s">
        <v>698</v>
      </c>
      <c r="C135" s="419"/>
      <c r="D135" s="438">
        <v>-176133</v>
      </c>
      <c r="E135" s="433"/>
      <c r="F135" s="448">
        <f>VLOOKUP(A135,'CT -BS for updates'!$B$13:$D$142,3,FALSE)</f>
        <v>-176133</v>
      </c>
      <c r="K135" s="17"/>
      <c r="L135" s="17"/>
    </row>
    <row r="136" spans="1:12">
      <c r="A136" s="429" t="s">
        <v>1279</v>
      </c>
      <c r="B136" s="419" t="s">
        <v>699</v>
      </c>
      <c r="C136" s="419"/>
      <c r="D136" s="438">
        <v>-68198660.879999995</v>
      </c>
      <c r="E136" s="433"/>
      <c r="F136" s="448">
        <f>VLOOKUP(A136,'CT -BS for updates'!$B$13:$D$142,3,FALSE)</f>
        <v>-68198660.879999995</v>
      </c>
      <c r="H136" s="433"/>
      <c r="K136" s="17"/>
      <c r="L136" s="17"/>
    </row>
    <row r="137" spans="1:12">
      <c r="A137" s="429" t="s">
        <v>1278</v>
      </c>
      <c r="B137" s="419" t="s">
        <v>700</v>
      </c>
      <c r="C137" s="419"/>
      <c r="D137" s="438">
        <v>94434621.069999993</v>
      </c>
      <c r="E137" s="433"/>
      <c r="F137" s="448">
        <f>VLOOKUP(A137,'CT -BS for updates'!$B$13:$D$142,3,FALSE)</f>
        <v>102311918.29000001</v>
      </c>
      <c r="H137" s="433"/>
      <c r="K137" s="17"/>
    </row>
    <row r="138" spans="1:12">
      <c r="A138" s="429" t="s">
        <v>938</v>
      </c>
      <c r="B138" s="419" t="s">
        <v>701</v>
      </c>
      <c r="C138" s="419"/>
      <c r="D138" s="437">
        <v>9987018.2095274609</v>
      </c>
      <c r="E138" s="433"/>
      <c r="F138" s="448">
        <f>VLOOKUP(A138,'CT -BS for updates'!$B$13:$D$142,3,FALSE)</f>
        <v>-11929782.48</v>
      </c>
      <c r="H138" s="433"/>
    </row>
    <row r="139" spans="1:12">
      <c r="B139" s="419" t="s">
        <v>702</v>
      </c>
      <c r="C139" s="419"/>
      <c r="D139" s="436">
        <f>SUM(D134:D138)</f>
        <v>40636295.959527463</v>
      </c>
      <c r="E139" s="433"/>
      <c r="F139" s="439">
        <f>SUM(F134:F138)</f>
        <v>26702571.490000013</v>
      </c>
      <c r="H139" s="433"/>
    </row>
    <row r="140" spans="1:12" ht="13.5" thickBot="1">
      <c r="A140" s="429" t="s">
        <v>703</v>
      </c>
      <c r="B140" s="419" t="s">
        <v>703</v>
      </c>
      <c r="C140" s="419"/>
      <c r="D140" s="435">
        <f>D133+D139</f>
        <v>57203150.559527464</v>
      </c>
      <c r="E140" s="433"/>
      <c r="F140" s="434">
        <f>F133+F139</f>
        <v>41625346.000000015</v>
      </c>
      <c r="H140" s="264"/>
    </row>
    <row r="141" spans="1:12" ht="13.5" thickTop="1">
      <c r="A141" s="429"/>
      <c r="C141" s="419"/>
      <c r="D141" s="433"/>
      <c r="E141" s="433"/>
      <c r="F141" s="432"/>
      <c r="H141" s="27"/>
    </row>
    <row r="142" spans="1:12">
      <c r="A142" s="429"/>
      <c r="B142" s="419"/>
      <c r="D142" s="17"/>
      <c r="E142" s="17"/>
      <c r="F142" s="431"/>
    </row>
    <row r="143" spans="1:12">
      <c r="A143" s="429"/>
      <c r="D143" s="17"/>
      <c r="E143" s="17"/>
      <c r="F143" s="431"/>
    </row>
    <row r="144" spans="1:12">
      <c r="D144" s="17"/>
      <c r="E144" s="17"/>
      <c r="F144" s="431"/>
    </row>
    <row r="145" spans="4:6">
      <c r="D145" s="17"/>
      <c r="E145" s="17"/>
      <c r="F145" s="431"/>
    </row>
    <row r="146" spans="4:6">
      <c r="D146" s="17"/>
      <c r="E146" s="17"/>
      <c r="F146" s="431"/>
    </row>
    <row r="147" spans="4:6">
      <c r="D147" s="17"/>
      <c r="E147" s="17"/>
      <c r="F147" s="431"/>
    </row>
    <row r="148" spans="4:6">
      <c r="D148" s="17"/>
      <c r="E148" s="17"/>
      <c r="F148" s="431"/>
    </row>
    <row r="149" spans="4:6">
      <c r="D149" s="17"/>
      <c r="E149" s="17"/>
      <c r="F149" s="431"/>
    </row>
    <row r="150" spans="4:6">
      <c r="D150" s="17"/>
      <c r="E150" s="17"/>
      <c r="F150" s="431"/>
    </row>
    <row r="151" spans="4:6">
      <c r="D151" s="17"/>
      <c r="E151" s="17"/>
      <c r="F151" s="431"/>
    </row>
    <row r="152" spans="4:6">
      <c r="D152" s="17"/>
      <c r="E152" s="17"/>
      <c r="F152" s="431"/>
    </row>
    <row r="153" spans="4:6">
      <c r="D153" s="17"/>
      <c r="E153" s="17"/>
      <c r="F153" s="431"/>
    </row>
    <row r="154" spans="4:6">
      <c r="D154" s="17"/>
      <c r="E154" s="17"/>
      <c r="F154" s="431"/>
    </row>
    <row r="155" spans="4:6">
      <c r="D155" s="17"/>
      <c r="E155" s="17"/>
      <c r="F155" s="431"/>
    </row>
    <row r="156" spans="4:6">
      <c r="D156" s="17"/>
      <c r="E156" s="17"/>
      <c r="F156" s="431"/>
    </row>
    <row r="157" spans="4:6">
      <c r="D157" s="17"/>
      <c r="E157" s="17"/>
      <c r="F157" s="431"/>
    </row>
    <row r="158" spans="4:6">
      <c r="D158" s="17"/>
      <c r="E158" s="17"/>
      <c r="F158" s="431"/>
    </row>
    <row r="159" spans="4:6">
      <c r="D159" s="17"/>
      <c r="E159" s="17"/>
      <c r="F159" s="431"/>
    </row>
    <row r="160" spans="4:6">
      <c r="D160" s="17"/>
      <c r="E160" s="17"/>
      <c r="F160" s="431"/>
    </row>
    <row r="161" spans="4:6">
      <c r="D161" s="17"/>
      <c r="E161" s="17"/>
      <c r="F161" s="431"/>
    </row>
    <row r="162" spans="4:6">
      <c r="D162" s="17"/>
      <c r="E162" s="17"/>
      <c r="F162" s="431"/>
    </row>
    <row r="163" spans="4:6">
      <c r="D163" s="17"/>
      <c r="E163" s="17"/>
      <c r="F163" s="431"/>
    </row>
    <row r="164" spans="4:6">
      <c r="D164" s="17"/>
      <c r="E164" s="17"/>
      <c r="F164" s="431"/>
    </row>
    <row r="165" spans="4:6">
      <c r="D165" s="17"/>
      <c r="E165" s="17"/>
      <c r="F165" s="431"/>
    </row>
    <row r="166" spans="4:6">
      <c r="D166" s="17"/>
      <c r="E166" s="17"/>
      <c r="F166" s="431"/>
    </row>
    <row r="167" spans="4:6">
      <c r="D167" s="17"/>
      <c r="E167" s="17"/>
      <c r="F167" s="431"/>
    </row>
    <row r="168" spans="4:6">
      <c r="D168" s="17"/>
      <c r="E168" s="17"/>
      <c r="F168" s="431"/>
    </row>
    <row r="169" spans="4:6">
      <c r="D169" s="17"/>
      <c r="E169" s="17"/>
      <c r="F169" s="431"/>
    </row>
    <row r="170" spans="4:6">
      <c r="D170" s="17"/>
      <c r="E170" s="17"/>
      <c r="F170" s="431"/>
    </row>
    <row r="171" spans="4:6">
      <c r="D171" s="17"/>
      <c r="E171" s="17"/>
      <c r="F171" s="431"/>
    </row>
    <row r="172" spans="4:6">
      <c r="D172" s="17"/>
      <c r="E172" s="17"/>
      <c r="F172" s="431"/>
    </row>
    <row r="173" spans="4:6">
      <c r="D173" s="17"/>
      <c r="E173" s="17"/>
      <c r="F173" s="431"/>
    </row>
    <row r="174" spans="4:6">
      <c r="D174" s="17"/>
      <c r="E174" s="17"/>
      <c r="F174" s="431"/>
    </row>
    <row r="175" spans="4:6">
      <c r="D175" s="17"/>
      <c r="E175" s="17"/>
      <c r="F175" s="431"/>
    </row>
    <row r="176" spans="4:6">
      <c r="D176" s="17"/>
      <c r="E176" s="17"/>
      <c r="F176" s="431"/>
    </row>
    <row r="177" spans="4:6">
      <c r="D177" s="17"/>
      <c r="E177" s="17"/>
      <c r="F177" s="431"/>
    </row>
    <row r="178" spans="4:6">
      <c r="D178" s="17"/>
      <c r="E178" s="17"/>
      <c r="F178" s="431"/>
    </row>
    <row r="179" spans="4:6">
      <c r="D179" s="17"/>
      <c r="E179" s="17"/>
      <c r="F179" s="431"/>
    </row>
    <row r="180" spans="4:6">
      <c r="D180" s="17"/>
      <c r="E180" s="17"/>
      <c r="F180" s="431"/>
    </row>
    <row r="181" spans="4:6">
      <c r="D181" s="17"/>
      <c r="E181" s="17"/>
      <c r="F181" s="431"/>
    </row>
    <row r="182" spans="4:6">
      <c r="D182" s="17"/>
      <c r="E182" s="17"/>
      <c r="F182" s="431"/>
    </row>
    <row r="183" spans="4:6">
      <c r="D183" s="17"/>
      <c r="E183" s="17"/>
      <c r="F183" s="431"/>
    </row>
    <row r="184" spans="4:6">
      <c r="D184" s="17"/>
      <c r="E184" s="17"/>
      <c r="F184" s="431"/>
    </row>
    <row r="185" spans="4:6">
      <c r="D185" s="17"/>
      <c r="E185" s="17"/>
      <c r="F185" s="431"/>
    </row>
    <row r="186" spans="4:6">
      <c r="D186" s="17"/>
      <c r="E186" s="17"/>
      <c r="F186" s="431"/>
    </row>
    <row r="187" spans="4:6">
      <c r="D187" s="17"/>
      <c r="E187" s="17"/>
      <c r="F187" s="431"/>
    </row>
    <row r="188" spans="4:6">
      <c r="D188" s="17"/>
      <c r="E188" s="17"/>
      <c r="F188" s="431"/>
    </row>
    <row r="189" spans="4:6">
      <c r="D189" s="17"/>
      <c r="E189" s="17"/>
      <c r="F189" s="431"/>
    </row>
    <row r="190" spans="4:6">
      <c r="D190" s="17"/>
      <c r="E190" s="17"/>
      <c r="F190" s="431"/>
    </row>
    <row r="191" spans="4:6">
      <c r="D191" s="17"/>
      <c r="E191" s="17"/>
      <c r="F191" s="431"/>
    </row>
    <row r="192" spans="4:6">
      <c r="D192" s="17"/>
      <c r="E192" s="17"/>
      <c r="F192" s="431"/>
    </row>
  </sheetData>
  <printOptions headings="1" gridLines="1"/>
  <pageMargins left="0.7" right="0.28000000000000003" top="0.37" bottom="0.31" header="0.13" footer="0.13"/>
  <pageSetup scale="58" fitToHeight="2" orientation="landscape" r:id="rId1"/>
  <headerFooter>
    <oddFooter>&amp;L
&amp;8&amp;Z&amp;F&amp;A</oddFooter>
  </headerFooter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M385"/>
  <sheetViews>
    <sheetView topLeftCell="B40" zoomScale="75" zoomScaleNormal="75" workbookViewId="0">
      <selection activeCell="I48" sqref="I48:M66"/>
    </sheetView>
  </sheetViews>
  <sheetFormatPr defaultColWidth="18.7265625" defaultRowHeight="13"/>
  <cols>
    <col min="1" max="1" width="18.7265625" style="404"/>
    <col min="2" max="2" width="33" style="404" customWidth="1"/>
    <col min="3" max="3" width="3.26953125" style="404" customWidth="1"/>
    <col min="4" max="4" width="18.7265625" style="404"/>
    <col min="5" max="5" width="3.26953125" style="404" customWidth="1"/>
    <col min="6" max="6" width="18.7265625" style="404"/>
    <col min="7" max="7" width="3.26953125" style="404" customWidth="1"/>
    <col min="8" max="8" width="33.1796875" style="404" bestFit="1" customWidth="1"/>
    <col min="9" max="11" width="18.7265625" style="429"/>
    <col min="12" max="249" width="18.7265625" style="404"/>
    <col min="250" max="250" width="28.26953125" style="404" bestFit="1" customWidth="1"/>
    <col min="251" max="251" width="3.26953125" style="404" customWidth="1"/>
    <col min="252" max="252" width="18.7265625" style="404"/>
    <col min="253" max="253" width="3.26953125" style="404" customWidth="1"/>
    <col min="254" max="254" width="18.7265625" style="404"/>
    <col min="255" max="255" width="3.26953125" style="404" customWidth="1"/>
    <col min="256" max="505" width="18.7265625" style="404"/>
    <col min="506" max="506" width="28.26953125" style="404" bestFit="1" customWidth="1"/>
    <col min="507" max="507" width="3.26953125" style="404" customWidth="1"/>
    <col min="508" max="508" width="18.7265625" style="404"/>
    <col min="509" max="509" width="3.26953125" style="404" customWidth="1"/>
    <col min="510" max="510" width="18.7265625" style="404"/>
    <col min="511" max="511" width="3.26953125" style="404" customWidth="1"/>
    <col min="512" max="761" width="18.7265625" style="404"/>
    <col min="762" max="762" width="28.26953125" style="404" bestFit="1" customWidth="1"/>
    <col min="763" max="763" width="3.26953125" style="404" customWidth="1"/>
    <col min="764" max="764" width="18.7265625" style="404"/>
    <col min="765" max="765" width="3.26953125" style="404" customWidth="1"/>
    <col min="766" max="766" width="18.7265625" style="404"/>
    <col min="767" max="767" width="3.26953125" style="404" customWidth="1"/>
    <col min="768" max="1017" width="18.7265625" style="404"/>
    <col min="1018" max="1018" width="28.26953125" style="404" bestFit="1" customWidth="1"/>
    <col min="1019" max="1019" width="3.26953125" style="404" customWidth="1"/>
    <col min="1020" max="1020" width="18.7265625" style="404"/>
    <col min="1021" max="1021" width="3.26953125" style="404" customWidth="1"/>
    <col min="1022" max="1022" width="18.7265625" style="404"/>
    <col min="1023" max="1023" width="3.26953125" style="404" customWidth="1"/>
    <col min="1024" max="1273" width="18.7265625" style="404"/>
    <col min="1274" max="1274" width="28.26953125" style="404" bestFit="1" customWidth="1"/>
    <col min="1275" max="1275" width="3.26953125" style="404" customWidth="1"/>
    <col min="1276" max="1276" width="18.7265625" style="404"/>
    <col min="1277" max="1277" width="3.26953125" style="404" customWidth="1"/>
    <col min="1278" max="1278" width="18.7265625" style="404"/>
    <col min="1279" max="1279" width="3.26953125" style="404" customWidth="1"/>
    <col min="1280" max="1529" width="18.7265625" style="404"/>
    <col min="1530" max="1530" width="28.26953125" style="404" bestFit="1" customWidth="1"/>
    <col min="1531" max="1531" width="3.26953125" style="404" customWidth="1"/>
    <col min="1532" max="1532" width="18.7265625" style="404"/>
    <col min="1533" max="1533" width="3.26953125" style="404" customWidth="1"/>
    <col min="1534" max="1534" width="18.7265625" style="404"/>
    <col min="1535" max="1535" width="3.26953125" style="404" customWidth="1"/>
    <col min="1536" max="1785" width="18.7265625" style="404"/>
    <col min="1786" max="1786" width="28.26953125" style="404" bestFit="1" customWidth="1"/>
    <col min="1787" max="1787" width="3.26953125" style="404" customWidth="1"/>
    <col min="1788" max="1788" width="18.7265625" style="404"/>
    <col min="1789" max="1789" width="3.26953125" style="404" customWidth="1"/>
    <col min="1790" max="1790" width="18.7265625" style="404"/>
    <col min="1791" max="1791" width="3.26953125" style="404" customWidth="1"/>
    <col min="1792" max="2041" width="18.7265625" style="404"/>
    <col min="2042" max="2042" width="28.26953125" style="404" bestFit="1" customWidth="1"/>
    <col min="2043" max="2043" width="3.26953125" style="404" customWidth="1"/>
    <col min="2044" max="2044" width="18.7265625" style="404"/>
    <col min="2045" max="2045" width="3.26953125" style="404" customWidth="1"/>
    <col min="2046" max="2046" width="18.7265625" style="404"/>
    <col min="2047" max="2047" width="3.26953125" style="404" customWidth="1"/>
    <col min="2048" max="2297" width="18.7265625" style="404"/>
    <col min="2298" max="2298" width="28.26953125" style="404" bestFit="1" customWidth="1"/>
    <col min="2299" max="2299" width="3.26953125" style="404" customWidth="1"/>
    <col min="2300" max="2300" width="18.7265625" style="404"/>
    <col min="2301" max="2301" width="3.26953125" style="404" customWidth="1"/>
    <col min="2302" max="2302" width="18.7265625" style="404"/>
    <col min="2303" max="2303" width="3.26953125" style="404" customWidth="1"/>
    <col min="2304" max="2553" width="18.7265625" style="404"/>
    <col min="2554" max="2554" width="28.26953125" style="404" bestFit="1" customWidth="1"/>
    <col min="2555" max="2555" width="3.26953125" style="404" customWidth="1"/>
    <col min="2556" max="2556" width="18.7265625" style="404"/>
    <col min="2557" max="2557" width="3.26953125" style="404" customWidth="1"/>
    <col min="2558" max="2558" width="18.7265625" style="404"/>
    <col min="2559" max="2559" width="3.26953125" style="404" customWidth="1"/>
    <col min="2560" max="2809" width="18.7265625" style="404"/>
    <col min="2810" max="2810" width="28.26953125" style="404" bestFit="1" customWidth="1"/>
    <col min="2811" max="2811" width="3.26953125" style="404" customWidth="1"/>
    <col min="2812" max="2812" width="18.7265625" style="404"/>
    <col min="2813" max="2813" width="3.26953125" style="404" customWidth="1"/>
    <col min="2814" max="2814" width="18.7265625" style="404"/>
    <col min="2815" max="2815" width="3.26953125" style="404" customWidth="1"/>
    <col min="2816" max="3065" width="18.7265625" style="404"/>
    <col min="3066" max="3066" width="28.26953125" style="404" bestFit="1" customWidth="1"/>
    <col min="3067" max="3067" width="3.26953125" style="404" customWidth="1"/>
    <col min="3068" max="3068" width="18.7265625" style="404"/>
    <col min="3069" max="3069" width="3.26953125" style="404" customWidth="1"/>
    <col min="3070" max="3070" width="18.7265625" style="404"/>
    <col min="3071" max="3071" width="3.26953125" style="404" customWidth="1"/>
    <col min="3072" max="3321" width="18.7265625" style="404"/>
    <col min="3322" max="3322" width="28.26953125" style="404" bestFit="1" customWidth="1"/>
    <col min="3323" max="3323" width="3.26953125" style="404" customWidth="1"/>
    <col min="3324" max="3324" width="18.7265625" style="404"/>
    <col min="3325" max="3325" width="3.26953125" style="404" customWidth="1"/>
    <col min="3326" max="3326" width="18.7265625" style="404"/>
    <col min="3327" max="3327" width="3.26953125" style="404" customWidth="1"/>
    <col min="3328" max="3577" width="18.7265625" style="404"/>
    <col min="3578" max="3578" width="28.26953125" style="404" bestFit="1" customWidth="1"/>
    <col min="3579" max="3579" width="3.26953125" style="404" customWidth="1"/>
    <col min="3580" max="3580" width="18.7265625" style="404"/>
    <col min="3581" max="3581" width="3.26953125" style="404" customWidth="1"/>
    <col min="3582" max="3582" width="18.7265625" style="404"/>
    <col min="3583" max="3583" width="3.26953125" style="404" customWidth="1"/>
    <col min="3584" max="3833" width="18.7265625" style="404"/>
    <col min="3834" max="3834" width="28.26953125" style="404" bestFit="1" customWidth="1"/>
    <col min="3835" max="3835" width="3.26953125" style="404" customWidth="1"/>
    <col min="3836" max="3836" width="18.7265625" style="404"/>
    <col min="3837" max="3837" width="3.26953125" style="404" customWidth="1"/>
    <col min="3838" max="3838" width="18.7265625" style="404"/>
    <col min="3839" max="3839" width="3.26953125" style="404" customWidth="1"/>
    <col min="3840" max="4089" width="18.7265625" style="404"/>
    <col min="4090" max="4090" width="28.26953125" style="404" bestFit="1" customWidth="1"/>
    <col min="4091" max="4091" width="3.26953125" style="404" customWidth="1"/>
    <col min="4092" max="4092" width="18.7265625" style="404"/>
    <col min="4093" max="4093" width="3.26953125" style="404" customWidth="1"/>
    <col min="4094" max="4094" width="18.7265625" style="404"/>
    <col min="4095" max="4095" width="3.26953125" style="404" customWidth="1"/>
    <col min="4096" max="4345" width="18.7265625" style="404"/>
    <col min="4346" max="4346" width="28.26953125" style="404" bestFit="1" customWidth="1"/>
    <col min="4347" max="4347" width="3.26953125" style="404" customWidth="1"/>
    <col min="4348" max="4348" width="18.7265625" style="404"/>
    <col min="4349" max="4349" width="3.26953125" style="404" customWidth="1"/>
    <col min="4350" max="4350" width="18.7265625" style="404"/>
    <col min="4351" max="4351" width="3.26953125" style="404" customWidth="1"/>
    <col min="4352" max="4601" width="18.7265625" style="404"/>
    <col min="4602" max="4602" width="28.26953125" style="404" bestFit="1" customWidth="1"/>
    <col min="4603" max="4603" width="3.26953125" style="404" customWidth="1"/>
    <col min="4604" max="4604" width="18.7265625" style="404"/>
    <col min="4605" max="4605" width="3.26953125" style="404" customWidth="1"/>
    <col min="4606" max="4606" width="18.7265625" style="404"/>
    <col min="4607" max="4607" width="3.26953125" style="404" customWidth="1"/>
    <col min="4608" max="4857" width="18.7265625" style="404"/>
    <col min="4858" max="4858" width="28.26953125" style="404" bestFit="1" customWidth="1"/>
    <col min="4859" max="4859" width="3.26953125" style="404" customWidth="1"/>
    <col min="4860" max="4860" width="18.7265625" style="404"/>
    <col min="4861" max="4861" width="3.26953125" style="404" customWidth="1"/>
    <col min="4862" max="4862" width="18.7265625" style="404"/>
    <col min="4863" max="4863" width="3.26953125" style="404" customWidth="1"/>
    <col min="4864" max="5113" width="18.7265625" style="404"/>
    <col min="5114" max="5114" width="28.26953125" style="404" bestFit="1" customWidth="1"/>
    <col min="5115" max="5115" width="3.26953125" style="404" customWidth="1"/>
    <col min="5116" max="5116" width="18.7265625" style="404"/>
    <col min="5117" max="5117" width="3.26953125" style="404" customWidth="1"/>
    <col min="5118" max="5118" width="18.7265625" style="404"/>
    <col min="5119" max="5119" width="3.26953125" style="404" customWidth="1"/>
    <col min="5120" max="5369" width="18.7265625" style="404"/>
    <col min="5370" max="5370" width="28.26953125" style="404" bestFit="1" customWidth="1"/>
    <col min="5371" max="5371" width="3.26953125" style="404" customWidth="1"/>
    <col min="5372" max="5372" width="18.7265625" style="404"/>
    <col min="5373" max="5373" width="3.26953125" style="404" customWidth="1"/>
    <col min="5374" max="5374" width="18.7265625" style="404"/>
    <col min="5375" max="5375" width="3.26953125" style="404" customWidth="1"/>
    <col min="5376" max="5625" width="18.7265625" style="404"/>
    <col min="5626" max="5626" width="28.26953125" style="404" bestFit="1" customWidth="1"/>
    <col min="5627" max="5627" width="3.26953125" style="404" customWidth="1"/>
    <col min="5628" max="5628" width="18.7265625" style="404"/>
    <col min="5629" max="5629" width="3.26953125" style="404" customWidth="1"/>
    <col min="5630" max="5630" width="18.7265625" style="404"/>
    <col min="5631" max="5631" width="3.26953125" style="404" customWidth="1"/>
    <col min="5632" max="5881" width="18.7265625" style="404"/>
    <col min="5882" max="5882" width="28.26953125" style="404" bestFit="1" customWidth="1"/>
    <col min="5883" max="5883" width="3.26953125" style="404" customWidth="1"/>
    <col min="5884" max="5884" width="18.7265625" style="404"/>
    <col min="5885" max="5885" width="3.26953125" style="404" customWidth="1"/>
    <col min="5886" max="5886" width="18.7265625" style="404"/>
    <col min="5887" max="5887" width="3.26953125" style="404" customWidth="1"/>
    <col min="5888" max="6137" width="18.7265625" style="404"/>
    <col min="6138" max="6138" width="28.26953125" style="404" bestFit="1" customWidth="1"/>
    <col min="6139" max="6139" width="3.26953125" style="404" customWidth="1"/>
    <col min="6140" max="6140" width="18.7265625" style="404"/>
    <col min="6141" max="6141" width="3.26953125" style="404" customWidth="1"/>
    <col min="6142" max="6142" width="18.7265625" style="404"/>
    <col min="6143" max="6143" width="3.26953125" style="404" customWidth="1"/>
    <col min="6144" max="6393" width="18.7265625" style="404"/>
    <col min="6394" max="6394" width="28.26953125" style="404" bestFit="1" customWidth="1"/>
    <col min="6395" max="6395" width="3.26953125" style="404" customWidth="1"/>
    <col min="6396" max="6396" width="18.7265625" style="404"/>
    <col min="6397" max="6397" width="3.26953125" style="404" customWidth="1"/>
    <col min="6398" max="6398" width="18.7265625" style="404"/>
    <col min="6399" max="6399" width="3.26953125" style="404" customWidth="1"/>
    <col min="6400" max="6649" width="18.7265625" style="404"/>
    <col min="6650" max="6650" width="28.26953125" style="404" bestFit="1" customWidth="1"/>
    <col min="6651" max="6651" width="3.26953125" style="404" customWidth="1"/>
    <col min="6652" max="6652" width="18.7265625" style="404"/>
    <col min="6653" max="6653" width="3.26953125" style="404" customWidth="1"/>
    <col min="6654" max="6654" width="18.7265625" style="404"/>
    <col min="6655" max="6655" width="3.26953125" style="404" customWidth="1"/>
    <col min="6656" max="6905" width="18.7265625" style="404"/>
    <col min="6906" max="6906" width="28.26953125" style="404" bestFit="1" customWidth="1"/>
    <col min="6907" max="6907" width="3.26953125" style="404" customWidth="1"/>
    <col min="6908" max="6908" width="18.7265625" style="404"/>
    <col min="6909" max="6909" width="3.26953125" style="404" customWidth="1"/>
    <col min="6910" max="6910" width="18.7265625" style="404"/>
    <col min="6911" max="6911" width="3.26953125" style="404" customWidth="1"/>
    <col min="6912" max="7161" width="18.7265625" style="404"/>
    <col min="7162" max="7162" width="28.26953125" style="404" bestFit="1" customWidth="1"/>
    <col min="7163" max="7163" width="3.26953125" style="404" customWidth="1"/>
    <col min="7164" max="7164" width="18.7265625" style="404"/>
    <col min="7165" max="7165" width="3.26953125" style="404" customWidth="1"/>
    <col min="7166" max="7166" width="18.7265625" style="404"/>
    <col min="7167" max="7167" width="3.26953125" style="404" customWidth="1"/>
    <col min="7168" max="7417" width="18.7265625" style="404"/>
    <col min="7418" max="7418" width="28.26953125" style="404" bestFit="1" customWidth="1"/>
    <col min="7419" max="7419" width="3.26953125" style="404" customWidth="1"/>
    <col min="7420" max="7420" width="18.7265625" style="404"/>
    <col min="7421" max="7421" width="3.26953125" style="404" customWidth="1"/>
    <col min="7422" max="7422" width="18.7265625" style="404"/>
    <col min="7423" max="7423" width="3.26953125" style="404" customWidth="1"/>
    <col min="7424" max="7673" width="18.7265625" style="404"/>
    <col min="7674" max="7674" width="28.26953125" style="404" bestFit="1" customWidth="1"/>
    <col min="7675" max="7675" width="3.26953125" style="404" customWidth="1"/>
    <col min="7676" max="7676" width="18.7265625" style="404"/>
    <col min="7677" max="7677" width="3.26953125" style="404" customWidth="1"/>
    <col min="7678" max="7678" width="18.7265625" style="404"/>
    <col min="7679" max="7679" width="3.26953125" style="404" customWidth="1"/>
    <col min="7680" max="7929" width="18.7265625" style="404"/>
    <col min="7930" max="7930" width="28.26953125" style="404" bestFit="1" customWidth="1"/>
    <col min="7931" max="7931" width="3.26953125" style="404" customWidth="1"/>
    <col min="7932" max="7932" width="18.7265625" style="404"/>
    <col min="7933" max="7933" width="3.26953125" style="404" customWidth="1"/>
    <col min="7934" max="7934" width="18.7265625" style="404"/>
    <col min="7935" max="7935" width="3.26953125" style="404" customWidth="1"/>
    <col min="7936" max="8185" width="18.7265625" style="404"/>
    <col min="8186" max="8186" width="28.26953125" style="404" bestFit="1" customWidth="1"/>
    <col min="8187" max="8187" width="3.26953125" style="404" customWidth="1"/>
    <col min="8188" max="8188" width="18.7265625" style="404"/>
    <col min="8189" max="8189" width="3.26953125" style="404" customWidth="1"/>
    <col min="8190" max="8190" width="18.7265625" style="404"/>
    <col min="8191" max="8191" width="3.26953125" style="404" customWidth="1"/>
    <col min="8192" max="8441" width="18.7265625" style="404"/>
    <col min="8442" max="8442" width="28.26953125" style="404" bestFit="1" customWidth="1"/>
    <col min="8443" max="8443" width="3.26953125" style="404" customWidth="1"/>
    <col min="8444" max="8444" width="18.7265625" style="404"/>
    <col min="8445" max="8445" width="3.26953125" style="404" customWidth="1"/>
    <col min="8446" max="8446" width="18.7265625" style="404"/>
    <col min="8447" max="8447" width="3.26953125" style="404" customWidth="1"/>
    <col min="8448" max="8697" width="18.7265625" style="404"/>
    <col min="8698" max="8698" width="28.26953125" style="404" bestFit="1" customWidth="1"/>
    <col min="8699" max="8699" width="3.26953125" style="404" customWidth="1"/>
    <col min="8700" max="8700" width="18.7265625" style="404"/>
    <col min="8701" max="8701" width="3.26953125" style="404" customWidth="1"/>
    <col min="8702" max="8702" width="18.7265625" style="404"/>
    <col min="8703" max="8703" width="3.26953125" style="404" customWidth="1"/>
    <col min="8704" max="8953" width="18.7265625" style="404"/>
    <col min="8954" max="8954" width="28.26953125" style="404" bestFit="1" customWidth="1"/>
    <col min="8955" max="8955" width="3.26953125" style="404" customWidth="1"/>
    <col min="8956" max="8956" width="18.7265625" style="404"/>
    <col min="8957" max="8957" width="3.26953125" style="404" customWidth="1"/>
    <col min="8958" max="8958" width="18.7265625" style="404"/>
    <col min="8959" max="8959" width="3.26953125" style="404" customWidth="1"/>
    <col min="8960" max="9209" width="18.7265625" style="404"/>
    <col min="9210" max="9210" width="28.26953125" style="404" bestFit="1" customWidth="1"/>
    <col min="9211" max="9211" width="3.26953125" style="404" customWidth="1"/>
    <col min="9212" max="9212" width="18.7265625" style="404"/>
    <col min="9213" max="9213" width="3.26953125" style="404" customWidth="1"/>
    <col min="9214" max="9214" width="18.7265625" style="404"/>
    <col min="9215" max="9215" width="3.26953125" style="404" customWidth="1"/>
    <col min="9216" max="9465" width="18.7265625" style="404"/>
    <col min="9466" max="9466" width="28.26953125" style="404" bestFit="1" customWidth="1"/>
    <col min="9467" max="9467" width="3.26953125" style="404" customWidth="1"/>
    <col min="9468" max="9468" width="18.7265625" style="404"/>
    <col min="9469" max="9469" width="3.26953125" style="404" customWidth="1"/>
    <col min="9470" max="9470" width="18.7265625" style="404"/>
    <col min="9471" max="9471" width="3.26953125" style="404" customWidth="1"/>
    <col min="9472" max="9721" width="18.7265625" style="404"/>
    <col min="9722" max="9722" width="28.26953125" style="404" bestFit="1" customWidth="1"/>
    <col min="9723" max="9723" width="3.26953125" style="404" customWidth="1"/>
    <col min="9724" max="9724" width="18.7265625" style="404"/>
    <col min="9725" max="9725" width="3.26953125" style="404" customWidth="1"/>
    <col min="9726" max="9726" width="18.7265625" style="404"/>
    <col min="9727" max="9727" width="3.26953125" style="404" customWidth="1"/>
    <col min="9728" max="9977" width="18.7265625" style="404"/>
    <col min="9978" max="9978" width="28.26953125" style="404" bestFit="1" customWidth="1"/>
    <col min="9979" max="9979" width="3.26953125" style="404" customWidth="1"/>
    <col min="9980" max="9980" width="18.7265625" style="404"/>
    <col min="9981" max="9981" width="3.26953125" style="404" customWidth="1"/>
    <col min="9982" max="9982" width="18.7265625" style="404"/>
    <col min="9983" max="9983" width="3.26953125" style="404" customWidth="1"/>
    <col min="9984" max="10233" width="18.7265625" style="404"/>
    <col min="10234" max="10234" width="28.26953125" style="404" bestFit="1" customWidth="1"/>
    <col min="10235" max="10235" width="3.26953125" style="404" customWidth="1"/>
    <col min="10236" max="10236" width="18.7265625" style="404"/>
    <col min="10237" max="10237" width="3.26953125" style="404" customWidth="1"/>
    <col min="10238" max="10238" width="18.7265625" style="404"/>
    <col min="10239" max="10239" width="3.26953125" style="404" customWidth="1"/>
    <col min="10240" max="10489" width="18.7265625" style="404"/>
    <col min="10490" max="10490" width="28.26953125" style="404" bestFit="1" customWidth="1"/>
    <col min="10491" max="10491" width="3.26953125" style="404" customWidth="1"/>
    <col min="10492" max="10492" width="18.7265625" style="404"/>
    <col min="10493" max="10493" width="3.26953125" style="404" customWidth="1"/>
    <col min="10494" max="10494" width="18.7265625" style="404"/>
    <col min="10495" max="10495" width="3.26953125" style="404" customWidth="1"/>
    <col min="10496" max="10745" width="18.7265625" style="404"/>
    <col min="10746" max="10746" width="28.26953125" style="404" bestFit="1" customWidth="1"/>
    <col min="10747" max="10747" width="3.26953125" style="404" customWidth="1"/>
    <col min="10748" max="10748" width="18.7265625" style="404"/>
    <col min="10749" max="10749" width="3.26953125" style="404" customWidth="1"/>
    <col min="10750" max="10750" width="18.7265625" style="404"/>
    <col min="10751" max="10751" width="3.26953125" style="404" customWidth="1"/>
    <col min="10752" max="11001" width="18.7265625" style="404"/>
    <col min="11002" max="11002" width="28.26953125" style="404" bestFit="1" customWidth="1"/>
    <col min="11003" max="11003" width="3.26953125" style="404" customWidth="1"/>
    <col min="11004" max="11004" width="18.7265625" style="404"/>
    <col min="11005" max="11005" width="3.26953125" style="404" customWidth="1"/>
    <col min="11006" max="11006" width="18.7265625" style="404"/>
    <col min="11007" max="11007" width="3.26953125" style="404" customWidth="1"/>
    <col min="11008" max="11257" width="18.7265625" style="404"/>
    <col min="11258" max="11258" width="28.26953125" style="404" bestFit="1" customWidth="1"/>
    <col min="11259" max="11259" width="3.26953125" style="404" customWidth="1"/>
    <col min="11260" max="11260" width="18.7265625" style="404"/>
    <col min="11261" max="11261" width="3.26953125" style="404" customWidth="1"/>
    <col min="11262" max="11262" width="18.7265625" style="404"/>
    <col min="11263" max="11263" width="3.26953125" style="404" customWidth="1"/>
    <col min="11264" max="11513" width="18.7265625" style="404"/>
    <col min="11514" max="11514" width="28.26953125" style="404" bestFit="1" customWidth="1"/>
    <col min="11515" max="11515" width="3.26953125" style="404" customWidth="1"/>
    <col min="11516" max="11516" width="18.7265625" style="404"/>
    <col min="11517" max="11517" width="3.26953125" style="404" customWidth="1"/>
    <col min="11518" max="11518" width="18.7265625" style="404"/>
    <col min="11519" max="11519" width="3.26953125" style="404" customWidth="1"/>
    <col min="11520" max="11769" width="18.7265625" style="404"/>
    <col min="11770" max="11770" width="28.26953125" style="404" bestFit="1" customWidth="1"/>
    <col min="11771" max="11771" width="3.26953125" style="404" customWidth="1"/>
    <col min="11772" max="11772" width="18.7265625" style="404"/>
    <col min="11773" max="11773" width="3.26953125" style="404" customWidth="1"/>
    <col min="11774" max="11774" width="18.7265625" style="404"/>
    <col min="11775" max="11775" width="3.26953125" style="404" customWidth="1"/>
    <col min="11776" max="12025" width="18.7265625" style="404"/>
    <col min="12026" max="12026" width="28.26953125" style="404" bestFit="1" customWidth="1"/>
    <col min="12027" max="12027" width="3.26953125" style="404" customWidth="1"/>
    <col min="12028" max="12028" width="18.7265625" style="404"/>
    <col min="12029" max="12029" width="3.26953125" style="404" customWidth="1"/>
    <col min="12030" max="12030" width="18.7265625" style="404"/>
    <col min="12031" max="12031" width="3.26953125" style="404" customWidth="1"/>
    <col min="12032" max="12281" width="18.7265625" style="404"/>
    <col min="12282" max="12282" width="28.26953125" style="404" bestFit="1" customWidth="1"/>
    <col min="12283" max="12283" width="3.26953125" style="404" customWidth="1"/>
    <col min="12284" max="12284" width="18.7265625" style="404"/>
    <col min="12285" max="12285" width="3.26953125" style="404" customWidth="1"/>
    <col min="12286" max="12286" width="18.7265625" style="404"/>
    <col min="12287" max="12287" width="3.26953125" style="404" customWidth="1"/>
    <col min="12288" max="12537" width="18.7265625" style="404"/>
    <col min="12538" max="12538" width="28.26953125" style="404" bestFit="1" customWidth="1"/>
    <col min="12539" max="12539" width="3.26953125" style="404" customWidth="1"/>
    <col min="12540" max="12540" width="18.7265625" style="404"/>
    <col min="12541" max="12541" width="3.26953125" style="404" customWidth="1"/>
    <col min="12542" max="12542" width="18.7265625" style="404"/>
    <col min="12543" max="12543" width="3.26953125" style="404" customWidth="1"/>
    <col min="12544" max="12793" width="18.7265625" style="404"/>
    <col min="12794" max="12794" width="28.26953125" style="404" bestFit="1" customWidth="1"/>
    <col min="12795" max="12795" width="3.26953125" style="404" customWidth="1"/>
    <col min="12796" max="12796" width="18.7265625" style="404"/>
    <col min="12797" max="12797" width="3.26953125" style="404" customWidth="1"/>
    <col min="12798" max="12798" width="18.7265625" style="404"/>
    <col min="12799" max="12799" width="3.26953125" style="404" customWidth="1"/>
    <col min="12800" max="13049" width="18.7265625" style="404"/>
    <col min="13050" max="13050" width="28.26953125" style="404" bestFit="1" customWidth="1"/>
    <col min="13051" max="13051" width="3.26953125" style="404" customWidth="1"/>
    <col min="13052" max="13052" width="18.7265625" style="404"/>
    <col min="13053" max="13053" width="3.26953125" style="404" customWidth="1"/>
    <col min="13054" max="13054" width="18.7265625" style="404"/>
    <col min="13055" max="13055" width="3.26953125" style="404" customWidth="1"/>
    <col min="13056" max="13305" width="18.7265625" style="404"/>
    <col min="13306" max="13306" width="28.26953125" style="404" bestFit="1" customWidth="1"/>
    <col min="13307" max="13307" width="3.26953125" style="404" customWidth="1"/>
    <col min="13308" max="13308" width="18.7265625" style="404"/>
    <col min="13309" max="13309" width="3.26953125" style="404" customWidth="1"/>
    <col min="13310" max="13310" width="18.7265625" style="404"/>
    <col min="13311" max="13311" width="3.26953125" style="404" customWidth="1"/>
    <col min="13312" max="13561" width="18.7265625" style="404"/>
    <col min="13562" max="13562" width="28.26953125" style="404" bestFit="1" customWidth="1"/>
    <col min="13563" max="13563" width="3.26953125" style="404" customWidth="1"/>
    <col min="13564" max="13564" width="18.7265625" style="404"/>
    <col min="13565" max="13565" width="3.26953125" style="404" customWidth="1"/>
    <col min="13566" max="13566" width="18.7265625" style="404"/>
    <col min="13567" max="13567" width="3.26953125" style="404" customWidth="1"/>
    <col min="13568" max="13817" width="18.7265625" style="404"/>
    <col min="13818" max="13818" width="28.26953125" style="404" bestFit="1" customWidth="1"/>
    <col min="13819" max="13819" width="3.26953125" style="404" customWidth="1"/>
    <col min="13820" max="13820" width="18.7265625" style="404"/>
    <col min="13821" max="13821" width="3.26953125" style="404" customWidth="1"/>
    <col min="13822" max="13822" width="18.7265625" style="404"/>
    <col min="13823" max="13823" width="3.26953125" style="404" customWidth="1"/>
    <col min="13824" max="14073" width="18.7265625" style="404"/>
    <col min="14074" max="14074" width="28.26953125" style="404" bestFit="1" customWidth="1"/>
    <col min="14075" max="14075" width="3.26953125" style="404" customWidth="1"/>
    <col min="14076" max="14076" width="18.7265625" style="404"/>
    <col min="14077" max="14077" width="3.26953125" style="404" customWidth="1"/>
    <col min="14078" max="14078" width="18.7265625" style="404"/>
    <col min="14079" max="14079" width="3.26953125" style="404" customWidth="1"/>
    <col min="14080" max="14329" width="18.7265625" style="404"/>
    <col min="14330" max="14330" width="28.26953125" style="404" bestFit="1" customWidth="1"/>
    <col min="14331" max="14331" width="3.26953125" style="404" customWidth="1"/>
    <col min="14332" max="14332" width="18.7265625" style="404"/>
    <col min="14333" max="14333" width="3.26953125" style="404" customWidth="1"/>
    <col min="14334" max="14334" width="18.7265625" style="404"/>
    <col min="14335" max="14335" width="3.26953125" style="404" customWidth="1"/>
    <col min="14336" max="14585" width="18.7265625" style="404"/>
    <col min="14586" max="14586" width="28.26953125" style="404" bestFit="1" customWidth="1"/>
    <col min="14587" max="14587" width="3.26953125" style="404" customWidth="1"/>
    <col min="14588" max="14588" width="18.7265625" style="404"/>
    <col min="14589" max="14589" width="3.26953125" style="404" customWidth="1"/>
    <col min="14590" max="14590" width="18.7265625" style="404"/>
    <col min="14591" max="14591" width="3.26953125" style="404" customWidth="1"/>
    <col min="14592" max="14841" width="18.7265625" style="404"/>
    <col min="14842" max="14842" width="28.26953125" style="404" bestFit="1" customWidth="1"/>
    <col min="14843" max="14843" width="3.26953125" style="404" customWidth="1"/>
    <col min="14844" max="14844" width="18.7265625" style="404"/>
    <col min="14845" max="14845" width="3.26953125" style="404" customWidth="1"/>
    <col min="14846" max="14846" width="18.7265625" style="404"/>
    <col min="14847" max="14847" width="3.26953125" style="404" customWidth="1"/>
    <col min="14848" max="15097" width="18.7265625" style="404"/>
    <col min="15098" max="15098" width="28.26953125" style="404" bestFit="1" customWidth="1"/>
    <col min="15099" max="15099" width="3.26953125" style="404" customWidth="1"/>
    <col min="15100" max="15100" width="18.7265625" style="404"/>
    <col min="15101" max="15101" width="3.26953125" style="404" customWidth="1"/>
    <col min="15102" max="15102" width="18.7265625" style="404"/>
    <col min="15103" max="15103" width="3.26953125" style="404" customWidth="1"/>
    <col min="15104" max="15353" width="18.7265625" style="404"/>
    <col min="15354" max="15354" width="28.26953125" style="404" bestFit="1" customWidth="1"/>
    <col min="15355" max="15355" width="3.26953125" style="404" customWidth="1"/>
    <col min="15356" max="15356" width="18.7265625" style="404"/>
    <col min="15357" max="15357" width="3.26953125" style="404" customWidth="1"/>
    <col min="15358" max="15358" width="18.7265625" style="404"/>
    <col min="15359" max="15359" width="3.26953125" style="404" customWidth="1"/>
    <col min="15360" max="15609" width="18.7265625" style="404"/>
    <col min="15610" max="15610" width="28.26953125" style="404" bestFit="1" customWidth="1"/>
    <col min="15611" max="15611" width="3.26953125" style="404" customWidth="1"/>
    <col min="15612" max="15612" width="18.7265625" style="404"/>
    <col min="15613" max="15613" width="3.26953125" style="404" customWidth="1"/>
    <col min="15614" max="15614" width="18.7265625" style="404"/>
    <col min="15615" max="15615" width="3.26953125" style="404" customWidth="1"/>
    <col min="15616" max="15865" width="18.7265625" style="404"/>
    <col min="15866" max="15866" width="28.26953125" style="404" bestFit="1" customWidth="1"/>
    <col min="15867" max="15867" width="3.26953125" style="404" customWidth="1"/>
    <col min="15868" max="15868" width="18.7265625" style="404"/>
    <col min="15869" max="15869" width="3.26953125" style="404" customWidth="1"/>
    <col min="15870" max="15870" width="18.7265625" style="404"/>
    <col min="15871" max="15871" width="3.26953125" style="404" customWidth="1"/>
    <col min="15872" max="16121" width="18.7265625" style="404"/>
    <col min="16122" max="16122" width="28.26953125" style="404" bestFit="1" customWidth="1"/>
    <col min="16123" max="16123" width="3.26953125" style="404" customWidth="1"/>
    <col min="16124" max="16124" width="18.7265625" style="404"/>
    <col min="16125" max="16125" width="3.26953125" style="404" customWidth="1"/>
    <col min="16126" max="16126" width="18.7265625" style="404"/>
    <col min="16127" max="16127" width="3.26953125" style="404" customWidth="1"/>
    <col min="16128" max="16384" width="18.7265625" style="404"/>
  </cols>
  <sheetData>
    <row r="1" spans="1:8" hidden="1">
      <c r="D1" s="404">
        <v>1</v>
      </c>
      <c r="F1" s="404" t="s">
        <v>1406</v>
      </c>
      <c r="H1" s="404" t="s">
        <v>1405</v>
      </c>
    </row>
    <row r="2" spans="1:8" hidden="1">
      <c r="D2" s="404" t="s">
        <v>1404</v>
      </c>
      <c r="F2" s="404" t="s">
        <v>1403</v>
      </c>
      <c r="H2" s="404">
        <v>1</v>
      </c>
    </row>
    <row r="3" spans="1:8" ht="27" customHeight="1">
      <c r="C3" s="410"/>
      <c r="D3" s="411" t="s">
        <v>582</v>
      </c>
      <c r="E3" s="411"/>
      <c r="F3" s="411"/>
    </row>
    <row r="4" spans="1:8" ht="14.25" customHeight="1">
      <c r="C4" s="412"/>
      <c r="D4" s="413"/>
      <c r="E4" s="413"/>
      <c r="F4" s="413"/>
    </row>
    <row r="5" spans="1:8" ht="14.25" customHeight="1">
      <c r="C5" s="414"/>
      <c r="D5" s="413" t="s">
        <v>583</v>
      </c>
      <c r="E5" s="413"/>
      <c r="F5" s="413"/>
    </row>
    <row r="6" spans="1:8" ht="14.25" customHeight="1">
      <c r="C6" s="412"/>
      <c r="D6" s="413" t="s">
        <v>1276</v>
      </c>
      <c r="E6" s="413"/>
      <c r="F6" s="413"/>
    </row>
    <row r="7" spans="1:8" ht="14.25" customHeight="1">
      <c r="C7" s="412"/>
      <c r="D7" s="413"/>
      <c r="E7" s="413"/>
      <c r="F7" s="413"/>
    </row>
    <row r="8" spans="1:8" ht="14.25" customHeight="1">
      <c r="C8" s="414"/>
      <c r="D8" s="414"/>
      <c r="E8" s="414"/>
      <c r="F8" s="414"/>
    </row>
    <row r="9" spans="1:8" ht="16" customHeight="1">
      <c r="C9" s="415"/>
      <c r="D9" s="414"/>
      <c r="E9" s="414"/>
      <c r="F9" s="414"/>
    </row>
    <row r="10" spans="1:8" ht="15" customHeight="1">
      <c r="C10" s="416"/>
      <c r="D10" s="417" t="s">
        <v>1277</v>
      </c>
      <c r="E10" s="417"/>
      <c r="F10" s="417" t="s">
        <v>1068</v>
      </c>
    </row>
    <row r="11" spans="1:8" ht="15" customHeight="1">
      <c r="C11" s="416"/>
      <c r="D11" s="418" t="s">
        <v>584</v>
      </c>
      <c r="E11" s="416"/>
      <c r="F11" s="418" t="s">
        <v>584</v>
      </c>
    </row>
    <row r="12" spans="1:8" ht="15" customHeight="1">
      <c r="C12" s="419"/>
      <c r="D12" s="420"/>
      <c r="E12" s="420"/>
      <c r="F12" s="420"/>
    </row>
    <row r="13" spans="1:8" ht="15" customHeight="1">
      <c r="A13" s="491">
        <v>101000</v>
      </c>
      <c r="B13" s="404" t="s">
        <v>1275</v>
      </c>
      <c r="C13" s="419"/>
      <c r="D13" s="420">
        <f>VLOOKUP(A13,'CT-TB'!$A$10:$E$375,5,FALSE)</f>
        <v>980401.35</v>
      </c>
      <c r="E13" s="420"/>
      <c r="F13" s="420">
        <v>0</v>
      </c>
    </row>
    <row r="14" spans="1:8" ht="15" customHeight="1">
      <c r="A14" s="491">
        <v>101210</v>
      </c>
      <c r="B14" s="404" t="s">
        <v>1402</v>
      </c>
      <c r="C14" s="419"/>
      <c r="D14" s="420">
        <f>VLOOKUP(A14,'CT-TB'!$A$10:$E$375,5,FALSE)</f>
        <v>74392.7</v>
      </c>
      <c r="E14" s="420"/>
      <c r="F14" s="420">
        <v>46320</v>
      </c>
    </row>
    <row r="15" spans="1:8" ht="15" customHeight="1">
      <c r="A15" s="491">
        <v>101300</v>
      </c>
      <c r="B15" s="409" t="s">
        <v>1401</v>
      </c>
      <c r="C15" s="421"/>
      <c r="D15" s="420">
        <f>VLOOKUP(A15,'CT-TB'!$A$10:$E$375,5,FALSE)</f>
        <v>-1344448.23</v>
      </c>
      <c r="E15" s="422"/>
      <c r="F15" s="422">
        <v>-2332590.54</v>
      </c>
      <c r="H15" s="404" t="s">
        <v>1400</v>
      </c>
    </row>
    <row r="16" spans="1:8" ht="15" customHeight="1">
      <c r="A16" s="491"/>
      <c r="B16" s="404" t="s">
        <v>1399</v>
      </c>
      <c r="C16" s="419"/>
      <c r="D16" s="420">
        <v>0</v>
      </c>
      <c r="E16" s="420"/>
      <c r="F16" s="420">
        <v>4865941.75</v>
      </c>
    </row>
    <row r="17" spans="1:6" ht="15" customHeight="1">
      <c r="A17" s="491">
        <v>101320</v>
      </c>
      <c r="B17" s="404" t="s">
        <v>1398</v>
      </c>
      <c r="C17" s="419"/>
      <c r="D17" s="420">
        <f>VLOOKUP(A17,'CT-TB'!$A$10:$E$375,5,FALSE)</f>
        <v>3394862.32</v>
      </c>
      <c r="E17" s="420"/>
      <c r="F17" s="420">
        <v>114084.42</v>
      </c>
    </row>
    <row r="18" spans="1:6" ht="15" customHeight="1">
      <c r="A18" s="491">
        <v>101410</v>
      </c>
      <c r="B18" s="404" t="s">
        <v>1397</v>
      </c>
      <c r="C18" s="419"/>
      <c r="D18" s="420">
        <f>VLOOKUP(A18,'CT-TB'!$A$10:$E$375,5,FALSE)</f>
        <v>23806.94</v>
      </c>
      <c r="E18" s="420"/>
      <c r="F18" s="420">
        <v>20007.86</v>
      </c>
    </row>
    <row r="19" spans="1:6" ht="15" customHeight="1">
      <c r="A19" s="491">
        <v>112100</v>
      </c>
      <c r="B19" s="404" t="s">
        <v>1396</v>
      </c>
      <c r="C19" s="419"/>
      <c r="D19" s="420">
        <f>VLOOKUP(A19,'CT-TB'!$A$10:$E$375,5,FALSE)</f>
        <v>24550</v>
      </c>
      <c r="E19" s="420"/>
      <c r="F19" s="420">
        <v>24550</v>
      </c>
    </row>
    <row r="20" spans="1:6" ht="15" customHeight="1">
      <c r="A20" s="491">
        <v>121000</v>
      </c>
      <c r="B20" s="404" t="s">
        <v>1395</v>
      </c>
      <c r="C20" s="419"/>
      <c r="D20" s="420">
        <f>VLOOKUP(A20,'CT-TB'!$A$10:$E$375,5,FALSE)</f>
        <v>1011955.12</v>
      </c>
      <c r="E20" s="420"/>
      <c r="F20" s="420">
        <v>714861.26</v>
      </c>
    </row>
    <row r="21" spans="1:6" ht="15" customHeight="1">
      <c r="A21" s="491">
        <v>121100</v>
      </c>
      <c r="B21" s="404" t="s">
        <v>1394</v>
      </c>
      <c r="C21" s="419"/>
      <c r="D21" s="420">
        <f>VLOOKUP(A21,'CT-TB'!$A$10:$E$375,5,FALSE)</f>
        <v>-75472.479999999996</v>
      </c>
      <c r="E21" s="420"/>
      <c r="F21" s="420">
        <v>-13636.11</v>
      </c>
    </row>
    <row r="22" spans="1:6" ht="15" customHeight="1">
      <c r="A22" s="491">
        <v>121195</v>
      </c>
      <c r="B22" s="404" t="s">
        <v>1393</v>
      </c>
      <c r="C22" s="419"/>
      <c r="D22" s="420">
        <f>VLOOKUP(A22,'CT-TB'!$A$10:$E$375,5,FALSE)</f>
        <v>-2763988.17</v>
      </c>
      <c r="E22" s="420"/>
      <c r="F22" s="420">
        <v>-329680.06</v>
      </c>
    </row>
    <row r="23" spans="1:6" ht="15" customHeight="1">
      <c r="A23" s="491">
        <v>121210</v>
      </c>
      <c r="B23" s="404" t="s">
        <v>1392</v>
      </c>
      <c r="C23" s="419"/>
      <c r="D23" s="420">
        <f>VLOOKUP(A23,'CT-TB'!$A$10:$E$375,5,FALSE)</f>
        <v>826097.26</v>
      </c>
      <c r="E23" s="420"/>
      <c r="F23" s="420">
        <v>1271615.6299999999</v>
      </c>
    </row>
    <row r="24" spans="1:6" ht="15" customHeight="1">
      <c r="A24" s="491">
        <v>121225</v>
      </c>
      <c r="B24" s="404" t="s">
        <v>1391</v>
      </c>
      <c r="C24" s="419"/>
      <c r="D24" s="420">
        <f>VLOOKUP(A24,'CT-TB'!$A$10:$E$375,5,FALSE)</f>
        <v>-56671</v>
      </c>
      <c r="E24" s="420"/>
      <c r="F24" s="420">
        <v>15431</v>
      </c>
    </row>
    <row r="25" spans="1:6" ht="15" customHeight="1">
      <c r="A25" s="491">
        <v>121230</v>
      </c>
      <c r="B25" s="404" t="s">
        <v>1390</v>
      </c>
      <c r="C25" s="419"/>
      <c r="D25" s="420">
        <f>VLOOKUP(A25,'CT-TB'!$A$10:$E$375,5,FALSE)</f>
        <v>-48119.040000000001</v>
      </c>
      <c r="E25" s="420"/>
      <c r="F25" s="420">
        <v>224069.49</v>
      </c>
    </row>
    <row r="26" spans="1:6" ht="15" customHeight="1">
      <c r="A26" s="491">
        <v>121245</v>
      </c>
      <c r="B26" s="404" t="s">
        <v>1389</v>
      </c>
      <c r="C26" s="419"/>
      <c r="D26" s="420">
        <f>VLOOKUP(A26,'CT-TB'!$A$10:$E$375,5,FALSE)</f>
        <v>287273.69</v>
      </c>
      <c r="E26" s="420"/>
      <c r="F26" s="420">
        <v>581511.42000000004</v>
      </c>
    </row>
    <row r="27" spans="1:6" ht="15" customHeight="1">
      <c r="A27" s="491">
        <v>121600</v>
      </c>
      <c r="B27" s="404" t="s">
        <v>1388</v>
      </c>
      <c r="C27" s="419"/>
      <c r="D27" s="420">
        <f>VLOOKUP(A27,'CT-TB'!$A$10:$E$375,5,FALSE)</f>
        <v>37.42</v>
      </c>
      <c r="E27" s="420"/>
      <c r="F27" s="420">
        <v>0</v>
      </c>
    </row>
    <row r="28" spans="1:6" ht="15" customHeight="1">
      <c r="A28" s="491">
        <v>121660</v>
      </c>
      <c r="B28" s="404" t="s">
        <v>1387</v>
      </c>
      <c r="C28" s="419"/>
      <c r="D28" s="420">
        <f>VLOOKUP(A28,'CT-TB'!$A$10:$E$375,5,FALSE)</f>
        <v>56686.33</v>
      </c>
      <c r="E28" s="420"/>
      <c r="F28" s="420">
        <v>67004.429999999993</v>
      </c>
    </row>
    <row r="29" spans="1:6" ht="15" customHeight="1">
      <c r="A29" s="491">
        <v>121700</v>
      </c>
      <c r="B29" s="404" t="s">
        <v>1386</v>
      </c>
      <c r="C29" s="419"/>
      <c r="D29" s="420">
        <f>VLOOKUP(A29,'CT-TB'!$A$10:$E$375,5,FALSE)</f>
        <v>30620.6</v>
      </c>
      <c r="E29" s="420"/>
      <c r="F29" s="420">
        <v>5580.23</v>
      </c>
    </row>
    <row r="30" spans="1:6" ht="15" customHeight="1">
      <c r="A30" s="491"/>
      <c r="B30" s="404" t="s">
        <v>1385</v>
      </c>
      <c r="C30" s="419"/>
      <c r="D30" s="420">
        <v>0</v>
      </c>
      <c r="E30" s="420"/>
      <c r="F30" s="420">
        <v>-129704.57</v>
      </c>
    </row>
    <row r="31" spans="1:6" ht="15" customHeight="1">
      <c r="A31" s="491">
        <v>123340</v>
      </c>
      <c r="B31" s="404" t="s">
        <v>1384</v>
      </c>
      <c r="C31" s="419"/>
      <c r="D31" s="420">
        <f>VLOOKUP(A31,'CT-TB'!$A$10:$E$375,5,FALSE)</f>
        <v>-29700.78</v>
      </c>
      <c r="E31" s="420"/>
      <c r="F31" s="420">
        <v>0</v>
      </c>
    </row>
    <row r="32" spans="1:6" ht="15" customHeight="1">
      <c r="A32" s="491">
        <v>123350</v>
      </c>
      <c r="B32" s="404" t="s">
        <v>1383</v>
      </c>
      <c r="C32" s="419"/>
      <c r="D32" s="420">
        <f>VLOOKUP(A32,'CT-TB'!$A$10:$E$375,5,FALSE)</f>
        <v>-78358.91</v>
      </c>
      <c r="E32" s="420"/>
      <c r="F32" s="420">
        <v>-181980.87</v>
      </c>
    </row>
    <row r="33" spans="1:6" ht="15" customHeight="1">
      <c r="A33" s="491">
        <v>123355</v>
      </c>
      <c r="B33" s="404" t="s">
        <v>1382</v>
      </c>
      <c r="C33" s="419"/>
      <c r="D33" s="420">
        <f>VLOOKUP(A33,'CT-TB'!$A$10:$E$375,5,FALSE)</f>
        <v>-71762.149999999994</v>
      </c>
      <c r="E33" s="420"/>
      <c r="F33" s="420">
        <v>0</v>
      </c>
    </row>
    <row r="34" spans="1:6" ht="15" customHeight="1">
      <c r="A34" s="491">
        <v>128500</v>
      </c>
      <c r="B34" s="404" t="s">
        <v>1381</v>
      </c>
      <c r="C34" s="419"/>
      <c r="D34" s="420">
        <f>VLOOKUP(A34,'CT-TB'!$A$10:$E$375,5,FALSE)</f>
        <v>325564.40000000002</v>
      </c>
      <c r="E34" s="420"/>
      <c r="F34" s="420">
        <v>101556.41</v>
      </c>
    </row>
    <row r="35" spans="1:6" ht="15" customHeight="1">
      <c r="A35" s="491">
        <v>128600</v>
      </c>
      <c r="B35" s="404" t="s">
        <v>1380</v>
      </c>
      <c r="C35" s="419"/>
      <c r="D35" s="420">
        <f>VLOOKUP(A35,'CT-TB'!$A$10:$E$375,5,FALSE)</f>
        <v>997153.8</v>
      </c>
      <c r="E35" s="420"/>
      <c r="F35" s="420">
        <v>277670.52</v>
      </c>
    </row>
    <row r="36" spans="1:6" ht="15" customHeight="1">
      <c r="A36" s="491">
        <v>128700</v>
      </c>
      <c r="B36" s="404" t="s">
        <v>1379</v>
      </c>
      <c r="C36" s="419"/>
      <c r="D36" s="420">
        <f>VLOOKUP(A36,'CT-TB'!$A$10:$E$375,5,FALSE)</f>
        <v>52391.66</v>
      </c>
      <c r="E36" s="420"/>
      <c r="F36" s="420">
        <v>0</v>
      </c>
    </row>
    <row r="37" spans="1:6" ht="15" customHeight="1">
      <c r="A37" s="491">
        <v>128897</v>
      </c>
      <c r="B37" s="404" t="s">
        <v>1378</v>
      </c>
      <c r="C37" s="419"/>
      <c r="D37" s="420">
        <f>VLOOKUP(A37,'CT-TB'!$A$10:$E$375,5,FALSE)</f>
        <v>-1649.28</v>
      </c>
      <c r="E37" s="420"/>
      <c r="F37" s="420">
        <v>-1649.28</v>
      </c>
    </row>
    <row r="38" spans="1:6" ht="15" customHeight="1">
      <c r="A38" s="491">
        <v>131000</v>
      </c>
      <c r="B38" s="404" t="s">
        <v>1377</v>
      </c>
      <c r="C38" s="419"/>
      <c r="D38" s="420">
        <f>VLOOKUP(A38,'CT-TB'!$A$10:$E$375,5,FALSE)</f>
        <v>18349264.149999999</v>
      </c>
      <c r="E38" s="420"/>
      <c r="F38" s="420">
        <v>18079959.489999998</v>
      </c>
    </row>
    <row r="39" spans="1:6" ht="15" customHeight="1">
      <c r="A39" s="491">
        <v>131100</v>
      </c>
      <c r="B39" s="404" t="s">
        <v>1376</v>
      </c>
      <c r="C39" s="419"/>
      <c r="D39" s="420">
        <f>VLOOKUP(A39,'CT-TB'!$A$10:$E$375,5,FALSE)</f>
        <v>-457728.51</v>
      </c>
      <c r="E39" s="420"/>
      <c r="F39" s="420">
        <v>-40079.71</v>
      </c>
    </row>
    <row r="40" spans="1:6" ht="15" customHeight="1">
      <c r="A40" s="491">
        <v>131200</v>
      </c>
      <c r="B40" s="404" t="s">
        <v>1375</v>
      </c>
      <c r="C40" s="419"/>
      <c r="D40" s="420">
        <f>VLOOKUP(A40,'CT-TB'!$A$10:$E$375,5,FALSE)</f>
        <v>-16855.82</v>
      </c>
      <c r="E40" s="420"/>
      <c r="F40" s="420">
        <v>0</v>
      </c>
    </row>
    <row r="41" spans="1:6" ht="15" customHeight="1">
      <c r="A41" s="491">
        <v>131300</v>
      </c>
      <c r="B41" s="404" t="s">
        <v>1374</v>
      </c>
      <c r="C41" s="419"/>
      <c r="D41" s="420">
        <f>VLOOKUP(A41,'CT-TB'!$A$10:$E$375,5,FALSE)</f>
        <v>2812.59</v>
      </c>
      <c r="E41" s="420"/>
      <c r="F41" s="420">
        <v>0</v>
      </c>
    </row>
    <row r="42" spans="1:6" ht="15" customHeight="1">
      <c r="A42" s="491">
        <v>131400</v>
      </c>
      <c r="B42" s="404" t="s">
        <v>1373</v>
      </c>
      <c r="C42" s="419"/>
      <c r="D42" s="420">
        <f>VLOOKUP(A42,'CT-TB'!$A$10:$E$375,5,FALSE)</f>
        <v>0</v>
      </c>
      <c r="E42" s="420"/>
      <c r="F42" s="420">
        <v>0</v>
      </c>
    </row>
    <row r="43" spans="1:6" ht="15" customHeight="1">
      <c r="A43" s="491">
        <v>131500</v>
      </c>
      <c r="B43" s="404" t="s">
        <v>1372</v>
      </c>
      <c r="C43" s="419"/>
      <c r="D43" s="420">
        <f>VLOOKUP(A43,'CT-TB'!$A$10:$E$375,5,FALSE)</f>
        <v>199971.27</v>
      </c>
      <c r="E43" s="420"/>
      <c r="F43" s="420">
        <v>270472.53000000003</v>
      </c>
    </row>
    <row r="44" spans="1:6" ht="15" customHeight="1">
      <c r="A44" s="491">
        <v>131600</v>
      </c>
      <c r="B44" s="404" t="s">
        <v>1371</v>
      </c>
      <c r="C44" s="419"/>
      <c r="D44" s="420">
        <f>VLOOKUP(A44,'CT-TB'!$A$10:$E$375,5,FALSE)</f>
        <v>-116449.24</v>
      </c>
      <c r="E44" s="420"/>
      <c r="F44" s="420">
        <v>0</v>
      </c>
    </row>
    <row r="45" spans="1:6" ht="15" customHeight="1">
      <c r="A45" s="491">
        <v>131700</v>
      </c>
      <c r="B45" s="404" t="s">
        <v>1370</v>
      </c>
      <c r="C45" s="419"/>
      <c r="D45" s="420">
        <f>VLOOKUP(A45,'CT-TB'!$A$10:$E$375,5,FALSE)</f>
        <v>-2405560.38</v>
      </c>
      <c r="E45" s="420"/>
      <c r="F45" s="420">
        <v>-2273390.17</v>
      </c>
    </row>
    <row r="46" spans="1:6" ht="15" customHeight="1">
      <c r="A46" s="491">
        <v>131800</v>
      </c>
      <c r="B46" s="404" t="s">
        <v>1369</v>
      </c>
      <c r="C46" s="419"/>
      <c r="D46" s="420">
        <f>VLOOKUP(A46,'CT-TB'!$A$10:$E$375,5,FALSE)</f>
        <v>91282.52</v>
      </c>
      <c r="E46" s="420"/>
      <c r="F46" s="420">
        <v>147280.04999999999</v>
      </c>
    </row>
    <row r="47" spans="1:6" ht="15" customHeight="1">
      <c r="A47" s="491">
        <v>142000</v>
      </c>
      <c r="B47" s="404" t="s">
        <v>1368</v>
      </c>
      <c r="C47" s="419"/>
      <c r="D47" s="420">
        <f>VLOOKUP(A47,'CT-TB'!$A$10:$E$375,5,FALSE)</f>
        <v>264748.34999999998</v>
      </c>
      <c r="E47" s="420"/>
      <c r="F47" s="420">
        <v>50020.18</v>
      </c>
    </row>
    <row r="48" spans="1:6" ht="15" customHeight="1">
      <c r="A48" s="491">
        <v>143000</v>
      </c>
      <c r="B48" s="404" t="s">
        <v>1367</v>
      </c>
      <c r="C48" s="419"/>
      <c r="D48" s="420">
        <f>VLOOKUP(A48,'CT-TB'!$A$10:$E$375,5,FALSE)</f>
        <v>39906.01</v>
      </c>
      <c r="E48" s="420"/>
      <c r="F48" s="420">
        <v>8617.67</v>
      </c>
    </row>
    <row r="49" spans="1:13" ht="15" customHeight="1">
      <c r="A49" s="491">
        <v>144500</v>
      </c>
      <c r="B49" s="404" t="s">
        <v>1366</v>
      </c>
      <c r="C49" s="419"/>
      <c r="D49" s="420">
        <f>VLOOKUP(A49,'CT-TB'!$A$10:$E$375,5,FALSE)</f>
        <v>19407.16</v>
      </c>
      <c r="E49" s="420"/>
      <c r="F49" s="420">
        <v>20503.98</v>
      </c>
    </row>
    <row r="50" spans="1:13" ht="15" customHeight="1">
      <c r="A50" s="491">
        <v>145000</v>
      </c>
      <c r="B50" s="404" t="s">
        <v>1365</v>
      </c>
      <c r="C50" s="419"/>
      <c r="D50" s="420">
        <f>VLOOKUP(A50,'CT-TB'!$A$10:$E$375,5,FALSE)</f>
        <v>31396.52</v>
      </c>
      <c r="E50" s="420"/>
      <c r="F50" s="420">
        <v>36856.74</v>
      </c>
    </row>
    <row r="51" spans="1:13" ht="15" customHeight="1">
      <c r="A51" s="491">
        <v>146000</v>
      </c>
      <c r="B51" s="404" t="s">
        <v>1364</v>
      </c>
      <c r="C51" s="419"/>
      <c r="D51" s="420">
        <f>VLOOKUP(A51,'CT-TB'!$A$10:$E$375,5,FALSE)</f>
        <v>-9579.01</v>
      </c>
      <c r="E51" s="420"/>
      <c r="F51" s="420">
        <v>31023.71</v>
      </c>
      <c r="L51" s="404" t="s">
        <v>1798</v>
      </c>
    </row>
    <row r="52" spans="1:13" ht="15" customHeight="1">
      <c r="A52" s="491">
        <v>146900</v>
      </c>
      <c r="B52" s="404" t="s">
        <v>1363</v>
      </c>
      <c r="C52" s="419"/>
      <c r="D52" s="420">
        <f>VLOOKUP(A52,'CT-TB'!$A$10:$E$375,5,FALSE)</f>
        <v>17578.099999999999</v>
      </c>
      <c r="E52" s="420"/>
      <c r="F52" s="420">
        <v>36240.400000000001</v>
      </c>
      <c r="J52" s="429" t="s">
        <v>2265</v>
      </c>
      <c r="K52" s="595" t="s">
        <v>2286</v>
      </c>
    </row>
    <row r="53" spans="1:13" ht="15" customHeight="1">
      <c r="A53" s="491">
        <v>148000</v>
      </c>
      <c r="B53" s="404" t="s">
        <v>1362</v>
      </c>
      <c r="C53" s="419"/>
      <c r="D53" s="420">
        <f>VLOOKUP(A53,'CT-TB'!$A$10:$E$375,5,FALSE)</f>
        <v>2302972.84</v>
      </c>
      <c r="E53" s="420"/>
      <c r="F53" s="420">
        <v>3680943.84</v>
      </c>
      <c r="I53" s="429" t="s">
        <v>1796</v>
      </c>
      <c r="J53" s="593">
        <f>D53</f>
        <v>2302972.84</v>
      </c>
      <c r="K53" s="595">
        <f>'2016 def tax'!W88*1000</f>
        <v>1430614.0402027334</v>
      </c>
      <c r="L53" s="668">
        <f>K53-J53</f>
        <v>-872358.79979726649</v>
      </c>
      <c r="M53" s="404" t="s">
        <v>2285</v>
      </c>
    </row>
    <row r="54" spans="1:13" ht="15" customHeight="1">
      <c r="A54" s="491">
        <v>150000</v>
      </c>
      <c r="B54" s="404" t="s">
        <v>1361</v>
      </c>
      <c r="C54" s="419"/>
      <c r="D54" s="420">
        <f>VLOOKUP(A54,'CT-TB'!$A$10:$E$375,5,FALSE)</f>
        <v>3305737.28</v>
      </c>
      <c r="E54" s="420"/>
      <c r="F54" s="420">
        <v>1953375.89</v>
      </c>
      <c r="I54" s="429" t="s">
        <v>1797</v>
      </c>
      <c r="J54" s="593">
        <f>D89</f>
        <v>-826068.25</v>
      </c>
      <c r="K54" s="595">
        <f>'2016 def tax'!Y88*1000</f>
        <v>3865611.3446255215</v>
      </c>
      <c r="L54" s="668">
        <f>K54-J54</f>
        <v>4691679.5946255215</v>
      </c>
      <c r="M54" s="404" t="s">
        <v>2264</v>
      </c>
    </row>
    <row r="55" spans="1:13" ht="15" customHeight="1">
      <c r="A55" s="491">
        <v>150100</v>
      </c>
      <c r="B55" s="404" t="s">
        <v>1360</v>
      </c>
      <c r="C55" s="419"/>
      <c r="D55" s="420">
        <f>VLOOKUP(A55,'CT-TB'!$A$10:$E$375,5,FALSE)</f>
        <v>9507435.8499999996</v>
      </c>
      <c r="E55" s="420"/>
      <c r="F55" s="420">
        <v>9495345.5999999996</v>
      </c>
      <c r="J55" s="594">
        <f>SUM(J53:J54)</f>
        <v>1476904.5899999999</v>
      </c>
      <c r="K55" s="669">
        <f>SUM(K53:K54)</f>
        <v>5296225.3848282546</v>
      </c>
      <c r="L55" s="669">
        <f>SUM(L53:L54)</f>
        <v>3819320.7948282547</v>
      </c>
      <c r="M55" s="404" t="s">
        <v>2275</v>
      </c>
    </row>
    <row r="56" spans="1:13" ht="15" customHeight="1">
      <c r="A56" s="491">
        <v>151100</v>
      </c>
      <c r="B56" s="404" t="s">
        <v>1359</v>
      </c>
      <c r="C56" s="419"/>
      <c r="D56" s="420">
        <f>VLOOKUP(A56,'CT-TB'!$A$10:$E$375,5,FALSE)</f>
        <v>3625233.52</v>
      </c>
      <c r="E56" s="420"/>
      <c r="F56" s="420">
        <v>3563753.19</v>
      </c>
    </row>
    <row r="57" spans="1:13" ht="15" customHeight="1">
      <c r="A57" s="491">
        <v>152100</v>
      </c>
      <c r="B57" s="404" t="s">
        <v>1358</v>
      </c>
      <c r="C57" s="419"/>
      <c r="D57" s="420">
        <f>VLOOKUP(A57,'CT-TB'!$A$10:$E$375,5,FALSE)</f>
        <v>3465501.25</v>
      </c>
      <c r="E57" s="420"/>
      <c r="F57" s="420">
        <v>3422494.19</v>
      </c>
    </row>
    <row r="58" spans="1:13" ht="15" customHeight="1">
      <c r="A58" s="491">
        <v>153100</v>
      </c>
      <c r="B58" s="404" t="s">
        <v>1357</v>
      </c>
      <c r="C58" s="419"/>
      <c r="D58" s="420">
        <f>VLOOKUP(A58,'CT-TB'!$A$10:$E$375,5,FALSE)</f>
        <v>1186678.3500000001</v>
      </c>
      <c r="E58" s="420"/>
      <c r="F58" s="420">
        <v>1186678.3500000001</v>
      </c>
    </row>
    <row r="59" spans="1:13" ht="15" customHeight="1">
      <c r="A59" s="491">
        <v>154100</v>
      </c>
      <c r="B59" s="404" t="s">
        <v>1356</v>
      </c>
      <c r="C59" s="419"/>
      <c r="D59" s="420">
        <f>VLOOKUP(A59,'CT-TB'!$A$10:$E$375,5,FALSE)</f>
        <v>12388294.58</v>
      </c>
      <c r="E59" s="420"/>
      <c r="F59" s="420">
        <v>12373980.73</v>
      </c>
      <c r="J59" s="429" t="s">
        <v>2287</v>
      </c>
      <c r="K59" s="429" t="s">
        <v>2288</v>
      </c>
    </row>
    <row r="60" spans="1:13" ht="15" customHeight="1">
      <c r="A60" s="491">
        <v>155100</v>
      </c>
      <c r="B60" s="404" t="s">
        <v>1355</v>
      </c>
      <c r="C60" s="419"/>
      <c r="D60" s="420">
        <f>VLOOKUP(A60,'CT-TB'!$A$10:$E$375,5,FALSE)</f>
        <v>21202634.469999999</v>
      </c>
      <c r="E60" s="420"/>
      <c r="F60" s="420">
        <v>19977974.629999999</v>
      </c>
      <c r="I60" s="429">
        <v>148000</v>
      </c>
      <c r="K60" s="595">
        <v>872359</v>
      </c>
    </row>
    <row r="61" spans="1:13" ht="15" customHeight="1">
      <c r="A61" s="491">
        <v>156100</v>
      </c>
      <c r="B61" s="404" t="s">
        <v>1354</v>
      </c>
      <c r="C61" s="419"/>
      <c r="D61" s="420">
        <f>VLOOKUP(A61,'CT-TB'!$A$10:$E$375,5,FALSE)</f>
        <v>1040172.43</v>
      </c>
      <c r="E61" s="420"/>
      <c r="F61" s="420">
        <v>1022522.71</v>
      </c>
      <c r="I61" s="429">
        <v>180000</v>
      </c>
      <c r="J61" s="595">
        <v>4691680</v>
      </c>
      <c r="K61" s="595"/>
    </row>
    <row r="62" spans="1:13" ht="15" customHeight="1">
      <c r="A62" s="491">
        <v>157100</v>
      </c>
      <c r="B62" s="404" t="s">
        <v>1353</v>
      </c>
      <c r="C62" s="419"/>
      <c r="D62" s="420">
        <f>VLOOKUP(A62,'CT-TB'!$A$10:$E$375,5,FALSE)</f>
        <v>601045.36</v>
      </c>
      <c r="E62" s="420"/>
      <c r="F62" s="420">
        <v>601045.36</v>
      </c>
      <c r="I62" s="429">
        <v>990000</v>
      </c>
      <c r="K62" s="595">
        <v>3819321</v>
      </c>
    </row>
    <row r="63" spans="1:13" ht="15" customHeight="1">
      <c r="A63" s="491">
        <v>158100</v>
      </c>
      <c r="B63" s="404" t="s">
        <v>1352</v>
      </c>
      <c r="C63" s="419"/>
      <c r="D63" s="420">
        <f>VLOOKUP(A63,'CT-TB'!$A$10:$E$375,5,FALSE)</f>
        <v>538284.27</v>
      </c>
      <c r="E63" s="420"/>
      <c r="F63" s="420">
        <v>538284.27</v>
      </c>
    </row>
    <row r="64" spans="1:13" ht="15" customHeight="1">
      <c r="A64" s="491">
        <v>159100</v>
      </c>
      <c r="B64" s="404" t="s">
        <v>1351</v>
      </c>
      <c r="C64" s="419"/>
      <c r="D64" s="420">
        <f>VLOOKUP(A64,'CT-TB'!$A$10:$E$375,5,FALSE)</f>
        <v>14235</v>
      </c>
      <c r="E64" s="420"/>
      <c r="F64" s="420">
        <v>14235</v>
      </c>
    </row>
    <row r="65" spans="1:6" ht="15" customHeight="1">
      <c r="A65" s="491">
        <v>159200</v>
      </c>
      <c r="B65" s="404" t="s">
        <v>1350</v>
      </c>
      <c r="C65" s="419"/>
      <c r="D65" s="420">
        <f>VLOOKUP(A65,'CT-TB'!$A$10:$E$375,5,FALSE)</f>
        <v>-472884</v>
      </c>
      <c r="E65" s="420"/>
      <c r="F65" s="420">
        <v>-472884</v>
      </c>
    </row>
    <row r="66" spans="1:6" ht="15" customHeight="1">
      <c r="A66" s="491">
        <v>160000</v>
      </c>
      <c r="B66" s="404" t="s">
        <v>1349</v>
      </c>
      <c r="C66" s="419"/>
      <c r="D66" s="420">
        <f>VLOOKUP(A66,'CT-TB'!$A$10:$E$375,5,FALSE)</f>
        <v>-2133228.23</v>
      </c>
      <c r="E66" s="420"/>
      <c r="F66" s="420">
        <v>-1862755.91</v>
      </c>
    </row>
    <row r="67" spans="1:6" ht="15" customHeight="1">
      <c r="A67" s="491">
        <v>160100</v>
      </c>
      <c r="B67" s="404" t="s">
        <v>1348</v>
      </c>
      <c r="C67" s="419"/>
      <c r="D67" s="420">
        <f>VLOOKUP(A67,'CT-TB'!$A$10:$E$375,5,FALSE)</f>
        <v>-8616576.9700000007</v>
      </c>
      <c r="E67" s="420"/>
      <c r="F67" s="420">
        <v>-8447418.6500000004</v>
      </c>
    </row>
    <row r="68" spans="1:6" ht="15" customHeight="1">
      <c r="A68" s="491">
        <v>160999</v>
      </c>
      <c r="B68" s="404" t="s">
        <v>1347</v>
      </c>
      <c r="C68" s="419"/>
      <c r="D68" s="420">
        <f>VLOOKUP(A68,'CT-TB'!$A$10:$E$375,5,FALSE)</f>
        <v>-553457.09</v>
      </c>
      <c r="E68" s="420"/>
      <c r="F68" s="420">
        <v>-553457.09</v>
      </c>
    </row>
    <row r="69" spans="1:6" ht="15" customHeight="1">
      <c r="A69" s="491">
        <v>161100</v>
      </c>
      <c r="B69" s="404" t="s">
        <v>1346</v>
      </c>
      <c r="C69" s="419"/>
      <c r="D69" s="420">
        <f>VLOOKUP(A69,'CT-TB'!$A$10:$E$375,5,FALSE)</f>
        <v>-3190601.85</v>
      </c>
      <c r="E69" s="420"/>
      <c r="F69" s="420">
        <v>-3080628.66</v>
      </c>
    </row>
    <row r="70" spans="1:6" ht="15" customHeight="1">
      <c r="A70" s="491">
        <v>161999</v>
      </c>
      <c r="B70" s="404" t="s">
        <v>1345</v>
      </c>
      <c r="C70" s="419"/>
      <c r="D70" s="420">
        <f>VLOOKUP(A70,'CT-TB'!$A$10:$E$375,5,FALSE)</f>
        <v>-141672.29999999999</v>
      </c>
      <c r="E70" s="420"/>
      <c r="F70" s="420">
        <v>-141672.29999999999</v>
      </c>
    </row>
    <row r="71" spans="1:6" ht="15" customHeight="1">
      <c r="A71" s="491">
        <v>162100</v>
      </c>
      <c r="B71" s="404" t="s">
        <v>1344</v>
      </c>
      <c r="C71" s="419"/>
      <c r="D71" s="420">
        <f>VLOOKUP(A71,'CT-TB'!$A$10:$E$375,5,FALSE)</f>
        <v>-3082522.94</v>
      </c>
      <c r="E71" s="420"/>
      <c r="F71" s="420">
        <v>-3004067.33</v>
      </c>
    </row>
    <row r="72" spans="1:6" ht="15" customHeight="1">
      <c r="A72" s="491">
        <v>162999</v>
      </c>
      <c r="B72" s="404" t="s">
        <v>1343</v>
      </c>
      <c r="C72" s="419"/>
      <c r="D72" s="420">
        <f>VLOOKUP(A72,'CT-TB'!$A$10:$E$375,5,FALSE)</f>
        <v>-196883.15</v>
      </c>
      <c r="E72" s="420"/>
      <c r="F72" s="420">
        <v>-196883.15</v>
      </c>
    </row>
    <row r="73" spans="1:6" ht="15" customHeight="1">
      <c r="A73" s="491">
        <v>163100</v>
      </c>
      <c r="B73" s="404" t="s">
        <v>1342</v>
      </c>
      <c r="C73" s="419"/>
      <c r="D73" s="420">
        <f>VLOOKUP(A73,'CT-TB'!$A$10:$E$375,5,FALSE)</f>
        <v>-1084452.6200000001</v>
      </c>
      <c r="E73" s="420"/>
      <c r="F73" s="420">
        <v>-1045020.35</v>
      </c>
    </row>
    <row r="74" spans="1:6" ht="15" customHeight="1">
      <c r="A74" s="491">
        <v>163999</v>
      </c>
      <c r="B74" s="404" t="s">
        <v>1341</v>
      </c>
      <c r="C74" s="419"/>
      <c r="D74" s="420">
        <f>VLOOKUP(A74,'CT-TB'!$A$10:$E$375,5,FALSE)</f>
        <v>-20253.98</v>
      </c>
      <c r="E74" s="420"/>
      <c r="F74" s="420">
        <v>-20253.98</v>
      </c>
    </row>
    <row r="75" spans="1:6" ht="15" customHeight="1">
      <c r="A75" s="491">
        <v>164100</v>
      </c>
      <c r="B75" s="404" t="s">
        <v>1340</v>
      </c>
      <c r="C75" s="419"/>
      <c r="D75" s="420">
        <f>VLOOKUP(A75,'CT-TB'!$A$10:$E$375,5,FALSE)</f>
        <v>-12215838.029999999</v>
      </c>
      <c r="E75" s="420"/>
      <c r="F75" s="420">
        <v>-12039867.15</v>
      </c>
    </row>
    <row r="76" spans="1:6" ht="15" customHeight="1">
      <c r="A76" s="491">
        <v>164999</v>
      </c>
      <c r="B76" s="404" t="s">
        <v>1339</v>
      </c>
      <c r="C76" s="419"/>
      <c r="D76" s="420">
        <f>VLOOKUP(A76,'CT-TB'!$A$10:$E$375,5,FALSE)</f>
        <v>-80573.98</v>
      </c>
      <c r="E76" s="420"/>
      <c r="F76" s="420">
        <v>-80573.98</v>
      </c>
    </row>
    <row r="77" spans="1:6" ht="15" customHeight="1">
      <c r="A77" s="491">
        <v>165100</v>
      </c>
      <c r="B77" s="404" t="s">
        <v>1338</v>
      </c>
      <c r="C77" s="419"/>
      <c r="D77" s="420">
        <f>VLOOKUP(A77,'CT-TB'!$A$10:$E$375,5,FALSE)</f>
        <v>-17398379.32</v>
      </c>
      <c r="E77" s="420"/>
      <c r="F77" s="420">
        <v>-16835377.530000001</v>
      </c>
    </row>
    <row r="78" spans="1:6" ht="15" customHeight="1">
      <c r="A78" s="491">
        <v>165999</v>
      </c>
      <c r="B78" s="404" t="s">
        <v>1337</v>
      </c>
      <c r="C78" s="419"/>
      <c r="D78" s="420">
        <f>VLOOKUP(A78,'CT-TB'!$A$10:$E$375,5,FALSE)</f>
        <v>-1526.45</v>
      </c>
      <c r="E78" s="420"/>
      <c r="F78" s="420">
        <v>-1526.45</v>
      </c>
    </row>
    <row r="79" spans="1:6" ht="15" customHeight="1">
      <c r="A79" s="491">
        <v>166100</v>
      </c>
      <c r="B79" s="404" t="s">
        <v>1336</v>
      </c>
      <c r="C79" s="419"/>
      <c r="D79" s="420">
        <f>VLOOKUP(A79,'CT-TB'!$A$10:$E$375,5,FALSE)</f>
        <v>-988720.37</v>
      </c>
      <c r="E79" s="420"/>
      <c r="F79" s="420">
        <v>-971845.76</v>
      </c>
    </row>
    <row r="80" spans="1:6" ht="15" customHeight="1">
      <c r="A80" s="491">
        <v>166999</v>
      </c>
      <c r="B80" s="404" t="s">
        <v>1335</v>
      </c>
      <c r="C80" s="419"/>
      <c r="D80" s="420">
        <f>VLOOKUP(A80,'CT-TB'!$A$10:$E$375,5,FALSE)</f>
        <v>-22569.18</v>
      </c>
      <c r="E80" s="420"/>
      <c r="F80" s="420">
        <v>-22569.18</v>
      </c>
    </row>
    <row r="81" spans="1:6" ht="15" customHeight="1">
      <c r="A81" s="491">
        <v>167100</v>
      </c>
      <c r="B81" s="404" t="s">
        <v>1334</v>
      </c>
      <c r="C81" s="419"/>
      <c r="D81" s="420">
        <f>VLOOKUP(A81,'CT-TB'!$A$10:$E$375,5,FALSE)</f>
        <v>-530843.65</v>
      </c>
      <c r="E81" s="420"/>
      <c r="F81" s="420">
        <v>-508033.24</v>
      </c>
    </row>
    <row r="82" spans="1:6" ht="15" customHeight="1">
      <c r="A82" s="491">
        <v>168100</v>
      </c>
      <c r="B82" s="404" t="s">
        <v>1333</v>
      </c>
      <c r="C82" s="419"/>
      <c r="D82" s="420">
        <f>VLOOKUP(A82,'CT-TB'!$A$10:$E$375,5,FALSE)</f>
        <v>-530710.69999999995</v>
      </c>
      <c r="E82" s="420"/>
      <c r="F82" s="420">
        <v>-517573.11</v>
      </c>
    </row>
    <row r="83" spans="1:6" ht="15" customHeight="1">
      <c r="A83" s="491">
        <v>168999</v>
      </c>
      <c r="B83" s="404" t="s">
        <v>1332</v>
      </c>
      <c r="C83" s="419"/>
      <c r="D83" s="420">
        <f>VLOOKUP(A83,'CT-TB'!$A$10:$E$375,5,FALSE)</f>
        <v>120732.86</v>
      </c>
      <c r="E83" s="420"/>
      <c r="F83" s="420">
        <v>10026.74</v>
      </c>
    </row>
    <row r="84" spans="1:6" ht="15" customHeight="1">
      <c r="A84" s="491">
        <v>169200</v>
      </c>
      <c r="B84" s="404" t="s">
        <v>1331</v>
      </c>
      <c r="C84" s="419"/>
      <c r="D84" s="420">
        <f>VLOOKUP(A84,'CT-TB'!$A$10:$E$375,5,FALSE)</f>
        <v>275849</v>
      </c>
      <c r="E84" s="420"/>
      <c r="F84" s="420">
        <v>181272.2</v>
      </c>
    </row>
    <row r="85" spans="1:6" ht="15" customHeight="1">
      <c r="A85" s="491">
        <v>169500</v>
      </c>
      <c r="B85" s="404" t="s">
        <v>1330</v>
      </c>
      <c r="C85" s="419"/>
      <c r="D85" s="420">
        <f>VLOOKUP(A85,'CT-TB'!$A$10:$E$375,5,FALSE)</f>
        <v>-14235</v>
      </c>
      <c r="E85" s="420"/>
      <c r="F85" s="420">
        <v>-14235</v>
      </c>
    </row>
    <row r="86" spans="1:6" ht="15" customHeight="1">
      <c r="A86" s="491">
        <v>172000</v>
      </c>
      <c r="B86" s="404" t="s">
        <v>1329</v>
      </c>
      <c r="C86" s="419"/>
      <c r="D86" s="420">
        <f>VLOOKUP(A86,'CT-TB'!$A$10:$E$375,5,FALSE)</f>
        <v>101557.05</v>
      </c>
      <c r="E86" s="420"/>
      <c r="F86" s="420">
        <v>69478.41</v>
      </c>
    </row>
    <row r="87" spans="1:6" ht="15" customHeight="1">
      <c r="A87" s="491">
        <v>175000</v>
      </c>
      <c r="B87" s="404" t="s">
        <v>1328</v>
      </c>
      <c r="C87" s="419"/>
      <c r="D87" s="420">
        <f>VLOOKUP(A87,'CT-TB'!$A$10:$E$375,5,FALSE)</f>
        <v>800</v>
      </c>
      <c r="E87" s="420"/>
      <c r="F87" s="420">
        <v>0</v>
      </c>
    </row>
    <row r="88" spans="1:6" ht="15" customHeight="1">
      <c r="A88" s="491">
        <v>176000</v>
      </c>
      <c r="B88" s="404" t="s">
        <v>1327</v>
      </c>
      <c r="C88" s="419"/>
      <c r="D88" s="420">
        <f>VLOOKUP(A88,'CT-TB'!$A$10:$E$375,5,FALSE)</f>
        <v>38072.5</v>
      </c>
      <c r="E88" s="420"/>
      <c r="F88" s="420">
        <v>25572.5</v>
      </c>
    </row>
    <row r="89" spans="1:6" ht="15" customHeight="1">
      <c r="A89" s="491">
        <v>180000</v>
      </c>
      <c r="B89" s="404" t="s">
        <v>1326</v>
      </c>
      <c r="C89" s="419"/>
      <c r="D89" s="420">
        <f>VLOOKUP(A89,'CT-TB'!$A$10:$E$375,5,FALSE)</f>
        <v>-826068.25</v>
      </c>
      <c r="E89" s="420"/>
      <c r="F89" s="420">
        <v>775064.75</v>
      </c>
    </row>
    <row r="90" spans="1:6" ht="15" customHeight="1">
      <c r="A90" s="491">
        <v>185000</v>
      </c>
      <c r="B90" s="404" t="s">
        <v>1325</v>
      </c>
      <c r="C90" s="419"/>
      <c r="D90" s="420">
        <f>VLOOKUP(A90,'CT-TB'!$A$10:$E$375,5,FALSE)</f>
        <v>8618366.9199999999</v>
      </c>
      <c r="E90" s="420"/>
      <c r="F90" s="420">
        <v>16622760.75</v>
      </c>
    </row>
    <row r="91" spans="1:6" ht="15" customHeight="1" thickBot="1">
      <c r="A91" s="491"/>
      <c r="B91" s="504" t="s">
        <v>656</v>
      </c>
      <c r="C91" s="419"/>
      <c r="D91" s="405">
        <f>SUM(D13:D90)</f>
        <v>35857422.730000019</v>
      </c>
      <c r="E91" s="420"/>
      <c r="F91" s="405">
        <f>SUM(F13:F90)</f>
        <v>47406634.149999984</v>
      </c>
    </row>
    <row r="92" spans="1:6" ht="15" customHeight="1" thickTop="1">
      <c r="A92" s="491"/>
      <c r="B92" s="404" t="s">
        <v>1282</v>
      </c>
      <c r="C92" s="419"/>
      <c r="D92" s="420"/>
      <c r="E92" s="420"/>
      <c r="F92" s="420"/>
    </row>
    <row r="93" spans="1:6" ht="15" customHeight="1">
      <c r="A93" s="491"/>
      <c r="B93" s="404" t="s">
        <v>657</v>
      </c>
      <c r="C93" s="419"/>
      <c r="D93" s="420"/>
      <c r="E93" s="420"/>
      <c r="F93" s="420"/>
    </row>
    <row r="94" spans="1:6" ht="15" customHeight="1">
      <c r="A94" s="491">
        <v>211000</v>
      </c>
      <c r="B94" s="404" t="s">
        <v>1324</v>
      </c>
      <c r="C94" s="419"/>
      <c r="D94" s="420">
        <f>VLOOKUP(A94,'CT-TB'!$A$10:$E$375,5,FALSE)</f>
        <v>1635531.5</v>
      </c>
      <c r="E94" s="420"/>
      <c r="F94" s="420">
        <v>2312690.63</v>
      </c>
    </row>
    <row r="95" spans="1:6" ht="15" customHeight="1">
      <c r="A95" s="491">
        <v>211001</v>
      </c>
      <c r="B95" s="404" t="s">
        <v>1323</v>
      </c>
      <c r="C95" s="419"/>
      <c r="D95" s="420">
        <f>VLOOKUP(A95,'CT-TB'!$A$10:$E$375,5,FALSE)</f>
        <v>1563421.03</v>
      </c>
      <c r="E95" s="420"/>
      <c r="F95" s="420">
        <v>1415691.96</v>
      </c>
    </row>
    <row r="96" spans="1:6" ht="15" customHeight="1">
      <c r="A96" s="491">
        <v>211500</v>
      </c>
      <c r="B96" s="404" t="s">
        <v>1322</v>
      </c>
      <c r="C96" s="419"/>
      <c r="D96" s="420">
        <f>VLOOKUP(A96,'CT-TB'!$A$10:$E$375,5,FALSE)</f>
        <v>6650.67</v>
      </c>
      <c r="E96" s="420"/>
      <c r="F96" s="420">
        <v>6113.33</v>
      </c>
    </row>
    <row r="97" spans="1:6" ht="15" customHeight="1">
      <c r="A97" s="491">
        <v>212000</v>
      </c>
      <c r="B97" s="404" t="s">
        <v>1321</v>
      </c>
      <c r="C97" s="419"/>
      <c r="D97" s="420">
        <f>VLOOKUP(A97,'CT-TB'!$A$10:$E$375,5,FALSE)</f>
        <v>541286.19999999995</v>
      </c>
      <c r="E97" s="420"/>
      <c r="F97" s="420">
        <v>587306.78</v>
      </c>
    </row>
    <row r="98" spans="1:6" ht="15" customHeight="1">
      <c r="A98" s="491">
        <v>212001</v>
      </c>
      <c r="B98" s="404" t="s">
        <v>1320</v>
      </c>
      <c r="C98" s="419"/>
      <c r="D98" s="420">
        <f>VLOOKUP(A98,'CT-TB'!$A$10:$E$375,5,FALSE)</f>
        <v>324432.7</v>
      </c>
      <c r="E98" s="420"/>
      <c r="F98" s="420">
        <v>334576.27</v>
      </c>
    </row>
    <row r="99" spans="1:6" ht="15" customHeight="1">
      <c r="A99" s="491">
        <v>213000</v>
      </c>
      <c r="B99" s="404" t="s">
        <v>1319</v>
      </c>
      <c r="C99" s="419"/>
      <c r="D99" s="420">
        <f>VLOOKUP(A99,'CT-TB'!$A$10:$E$375,5,FALSE)</f>
        <v>0</v>
      </c>
      <c r="E99" s="420"/>
      <c r="F99" s="420">
        <v>0</v>
      </c>
    </row>
    <row r="100" spans="1:6" ht="15" customHeight="1">
      <c r="A100" s="491">
        <v>214000</v>
      </c>
      <c r="B100" s="404" t="s">
        <v>1318</v>
      </c>
      <c r="C100" s="419"/>
      <c r="D100" s="420">
        <f>VLOOKUP(A100,'CT-TB'!$A$10:$E$375,5,FALSE)</f>
        <v>460276.61</v>
      </c>
      <c r="E100" s="420"/>
      <c r="F100" s="420">
        <v>343296.8</v>
      </c>
    </row>
    <row r="101" spans="1:6" ht="15" customHeight="1">
      <c r="A101" s="491">
        <v>216000</v>
      </c>
      <c r="B101" s="404" t="s">
        <v>1317</v>
      </c>
      <c r="C101" s="419"/>
      <c r="D101" s="420">
        <f>VLOOKUP(A101,'CT-TB'!$A$10:$E$375,5,FALSE)</f>
        <v>258417.71</v>
      </c>
      <c r="E101" s="420"/>
      <c r="F101" s="420">
        <v>0</v>
      </c>
    </row>
    <row r="102" spans="1:6" ht="15" customHeight="1">
      <c r="A102" s="491">
        <v>216500</v>
      </c>
      <c r="B102" s="404" t="s">
        <v>1316</v>
      </c>
      <c r="C102" s="419"/>
      <c r="D102" s="420">
        <f>VLOOKUP(A102,'CT-TB'!$A$10:$E$375,5,FALSE)</f>
        <v>150972.65</v>
      </c>
      <c r="E102" s="420"/>
      <c r="F102" s="420">
        <v>0</v>
      </c>
    </row>
    <row r="103" spans="1:6" ht="15" customHeight="1">
      <c r="A103" s="491">
        <v>216550</v>
      </c>
      <c r="B103" s="404" t="s">
        <v>1315</v>
      </c>
      <c r="C103" s="419"/>
      <c r="D103" s="420">
        <f>VLOOKUP(A103,'CT-TB'!$A$10:$E$375,5,FALSE)</f>
        <v>106367.67999999999</v>
      </c>
      <c r="E103" s="420"/>
      <c r="F103" s="420">
        <v>56567.25</v>
      </c>
    </row>
    <row r="104" spans="1:6" ht="15" customHeight="1">
      <c r="A104" s="491">
        <v>218000</v>
      </c>
      <c r="B104" s="404" t="s">
        <v>1314</v>
      </c>
      <c r="C104" s="419"/>
      <c r="D104" s="420">
        <f>VLOOKUP(A104,'CT-TB'!$A$10:$E$375,5,FALSE)</f>
        <v>968934.08</v>
      </c>
      <c r="E104" s="420"/>
      <c r="F104" s="420">
        <v>809506.6</v>
      </c>
    </row>
    <row r="105" spans="1:6" ht="15" customHeight="1">
      <c r="A105" s="491">
        <v>218500</v>
      </c>
      <c r="B105" s="404" t="s">
        <v>1313</v>
      </c>
      <c r="C105" s="419"/>
      <c r="D105" s="420">
        <f>VLOOKUP(A105,'CT-TB'!$A$10:$E$375,5,FALSE)</f>
        <v>370.46</v>
      </c>
      <c r="E105" s="420"/>
      <c r="F105" s="420">
        <v>709</v>
      </c>
    </row>
    <row r="106" spans="1:6" ht="15" customHeight="1">
      <c r="A106" s="491">
        <v>219000</v>
      </c>
      <c r="B106" s="404" t="s">
        <v>1312</v>
      </c>
      <c r="C106" s="419"/>
      <c r="D106" s="420">
        <f>VLOOKUP(A106,'CT-TB'!$A$10:$E$375,5,FALSE)</f>
        <v>314548.96000000002</v>
      </c>
      <c r="E106" s="420"/>
      <c r="F106" s="420">
        <v>413648.1</v>
      </c>
    </row>
    <row r="107" spans="1:6" ht="15" customHeight="1">
      <c r="A107" s="491">
        <v>220000</v>
      </c>
      <c r="B107" s="404" t="s">
        <v>1311</v>
      </c>
      <c r="C107" s="419"/>
      <c r="D107" s="420">
        <f>VLOOKUP(A107,'CT-TB'!$A$10:$E$375,5,FALSE)</f>
        <v>22019.439999999999</v>
      </c>
      <c r="E107" s="420"/>
      <c r="F107" s="420">
        <v>0</v>
      </c>
    </row>
    <row r="108" spans="1:6" ht="15" customHeight="1">
      <c r="A108" s="491">
        <v>221000</v>
      </c>
      <c r="B108" s="404" t="s">
        <v>1310</v>
      </c>
      <c r="C108" s="419"/>
      <c r="D108" s="420">
        <f>VLOOKUP(A108,'CT-TB'!$A$10:$E$375,5,FALSE)</f>
        <v>1822501.94</v>
      </c>
      <c r="E108" s="420"/>
      <c r="F108" s="420">
        <v>1793603.81</v>
      </c>
    </row>
    <row r="109" spans="1:6" ht="15" customHeight="1">
      <c r="A109" s="491">
        <v>221100</v>
      </c>
      <c r="B109" s="404" t="s">
        <v>1309</v>
      </c>
      <c r="C109" s="419"/>
      <c r="D109" s="420">
        <f>VLOOKUP(A109,'CT-TB'!$A$10:$E$375,5,FALSE)</f>
        <v>258878.91</v>
      </c>
      <c r="E109" s="420"/>
      <c r="F109" s="420">
        <v>61253.91</v>
      </c>
    </row>
    <row r="110" spans="1:6" ht="15" customHeight="1">
      <c r="A110" s="491">
        <v>222600</v>
      </c>
      <c r="B110" s="404" t="s">
        <v>1308</v>
      </c>
      <c r="C110" s="419"/>
      <c r="D110" s="420">
        <f>VLOOKUP(A110,'CT-TB'!$A$10:$E$375,5,FALSE)</f>
        <v>-14012.07</v>
      </c>
      <c r="E110" s="420"/>
      <c r="F110" s="420">
        <v>7752.94</v>
      </c>
    </row>
    <row r="111" spans="1:6" ht="15" customHeight="1">
      <c r="A111" s="491">
        <v>222700</v>
      </c>
      <c r="B111" s="404" t="s">
        <v>1307</v>
      </c>
      <c r="C111" s="419"/>
      <c r="D111" s="420">
        <f>VLOOKUP(A111,'CT-TB'!$A$10:$E$375,5,FALSE)</f>
        <v>163583.21</v>
      </c>
      <c r="E111" s="420"/>
      <c r="F111" s="420">
        <v>156241.15</v>
      </c>
    </row>
    <row r="112" spans="1:6" ht="15" customHeight="1">
      <c r="A112" s="491">
        <v>223000</v>
      </c>
      <c r="B112" s="404" t="s">
        <v>1306</v>
      </c>
      <c r="C112" s="419"/>
      <c r="D112" s="420">
        <f>VLOOKUP(A112,'CT-TB'!$A$10:$E$375,5,FALSE)</f>
        <v>100775.34</v>
      </c>
      <c r="E112" s="420"/>
      <c r="F112" s="420">
        <v>243904</v>
      </c>
    </row>
    <row r="113" spans="1:6" ht="15" customHeight="1">
      <c r="A113" s="491">
        <v>224000</v>
      </c>
      <c r="B113" s="404" t="s">
        <v>1305</v>
      </c>
      <c r="C113" s="419"/>
      <c r="D113" s="420">
        <f>VLOOKUP(A113,'CT-TB'!$A$10:$E$375,5,FALSE)</f>
        <v>1663.43</v>
      </c>
      <c r="E113" s="420"/>
      <c r="F113" s="420">
        <v>-855.02</v>
      </c>
    </row>
    <row r="114" spans="1:6" ht="15" customHeight="1">
      <c r="A114" s="491">
        <v>226000</v>
      </c>
      <c r="B114" s="404" t="s">
        <v>1304</v>
      </c>
      <c r="C114" s="419"/>
      <c r="D114" s="420">
        <f>VLOOKUP(A114,'CT-TB'!$A$10:$E$375,5,FALSE)</f>
        <v>6529.46</v>
      </c>
      <c r="E114" s="420"/>
      <c r="F114" s="420">
        <v>104470.31</v>
      </c>
    </row>
    <row r="115" spans="1:6" ht="15" customHeight="1">
      <c r="A115" s="491">
        <v>227000</v>
      </c>
      <c r="B115" s="404" t="s">
        <v>1303</v>
      </c>
      <c r="C115" s="419"/>
      <c r="D115" s="420">
        <f>VLOOKUP(A115,'CT-TB'!$A$10:$E$375,5,FALSE)</f>
        <v>-16877.91</v>
      </c>
      <c r="E115" s="420"/>
      <c r="F115" s="420">
        <v>-17049.77</v>
      </c>
    </row>
    <row r="116" spans="1:6" ht="15" customHeight="1">
      <c r="A116" s="491">
        <v>227500</v>
      </c>
      <c r="B116" s="404" t="s">
        <v>1302</v>
      </c>
      <c r="C116" s="419"/>
      <c r="D116" s="420">
        <f>VLOOKUP(A116,'CT-TB'!$A$10:$E$375,5,FALSE)</f>
        <v>344301.66</v>
      </c>
      <c r="E116" s="420"/>
      <c r="F116" s="420">
        <v>319211.63</v>
      </c>
    </row>
    <row r="117" spans="1:6" ht="15" customHeight="1">
      <c r="A117" s="491">
        <v>228000</v>
      </c>
      <c r="B117" s="404" t="s">
        <v>1301</v>
      </c>
      <c r="C117" s="419"/>
      <c r="D117" s="420">
        <f>VLOOKUP(A117,'CT-TB'!$A$10:$E$375,5,FALSE)</f>
        <v>15050.78</v>
      </c>
      <c r="E117" s="420"/>
      <c r="F117" s="420">
        <v>28264.37</v>
      </c>
    </row>
    <row r="118" spans="1:6" ht="15" customHeight="1">
      <c r="A118" s="491">
        <v>231000</v>
      </c>
      <c r="B118" s="404" t="s">
        <v>1300</v>
      </c>
      <c r="C118" s="419"/>
      <c r="D118" s="420">
        <f>VLOOKUP(A118,'CT-TB'!$A$10:$E$375,5,FALSE)</f>
        <v>2091038.78</v>
      </c>
      <c r="E118" s="420"/>
      <c r="F118" s="420">
        <v>2025815.11</v>
      </c>
    </row>
    <row r="119" spans="1:6" ht="15" customHeight="1">
      <c r="A119" s="491">
        <v>231100</v>
      </c>
      <c r="B119" s="404" t="s">
        <v>1299</v>
      </c>
      <c r="C119" s="419"/>
      <c r="D119" s="420">
        <f>VLOOKUP(A119,'CT-TB'!$A$10:$E$375,5,FALSE)</f>
        <v>77351.759999999995</v>
      </c>
      <c r="E119" s="420"/>
      <c r="F119" s="420">
        <v>164043.87</v>
      </c>
    </row>
    <row r="120" spans="1:6" ht="15" customHeight="1">
      <c r="A120" s="491">
        <v>231200</v>
      </c>
      <c r="B120" s="404" t="s">
        <v>1298</v>
      </c>
      <c r="C120" s="419"/>
      <c r="D120" s="420">
        <f>VLOOKUP(A120,'CT-TB'!$A$10:$E$375,5,FALSE)</f>
        <v>883331.03</v>
      </c>
      <c r="E120" s="420"/>
      <c r="F120" s="420">
        <v>1031984.7</v>
      </c>
    </row>
    <row r="121" spans="1:6" ht="15" customHeight="1">
      <c r="A121" s="491">
        <v>231300</v>
      </c>
      <c r="B121" s="404" t="s">
        <v>1297</v>
      </c>
      <c r="C121" s="419"/>
      <c r="D121" s="420">
        <f>VLOOKUP(A121,'CT-TB'!$A$10:$E$375,5,FALSE)</f>
        <v>-36464.57</v>
      </c>
      <c r="E121" s="420"/>
      <c r="F121" s="420">
        <v>0</v>
      </c>
    </row>
    <row r="122" spans="1:6" ht="15" customHeight="1">
      <c r="A122" s="491">
        <v>231400</v>
      </c>
      <c r="B122" s="404" t="s">
        <v>1296</v>
      </c>
      <c r="C122" s="419"/>
      <c r="D122" s="420">
        <f>VLOOKUP(A122,'CT-TB'!$A$10:$E$375,5,FALSE)</f>
        <v>158541.64000000001</v>
      </c>
      <c r="E122" s="420"/>
      <c r="F122" s="420">
        <v>139866.23999999999</v>
      </c>
    </row>
    <row r="123" spans="1:6" ht="15" customHeight="1">
      <c r="A123" s="491">
        <v>231500</v>
      </c>
      <c r="B123" s="404" t="s">
        <v>1295</v>
      </c>
      <c r="C123" s="419"/>
      <c r="D123" s="420">
        <f>VLOOKUP(A123,'CT-TB'!$A$10:$E$375,5,FALSE)</f>
        <v>194688.01</v>
      </c>
      <c r="E123" s="420"/>
      <c r="F123" s="420">
        <v>194841.49</v>
      </c>
    </row>
    <row r="124" spans="1:6" ht="15" customHeight="1">
      <c r="A124" s="491">
        <v>231700</v>
      </c>
      <c r="B124" s="404" t="s">
        <v>1294</v>
      </c>
      <c r="C124" s="419"/>
      <c r="D124" s="420">
        <f>VLOOKUP(A124,'CT-TB'!$A$10:$E$375,5,FALSE)</f>
        <v>125431.33</v>
      </c>
      <c r="E124" s="420"/>
      <c r="F124" s="420">
        <v>104939.42</v>
      </c>
    </row>
    <row r="125" spans="1:6" ht="15" customHeight="1">
      <c r="A125" s="491">
        <v>231900</v>
      </c>
      <c r="B125" s="404" t="s">
        <v>1293</v>
      </c>
      <c r="C125" s="419"/>
      <c r="D125" s="420">
        <f>VLOOKUP(A125,'CT-TB'!$A$10:$E$375,5,FALSE)</f>
        <v>2848.93</v>
      </c>
      <c r="E125" s="420"/>
      <c r="F125" s="420">
        <v>4432.53</v>
      </c>
    </row>
    <row r="126" spans="1:6" ht="15" customHeight="1">
      <c r="A126" s="491">
        <v>241000</v>
      </c>
      <c r="B126" s="404" t="s">
        <v>1292</v>
      </c>
      <c r="C126" s="419"/>
      <c r="D126" s="420">
        <f>VLOOKUP(A126,'CT-TB'!$A$10:$E$375,5,FALSE)</f>
        <v>0</v>
      </c>
      <c r="E126" s="420"/>
      <c r="F126" s="420">
        <v>0</v>
      </c>
    </row>
    <row r="127" spans="1:6" ht="15" customHeight="1">
      <c r="A127" s="491">
        <v>244000</v>
      </c>
      <c r="B127" s="404" t="s">
        <v>1291</v>
      </c>
      <c r="C127" s="419"/>
      <c r="D127" s="420">
        <f>VLOOKUP(A127,'CT-TB'!$A$10:$E$375,5,FALSE)</f>
        <v>-0.01</v>
      </c>
      <c r="E127" s="420"/>
      <c r="F127" s="420">
        <v>-0.01</v>
      </c>
    </row>
    <row r="128" spans="1:6" ht="15" customHeight="1">
      <c r="A128" s="491">
        <v>245000</v>
      </c>
      <c r="B128" s="404" t="s">
        <v>1290</v>
      </c>
      <c r="C128" s="419"/>
      <c r="D128" s="420">
        <f>VLOOKUP(A128,'CT-TB'!$A$10:$E$375,5,FALSE)</f>
        <v>831223.32</v>
      </c>
      <c r="E128" s="420"/>
      <c r="F128" s="420">
        <v>1165086.3799999999</v>
      </c>
    </row>
    <row r="129" spans="1:10" ht="15" customHeight="1">
      <c r="A129" s="491">
        <v>248000</v>
      </c>
      <c r="B129" s="409" t="s">
        <v>1289</v>
      </c>
      <c r="C129" s="421"/>
      <c r="D129" s="420">
        <f>VLOOKUP(A129,'CT-TB'!$A$10:$E$375,5,FALSE)</f>
        <v>-5767923.2699999996</v>
      </c>
      <c r="E129" s="422"/>
      <c r="F129" s="422">
        <v>-5399625.8700000001</v>
      </c>
      <c r="J129" s="595"/>
    </row>
    <row r="130" spans="1:10" ht="15" customHeight="1">
      <c r="A130" s="491">
        <v>248800</v>
      </c>
      <c r="B130" s="404" t="s">
        <v>1288</v>
      </c>
      <c r="C130" s="419"/>
      <c r="D130" s="420">
        <f>VLOOKUP(A130,'CT-TB'!$A$10:$E$375,5,FALSE)</f>
        <v>168961.68</v>
      </c>
      <c r="E130" s="420"/>
      <c r="F130" s="420">
        <v>38082.51</v>
      </c>
    </row>
    <row r="131" spans="1:10" ht="15" customHeight="1">
      <c r="A131" s="491">
        <v>249000</v>
      </c>
      <c r="B131" s="404" t="s">
        <v>1287</v>
      </c>
      <c r="C131" s="419"/>
      <c r="D131" s="420">
        <f>VLOOKUP(A131,'CT-TB'!$A$10:$E$375,5,FALSE)</f>
        <v>8524.0499999999993</v>
      </c>
      <c r="E131" s="420"/>
      <c r="F131" s="420">
        <v>8506.9</v>
      </c>
      <c r="J131" s="596"/>
    </row>
    <row r="132" spans="1:10" ht="15" customHeight="1">
      <c r="A132" s="491">
        <v>250000</v>
      </c>
      <c r="B132" s="404" t="s">
        <v>1286</v>
      </c>
      <c r="C132" s="419"/>
      <c r="D132" s="420">
        <f>VLOOKUP(A132,'CT-TB'!$A$10:$E$375,5,FALSE)</f>
        <v>233056.63</v>
      </c>
      <c r="E132" s="420"/>
      <c r="F132" s="420">
        <v>132917.72</v>
      </c>
    </row>
    <row r="133" spans="1:10" ht="15" customHeight="1">
      <c r="A133" s="491">
        <v>261000</v>
      </c>
      <c r="B133" s="404" t="s">
        <v>1285</v>
      </c>
      <c r="C133" s="419"/>
      <c r="D133" s="420">
        <f>VLOOKUP(A133,'CT-TB'!$A$10:$E$375,5,FALSE)</f>
        <v>845642.15</v>
      </c>
      <c r="E133" s="420"/>
      <c r="F133" s="420">
        <v>0</v>
      </c>
    </row>
    <row r="134" spans="1:10" ht="15" customHeight="1">
      <c r="A134" s="491">
        <v>261100</v>
      </c>
      <c r="B134" s="404" t="s">
        <v>1284</v>
      </c>
      <c r="C134" s="419"/>
      <c r="D134" s="420">
        <f>VLOOKUP(A134,'CT-TB'!$A$10:$E$375,5,FALSE)</f>
        <v>302975.34000000003</v>
      </c>
      <c r="E134" s="420"/>
      <c r="F134" s="420">
        <v>246843.14</v>
      </c>
    </row>
    <row r="135" spans="1:10" ht="15" customHeight="1">
      <c r="A135" s="491"/>
      <c r="B135" s="404" t="s">
        <v>1283</v>
      </c>
      <c r="C135" s="419"/>
      <c r="D135" s="406">
        <f>SUM(D94:D134)</f>
        <v>9154851.2400000002</v>
      </c>
      <c r="E135" s="420"/>
      <c r="F135" s="406">
        <f>SUM(F94:F134)</f>
        <v>8834638.1800000016</v>
      </c>
    </row>
    <row r="136" spans="1:10" ht="15" customHeight="1">
      <c r="A136" s="491"/>
      <c r="B136" s="404" t="s">
        <v>1282</v>
      </c>
      <c r="C136" s="419"/>
      <c r="D136" s="420"/>
      <c r="E136" s="420"/>
      <c r="F136" s="420"/>
    </row>
    <row r="137" spans="1:10" ht="15" customHeight="1">
      <c r="A137" s="491">
        <v>301000</v>
      </c>
      <c r="B137" s="404" t="s">
        <v>1281</v>
      </c>
      <c r="C137" s="419"/>
      <c r="D137" s="420">
        <f>VLOOKUP(A137,'CT-TB'!$A$10:$E$375,5,FALSE)</f>
        <v>4695229.5599999996</v>
      </c>
      <c r="E137" s="420"/>
      <c r="F137" s="420">
        <v>4634871.5599999996</v>
      </c>
    </row>
    <row r="138" spans="1:10" ht="15" customHeight="1">
      <c r="A138" s="491">
        <v>306000</v>
      </c>
      <c r="B138" s="404" t="s">
        <v>1280</v>
      </c>
      <c r="C138" s="419"/>
      <c r="D138" s="420">
        <f>VLOOKUP(A138,'CT-TB'!$A$10:$E$375,5,FALSE)</f>
        <v>-176133</v>
      </c>
      <c r="E138" s="420"/>
      <c r="F138" s="420">
        <v>-176133</v>
      </c>
    </row>
    <row r="139" spans="1:10" ht="15" customHeight="1">
      <c r="A139" s="491">
        <v>309000</v>
      </c>
      <c r="B139" s="404" t="s">
        <v>1279</v>
      </c>
      <c r="C139" s="419"/>
      <c r="D139" s="420">
        <f>VLOOKUP(A139,'CT-TB'!$A$10:$E$375,5,FALSE)</f>
        <v>-68198660.879999995</v>
      </c>
      <c r="E139" s="420"/>
      <c r="F139" s="420">
        <v>-68198660.879999995</v>
      </c>
    </row>
    <row r="140" spans="1:10" ht="15" customHeight="1">
      <c r="A140" s="491">
        <v>310000</v>
      </c>
      <c r="B140" s="404" t="s">
        <v>1278</v>
      </c>
      <c r="C140" s="419"/>
      <c r="D140" s="420">
        <f>VLOOKUP(A140,'CT-TB'!$A$10:$E$375,5,FALSE)</f>
        <v>102311918.29000001</v>
      </c>
      <c r="E140" s="420"/>
      <c r="F140" s="420">
        <v>94434621.069999993</v>
      </c>
    </row>
    <row r="141" spans="1:10" ht="15" customHeight="1">
      <c r="A141" s="503"/>
      <c r="B141" s="409" t="s">
        <v>938</v>
      </c>
      <c r="C141" s="421"/>
      <c r="D141" s="423">
        <v>-11929782.48</v>
      </c>
      <c r="E141" s="422"/>
      <c r="F141" s="423">
        <v>7877297.2199999997</v>
      </c>
    </row>
    <row r="142" spans="1:10" ht="15" customHeight="1" thickBot="1">
      <c r="A142" s="503"/>
      <c r="B142" s="404" t="s">
        <v>703</v>
      </c>
      <c r="C142" s="419"/>
      <c r="D142" s="405">
        <f>SUM(D137:D141)+D135</f>
        <v>35857422.730000012</v>
      </c>
      <c r="E142" s="420"/>
      <c r="F142" s="405">
        <f>SUM(F137:F141)+F135</f>
        <v>47406634.149999999</v>
      </c>
    </row>
    <row r="143" spans="1:10" ht="15" thickTop="1">
      <c r="A143" s="503"/>
    </row>
    <row r="144" spans="1:10" ht="14.5">
      <c r="A144" s="503"/>
    </row>
    <row r="145" spans="1:6" ht="15" thickBot="1">
      <c r="A145" s="503"/>
      <c r="D145" s="407"/>
      <c r="F145" s="407"/>
    </row>
    <row r="146" spans="1:6" ht="15" thickBot="1">
      <c r="A146" s="503"/>
      <c r="D146" s="408">
        <f>D91-D142</f>
        <v>0</v>
      </c>
      <c r="F146" s="408">
        <f>F91-F142</f>
        <v>0</v>
      </c>
    </row>
    <row r="147" spans="1:6" ht="14.5">
      <c r="A147" s="503"/>
    </row>
    <row r="148" spans="1:6" ht="14.5">
      <c r="A148" s="503"/>
    </row>
    <row r="149" spans="1:6" ht="14.5">
      <c r="A149" s="503"/>
    </row>
    <row r="150" spans="1:6" ht="14.5">
      <c r="A150" s="503"/>
    </row>
    <row r="151" spans="1:6" ht="14.5">
      <c r="A151" s="503"/>
    </row>
    <row r="152" spans="1:6" ht="14.5">
      <c r="A152" s="503"/>
    </row>
    <row r="153" spans="1:6" ht="14.5">
      <c r="A153" s="503"/>
    </row>
    <row r="154" spans="1:6" ht="14.5">
      <c r="A154" s="503"/>
    </row>
    <row r="155" spans="1:6" ht="14.5">
      <c r="A155" s="503"/>
    </row>
    <row r="156" spans="1:6" ht="14.5">
      <c r="A156" s="503"/>
    </row>
    <row r="157" spans="1:6" ht="14.5">
      <c r="A157" s="503"/>
    </row>
    <row r="158" spans="1:6" ht="14.5">
      <c r="A158" s="503"/>
    </row>
    <row r="159" spans="1:6" ht="14.5">
      <c r="A159" s="503"/>
    </row>
    <row r="160" spans="1:6" ht="14.5">
      <c r="A160" s="503"/>
    </row>
    <row r="161" spans="1:1" ht="14.5">
      <c r="A161" s="503"/>
    </row>
    <row r="162" spans="1:1" ht="14.5">
      <c r="A162" s="503"/>
    </row>
    <row r="163" spans="1:1" ht="14.5">
      <c r="A163" s="503"/>
    </row>
    <row r="164" spans="1:1" ht="14.5">
      <c r="A164" s="503"/>
    </row>
    <row r="165" spans="1:1" ht="14.5">
      <c r="A165" s="503"/>
    </row>
    <row r="166" spans="1:1" ht="14.5">
      <c r="A166" s="503"/>
    </row>
    <row r="167" spans="1:1" ht="14.5">
      <c r="A167" s="503"/>
    </row>
    <row r="168" spans="1:1" ht="14.5">
      <c r="A168" s="503"/>
    </row>
    <row r="169" spans="1:1" ht="14.5">
      <c r="A169" s="503"/>
    </row>
    <row r="170" spans="1:1" ht="14.5">
      <c r="A170" s="503"/>
    </row>
    <row r="171" spans="1:1" ht="14.5">
      <c r="A171" s="503"/>
    </row>
    <row r="172" spans="1:1" ht="14.5">
      <c r="A172" s="503"/>
    </row>
    <row r="173" spans="1:1" ht="14.5">
      <c r="A173" s="503"/>
    </row>
    <row r="174" spans="1:1" ht="14.5">
      <c r="A174" s="503"/>
    </row>
    <row r="175" spans="1:1" ht="14.5">
      <c r="A175" s="503"/>
    </row>
    <row r="176" spans="1:1" ht="14.5">
      <c r="A176" s="503"/>
    </row>
    <row r="177" spans="1:1" ht="14.5">
      <c r="A177" s="503"/>
    </row>
    <row r="178" spans="1:1" ht="14.5">
      <c r="A178" s="503"/>
    </row>
    <row r="179" spans="1:1" ht="14.5">
      <c r="A179" s="503"/>
    </row>
    <row r="180" spans="1:1" ht="14.5">
      <c r="A180" s="503"/>
    </row>
    <row r="181" spans="1:1" ht="14.5">
      <c r="A181" s="503"/>
    </row>
    <row r="182" spans="1:1" ht="14.5">
      <c r="A182" s="503"/>
    </row>
    <row r="183" spans="1:1" ht="14.5">
      <c r="A183" s="503"/>
    </row>
    <row r="184" spans="1:1" ht="14.5">
      <c r="A184" s="503"/>
    </row>
    <row r="185" spans="1:1" ht="14.5">
      <c r="A185" s="503"/>
    </row>
    <row r="186" spans="1:1" ht="14.5">
      <c r="A186" s="503"/>
    </row>
    <row r="187" spans="1:1" ht="14.5">
      <c r="A187" s="503"/>
    </row>
    <row r="188" spans="1:1" ht="14.5">
      <c r="A188" s="503"/>
    </row>
    <row r="189" spans="1:1" ht="14.5">
      <c r="A189" s="503"/>
    </row>
    <row r="190" spans="1:1" ht="14.5">
      <c r="A190" s="503"/>
    </row>
    <row r="191" spans="1:1" ht="14.5">
      <c r="A191" s="503"/>
    </row>
    <row r="192" spans="1:1" ht="14.5">
      <c r="A192" s="503"/>
    </row>
    <row r="193" spans="1:1" ht="14.5">
      <c r="A193" s="503"/>
    </row>
    <row r="194" spans="1:1" ht="14.5">
      <c r="A194" s="503"/>
    </row>
    <row r="195" spans="1:1" ht="14.5">
      <c r="A195" s="503"/>
    </row>
    <row r="196" spans="1:1" ht="14.5">
      <c r="A196" s="503"/>
    </row>
    <row r="197" spans="1:1" ht="14.5">
      <c r="A197" s="503"/>
    </row>
    <row r="198" spans="1:1" ht="14.5">
      <c r="A198" s="503"/>
    </row>
    <row r="199" spans="1:1" ht="14.5">
      <c r="A199" s="503"/>
    </row>
    <row r="200" spans="1:1" ht="14.5">
      <c r="A200" s="503"/>
    </row>
    <row r="201" spans="1:1" ht="14.5">
      <c r="A201" s="503"/>
    </row>
    <row r="202" spans="1:1" ht="14.5">
      <c r="A202" s="503"/>
    </row>
    <row r="203" spans="1:1" ht="14.5">
      <c r="A203" s="503"/>
    </row>
    <row r="204" spans="1:1" ht="14.5">
      <c r="A204" s="503"/>
    </row>
    <row r="205" spans="1:1" ht="14.5">
      <c r="A205" s="503"/>
    </row>
    <row r="206" spans="1:1" ht="14.5">
      <c r="A206" s="503"/>
    </row>
    <row r="207" spans="1:1" ht="14.5">
      <c r="A207" s="503"/>
    </row>
    <row r="208" spans="1:1" ht="14.5">
      <c r="A208" s="503"/>
    </row>
    <row r="209" spans="1:1" ht="14.5">
      <c r="A209" s="503"/>
    </row>
    <row r="210" spans="1:1" ht="14.5">
      <c r="A210" s="503"/>
    </row>
    <row r="211" spans="1:1" ht="14.5">
      <c r="A211" s="503"/>
    </row>
    <row r="212" spans="1:1" ht="14.5">
      <c r="A212" s="503"/>
    </row>
    <row r="213" spans="1:1" ht="14.5">
      <c r="A213" s="503"/>
    </row>
    <row r="214" spans="1:1" ht="14.5">
      <c r="A214" s="503"/>
    </row>
    <row r="215" spans="1:1" ht="14.5">
      <c r="A215" s="503"/>
    </row>
    <row r="216" spans="1:1" ht="14.5">
      <c r="A216" s="503"/>
    </row>
    <row r="217" spans="1:1" ht="14.5">
      <c r="A217" s="503"/>
    </row>
    <row r="218" spans="1:1" ht="14.5">
      <c r="A218" s="503"/>
    </row>
    <row r="219" spans="1:1" ht="14.5">
      <c r="A219" s="503"/>
    </row>
    <row r="220" spans="1:1" ht="14.5">
      <c r="A220" s="503"/>
    </row>
    <row r="221" spans="1:1" ht="14.5">
      <c r="A221" s="503"/>
    </row>
    <row r="222" spans="1:1" ht="14.5">
      <c r="A222" s="503"/>
    </row>
    <row r="223" spans="1:1" ht="14.5">
      <c r="A223" s="503"/>
    </row>
    <row r="224" spans="1:1" ht="14.5">
      <c r="A224" s="503"/>
    </row>
    <row r="225" spans="1:1" ht="14.5">
      <c r="A225" s="503"/>
    </row>
    <row r="226" spans="1:1" ht="14.5">
      <c r="A226" s="503"/>
    </row>
    <row r="227" spans="1:1" ht="14.5">
      <c r="A227" s="503"/>
    </row>
    <row r="228" spans="1:1" ht="14.5">
      <c r="A228" s="503"/>
    </row>
    <row r="229" spans="1:1" ht="14.5">
      <c r="A229" s="503"/>
    </row>
    <row r="230" spans="1:1" ht="14.5">
      <c r="A230" s="503"/>
    </row>
    <row r="231" spans="1:1" ht="14.5">
      <c r="A231" s="503"/>
    </row>
    <row r="232" spans="1:1" ht="14.5">
      <c r="A232" s="503"/>
    </row>
    <row r="233" spans="1:1" ht="14.5">
      <c r="A233" s="503"/>
    </row>
    <row r="234" spans="1:1" ht="14.5">
      <c r="A234" s="503"/>
    </row>
    <row r="235" spans="1:1" ht="14.5">
      <c r="A235" s="503"/>
    </row>
    <row r="236" spans="1:1" ht="14.5">
      <c r="A236" s="503"/>
    </row>
    <row r="237" spans="1:1" ht="14.5">
      <c r="A237" s="503"/>
    </row>
    <row r="238" spans="1:1" ht="14.5">
      <c r="A238" s="503"/>
    </row>
    <row r="239" spans="1:1" ht="14.5">
      <c r="A239" s="503"/>
    </row>
    <row r="240" spans="1:1" ht="14.5">
      <c r="A240" s="503"/>
    </row>
    <row r="241" spans="1:1" ht="14.5">
      <c r="A241" s="503"/>
    </row>
    <row r="242" spans="1:1" ht="14.5">
      <c r="A242" s="503"/>
    </row>
    <row r="243" spans="1:1" ht="14.5">
      <c r="A243" s="503"/>
    </row>
    <row r="244" spans="1:1" ht="14.5">
      <c r="A244" s="503"/>
    </row>
    <row r="245" spans="1:1" ht="14.5">
      <c r="A245" s="503"/>
    </row>
    <row r="246" spans="1:1" ht="14.5">
      <c r="A246" s="503"/>
    </row>
    <row r="247" spans="1:1" ht="14.5">
      <c r="A247" s="503"/>
    </row>
    <row r="248" spans="1:1" ht="14.5">
      <c r="A248" s="503"/>
    </row>
    <row r="249" spans="1:1" ht="14.5">
      <c r="A249" s="503"/>
    </row>
    <row r="250" spans="1:1" ht="14.5">
      <c r="A250" s="503"/>
    </row>
    <row r="251" spans="1:1" ht="14.5">
      <c r="A251" s="503"/>
    </row>
    <row r="252" spans="1:1" ht="14.5">
      <c r="A252" s="503"/>
    </row>
    <row r="253" spans="1:1" ht="14.5">
      <c r="A253" s="503"/>
    </row>
    <row r="254" spans="1:1" ht="14.5">
      <c r="A254" s="503"/>
    </row>
    <row r="255" spans="1:1" ht="14.5">
      <c r="A255" s="503"/>
    </row>
    <row r="256" spans="1:1" ht="14.5">
      <c r="A256" s="503"/>
    </row>
    <row r="257" spans="1:1" ht="14.5">
      <c r="A257" s="503"/>
    </row>
    <row r="258" spans="1:1" ht="14.5">
      <c r="A258" s="503"/>
    </row>
    <row r="259" spans="1:1" ht="14.5">
      <c r="A259" s="503"/>
    </row>
    <row r="260" spans="1:1" ht="14.5">
      <c r="A260" s="503"/>
    </row>
    <row r="261" spans="1:1" ht="14.5">
      <c r="A261" s="503"/>
    </row>
    <row r="262" spans="1:1" ht="14.5">
      <c r="A262" s="503"/>
    </row>
    <row r="263" spans="1:1" ht="14.5">
      <c r="A263" s="503"/>
    </row>
    <row r="264" spans="1:1" ht="14.5">
      <c r="A264" s="503"/>
    </row>
    <row r="265" spans="1:1" ht="14.5">
      <c r="A265" s="503"/>
    </row>
    <row r="266" spans="1:1" ht="14.5">
      <c r="A266" s="503"/>
    </row>
    <row r="267" spans="1:1" ht="14.5">
      <c r="A267" s="503"/>
    </row>
    <row r="268" spans="1:1" ht="14.5">
      <c r="A268" s="503"/>
    </row>
    <row r="269" spans="1:1" ht="14.5">
      <c r="A269" s="503"/>
    </row>
    <row r="270" spans="1:1" ht="14.5">
      <c r="A270" s="503"/>
    </row>
    <row r="271" spans="1:1" ht="14.5">
      <c r="A271" s="503"/>
    </row>
    <row r="272" spans="1:1" ht="14.5">
      <c r="A272" s="503"/>
    </row>
    <row r="273" spans="1:1" ht="14.5">
      <c r="A273" s="503"/>
    </row>
    <row r="274" spans="1:1" ht="14.5">
      <c r="A274" s="503"/>
    </row>
    <row r="275" spans="1:1" ht="14.5">
      <c r="A275" s="503"/>
    </row>
    <row r="276" spans="1:1" ht="14.5">
      <c r="A276" s="503"/>
    </row>
    <row r="277" spans="1:1" ht="14.5">
      <c r="A277" s="503"/>
    </row>
    <row r="278" spans="1:1" ht="14.5">
      <c r="A278" s="503"/>
    </row>
    <row r="279" spans="1:1" ht="14.5">
      <c r="A279" s="503"/>
    </row>
    <row r="280" spans="1:1" ht="14.5">
      <c r="A280" s="503"/>
    </row>
    <row r="281" spans="1:1" ht="14.5">
      <c r="A281" s="503"/>
    </row>
    <row r="282" spans="1:1" ht="14.5">
      <c r="A282" s="503"/>
    </row>
    <row r="283" spans="1:1" ht="14.5">
      <c r="A283" s="503"/>
    </row>
    <row r="284" spans="1:1" ht="14.5">
      <c r="A284" s="503"/>
    </row>
    <row r="285" spans="1:1" ht="14.5">
      <c r="A285" s="503"/>
    </row>
    <row r="286" spans="1:1" ht="14.5">
      <c r="A286" s="503"/>
    </row>
    <row r="287" spans="1:1" ht="14.5">
      <c r="A287" s="503"/>
    </row>
    <row r="288" spans="1:1" ht="14.5">
      <c r="A288" s="503"/>
    </row>
    <row r="289" spans="1:1" ht="14.5">
      <c r="A289" s="503"/>
    </row>
    <row r="290" spans="1:1" ht="14.5">
      <c r="A290" s="503"/>
    </row>
    <row r="291" spans="1:1" ht="14.5">
      <c r="A291" s="503"/>
    </row>
    <row r="292" spans="1:1" ht="14.5">
      <c r="A292" s="503"/>
    </row>
    <row r="293" spans="1:1" ht="14.5">
      <c r="A293" s="503"/>
    </row>
    <row r="294" spans="1:1" ht="14.5">
      <c r="A294" s="503"/>
    </row>
    <row r="295" spans="1:1" ht="14.5">
      <c r="A295" s="503"/>
    </row>
    <row r="296" spans="1:1" ht="14.5">
      <c r="A296" s="503"/>
    </row>
    <row r="297" spans="1:1" ht="14.5">
      <c r="A297" s="503"/>
    </row>
    <row r="298" spans="1:1" ht="14.5">
      <c r="A298" s="503"/>
    </row>
    <row r="299" spans="1:1" ht="14.5">
      <c r="A299" s="503"/>
    </row>
    <row r="300" spans="1:1" ht="14.5">
      <c r="A300" s="503"/>
    </row>
    <row r="301" spans="1:1" ht="14.5">
      <c r="A301" s="503"/>
    </row>
    <row r="302" spans="1:1" ht="14.5">
      <c r="A302" s="503"/>
    </row>
    <row r="303" spans="1:1" ht="14.5">
      <c r="A303" s="503"/>
    </row>
    <row r="304" spans="1:1" ht="14.5">
      <c r="A304" s="503"/>
    </row>
    <row r="305" spans="1:1" ht="14.5">
      <c r="A305" s="503"/>
    </row>
    <row r="306" spans="1:1" ht="14.5">
      <c r="A306" s="503"/>
    </row>
    <row r="307" spans="1:1" ht="14.5">
      <c r="A307" s="503"/>
    </row>
    <row r="308" spans="1:1" ht="14.5">
      <c r="A308" s="503"/>
    </row>
    <row r="309" spans="1:1" ht="14.5">
      <c r="A309" s="503"/>
    </row>
    <row r="310" spans="1:1" ht="14.5">
      <c r="A310" s="503"/>
    </row>
    <row r="311" spans="1:1" ht="14.5">
      <c r="A311" s="503"/>
    </row>
    <row r="312" spans="1:1" ht="14.5">
      <c r="A312" s="503"/>
    </row>
    <row r="313" spans="1:1" ht="14.5">
      <c r="A313" s="503"/>
    </row>
    <row r="314" spans="1:1" ht="14.5">
      <c r="A314" s="503"/>
    </row>
    <row r="315" spans="1:1" ht="14.5">
      <c r="A315" s="503"/>
    </row>
    <row r="316" spans="1:1" ht="14.5">
      <c r="A316" s="503"/>
    </row>
    <row r="317" spans="1:1" ht="14.5">
      <c r="A317" s="503"/>
    </row>
    <row r="318" spans="1:1" ht="14.5">
      <c r="A318" s="503"/>
    </row>
    <row r="319" spans="1:1" ht="14.5">
      <c r="A319" s="503"/>
    </row>
    <row r="320" spans="1:1" ht="14.5">
      <c r="A320" s="503"/>
    </row>
    <row r="321" spans="1:1" ht="14.5">
      <c r="A321" s="503"/>
    </row>
    <row r="322" spans="1:1" ht="14.5">
      <c r="A322" s="503"/>
    </row>
    <row r="323" spans="1:1" ht="14.5">
      <c r="A323" s="503"/>
    </row>
    <row r="324" spans="1:1" ht="14.5">
      <c r="A324" s="503"/>
    </row>
    <row r="325" spans="1:1" ht="14.5">
      <c r="A325" s="503"/>
    </row>
    <row r="326" spans="1:1" ht="14.5">
      <c r="A326" s="503"/>
    </row>
    <row r="327" spans="1:1" ht="14.5">
      <c r="A327" s="503"/>
    </row>
    <row r="328" spans="1:1" ht="14.5">
      <c r="A328" s="503"/>
    </row>
    <row r="329" spans="1:1" ht="14.5">
      <c r="A329" s="503"/>
    </row>
    <row r="330" spans="1:1" ht="14.5">
      <c r="A330" s="503"/>
    </row>
    <row r="331" spans="1:1" ht="14.5">
      <c r="A331" s="503"/>
    </row>
    <row r="332" spans="1:1" ht="14.5">
      <c r="A332" s="503"/>
    </row>
    <row r="333" spans="1:1" ht="14.5">
      <c r="A333" s="503"/>
    </row>
    <row r="334" spans="1:1" ht="14.5">
      <c r="A334" s="503"/>
    </row>
    <row r="335" spans="1:1" ht="14.5">
      <c r="A335" s="503"/>
    </row>
    <row r="336" spans="1:1" ht="14.5">
      <c r="A336" s="503"/>
    </row>
    <row r="337" spans="1:1" ht="14.5">
      <c r="A337" s="503"/>
    </row>
    <row r="338" spans="1:1" ht="14.5">
      <c r="A338" s="503"/>
    </row>
    <row r="339" spans="1:1" ht="14.5">
      <c r="A339" s="503"/>
    </row>
    <row r="340" spans="1:1" ht="14.5">
      <c r="A340" s="503"/>
    </row>
    <row r="341" spans="1:1" ht="14.5">
      <c r="A341" s="503"/>
    </row>
    <row r="342" spans="1:1" ht="14.5">
      <c r="A342" s="503"/>
    </row>
    <row r="343" spans="1:1" ht="14.5">
      <c r="A343" s="503"/>
    </row>
    <row r="344" spans="1:1" ht="14.5">
      <c r="A344" s="503"/>
    </row>
    <row r="345" spans="1:1" ht="14.5">
      <c r="A345" s="503"/>
    </row>
    <row r="346" spans="1:1" ht="14.5">
      <c r="A346" s="503"/>
    </row>
    <row r="347" spans="1:1" ht="14.5">
      <c r="A347" s="503"/>
    </row>
    <row r="348" spans="1:1" ht="14.5">
      <c r="A348" s="503"/>
    </row>
    <row r="349" spans="1:1" ht="14.5">
      <c r="A349" s="503"/>
    </row>
    <row r="350" spans="1:1" ht="14.5">
      <c r="A350" s="503"/>
    </row>
    <row r="351" spans="1:1" ht="14.5">
      <c r="A351" s="503"/>
    </row>
    <row r="352" spans="1:1" ht="14.5">
      <c r="A352" s="503"/>
    </row>
    <row r="353" spans="1:1" ht="14.5">
      <c r="A353" s="503"/>
    </row>
    <row r="354" spans="1:1" ht="14.5">
      <c r="A354" s="503"/>
    </row>
    <row r="355" spans="1:1" ht="14.5">
      <c r="A355" s="503"/>
    </row>
    <row r="356" spans="1:1" ht="14.5">
      <c r="A356" s="503"/>
    </row>
    <row r="357" spans="1:1" ht="14.5">
      <c r="A357" s="503"/>
    </row>
    <row r="358" spans="1:1" ht="14.5">
      <c r="A358" s="503"/>
    </row>
    <row r="359" spans="1:1" ht="14.5">
      <c r="A359" s="503"/>
    </row>
    <row r="360" spans="1:1" ht="14.5">
      <c r="A360" s="503"/>
    </row>
    <row r="361" spans="1:1" ht="14.5">
      <c r="A361" s="503"/>
    </row>
    <row r="362" spans="1:1" ht="14.5">
      <c r="A362" s="503"/>
    </row>
    <row r="363" spans="1:1" ht="14.5">
      <c r="A363" s="503"/>
    </row>
    <row r="364" spans="1:1" ht="14.5">
      <c r="A364" s="503"/>
    </row>
    <row r="365" spans="1:1" ht="14.5">
      <c r="A365" s="503"/>
    </row>
    <row r="366" spans="1:1" ht="14.5">
      <c r="A366" s="503"/>
    </row>
    <row r="367" spans="1:1" ht="14.5">
      <c r="A367" s="503"/>
    </row>
    <row r="368" spans="1:1" ht="14.5">
      <c r="A368" s="503"/>
    </row>
    <row r="369" spans="1:1" ht="14.5">
      <c r="A369" s="503"/>
    </row>
    <row r="370" spans="1:1" ht="14.5">
      <c r="A370" s="503"/>
    </row>
    <row r="371" spans="1:1" ht="14.5">
      <c r="A371" s="503"/>
    </row>
    <row r="372" spans="1:1" ht="14.5">
      <c r="A372" s="503"/>
    </row>
    <row r="373" spans="1:1" ht="14.5">
      <c r="A373" s="503"/>
    </row>
    <row r="374" spans="1:1" ht="14.5">
      <c r="A374" s="503"/>
    </row>
    <row r="375" spans="1:1" ht="14.5">
      <c r="A375" s="503"/>
    </row>
    <row r="376" spans="1:1" ht="14.5">
      <c r="A376" s="503"/>
    </row>
    <row r="377" spans="1:1" ht="14.5">
      <c r="A377" s="503"/>
    </row>
    <row r="378" spans="1:1" ht="14.5">
      <c r="A378" s="503"/>
    </row>
    <row r="379" spans="1:1" ht="14.5">
      <c r="A379" s="503"/>
    </row>
    <row r="380" spans="1:1" ht="14.5">
      <c r="A380" s="503"/>
    </row>
    <row r="381" spans="1:1" ht="14.5">
      <c r="A381" s="503"/>
    </row>
    <row r="382" spans="1:1" ht="14.5">
      <c r="A382" s="503"/>
    </row>
    <row r="383" spans="1:1" ht="14.5">
      <c r="A383" s="503"/>
    </row>
    <row r="384" spans="1:1" ht="14.5">
      <c r="A384" s="503"/>
    </row>
    <row r="385" spans="1:1" ht="14.5">
      <c r="A385" s="503"/>
    </row>
  </sheetData>
  <printOptions gridLines="1"/>
  <pageMargins left="0.7" right="0.7" top="0.75" bottom="0.75" header="0.3" footer="0.3"/>
  <pageSetup scale="64" fitToHeight="2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FF00"/>
    <pageSetUpPr fitToPage="1"/>
  </sheetPr>
  <dimension ref="A1:X63"/>
  <sheetViews>
    <sheetView zoomScale="80" zoomScaleNormal="80" workbookViewId="0">
      <selection activeCell="G43" sqref="G43"/>
    </sheetView>
  </sheetViews>
  <sheetFormatPr defaultColWidth="9.1796875" defaultRowHeight="13" outlineLevelRow="1" outlineLevelCol="1"/>
  <cols>
    <col min="1" max="1" width="47.7265625" style="222" customWidth="1"/>
    <col min="2" max="2" width="3.81640625" style="222" customWidth="1" outlineLevel="1"/>
    <col min="3" max="3" width="16.1796875" style="222" customWidth="1" outlineLevel="1"/>
    <col min="4" max="4" width="3.81640625" style="222" customWidth="1" outlineLevel="1"/>
    <col min="5" max="5" width="12.7265625" style="222" customWidth="1" outlineLevel="1"/>
    <col min="6" max="6" width="3.81640625" style="222" customWidth="1" outlineLevel="1"/>
    <col min="7" max="7" width="14" style="222" customWidth="1" outlineLevel="1"/>
    <col min="8" max="8" width="3.81640625" style="222" customWidth="1" outlineLevel="1"/>
    <col min="9" max="9" width="16.1796875" style="222" customWidth="1" outlineLevel="1"/>
    <col min="10" max="10" width="3.81640625" style="217" customWidth="1"/>
    <col min="11" max="11" width="12.7265625" style="222" customWidth="1"/>
    <col min="12" max="12" width="3.81640625" style="222" customWidth="1"/>
    <col min="13" max="13" width="12.7265625" style="222" customWidth="1"/>
    <col min="14" max="14" width="1.54296875" style="222" customWidth="1"/>
    <col min="15" max="15" width="3.54296875" style="222" customWidth="1"/>
    <col min="16" max="16" width="12.54296875" style="217" bestFit="1" customWidth="1"/>
    <col min="17" max="17" width="11.26953125" style="217" bestFit="1" customWidth="1"/>
    <col min="18" max="19" width="10" style="217" customWidth="1"/>
    <col min="20" max="20" width="12.54296875" style="217" bestFit="1" customWidth="1" outlineLevel="1"/>
    <col min="21" max="23" width="10" style="217" customWidth="1" outlineLevel="1"/>
    <col min="24" max="24" width="9.1796875" style="217"/>
    <col min="25" max="16384" width="9.1796875" style="222"/>
  </cols>
  <sheetData>
    <row r="1" spans="1:24">
      <c r="A1" s="653" t="s">
        <v>425</v>
      </c>
      <c r="B1" s="495"/>
      <c r="C1" s="495"/>
      <c r="D1" s="495"/>
      <c r="E1" s="495"/>
      <c r="F1" s="495"/>
      <c r="G1" s="495"/>
      <c r="H1" s="495"/>
      <c r="I1" s="495"/>
      <c r="J1" s="495"/>
      <c r="K1" s="495"/>
      <c r="L1" s="495"/>
      <c r="M1" s="495"/>
      <c r="N1" s="221"/>
      <c r="P1" s="538"/>
      <c r="Q1" s="538"/>
      <c r="R1" s="538"/>
      <c r="S1" s="538"/>
      <c r="T1" s="538"/>
      <c r="U1" s="538"/>
      <c r="V1" s="538"/>
      <c r="W1" s="538"/>
    </row>
    <row r="2" spans="1:24">
      <c r="A2" s="653" t="s">
        <v>1019</v>
      </c>
      <c r="B2" s="495"/>
      <c r="C2" s="495"/>
      <c r="D2" s="495"/>
      <c r="E2" s="495"/>
      <c r="F2" s="495"/>
      <c r="G2" s="495"/>
      <c r="H2" s="495"/>
      <c r="I2" s="495"/>
      <c r="J2" s="495"/>
      <c r="K2" s="495"/>
      <c r="L2" s="495"/>
      <c r="M2" s="495"/>
      <c r="N2" s="221"/>
      <c r="P2" s="538"/>
      <c r="Q2" s="538"/>
      <c r="R2" s="538"/>
      <c r="S2" s="538"/>
      <c r="T2" s="538"/>
      <c r="U2" s="538"/>
      <c r="V2" s="538"/>
      <c r="W2" s="538"/>
    </row>
    <row r="3" spans="1:24">
      <c r="A3" s="654" t="str">
        <f>"For the years ended "&amp;TEXT($K$9,"MMMM DD, YYYY")&amp;" and 2015"</f>
        <v>For the years ended December 31, 2016 and 2015</v>
      </c>
      <c r="B3" s="495"/>
      <c r="C3" s="495"/>
      <c r="D3" s="495"/>
      <c r="E3" s="495"/>
      <c r="F3" s="495"/>
      <c r="G3" s="495"/>
      <c r="H3" s="495"/>
      <c r="I3" s="495"/>
      <c r="J3" s="495"/>
      <c r="K3" s="495"/>
      <c r="L3" s="495"/>
      <c r="M3" s="495"/>
      <c r="N3" s="221"/>
      <c r="P3" s="539"/>
      <c r="Q3" s="539"/>
      <c r="R3" s="539"/>
      <c r="S3" s="539"/>
      <c r="T3" s="539"/>
      <c r="U3" s="539"/>
      <c r="V3" s="539"/>
      <c r="W3" s="539"/>
    </row>
    <row r="4" spans="1:24">
      <c r="A4" s="655" t="s">
        <v>1480</v>
      </c>
      <c r="B4" s="495"/>
      <c r="C4" s="495"/>
      <c r="D4" s="495"/>
      <c r="E4" s="495"/>
      <c r="F4" s="495"/>
      <c r="G4" s="495"/>
      <c r="H4" s="495"/>
      <c r="I4" s="495"/>
      <c r="J4" s="495"/>
      <c r="K4" s="495"/>
      <c r="L4" s="495"/>
      <c r="M4" s="495"/>
      <c r="N4" s="221"/>
      <c r="P4" s="539"/>
      <c r="Q4" s="539"/>
      <c r="R4" s="539"/>
      <c r="S4" s="539"/>
      <c r="T4" s="539"/>
      <c r="U4" s="539"/>
      <c r="V4" s="539"/>
      <c r="W4" s="539"/>
    </row>
    <row r="5" spans="1:24">
      <c r="A5" s="655"/>
      <c r="B5" s="495"/>
      <c r="C5" s="495"/>
      <c r="D5" s="495"/>
      <c r="E5" s="495"/>
      <c r="F5" s="495"/>
      <c r="G5" s="495"/>
      <c r="H5" s="495"/>
      <c r="I5" s="495"/>
      <c r="J5" s="495"/>
      <c r="K5" s="495"/>
      <c r="L5" s="495"/>
      <c r="M5" s="495"/>
      <c r="N5" s="221"/>
      <c r="P5" s="539"/>
      <c r="Q5" s="539"/>
      <c r="R5" s="539"/>
      <c r="S5" s="539"/>
      <c r="T5" s="539"/>
      <c r="U5" s="539"/>
      <c r="V5" s="539"/>
      <c r="W5" s="539"/>
    </row>
    <row r="6" spans="1:24">
      <c r="A6" s="655"/>
      <c r="B6" s="495"/>
      <c r="C6" s="495"/>
      <c r="D6" s="495"/>
      <c r="E6" s="495"/>
      <c r="F6" s="495"/>
      <c r="G6" s="495"/>
      <c r="H6" s="495"/>
      <c r="I6" s="495"/>
      <c r="J6" s="495"/>
      <c r="K6" s="495"/>
      <c r="L6" s="495"/>
      <c r="M6" s="495"/>
      <c r="N6" s="221"/>
      <c r="P6" s="539"/>
      <c r="Q6" s="539"/>
      <c r="R6" s="539"/>
      <c r="S6" s="539"/>
      <c r="T6" s="539"/>
      <c r="U6" s="539"/>
      <c r="V6" s="539"/>
      <c r="W6" s="539"/>
    </row>
    <row r="7" spans="1:24" s="220" customFormat="1">
      <c r="A7" s="219"/>
      <c r="B7" s="219"/>
      <c r="C7" s="681" t="s">
        <v>986</v>
      </c>
      <c r="D7" s="684"/>
      <c r="E7" s="684"/>
      <c r="F7" s="684"/>
      <c r="G7" s="684"/>
      <c r="H7" s="684"/>
      <c r="I7" s="685"/>
      <c r="J7" s="219"/>
      <c r="K7" s="219"/>
      <c r="L7" s="219"/>
      <c r="M7" s="219"/>
      <c r="N7" s="219"/>
    </row>
    <row r="8" spans="1:24" s="220" customFormat="1">
      <c r="A8" s="219"/>
      <c r="B8" s="219"/>
      <c r="C8" s="505"/>
      <c r="D8" s="505"/>
      <c r="E8" s="505"/>
      <c r="F8" s="505"/>
      <c r="G8" s="505"/>
      <c r="H8" s="505"/>
      <c r="I8" s="505"/>
      <c r="J8" s="219"/>
      <c r="K8" s="505"/>
      <c r="L8" s="505"/>
      <c r="M8" s="505"/>
      <c r="N8" s="219"/>
      <c r="P8" s="506"/>
      <c r="Q8" s="506"/>
      <c r="R8" s="506"/>
      <c r="S8" s="506"/>
      <c r="T8" s="506"/>
      <c r="U8" s="506"/>
      <c r="V8" s="506"/>
      <c r="W8" s="506"/>
    </row>
    <row r="9" spans="1:24" s="223" customFormat="1" ht="26">
      <c r="A9" s="507"/>
      <c r="B9" s="507"/>
      <c r="C9" s="508" t="s">
        <v>987</v>
      </c>
      <c r="D9" s="505"/>
      <c r="E9" s="508" t="s">
        <v>0</v>
      </c>
      <c r="F9" s="505"/>
      <c r="G9" s="508" t="s">
        <v>1020</v>
      </c>
      <c r="H9" s="508"/>
      <c r="I9" s="509" t="s">
        <v>989</v>
      </c>
      <c r="J9" s="219"/>
      <c r="K9" s="510" t="s">
        <v>1481</v>
      </c>
      <c r="L9" s="511"/>
      <c r="M9" s="510" t="s">
        <v>990</v>
      </c>
      <c r="N9" s="219"/>
      <c r="O9" s="220"/>
      <c r="P9" s="512"/>
      <c r="Q9" s="512"/>
      <c r="R9" s="512"/>
      <c r="S9" s="512"/>
      <c r="T9" s="512"/>
      <c r="U9" s="512"/>
      <c r="V9" s="512"/>
      <c r="W9" s="512"/>
      <c r="X9" s="220"/>
    </row>
    <row r="10" spans="1:24">
      <c r="A10" s="221"/>
      <c r="B10" s="221"/>
      <c r="C10" s="513"/>
      <c r="D10" s="513"/>
      <c r="E10" s="221"/>
      <c r="F10" s="221"/>
      <c r="G10" s="221"/>
      <c r="H10" s="221"/>
      <c r="I10" s="221"/>
      <c r="J10" s="216"/>
      <c r="K10" s="221"/>
      <c r="L10" s="514"/>
      <c r="M10" s="221"/>
      <c r="N10" s="218"/>
      <c r="O10" s="515"/>
    </row>
    <row r="11" spans="1:24">
      <c r="A11" s="221" t="s">
        <v>3</v>
      </c>
      <c r="B11" s="221"/>
      <c r="C11" s="516">
        <v>1045988816.1600001</v>
      </c>
      <c r="D11" s="517"/>
      <c r="E11" s="517">
        <v>124779147.73999999</v>
      </c>
      <c r="F11" s="518"/>
      <c r="G11" s="517"/>
      <c r="H11" s="518"/>
      <c r="I11" s="517">
        <v>1170767963.9000001</v>
      </c>
      <c r="J11" s="519"/>
      <c r="K11" s="516">
        <v>1170767.9639000001</v>
      </c>
      <c r="L11" s="517"/>
      <c r="M11" s="516">
        <v>1491835.3723500001</v>
      </c>
      <c r="N11" s="216"/>
      <c r="O11" s="217"/>
      <c r="P11" s="540"/>
      <c r="Q11" s="540"/>
      <c r="R11" s="541"/>
      <c r="S11" s="540"/>
      <c r="T11" s="540"/>
      <c r="U11" s="540"/>
      <c r="V11" s="540"/>
      <c r="W11" s="540"/>
    </row>
    <row r="12" spans="1:24">
      <c r="A12" s="221" t="s">
        <v>1021</v>
      </c>
      <c r="B12" s="221"/>
      <c r="C12" s="520">
        <v>898007449.19000006</v>
      </c>
      <c r="D12" s="520"/>
      <c r="E12" s="520">
        <v>63621880.220000029</v>
      </c>
      <c r="F12" s="518"/>
      <c r="G12" s="520"/>
      <c r="H12" s="518"/>
      <c r="I12" s="520">
        <v>961629329.41000009</v>
      </c>
      <c r="J12" s="519"/>
      <c r="K12" s="520">
        <v>961629.32941000012</v>
      </c>
      <c r="L12" s="520"/>
      <c r="M12" s="520">
        <v>1255148.1605900002</v>
      </c>
      <c r="N12" s="216"/>
      <c r="O12" s="217"/>
      <c r="P12" s="536"/>
      <c r="Q12" s="536"/>
      <c r="R12" s="536"/>
      <c r="S12" s="536"/>
      <c r="T12" s="536"/>
      <c r="U12" s="536"/>
      <c r="V12" s="536"/>
      <c r="W12" s="536"/>
    </row>
    <row r="13" spans="1:24" ht="5.25" customHeight="1">
      <c r="A13" s="221"/>
      <c r="B13" s="221"/>
      <c r="C13" s="521"/>
      <c r="D13" s="520"/>
      <c r="E13" s="521"/>
      <c r="F13" s="519"/>
      <c r="G13" s="521"/>
      <c r="H13" s="519"/>
      <c r="I13" s="521"/>
      <c r="J13" s="519"/>
      <c r="K13" s="521"/>
      <c r="L13" s="520"/>
      <c r="M13" s="521">
        <v>0</v>
      </c>
      <c r="N13" s="216"/>
      <c r="O13" s="217"/>
      <c r="P13" s="536"/>
      <c r="Q13" s="536"/>
      <c r="R13" s="536"/>
      <c r="S13" s="536"/>
      <c r="T13" s="536"/>
      <c r="U13" s="536"/>
      <c r="V13" s="536"/>
      <c r="W13" s="536"/>
    </row>
    <row r="14" spans="1:24">
      <c r="A14" s="221" t="s">
        <v>433</v>
      </c>
      <c r="B14" s="221"/>
      <c r="C14" s="520">
        <v>147981366.97000003</v>
      </c>
      <c r="D14" s="520"/>
      <c r="E14" s="520">
        <v>61157267.519999966</v>
      </c>
      <c r="F14" s="518"/>
      <c r="G14" s="520">
        <v>0</v>
      </c>
      <c r="H14" s="518"/>
      <c r="I14" s="520">
        <v>209138634.49000001</v>
      </c>
      <c r="J14" s="519"/>
      <c r="K14" s="520">
        <v>209138.63448999997</v>
      </c>
      <c r="L14" s="520"/>
      <c r="M14" s="520">
        <v>236687.21175999986</v>
      </c>
      <c r="N14" s="216"/>
      <c r="O14" s="217"/>
      <c r="P14" s="536"/>
      <c r="Q14" s="536"/>
      <c r="R14" s="536"/>
      <c r="S14" s="536"/>
      <c r="T14" s="536"/>
      <c r="U14" s="536"/>
      <c r="V14" s="536"/>
      <c r="W14" s="536"/>
    </row>
    <row r="15" spans="1:24">
      <c r="A15" s="221" t="s">
        <v>434</v>
      </c>
      <c r="B15" s="221"/>
      <c r="C15" s="520">
        <v>153422891.40999997</v>
      </c>
      <c r="D15" s="520"/>
      <c r="E15" s="520">
        <v>66327681.929999992</v>
      </c>
      <c r="F15" s="518"/>
      <c r="G15" s="520"/>
      <c r="H15" s="518"/>
      <c r="I15" s="520">
        <v>219750573.33999997</v>
      </c>
      <c r="J15" s="519"/>
      <c r="K15" s="520">
        <v>219750.57333999997</v>
      </c>
      <c r="L15" s="520"/>
      <c r="M15" s="520">
        <v>211300.72798000003</v>
      </c>
      <c r="N15" s="216"/>
      <c r="O15" s="217"/>
      <c r="P15" s="536"/>
      <c r="Q15" s="536"/>
      <c r="R15" s="536"/>
      <c r="S15" s="536"/>
      <c r="T15" s="536"/>
      <c r="U15" s="536"/>
      <c r="V15" s="536"/>
      <c r="W15" s="536"/>
    </row>
    <row r="16" spans="1:24" ht="5.25" customHeight="1">
      <c r="A16" s="221"/>
      <c r="B16" s="221"/>
      <c r="C16" s="521"/>
      <c r="D16" s="520"/>
      <c r="E16" s="521"/>
      <c r="F16" s="519"/>
      <c r="G16" s="521"/>
      <c r="H16" s="519"/>
      <c r="I16" s="521"/>
      <c r="J16" s="519"/>
      <c r="K16" s="521"/>
      <c r="L16" s="520"/>
      <c r="M16" s="521">
        <v>0</v>
      </c>
      <c r="N16" s="216"/>
      <c r="O16" s="217"/>
      <c r="P16" s="536"/>
      <c r="Q16" s="536"/>
      <c r="R16" s="536"/>
      <c r="S16" s="536"/>
      <c r="T16" s="536"/>
      <c r="U16" s="536"/>
      <c r="V16" s="536"/>
      <c r="W16" s="536"/>
    </row>
    <row r="17" spans="1:23">
      <c r="A17" s="221" t="s">
        <v>1022</v>
      </c>
      <c r="B17" s="221"/>
      <c r="C17" s="522">
        <v>-5441524.439999938</v>
      </c>
      <c r="D17" s="522"/>
      <c r="E17" s="522">
        <v>-5170414.4100000262</v>
      </c>
      <c r="F17" s="518"/>
      <c r="G17" s="522">
        <v>0</v>
      </c>
      <c r="H17" s="518"/>
      <c r="I17" s="522">
        <v>-10611938.849999964</v>
      </c>
      <c r="J17" s="519"/>
      <c r="K17" s="522">
        <v>-10611.938850000006</v>
      </c>
      <c r="L17" s="522"/>
      <c r="M17" s="522">
        <v>25386.483779999835</v>
      </c>
      <c r="N17" s="216"/>
      <c r="O17" s="217"/>
      <c r="P17" s="536"/>
      <c r="Q17" s="536"/>
      <c r="R17" s="536"/>
      <c r="S17" s="536"/>
      <c r="T17" s="536"/>
      <c r="U17" s="536"/>
      <c r="V17" s="536"/>
      <c r="W17" s="536"/>
    </row>
    <row r="18" spans="1:23" ht="20.25" customHeight="1">
      <c r="A18" s="221" t="s">
        <v>1023</v>
      </c>
      <c r="B18" s="221"/>
      <c r="C18" s="520">
        <v>-8620.0200000000023</v>
      </c>
      <c r="D18" s="520"/>
      <c r="E18" s="520">
        <v>-162837.08999999997</v>
      </c>
      <c r="F18" s="518"/>
      <c r="G18" s="520"/>
      <c r="H18" s="518"/>
      <c r="I18" s="520">
        <v>-171457.10999999996</v>
      </c>
      <c r="J18" s="519"/>
      <c r="K18" s="520">
        <v>-171.45710999999994</v>
      </c>
      <c r="L18" s="520"/>
      <c r="M18" s="520">
        <v>-467.44910000000016</v>
      </c>
      <c r="N18" s="216"/>
      <c r="O18" s="217"/>
      <c r="P18" s="536"/>
      <c r="Q18" s="536"/>
      <c r="R18" s="536"/>
      <c r="S18" s="536"/>
      <c r="T18" s="536"/>
      <c r="U18" s="536"/>
      <c r="V18" s="536"/>
      <c r="W18" s="536"/>
    </row>
    <row r="19" spans="1:23" outlineLevel="1">
      <c r="A19" s="221" t="s">
        <v>1024</v>
      </c>
      <c r="B19" s="221"/>
      <c r="C19" s="520">
        <v>0</v>
      </c>
      <c r="D19" s="520"/>
      <c r="E19" s="520">
        <v>147599.85999999999</v>
      </c>
      <c r="F19" s="518"/>
      <c r="G19" s="520"/>
      <c r="H19" s="518"/>
      <c r="I19" s="520">
        <v>147599.85999999999</v>
      </c>
      <c r="J19" s="519"/>
      <c r="K19" s="520">
        <v>147.59985999999998</v>
      </c>
      <c r="L19" s="520"/>
      <c r="M19" s="520">
        <v>-297.60000000000002</v>
      </c>
      <c r="N19" s="216"/>
      <c r="O19" s="217"/>
      <c r="P19" s="536"/>
      <c r="Q19" s="536"/>
      <c r="R19" s="536"/>
      <c r="S19" s="536"/>
      <c r="T19" s="536"/>
      <c r="U19" s="536"/>
      <c r="V19" s="536"/>
      <c r="W19" s="536"/>
    </row>
    <row r="20" spans="1:23" outlineLevel="1">
      <c r="A20" s="221" t="s">
        <v>1025</v>
      </c>
      <c r="B20" s="221"/>
      <c r="C20" s="520"/>
      <c r="D20" s="520"/>
      <c r="E20" s="520">
        <v>-3911514.4809944024</v>
      </c>
      <c r="F20" s="518"/>
      <c r="G20" s="520">
        <v>3911514.4809944024</v>
      </c>
      <c r="H20" s="518"/>
      <c r="I20" s="520">
        <v>0</v>
      </c>
      <c r="J20" s="519"/>
      <c r="K20" s="520">
        <v>0</v>
      </c>
      <c r="L20" s="520"/>
      <c r="M20" s="520">
        <v>0</v>
      </c>
      <c r="N20" s="216"/>
      <c r="O20" s="217"/>
      <c r="P20" s="536"/>
      <c r="Q20" s="536"/>
      <c r="R20" s="536"/>
      <c r="S20" s="536"/>
      <c r="T20" s="536"/>
      <c r="U20" s="536"/>
      <c r="V20" s="536"/>
      <c r="W20" s="536"/>
    </row>
    <row r="21" spans="1:23" ht="5.25" customHeight="1">
      <c r="A21" s="221"/>
      <c r="B21" s="221"/>
      <c r="C21" s="521"/>
      <c r="D21" s="520"/>
      <c r="E21" s="521"/>
      <c r="F21" s="519"/>
      <c r="G21" s="521"/>
      <c r="H21" s="519"/>
      <c r="I21" s="521"/>
      <c r="J21" s="519"/>
      <c r="K21" s="521"/>
      <c r="L21" s="520"/>
      <c r="M21" s="521">
        <v>0</v>
      </c>
      <c r="N21" s="216"/>
      <c r="O21" s="217"/>
      <c r="P21" s="536"/>
      <c r="Q21" s="536"/>
      <c r="R21" s="536"/>
      <c r="S21" s="536"/>
      <c r="T21" s="536"/>
      <c r="U21" s="536"/>
      <c r="V21" s="536"/>
      <c r="W21" s="536"/>
    </row>
    <row r="22" spans="1:23">
      <c r="A22" s="221" t="s">
        <v>4</v>
      </c>
      <c r="B22" s="221"/>
      <c r="C22" s="520">
        <v>-5450144.4599999376</v>
      </c>
      <c r="D22" s="520"/>
      <c r="E22" s="520">
        <v>-9097166.1209944282</v>
      </c>
      <c r="F22" s="518"/>
      <c r="G22" s="520">
        <v>3911514.4809944024</v>
      </c>
      <c r="H22" s="518"/>
      <c r="I22" s="520">
        <v>-10635796.099999964</v>
      </c>
      <c r="J22" s="519"/>
      <c r="K22" s="520">
        <v>-10635.796100000005</v>
      </c>
      <c r="L22" s="520"/>
      <c r="M22" s="520">
        <v>24621.434679999831</v>
      </c>
      <c r="N22" s="216"/>
      <c r="O22" s="217"/>
      <c r="P22" s="536"/>
      <c r="Q22" s="536"/>
      <c r="R22" s="536"/>
      <c r="S22" s="536"/>
      <c r="T22" s="536"/>
      <c r="U22" s="536"/>
      <c r="V22" s="536"/>
      <c r="W22" s="536"/>
    </row>
    <row r="23" spans="1:23">
      <c r="A23" s="221" t="s">
        <v>1026</v>
      </c>
      <c r="B23" s="221"/>
      <c r="C23" s="520">
        <v>384979.16000000003</v>
      </c>
      <c r="D23" s="520"/>
      <c r="E23" s="520">
        <v>394104</v>
      </c>
      <c r="F23" s="518"/>
      <c r="G23" s="520"/>
      <c r="H23" s="518"/>
      <c r="I23" s="520">
        <v>779083.16</v>
      </c>
      <c r="J23" s="519"/>
      <c r="K23" s="523">
        <v>779.08316000000002</v>
      </c>
      <c r="L23" s="520"/>
      <c r="M23" s="523">
        <v>7675.4777099999992</v>
      </c>
      <c r="N23" s="216"/>
      <c r="O23" s="217"/>
      <c r="P23" s="537"/>
      <c r="Q23" s="537"/>
      <c r="R23" s="537"/>
      <c r="S23" s="537"/>
      <c r="T23" s="537"/>
      <c r="U23" s="537"/>
      <c r="V23" s="537"/>
      <c r="W23" s="537"/>
    </row>
    <row r="24" spans="1:23" ht="5.25" customHeight="1">
      <c r="A24" s="221"/>
      <c r="B24" s="221"/>
      <c r="C24" s="521"/>
      <c r="D24" s="520"/>
      <c r="E24" s="521"/>
      <c r="F24" s="519"/>
      <c r="G24" s="521"/>
      <c r="H24" s="519"/>
      <c r="I24" s="521"/>
      <c r="J24" s="519"/>
      <c r="K24" s="521"/>
      <c r="L24" s="520"/>
      <c r="M24" s="521">
        <v>0</v>
      </c>
      <c r="N24" s="216"/>
      <c r="O24" s="217"/>
      <c r="P24" s="536"/>
      <c r="Q24" s="536"/>
      <c r="R24" s="536"/>
      <c r="S24" s="536"/>
      <c r="T24" s="536"/>
      <c r="U24" s="536"/>
      <c r="V24" s="536"/>
      <c r="W24" s="536"/>
    </row>
    <row r="25" spans="1:23">
      <c r="A25" s="221" t="s">
        <v>5</v>
      </c>
      <c r="B25" s="221"/>
      <c r="C25" s="520">
        <v>-5835123.6199999377</v>
      </c>
      <c r="D25" s="520"/>
      <c r="E25" s="520">
        <v>-9491270.1209944282</v>
      </c>
      <c r="F25" s="518"/>
      <c r="G25" s="520">
        <v>3911514.4809944024</v>
      </c>
      <c r="H25" s="518"/>
      <c r="I25" s="520">
        <v>-11414879.259999964</v>
      </c>
      <c r="J25" s="519"/>
      <c r="K25" s="520">
        <v>-11414.879260000005</v>
      </c>
      <c r="L25" s="520"/>
      <c r="M25" s="520">
        <v>16945.459410000345</v>
      </c>
      <c r="N25" s="216"/>
      <c r="O25" s="217"/>
      <c r="P25" s="536"/>
      <c r="Q25" s="536"/>
      <c r="R25" s="536"/>
      <c r="S25" s="536"/>
      <c r="T25" s="536"/>
      <c r="U25" s="536"/>
      <c r="V25" s="536"/>
      <c r="W25" s="536"/>
    </row>
    <row r="26" spans="1:23" ht="5.25" customHeight="1">
      <c r="A26" s="221"/>
      <c r="B26" s="221"/>
      <c r="C26" s="520"/>
      <c r="D26" s="520"/>
      <c r="E26" s="520"/>
      <c r="F26" s="519"/>
      <c r="G26" s="520"/>
      <c r="H26" s="519"/>
      <c r="I26" s="520"/>
      <c r="J26" s="519"/>
      <c r="K26" s="520"/>
      <c r="L26" s="520"/>
      <c r="M26" s="520">
        <v>0</v>
      </c>
      <c r="N26" s="216"/>
      <c r="O26" s="217"/>
      <c r="P26" s="536"/>
      <c r="Q26" s="536"/>
      <c r="R26" s="536"/>
      <c r="S26" s="536"/>
      <c r="T26" s="536"/>
      <c r="U26" s="536"/>
      <c r="V26" s="536"/>
      <c r="W26" s="536"/>
    </row>
    <row r="27" spans="1:23">
      <c r="A27" s="221" t="s">
        <v>1027</v>
      </c>
      <c r="B27" s="221"/>
      <c r="C27" s="521"/>
      <c r="D27" s="520"/>
      <c r="E27" s="521"/>
      <c r="F27" s="518"/>
      <c r="G27" s="521">
        <v>1923609.4490055135</v>
      </c>
      <c r="H27" s="518"/>
      <c r="I27" s="521">
        <v>1923609.4490055135</v>
      </c>
      <c r="J27" s="519"/>
      <c r="K27" s="521">
        <v>1923.6094490055134</v>
      </c>
      <c r="L27" s="520"/>
      <c r="M27" s="521">
        <v>-9069.5132535557259</v>
      </c>
      <c r="N27" s="216"/>
      <c r="O27" s="217"/>
      <c r="P27" s="536"/>
      <c r="Q27" s="536"/>
      <c r="R27" s="536"/>
      <c r="S27" s="536"/>
      <c r="T27" s="536"/>
      <c r="U27" s="536"/>
      <c r="V27" s="536"/>
      <c r="W27" s="536"/>
    </row>
    <row r="28" spans="1:23" ht="5.25" customHeight="1">
      <c r="A28" s="221"/>
      <c r="B28" s="221"/>
      <c r="C28" s="520"/>
      <c r="D28" s="520"/>
      <c r="E28" s="520"/>
      <c r="F28" s="519"/>
      <c r="G28" s="520"/>
      <c r="H28" s="519"/>
      <c r="I28" s="520"/>
      <c r="J28" s="519"/>
      <c r="K28" s="520"/>
      <c r="L28" s="520"/>
      <c r="M28" s="520">
        <v>0</v>
      </c>
      <c r="N28" s="216"/>
      <c r="O28" s="217"/>
      <c r="P28" s="536"/>
      <c r="Q28" s="536"/>
      <c r="R28" s="536"/>
      <c r="S28" s="536"/>
      <c r="T28" s="536"/>
      <c r="U28" s="536"/>
      <c r="V28" s="536"/>
      <c r="W28" s="536"/>
    </row>
    <row r="29" spans="1:23" ht="13.5" thickBot="1">
      <c r="A29" s="221" t="s">
        <v>1028</v>
      </c>
      <c r="B29" s="221"/>
      <c r="C29" s="524">
        <v>-5835123.6199999377</v>
      </c>
      <c r="D29" s="525"/>
      <c r="E29" s="526">
        <v>-9491270.1209944282</v>
      </c>
      <c r="F29" s="518"/>
      <c r="G29" s="526">
        <v>5835123.9299999159</v>
      </c>
      <c r="H29" s="518"/>
      <c r="I29" s="526">
        <v>-9491269.81099445</v>
      </c>
      <c r="J29" s="519"/>
      <c r="K29" s="524">
        <v>-9491.2698109944922</v>
      </c>
      <c r="L29" s="525"/>
      <c r="M29" s="524">
        <v>7877.2844663774031</v>
      </c>
      <c r="N29" s="216"/>
      <c r="O29" s="217"/>
      <c r="P29" s="540"/>
      <c r="Q29" s="540"/>
      <c r="R29" s="540"/>
      <c r="S29" s="540"/>
      <c r="T29" s="540"/>
      <c r="U29" s="540"/>
      <c r="V29" s="540"/>
      <c r="W29" s="540"/>
    </row>
    <row r="30" spans="1:23" ht="13.5" thickTop="1">
      <c r="A30" s="221"/>
      <c r="B30" s="221"/>
      <c r="C30" s="221"/>
      <c r="D30" s="221"/>
      <c r="E30" s="527"/>
      <c r="F30" s="221"/>
      <c r="G30" s="221"/>
      <c r="H30" s="221"/>
      <c r="I30" s="221"/>
      <c r="J30" s="216"/>
      <c r="K30" s="221"/>
      <c r="L30" s="221"/>
      <c r="M30" s="216"/>
      <c r="N30" s="216"/>
      <c r="O30" s="217"/>
    </row>
    <row r="31" spans="1:23" outlineLevel="1">
      <c r="A31" s="528"/>
      <c r="C31" s="528"/>
      <c r="D31" s="528"/>
      <c r="E31" s="528"/>
      <c r="P31" s="515"/>
      <c r="Q31" s="515"/>
      <c r="R31" s="515"/>
      <c r="S31" s="515"/>
      <c r="T31" s="515"/>
      <c r="U31" s="515"/>
      <c r="V31" s="515"/>
      <c r="W31" s="515"/>
    </row>
    <row r="32" spans="1:23" outlineLevel="1">
      <c r="A32" s="217"/>
      <c r="C32" s="529"/>
      <c r="D32" s="529"/>
      <c r="E32" s="529"/>
      <c r="F32" s="529"/>
      <c r="G32" s="529"/>
      <c r="H32" s="529"/>
      <c r="I32" s="529"/>
      <c r="J32" s="530"/>
      <c r="K32" s="531"/>
      <c r="L32" s="529"/>
      <c r="M32" s="529"/>
    </row>
    <row r="33" spans="1:13" outlineLevel="1">
      <c r="A33" s="217"/>
      <c r="C33" s="529"/>
      <c r="D33" s="529"/>
      <c r="E33" s="529"/>
      <c r="F33" s="529"/>
      <c r="G33" s="529"/>
      <c r="H33" s="529"/>
      <c r="I33" s="520"/>
      <c r="J33" s="530"/>
      <c r="K33" s="531"/>
      <c r="L33" s="529"/>
      <c r="M33" s="529"/>
    </row>
    <row r="34" spans="1:13" outlineLevel="1">
      <c r="C34" s="532"/>
      <c r="D34" s="529"/>
      <c r="E34" s="529"/>
      <c r="F34" s="529"/>
      <c r="G34" s="529"/>
      <c r="H34" s="529"/>
      <c r="I34" s="529"/>
      <c r="J34" s="530"/>
      <c r="K34" s="533"/>
      <c r="L34" s="529"/>
      <c r="M34" s="529"/>
    </row>
    <row r="35" spans="1:13" outlineLevel="1">
      <c r="C35" s="529"/>
      <c r="D35" s="529"/>
      <c r="E35" s="534"/>
      <c r="F35" s="529"/>
      <c r="G35" s="529"/>
      <c r="H35" s="529"/>
      <c r="I35" s="533"/>
      <c r="J35" s="530"/>
      <c r="K35" s="529"/>
      <c r="L35" s="529"/>
      <c r="M35" s="529"/>
    </row>
    <row r="36" spans="1:13">
      <c r="C36" s="529"/>
      <c r="D36" s="529"/>
      <c r="E36" s="529"/>
      <c r="F36" s="529"/>
      <c r="G36" s="529"/>
      <c r="H36" s="529"/>
      <c r="I36" s="529"/>
      <c r="J36" s="530"/>
      <c r="K36" s="529"/>
      <c r="L36" s="529"/>
      <c r="M36" s="529"/>
    </row>
    <row r="37" spans="1:13">
      <c r="C37" s="529"/>
      <c r="D37" s="529"/>
      <c r="E37" s="529"/>
      <c r="F37" s="529"/>
      <c r="G37" s="529"/>
      <c r="H37" s="529"/>
      <c r="I37" s="529"/>
      <c r="J37" s="530"/>
      <c r="K37" s="529"/>
      <c r="L37" s="529"/>
      <c r="M37" s="529"/>
    </row>
    <row r="38" spans="1:13">
      <c r="C38" s="529"/>
      <c r="D38" s="529"/>
      <c r="E38" s="535"/>
      <c r="F38" s="529"/>
      <c r="G38" s="529"/>
      <c r="H38" s="529"/>
      <c r="I38" s="529"/>
      <c r="J38" s="530"/>
      <c r="K38" s="529"/>
      <c r="L38" s="529"/>
      <c r="M38" s="529"/>
    </row>
    <row r="39" spans="1:13">
      <c r="C39" s="529"/>
      <c r="D39" s="529"/>
      <c r="E39" s="529"/>
      <c r="F39" s="529"/>
      <c r="G39" s="529"/>
      <c r="H39" s="529"/>
      <c r="I39" s="529"/>
      <c r="J39" s="530"/>
      <c r="K39" s="529"/>
      <c r="L39" s="529"/>
      <c r="M39" s="529"/>
    </row>
    <row r="40" spans="1:13">
      <c r="C40" s="529"/>
      <c r="D40" s="529"/>
      <c r="E40" s="529"/>
      <c r="F40" s="529"/>
      <c r="G40" s="529"/>
      <c r="H40" s="529"/>
      <c r="I40" s="529"/>
      <c r="J40" s="530"/>
      <c r="K40" s="529"/>
      <c r="L40" s="529"/>
      <c r="M40" s="529"/>
    </row>
    <row r="41" spans="1:13">
      <c r="C41" s="529"/>
      <c r="D41" s="529"/>
      <c r="E41" s="529"/>
      <c r="F41" s="529"/>
      <c r="G41" s="529"/>
      <c r="H41" s="529"/>
      <c r="I41" s="529"/>
      <c r="J41" s="530"/>
      <c r="K41" s="529"/>
      <c r="L41" s="529"/>
      <c r="M41" s="529"/>
    </row>
    <row r="42" spans="1:13">
      <c r="C42" s="529"/>
      <c r="D42" s="529"/>
      <c r="E42" s="529"/>
      <c r="F42" s="529"/>
      <c r="G42" s="529"/>
      <c r="H42" s="529"/>
      <c r="I42" s="529"/>
      <c r="J42" s="530"/>
      <c r="K42" s="529"/>
      <c r="L42" s="529"/>
      <c r="M42" s="529"/>
    </row>
    <row r="43" spans="1:13">
      <c r="C43" s="529"/>
      <c r="D43" s="529"/>
      <c r="E43" s="529"/>
      <c r="F43" s="529"/>
      <c r="G43" s="529"/>
      <c r="H43" s="529"/>
      <c r="I43" s="529"/>
      <c r="J43" s="530"/>
      <c r="K43" s="529"/>
      <c r="L43" s="529"/>
      <c r="M43" s="529"/>
    </row>
    <row r="44" spans="1:13">
      <c r="C44" s="529"/>
      <c r="D44" s="529"/>
      <c r="E44" s="529"/>
      <c r="F44" s="529"/>
      <c r="G44" s="529"/>
      <c r="H44" s="529"/>
      <c r="I44" s="529"/>
      <c r="J44" s="530"/>
      <c r="K44" s="529"/>
      <c r="L44" s="529"/>
      <c r="M44" s="529"/>
    </row>
    <row r="45" spans="1:13">
      <c r="C45" s="529"/>
      <c r="D45" s="529"/>
      <c r="E45" s="529"/>
      <c r="F45" s="529"/>
      <c r="G45" s="529"/>
      <c r="H45" s="529"/>
      <c r="I45" s="529"/>
      <c r="J45" s="530"/>
      <c r="K45" s="529"/>
      <c r="L45" s="529"/>
      <c r="M45" s="529"/>
    </row>
    <row r="46" spans="1:13">
      <c r="C46" s="529"/>
      <c r="D46" s="529"/>
      <c r="E46" s="529"/>
      <c r="F46" s="529"/>
      <c r="G46" s="529"/>
      <c r="H46" s="529"/>
      <c r="I46" s="529"/>
      <c r="J46" s="530"/>
      <c r="K46" s="529"/>
      <c r="L46" s="529"/>
      <c r="M46" s="529"/>
    </row>
    <row r="47" spans="1:13">
      <c r="C47" s="529"/>
      <c r="D47" s="529"/>
      <c r="E47" s="529"/>
      <c r="F47" s="529"/>
      <c r="G47" s="529"/>
      <c r="H47" s="529"/>
      <c r="I47" s="529"/>
      <c r="J47" s="530"/>
      <c r="K47" s="529"/>
      <c r="L47" s="529"/>
      <c r="M47" s="529"/>
    </row>
    <row r="48" spans="1:13">
      <c r="C48" s="529"/>
      <c r="D48" s="529"/>
      <c r="E48" s="529"/>
      <c r="F48" s="529"/>
      <c r="G48" s="529"/>
      <c r="H48" s="529"/>
      <c r="I48" s="529"/>
      <c r="J48" s="530"/>
      <c r="K48" s="529"/>
      <c r="L48" s="529"/>
      <c r="M48" s="529"/>
    </row>
    <row r="49" spans="3:13">
      <c r="C49" s="529"/>
      <c r="D49" s="529"/>
      <c r="E49" s="529"/>
      <c r="F49" s="529"/>
      <c r="G49" s="529"/>
      <c r="H49" s="529"/>
      <c r="I49" s="529"/>
      <c r="J49" s="530"/>
      <c r="K49" s="529"/>
      <c r="L49" s="529"/>
      <c r="M49" s="529"/>
    </row>
    <row r="50" spans="3:13">
      <c r="C50" s="529"/>
      <c r="D50" s="529"/>
      <c r="E50" s="529"/>
      <c r="F50" s="529"/>
      <c r="G50" s="529"/>
      <c r="H50" s="529"/>
      <c r="I50" s="529"/>
      <c r="J50" s="530"/>
      <c r="K50" s="529"/>
      <c r="L50" s="529"/>
      <c r="M50" s="529"/>
    </row>
    <row r="51" spans="3:13">
      <c r="C51" s="529"/>
      <c r="D51" s="529"/>
      <c r="E51" s="529"/>
      <c r="F51" s="529"/>
      <c r="G51" s="529"/>
      <c r="H51" s="529"/>
      <c r="I51" s="529"/>
      <c r="J51" s="530"/>
      <c r="K51" s="529"/>
      <c r="L51" s="529"/>
      <c r="M51" s="529"/>
    </row>
    <row r="52" spans="3:13">
      <c r="C52" s="529"/>
      <c r="D52" s="529"/>
      <c r="E52" s="529"/>
      <c r="F52" s="529"/>
      <c r="G52" s="529"/>
      <c r="H52" s="529"/>
      <c r="I52" s="529"/>
      <c r="J52" s="530"/>
      <c r="K52" s="529"/>
      <c r="L52" s="529"/>
      <c r="M52" s="529"/>
    </row>
    <row r="53" spans="3:13">
      <c r="C53" s="529"/>
      <c r="D53" s="529"/>
      <c r="E53" s="529"/>
      <c r="F53" s="529"/>
      <c r="G53" s="529"/>
      <c r="H53" s="529"/>
      <c r="I53" s="529"/>
      <c r="J53" s="530"/>
      <c r="K53" s="529"/>
      <c r="L53" s="529"/>
      <c r="M53" s="529"/>
    </row>
    <row r="54" spans="3:13">
      <c r="C54" s="529"/>
      <c r="D54" s="529"/>
      <c r="E54" s="529"/>
      <c r="F54" s="529"/>
      <c r="G54" s="529"/>
      <c r="H54" s="529"/>
      <c r="I54" s="529"/>
      <c r="J54" s="530"/>
      <c r="K54" s="529"/>
      <c r="L54" s="529"/>
      <c r="M54" s="529"/>
    </row>
    <row r="55" spans="3:13">
      <c r="C55" s="529"/>
      <c r="D55" s="529"/>
      <c r="E55" s="529"/>
      <c r="F55" s="529"/>
      <c r="G55" s="529"/>
      <c r="H55" s="529"/>
      <c r="I55" s="529"/>
      <c r="J55" s="530"/>
      <c r="K55" s="529"/>
      <c r="L55" s="529"/>
      <c r="M55" s="529"/>
    </row>
    <row r="56" spans="3:13">
      <c r="C56" s="529"/>
      <c r="D56" s="529"/>
      <c r="E56" s="529"/>
      <c r="F56" s="529"/>
      <c r="G56" s="529"/>
      <c r="H56" s="529"/>
      <c r="I56" s="529"/>
      <c r="J56" s="530"/>
      <c r="K56" s="529"/>
      <c r="L56" s="529"/>
      <c r="M56" s="529"/>
    </row>
    <row r="57" spans="3:13">
      <c r="C57" s="529"/>
      <c r="D57" s="529"/>
      <c r="E57" s="529"/>
      <c r="F57" s="529"/>
      <c r="G57" s="529"/>
      <c r="H57" s="529"/>
      <c r="I57" s="529"/>
      <c r="J57" s="530"/>
      <c r="K57" s="529"/>
      <c r="L57" s="529"/>
      <c r="M57" s="529"/>
    </row>
    <row r="58" spans="3:13">
      <c r="C58" s="529"/>
      <c r="D58" s="529"/>
      <c r="E58" s="529"/>
      <c r="F58" s="529"/>
      <c r="G58" s="529"/>
      <c r="H58" s="529"/>
      <c r="I58" s="529"/>
      <c r="J58" s="530"/>
      <c r="K58" s="529"/>
      <c r="L58" s="529"/>
      <c r="M58" s="529"/>
    </row>
    <row r="59" spans="3:13">
      <c r="C59" s="529"/>
      <c r="D59" s="529"/>
      <c r="E59" s="529"/>
      <c r="F59" s="529"/>
      <c r="G59" s="529"/>
      <c r="H59" s="529"/>
      <c r="I59" s="529"/>
      <c r="J59" s="530"/>
      <c r="K59" s="529"/>
      <c r="L59" s="529"/>
      <c r="M59" s="529"/>
    </row>
    <row r="60" spans="3:13">
      <c r="C60" s="529"/>
      <c r="D60" s="529"/>
      <c r="E60" s="529"/>
      <c r="F60" s="529"/>
      <c r="G60" s="529"/>
      <c r="H60" s="529"/>
      <c r="I60" s="529"/>
      <c r="J60" s="530"/>
      <c r="K60" s="529"/>
      <c r="L60" s="529"/>
      <c r="M60" s="529"/>
    </row>
    <row r="61" spans="3:13">
      <c r="C61" s="529"/>
      <c r="D61" s="529"/>
      <c r="E61" s="529"/>
      <c r="F61" s="529"/>
      <c r="G61" s="529"/>
      <c r="H61" s="529"/>
      <c r="I61" s="529"/>
      <c r="J61" s="530"/>
      <c r="K61" s="529"/>
      <c r="L61" s="529"/>
      <c r="M61" s="529"/>
    </row>
    <row r="62" spans="3:13">
      <c r="C62" s="529"/>
      <c r="D62" s="529"/>
      <c r="E62" s="529"/>
      <c r="F62" s="529"/>
      <c r="G62" s="529"/>
      <c r="H62" s="529"/>
      <c r="I62" s="529"/>
      <c r="J62" s="530"/>
      <c r="K62" s="529"/>
      <c r="L62" s="529"/>
      <c r="M62" s="529"/>
    </row>
    <row r="63" spans="3:13">
      <c r="C63" s="529"/>
      <c r="D63" s="529"/>
      <c r="E63" s="529"/>
      <c r="F63" s="529"/>
      <c r="G63" s="529"/>
      <c r="H63" s="529"/>
      <c r="I63" s="529"/>
      <c r="J63" s="530"/>
      <c r="K63" s="529"/>
      <c r="L63" s="529"/>
      <c r="M63" s="529"/>
    </row>
  </sheetData>
  <mergeCells count="1">
    <mergeCell ref="C7:I7"/>
  </mergeCells>
  <printOptions headings="1" gridLines="1"/>
  <pageMargins left="0.2" right="0.2" top="0.75" bottom="0.75" header="0.3" footer="0.3"/>
  <pageSetup scale="83" orientation="landscape" r:id="rId1"/>
  <headerFooter>
    <oddFooter>&amp;L&amp;Z&amp;F&amp;R&amp;A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FF00"/>
    <pageSetUpPr fitToPage="1"/>
  </sheetPr>
  <dimension ref="A1:O280"/>
  <sheetViews>
    <sheetView topLeftCell="A260" workbookViewId="0">
      <selection activeCell="D268" sqref="D268"/>
    </sheetView>
  </sheetViews>
  <sheetFormatPr defaultColWidth="9.1796875" defaultRowHeight="13"/>
  <cols>
    <col min="1" max="1" width="9.1796875" style="470"/>
    <col min="2" max="2" width="34.26953125" style="470" customWidth="1"/>
    <col min="3" max="3" width="1" style="470" customWidth="1"/>
    <col min="4" max="4" width="12" style="470" bestFit="1" customWidth="1"/>
    <col min="5" max="5" width="1.1796875" style="470" customWidth="1"/>
    <col min="6" max="6" width="11.54296875" style="471" customWidth="1"/>
    <col min="7" max="7" width="5.7265625" style="472" bestFit="1" customWidth="1"/>
    <col min="8" max="8" width="12" style="471" customWidth="1"/>
    <col min="9" max="9" width="7.1796875" style="470" customWidth="1"/>
    <col min="10" max="10" width="34.26953125" style="470" bestFit="1" customWidth="1"/>
    <col min="11" max="11" width="1" style="470" customWidth="1"/>
    <col min="12" max="12" width="14.26953125" style="470" bestFit="1" customWidth="1"/>
    <col min="13" max="13" width="0.81640625" style="470" customWidth="1"/>
    <col min="14" max="14" width="5" style="470" bestFit="1" customWidth="1"/>
    <col min="15" max="15" width="7" style="470" bestFit="1" customWidth="1"/>
    <col min="16" max="16" width="21.7265625" style="470" bestFit="1" customWidth="1"/>
    <col min="17" max="17" width="14.26953125" style="470" customWidth="1"/>
    <col min="18" max="18" width="1.1796875" style="470" customWidth="1"/>
    <col min="19" max="19" width="14.26953125" style="470" bestFit="1" customWidth="1"/>
    <col min="20" max="20" width="0.81640625" style="470" customWidth="1"/>
    <col min="21" max="21" width="9.1796875" style="470"/>
    <col min="22" max="22" width="0.54296875" style="470" customWidth="1"/>
    <col min="23" max="23" width="9.1796875" style="470"/>
    <col min="24" max="24" width="0.7265625" style="470" customWidth="1"/>
    <col min="25" max="16384" width="9.1796875" style="470"/>
  </cols>
  <sheetData>
    <row r="1" spans="1:15">
      <c r="C1" s="200" t="s">
        <v>582</v>
      </c>
      <c r="D1" s="475"/>
      <c r="E1" s="475"/>
      <c r="F1" s="474"/>
      <c r="G1" s="200"/>
      <c r="H1" s="474"/>
      <c r="I1" s="473"/>
      <c r="J1" s="473"/>
      <c r="K1" s="473"/>
      <c r="L1" s="473"/>
      <c r="M1" s="473"/>
      <c r="N1" s="473"/>
      <c r="O1" s="473"/>
    </row>
    <row r="2" spans="1:15">
      <c r="C2" s="200" t="s">
        <v>583</v>
      </c>
      <c r="D2" s="475"/>
      <c r="E2" s="475"/>
      <c r="F2" s="474"/>
      <c r="G2" s="200"/>
      <c r="H2" s="474"/>
      <c r="I2" s="473"/>
      <c r="J2" s="473"/>
      <c r="K2" s="473"/>
      <c r="L2" s="473"/>
      <c r="M2" s="473"/>
      <c r="N2" s="473"/>
      <c r="O2" s="473"/>
    </row>
    <row r="3" spans="1:15">
      <c r="C3" s="547" t="s">
        <v>1276</v>
      </c>
      <c r="D3" s="475"/>
      <c r="E3" s="475"/>
      <c r="F3" s="474"/>
      <c r="G3" s="200"/>
      <c r="H3" s="474"/>
      <c r="I3" s="473"/>
      <c r="J3" s="473"/>
      <c r="K3" s="473"/>
      <c r="L3" s="473"/>
      <c r="M3" s="473"/>
      <c r="N3" s="473"/>
      <c r="O3" s="473"/>
    </row>
    <row r="4" spans="1:15">
      <c r="C4" s="547"/>
      <c r="D4" s="475"/>
      <c r="E4" s="475"/>
      <c r="F4" s="474"/>
      <c r="G4" s="200"/>
      <c r="H4" s="474"/>
      <c r="I4" s="473"/>
      <c r="J4" s="473"/>
      <c r="K4" s="473"/>
      <c r="L4" s="473"/>
      <c r="M4" s="473"/>
      <c r="N4" s="473"/>
      <c r="O4" s="473"/>
    </row>
    <row r="5" spans="1:15">
      <c r="C5" s="488"/>
      <c r="D5" s="231" t="s">
        <v>1277</v>
      </c>
      <c r="E5" s="475"/>
      <c r="F5" s="474"/>
      <c r="G5" s="200"/>
      <c r="H5" s="474"/>
      <c r="I5" s="473"/>
      <c r="J5" s="488"/>
      <c r="K5" s="488"/>
      <c r="L5" s="231" t="s">
        <v>1068</v>
      </c>
      <c r="M5" s="473"/>
      <c r="N5" s="473"/>
      <c r="O5" s="473"/>
    </row>
    <row r="6" spans="1:15">
      <c r="C6" s="488"/>
      <c r="D6" s="232" t="s">
        <v>584</v>
      </c>
      <c r="E6" s="475"/>
      <c r="F6" s="474"/>
      <c r="G6" s="200"/>
      <c r="H6" s="474"/>
      <c r="I6" s="473"/>
      <c r="J6" s="488"/>
      <c r="K6" s="488"/>
      <c r="L6" s="232" t="s">
        <v>584</v>
      </c>
      <c r="M6" s="473"/>
      <c r="N6" s="473"/>
      <c r="O6" s="473"/>
    </row>
    <row r="7" spans="1:15">
      <c r="C7" s="477"/>
      <c r="D7" s="477"/>
      <c r="E7" s="475"/>
      <c r="F7" s="474"/>
      <c r="G7" s="200"/>
      <c r="H7" s="474"/>
      <c r="I7" s="473"/>
      <c r="J7" s="478"/>
      <c r="K7" s="477"/>
      <c r="L7" s="477"/>
      <c r="M7" s="473"/>
      <c r="N7" s="473"/>
      <c r="O7" s="473"/>
    </row>
    <row r="8" spans="1:15">
      <c r="C8" s="477"/>
      <c r="D8" s="477"/>
      <c r="E8" s="477"/>
      <c r="F8" s="486"/>
      <c r="G8" s="487"/>
      <c r="H8" s="486"/>
      <c r="J8" s="478"/>
      <c r="K8" s="477"/>
      <c r="L8" s="477"/>
    </row>
    <row r="9" spans="1:15">
      <c r="C9" s="477"/>
      <c r="D9" s="477"/>
      <c r="E9" s="477"/>
      <c r="F9" s="486"/>
      <c r="G9" s="487"/>
      <c r="H9" s="486"/>
      <c r="J9" s="478" t="s">
        <v>704</v>
      </c>
      <c r="K9" s="477"/>
      <c r="L9" s="477"/>
    </row>
    <row r="10" spans="1:15">
      <c r="B10" s="485" t="s">
        <v>1447</v>
      </c>
      <c r="C10" s="477"/>
      <c r="D10" s="477"/>
      <c r="E10" s="475"/>
      <c r="F10" s="474"/>
      <c r="G10" s="200"/>
      <c r="H10" s="474"/>
      <c r="I10" s="473"/>
      <c r="J10" s="478" t="s">
        <v>705</v>
      </c>
      <c r="K10" s="477"/>
      <c r="L10" s="477"/>
    </row>
    <row r="11" spans="1:15">
      <c r="C11" s="477"/>
      <c r="D11" s="477"/>
      <c r="E11" s="475"/>
      <c r="F11" s="474"/>
      <c r="G11" s="200"/>
      <c r="H11" s="474"/>
      <c r="I11" s="473"/>
      <c r="J11" s="478" t="s">
        <v>706</v>
      </c>
      <c r="K11" s="477"/>
      <c r="L11" s="477">
        <v>127063634</v>
      </c>
    </row>
    <row r="12" spans="1:15" ht="14.5">
      <c r="A12" s="491">
        <v>401001</v>
      </c>
      <c r="B12" s="546" t="s">
        <v>1410</v>
      </c>
      <c r="C12" s="477"/>
      <c r="D12" s="477">
        <f>VLOOKUP(A12,'CT-TB'!A10:E375,5,FALSE)</f>
        <v>2292588.17</v>
      </c>
      <c r="E12" s="475"/>
      <c r="F12" s="474"/>
      <c r="G12" s="200"/>
      <c r="H12" s="474"/>
      <c r="I12" s="473"/>
      <c r="J12" s="478"/>
      <c r="K12" s="477"/>
      <c r="L12" s="477"/>
    </row>
    <row r="13" spans="1:15" ht="14.5">
      <c r="A13" s="491">
        <v>401002</v>
      </c>
      <c r="B13" s="546" t="s">
        <v>1411</v>
      </c>
      <c r="C13" s="477"/>
      <c r="D13" s="477">
        <f>VLOOKUP(A13,'CT-TB'!A11:E376,5,FALSE)</f>
        <v>7080539.54</v>
      </c>
      <c r="E13" s="475"/>
      <c r="F13" s="474"/>
      <c r="G13" s="200"/>
      <c r="H13" s="474"/>
      <c r="I13" s="473"/>
      <c r="J13" s="478"/>
      <c r="K13" s="477"/>
      <c r="L13" s="477"/>
    </row>
    <row r="14" spans="1:15" ht="14.5">
      <c r="A14" s="491">
        <v>401004</v>
      </c>
      <c r="B14" s="546" t="s">
        <v>1412</v>
      </c>
      <c r="C14" s="477"/>
      <c r="D14" s="477">
        <f>VLOOKUP(A14,'CT-TB'!A12:E377,5,FALSE)</f>
        <v>1596574.55</v>
      </c>
      <c r="E14" s="475"/>
      <c r="F14" s="474"/>
      <c r="G14" s="200"/>
      <c r="H14" s="474"/>
      <c r="I14" s="473"/>
      <c r="J14" s="478"/>
      <c r="K14" s="477"/>
      <c r="L14" s="477"/>
    </row>
    <row r="15" spans="1:15" ht="14.5">
      <c r="A15" s="491">
        <v>401050</v>
      </c>
      <c r="B15" s="546" t="s">
        <v>1413</v>
      </c>
      <c r="C15" s="477"/>
      <c r="D15" s="477">
        <f>VLOOKUP(A15,'CT-TB'!A13:E378,5,FALSE)</f>
        <v>131246.82999999999</v>
      </c>
      <c r="E15" s="475"/>
      <c r="F15" s="474"/>
      <c r="G15" s="200"/>
      <c r="H15" s="474"/>
      <c r="I15" s="473"/>
      <c r="J15" s="478"/>
      <c r="K15" s="477"/>
      <c r="L15" s="477"/>
    </row>
    <row r="16" spans="1:15" ht="14.5">
      <c r="A16" s="491">
        <v>401060</v>
      </c>
      <c r="B16" s="546" t="s">
        <v>1414</v>
      </c>
      <c r="C16" s="477"/>
      <c r="D16" s="477">
        <f>VLOOKUP(A16,'CT-TB'!A14:E379,5,FALSE)</f>
        <v>182.75</v>
      </c>
      <c r="E16" s="475"/>
      <c r="F16" s="474"/>
      <c r="G16" s="200"/>
      <c r="H16" s="474"/>
      <c r="I16" s="473"/>
      <c r="J16" s="478"/>
      <c r="K16" s="477"/>
      <c r="L16" s="477"/>
    </row>
    <row r="17" spans="1:12" ht="14.5">
      <c r="A17" s="491">
        <v>401200</v>
      </c>
      <c r="B17" s="546" t="s">
        <v>1415</v>
      </c>
      <c r="C17" s="477"/>
      <c r="D17" s="477">
        <f>VLOOKUP(A17,'CT-TB'!A15:E380,5,FALSE)</f>
        <v>1097065.81</v>
      </c>
      <c r="E17" s="475"/>
      <c r="F17" s="474"/>
      <c r="G17" s="200"/>
      <c r="H17" s="474"/>
      <c r="I17" s="473"/>
      <c r="J17" s="478"/>
      <c r="K17" s="477"/>
      <c r="L17" s="477"/>
    </row>
    <row r="18" spans="1:12" ht="14.5">
      <c r="A18" s="491">
        <v>401700</v>
      </c>
      <c r="B18" s="546" t="s">
        <v>1416</v>
      </c>
      <c r="C18" s="477"/>
      <c r="D18" s="477">
        <f>VLOOKUP(A18,'CT-TB'!A16:E381,5,FALSE)</f>
        <v>139901.56</v>
      </c>
      <c r="E18" s="475"/>
      <c r="F18" s="474"/>
      <c r="G18" s="200"/>
      <c r="H18" s="474"/>
      <c r="I18" s="473"/>
      <c r="J18" s="478"/>
      <c r="K18" s="477"/>
      <c r="L18" s="477"/>
    </row>
    <row r="19" spans="1:12" ht="14.5">
      <c r="A19" s="491"/>
      <c r="B19" s="546"/>
      <c r="C19" s="477"/>
      <c r="D19" s="477"/>
      <c r="E19" s="475"/>
      <c r="F19" s="474"/>
      <c r="G19" s="200"/>
      <c r="H19" s="474"/>
      <c r="I19" s="473"/>
      <c r="J19" s="478" t="s">
        <v>707</v>
      </c>
      <c r="K19" s="477"/>
      <c r="L19" s="477">
        <v>399.98</v>
      </c>
    </row>
    <row r="20" spans="1:12" ht="14.5">
      <c r="A20" s="491">
        <v>405010</v>
      </c>
      <c r="B20" s="546" t="s">
        <v>1417</v>
      </c>
      <c r="C20" s="477"/>
      <c r="D20" s="477">
        <f>VLOOKUP(A20,'CT-TB'!A18:E383,5,FALSE)</f>
        <v>5924.8</v>
      </c>
      <c r="E20" s="475"/>
      <c r="F20" s="474"/>
      <c r="G20" s="200"/>
      <c r="H20" s="474"/>
      <c r="I20" s="473"/>
      <c r="J20" s="478" t="s">
        <v>709</v>
      </c>
      <c r="K20" s="477"/>
      <c r="L20" s="477">
        <v>9886.07</v>
      </c>
    </row>
    <row r="21" spans="1:12" ht="14.5">
      <c r="A21" s="491">
        <v>411000</v>
      </c>
      <c r="B21" s="546" t="s">
        <v>1418</v>
      </c>
      <c r="C21" s="477"/>
      <c r="D21" s="477">
        <f>VLOOKUP(A21,'CT-TB'!A19:E384,5,FALSE)</f>
        <v>73261814.829999998</v>
      </c>
      <c r="E21" s="475"/>
      <c r="F21" s="474"/>
      <c r="G21" s="200"/>
      <c r="H21" s="474"/>
      <c r="I21" s="473"/>
      <c r="J21" s="478"/>
      <c r="K21" s="477"/>
      <c r="L21" s="477"/>
    </row>
    <row r="22" spans="1:12" ht="14.5">
      <c r="A22" s="491">
        <v>412010</v>
      </c>
      <c r="B22" s="546" t="s">
        <v>1419</v>
      </c>
      <c r="C22" s="477"/>
      <c r="D22" s="477">
        <f>VLOOKUP(A22,'CT-TB'!A20:E385,5,FALSE)</f>
        <v>34131329.810000002</v>
      </c>
      <c r="E22" s="475"/>
      <c r="F22" s="474"/>
      <c r="G22" s="200"/>
      <c r="H22" s="474"/>
      <c r="I22" s="473"/>
      <c r="J22" s="478"/>
      <c r="K22" s="477"/>
      <c r="L22" s="477"/>
    </row>
    <row r="23" spans="1:12" ht="14.5">
      <c r="A23" s="491">
        <v>412020</v>
      </c>
      <c r="B23" s="546" t="s">
        <v>1420</v>
      </c>
      <c r="C23" s="477"/>
      <c r="D23" s="477">
        <f>VLOOKUP(A23,'CT-TB'!A21:E386,5,FALSE)</f>
        <v>3939220.93</v>
      </c>
      <c r="E23" s="475"/>
      <c r="F23" s="474"/>
      <c r="G23" s="200"/>
      <c r="H23" s="474"/>
      <c r="I23" s="473"/>
      <c r="J23" s="478"/>
      <c r="K23" s="477"/>
      <c r="L23" s="477"/>
    </row>
    <row r="24" spans="1:12" ht="14.5">
      <c r="A24" s="491">
        <v>450000</v>
      </c>
      <c r="B24" s="546" t="s">
        <v>708</v>
      </c>
      <c r="C24" s="477"/>
      <c r="D24" s="477">
        <f>VLOOKUP(A24,'CT-TB'!A22:E387,5,FALSE)</f>
        <v>-1735.68</v>
      </c>
      <c r="E24" s="475"/>
      <c r="F24" s="474"/>
      <c r="G24" s="200"/>
      <c r="H24" s="474"/>
      <c r="I24" s="473"/>
      <c r="J24" s="478" t="s">
        <v>708</v>
      </c>
      <c r="K24" s="477"/>
      <c r="L24" s="477">
        <v>-1448.08</v>
      </c>
    </row>
    <row r="25" spans="1:12" ht="14.5">
      <c r="A25" s="491"/>
      <c r="B25" s="546"/>
      <c r="C25" s="477"/>
      <c r="D25" s="477"/>
      <c r="E25" s="475"/>
      <c r="F25" s="484"/>
      <c r="G25" s="200"/>
      <c r="H25" s="474"/>
      <c r="I25" s="473"/>
      <c r="J25" s="478" t="s">
        <v>710</v>
      </c>
      <c r="K25" s="477"/>
      <c r="L25" s="477">
        <v>-58971409.759999998</v>
      </c>
    </row>
    <row r="26" spans="1:12" ht="14.5">
      <c r="A26" s="491">
        <v>501006</v>
      </c>
      <c r="B26" s="546" t="s">
        <v>1421</v>
      </c>
      <c r="C26" s="477"/>
      <c r="D26" s="477">
        <f>VLOOKUP(A26,'CT-TB'!A24:E389,5,FALSE)</f>
        <v>-48958.55</v>
      </c>
      <c r="E26" s="475"/>
      <c r="F26" s="484"/>
      <c r="G26" s="200"/>
      <c r="H26" s="474"/>
      <c r="I26" s="473"/>
      <c r="J26" s="478"/>
      <c r="K26" s="477"/>
      <c r="L26" s="477"/>
    </row>
    <row r="27" spans="1:12" ht="14.5">
      <c r="A27" s="491">
        <v>501008</v>
      </c>
      <c r="B27" s="546" t="s">
        <v>1422</v>
      </c>
      <c r="C27" s="477"/>
      <c r="D27" s="477">
        <f>VLOOKUP(A27,'CT-TB'!A25:E390,5,FALSE)</f>
        <v>-651892.37</v>
      </c>
      <c r="E27" s="475"/>
      <c r="F27" s="484"/>
      <c r="G27" s="200"/>
      <c r="H27" s="474"/>
      <c r="I27" s="473"/>
      <c r="J27" s="478"/>
      <c r="K27" s="477"/>
      <c r="L27" s="477"/>
    </row>
    <row r="28" spans="1:12" ht="14.5">
      <c r="A28" s="491">
        <v>501020</v>
      </c>
      <c r="B28" s="546" t="s">
        <v>1423</v>
      </c>
      <c r="C28" s="477"/>
      <c r="D28" s="477">
        <f>VLOOKUP(A28,'CT-TB'!A26:E391,5,FALSE)</f>
        <v>-2086694.97</v>
      </c>
      <c r="E28" s="475"/>
      <c r="F28" s="484"/>
      <c r="G28" s="200"/>
      <c r="H28" s="474"/>
      <c r="I28" s="473"/>
      <c r="J28" s="478"/>
      <c r="K28" s="477"/>
      <c r="L28" s="477"/>
    </row>
    <row r="29" spans="1:12" ht="14.5">
      <c r="A29" s="491">
        <v>501022</v>
      </c>
      <c r="B29" s="546" t="s">
        <v>1424</v>
      </c>
      <c r="C29" s="477"/>
      <c r="D29" s="477">
        <f>VLOOKUP(A29,'CT-TB'!A27:E392,5,FALSE)</f>
        <v>-1497883.68</v>
      </c>
      <c r="E29" s="475"/>
      <c r="F29" s="484"/>
      <c r="G29" s="200"/>
      <c r="H29" s="474"/>
      <c r="I29" s="473"/>
      <c r="J29" s="478"/>
      <c r="K29" s="477"/>
      <c r="L29" s="477"/>
    </row>
    <row r="30" spans="1:12" ht="14.5">
      <c r="A30" s="491">
        <v>501023</v>
      </c>
      <c r="B30" s="546" t="s">
        <v>1425</v>
      </c>
      <c r="C30" s="477"/>
      <c r="D30" s="477">
        <f>VLOOKUP(A30,'CT-TB'!A28:E393,5,FALSE)</f>
        <v>-6491871.0599999996</v>
      </c>
      <c r="E30" s="475"/>
      <c r="F30" s="484"/>
      <c r="G30" s="200"/>
      <c r="H30" s="474"/>
      <c r="I30" s="473"/>
      <c r="J30" s="478"/>
      <c r="K30" s="477"/>
      <c r="L30" s="477"/>
    </row>
    <row r="31" spans="1:12" ht="14.5">
      <c r="A31" s="491">
        <v>501050</v>
      </c>
      <c r="B31" s="546" t="s">
        <v>1426</v>
      </c>
      <c r="C31" s="477"/>
      <c r="D31" s="477">
        <f>VLOOKUP(A31,'CT-TB'!A29:E394,5,FALSE)</f>
        <v>-120053.9</v>
      </c>
      <c r="E31" s="475"/>
      <c r="F31" s="484"/>
      <c r="G31" s="200"/>
      <c r="H31" s="474"/>
      <c r="I31" s="473"/>
      <c r="J31" s="478"/>
      <c r="K31" s="477"/>
      <c r="L31" s="477"/>
    </row>
    <row r="32" spans="1:12" ht="14.5">
      <c r="A32" s="491">
        <v>503000</v>
      </c>
      <c r="B32" s="546" t="s">
        <v>711</v>
      </c>
      <c r="C32" s="477"/>
      <c r="D32" s="477">
        <f>VLOOKUP(A32,'CT-TB'!A30:E395,5,FALSE)</f>
        <v>689117.14</v>
      </c>
      <c r="E32" s="475"/>
      <c r="G32" s="200"/>
      <c r="H32" s="474"/>
      <c r="I32" s="473"/>
      <c r="J32" s="478" t="s">
        <v>711</v>
      </c>
      <c r="K32" s="477"/>
      <c r="L32" s="477">
        <v>703064.26</v>
      </c>
    </row>
    <row r="33" spans="1:12" ht="14.5">
      <c r="A33" s="491"/>
      <c r="B33" s="546"/>
      <c r="C33" s="477"/>
      <c r="D33" s="477"/>
      <c r="E33" s="475"/>
      <c r="G33" s="200"/>
      <c r="H33" s="474"/>
      <c r="I33" s="473"/>
      <c r="J33" s="478" t="s">
        <v>712</v>
      </c>
      <c r="K33" s="477"/>
      <c r="L33" s="477">
        <v>571.25</v>
      </c>
    </row>
    <row r="34" spans="1:12" ht="14.5">
      <c r="A34" s="491">
        <v>504100</v>
      </c>
      <c r="B34" s="546" t="s">
        <v>713</v>
      </c>
      <c r="C34" s="477"/>
      <c r="D34" s="477">
        <f>VLOOKUP(A34,'CT-TB'!A32:E397,5,FALSE)</f>
        <v>-66073.460000000006</v>
      </c>
      <c r="E34" s="475"/>
      <c r="G34" s="200"/>
      <c r="H34" s="474"/>
      <c r="I34" s="473"/>
      <c r="J34" s="478" t="s">
        <v>713</v>
      </c>
      <c r="K34" s="477"/>
      <c r="L34" s="477"/>
    </row>
    <row r="35" spans="1:12" ht="14.5">
      <c r="A35" s="491">
        <v>504110</v>
      </c>
      <c r="B35" s="546" t="s">
        <v>715</v>
      </c>
      <c r="C35" s="477"/>
      <c r="D35" s="477">
        <f>VLOOKUP(A35,'CT-TB'!A33:E398,5,FALSE)</f>
        <v>-82909.72</v>
      </c>
      <c r="E35" s="475"/>
      <c r="G35" s="200"/>
      <c r="H35" s="474"/>
      <c r="I35" s="473"/>
      <c r="J35" s="478" t="s">
        <v>715</v>
      </c>
      <c r="K35" s="477"/>
      <c r="L35" s="477"/>
    </row>
    <row r="36" spans="1:12" ht="14.5">
      <c r="A36" s="491">
        <v>504120</v>
      </c>
      <c r="B36" s="546" t="s">
        <v>714</v>
      </c>
      <c r="C36" s="477"/>
      <c r="D36" s="477">
        <f>VLOOKUP(A36,'CT-TB'!A34:E399,5,FALSE)</f>
        <v>-102564.76</v>
      </c>
      <c r="E36" s="475"/>
      <c r="G36" s="200"/>
      <c r="H36" s="474"/>
      <c r="I36" s="473"/>
      <c r="J36" s="478" t="s">
        <v>714</v>
      </c>
      <c r="K36" s="477"/>
      <c r="L36" s="477"/>
    </row>
    <row r="37" spans="1:12" ht="14.5">
      <c r="A37" s="491"/>
      <c r="B37" s="546"/>
      <c r="C37" s="477"/>
      <c r="D37" s="477"/>
      <c r="E37" s="475"/>
      <c r="F37" s="470"/>
      <c r="G37" s="200"/>
      <c r="H37" s="474"/>
      <c r="I37" s="473"/>
      <c r="J37" s="478" t="s">
        <v>716</v>
      </c>
      <c r="K37" s="477"/>
      <c r="L37" s="477"/>
    </row>
    <row r="38" spans="1:12" ht="14.5">
      <c r="A38" s="491"/>
      <c r="B38" s="546"/>
      <c r="C38" s="477"/>
      <c r="D38" s="477"/>
      <c r="E38" s="475"/>
      <c r="G38" s="200"/>
      <c r="H38" s="474"/>
      <c r="I38" s="473"/>
      <c r="J38" s="478" t="s">
        <v>1157</v>
      </c>
      <c r="K38" s="477"/>
      <c r="L38" s="479">
        <v>-825798.91999999993</v>
      </c>
    </row>
    <row r="39" spans="1:12" ht="14.5">
      <c r="A39" s="491">
        <v>506100</v>
      </c>
      <c r="B39" s="546" t="s">
        <v>717</v>
      </c>
      <c r="C39" s="477"/>
      <c r="D39" s="477">
        <f>VLOOKUP(A39,'CT-TB'!A37:E402,5,FALSE)</f>
        <v>8470</v>
      </c>
      <c r="E39" s="475"/>
      <c r="F39" s="474"/>
      <c r="G39" s="200"/>
      <c r="H39" s="474"/>
      <c r="I39" s="473"/>
      <c r="J39" s="478" t="s">
        <v>717</v>
      </c>
      <c r="K39" s="477"/>
      <c r="L39" s="477">
        <v>9730</v>
      </c>
    </row>
    <row r="40" spans="1:12" ht="14.5">
      <c r="A40" s="491">
        <v>506200</v>
      </c>
      <c r="B40" s="546" t="s">
        <v>718</v>
      </c>
      <c r="C40" s="477"/>
      <c r="D40" s="477">
        <f>VLOOKUP(A40,'CT-TB'!A38:E403,5,FALSE)</f>
        <v>53339.74</v>
      </c>
      <c r="E40" s="475"/>
      <c r="F40" s="474"/>
      <c r="G40" s="200"/>
      <c r="H40" s="474"/>
      <c r="I40" s="473"/>
      <c r="J40" s="478" t="s">
        <v>718</v>
      </c>
      <c r="K40" s="477"/>
      <c r="L40" s="477">
        <v>138161.9</v>
      </c>
    </row>
    <row r="41" spans="1:12" ht="14.5">
      <c r="A41" s="491">
        <v>506250</v>
      </c>
      <c r="B41" s="546" t="s">
        <v>719</v>
      </c>
      <c r="C41" s="477"/>
      <c r="D41" s="477">
        <f>VLOOKUP(A41,'CT-TB'!A39:E404,5,FALSE)</f>
        <v>38965</v>
      </c>
      <c r="E41" s="475"/>
      <c r="F41" s="474"/>
      <c r="G41" s="200"/>
      <c r="H41" s="474"/>
      <c r="I41" s="473"/>
      <c r="J41" s="478" t="s">
        <v>719</v>
      </c>
      <c r="K41" s="477"/>
      <c r="L41" s="477">
        <v>14928.89</v>
      </c>
    </row>
    <row r="42" spans="1:12" ht="14.5">
      <c r="A42" s="491">
        <v>506260</v>
      </c>
      <c r="B42" s="546" t="s">
        <v>720</v>
      </c>
      <c r="C42" s="477"/>
      <c r="D42" s="477">
        <f>VLOOKUP(A42,'CT-TB'!A40:E405,5,FALSE)</f>
        <v>266039.44</v>
      </c>
      <c r="E42" s="475"/>
      <c r="F42" s="474"/>
      <c r="G42" s="200"/>
      <c r="H42" s="474"/>
      <c r="I42" s="473"/>
      <c r="J42" s="478" t="s">
        <v>720</v>
      </c>
      <c r="K42" s="477"/>
      <c r="L42" s="477">
        <v>154869.62</v>
      </c>
    </row>
    <row r="43" spans="1:12" ht="14.5">
      <c r="A43" s="491">
        <v>506300</v>
      </c>
      <c r="B43" s="546" t="s">
        <v>721</v>
      </c>
      <c r="C43" s="477"/>
      <c r="D43" s="477">
        <f>VLOOKUP(A43,'CT-TB'!A41:E406,5,FALSE)</f>
        <v>28014</v>
      </c>
      <c r="E43" s="475"/>
      <c r="F43" s="474"/>
      <c r="G43" s="200"/>
      <c r="H43" s="474"/>
      <c r="I43" s="473"/>
      <c r="J43" s="478" t="s">
        <v>721</v>
      </c>
      <c r="K43" s="477"/>
      <c r="L43" s="477">
        <v>37352</v>
      </c>
    </row>
    <row r="44" spans="1:12" ht="14.5">
      <c r="A44" s="491">
        <v>506400</v>
      </c>
      <c r="B44" s="546" t="s">
        <v>722</v>
      </c>
      <c r="C44" s="477"/>
      <c r="D44" s="477">
        <f>VLOOKUP(A44,'CT-TB'!A42:E407,5,FALSE)</f>
        <v>161257</v>
      </c>
      <c r="E44" s="475"/>
      <c r="F44" s="481"/>
      <c r="G44" s="200"/>
      <c r="H44" s="474"/>
      <c r="I44" s="473"/>
      <c r="J44" s="478" t="s">
        <v>722</v>
      </c>
      <c r="K44" s="477"/>
      <c r="L44" s="477">
        <v>206864.68</v>
      </c>
    </row>
    <row r="45" spans="1:12" ht="14.5">
      <c r="A45" s="491">
        <v>506440</v>
      </c>
      <c r="B45" s="546" t="s">
        <v>723</v>
      </c>
      <c r="C45" s="477"/>
      <c r="D45" s="477">
        <f>VLOOKUP(A45,'CT-TB'!A43:E408,5,FALSE)</f>
        <v>22674.45</v>
      </c>
      <c r="E45" s="475"/>
      <c r="F45" s="481"/>
      <c r="G45" s="200"/>
      <c r="H45" s="474"/>
      <c r="I45" s="473"/>
      <c r="J45" s="478" t="s">
        <v>723</v>
      </c>
      <c r="K45" s="477"/>
      <c r="L45" s="477">
        <v>75523.92</v>
      </c>
    </row>
    <row r="46" spans="1:12" ht="14.5">
      <c r="A46" s="491">
        <v>506450</v>
      </c>
      <c r="B46" s="546" t="s">
        <v>724</v>
      </c>
      <c r="C46" s="477"/>
      <c r="D46" s="477">
        <f>VLOOKUP(A46,'CT-TB'!A44:E409,5,FALSE)</f>
        <v>2107.94</v>
      </c>
      <c r="E46" s="475"/>
      <c r="F46" s="481"/>
      <c r="G46" s="200"/>
      <c r="H46" s="474"/>
      <c r="I46" s="473"/>
      <c r="J46" s="478" t="s">
        <v>724</v>
      </c>
      <c r="K46" s="477"/>
      <c r="L46" s="477">
        <v>18356.43</v>
      </c>
    </row>
    <row r="47" spans="1:12" ht="14.5">
      <c r="A47" s="491">
        <v>506460</v>
      </c>
      <c r="B47" s="546" t="s">
        <v>725</v>
      </c>
      <c r="C47" s="477"/>
      <c r="D47" s="477">
        <f>VLOOKUP(A47,'CT-TB'!A45:E410,5,FALSE)</f>
        <v>113201.17</v>
      </c>
      <c r="E47" s="475"/>
      <c r="F47" s="481"/>
      <c r="G47" s="200"/>
      <c r="H47" s="474"/>
      <c r="I47" s="473"/>
      <c r="J47" s="478" t="s">
        <v>725</v>
      </c>
      <c r="K47" s="477"/>
      <c r="L47" s="477">
        <v>190232.62</v>
      </c>
    </row>
    <row r="48" spans="1:12" ht="14.5">
      <c r="A48" s="491">
        <v>506900</v>
      </c>
      <c r="B48" s="546" t="s">
        <v>726</v>
      </c>
      <c r="C48" s="477"/>
      <c r="D48" s="477">
        <f>VLOOKUP(A48,'CT-TB'!A46:E411,5,FALSE)</f>
        <v>321633.27</v>
      </c>
      <c r="E48" s="475"/>
      <c r="F48" s="481"/>
      <c r="G48" s="200"/>
      <c r="H48" s="474"/>
      <c r="I48" s="473"/>
      <c r="J48" s="478" t="s">
        <v>726</v>
      </c>
      <c r="K48" s="477"/>
      <c r="L48" s="477">
        <v>320948.86</v>
      </c>
    </row>
    <row r="49" spans="1:12" ht="14.5">
      <c r="A49" s="491">
        <v>506910</v>
      </c>
      <c r="B49" s="546" t="s">
        <v>727</v>
      </c>
      <c r="C49" s="477"/>
      <c r="D49" s="477">
        <f>VLOOKUP(A49,'CT-TB'!A47:E412,5,FALSE)</f>
        <v>369310.14</v>
      </c>
      <c r="E49" s="475"/>
      <c r="F49" s="481"/>
      <c r="G49" s="200"/>
      <c r="H49" s="474"/>
      <c r="I49" s="473"/>
      <c r="J49" s="478" t="s">
        <v>727</v>
      </c>
      <c r="K49" s="477"/>
      <c r="L49" s="477">
        <v>476801.81</v>
      </c>
    </row>
    <row r="50" spans="1:12" ht="14.5">
      <c r="A50" s="491">
        <v>506920</v>
      </c>
      <c r="B50" s="546" t="s">
        <v>728</v>
      </c>
      <c r="C50" s="477"/>
      <c r="D50" s="477">
        <f>VLOOKUP(A50,'CT-TB'!A48:E413,5,FALSE)</f>
        <v>124102.72</v>
      </c>
      <c r="E50" s="475"/>
      <c r="F50" s="481"/>
      <c r="G50" s="200"/>
      <c r="H50" s="474"/>
      <c r="I50" s="473"/>
      <c r="J50" s="478" t="s">
        <v>728</v>
      </c>
      <c r="K50" s="477"/>
      <c r="L50" s="477">
        <v>180399.71</v>
      </c>
    </row>
    <row r="51" spans="1:12" ht="14.5">
      <c r="A51" s="491">
        <v>506930</v>
      </c>
      <c r="B51" s="546" t="s">
        <v>729</v>
      </c>
      <c r="C51" s="477"/>
      <c r="D51" s="477">
        <f>VLOOKUP(A51,'CT-TB'!A49:E414,5,FALSE)</f>
        <v>90441</v>
      </c>
      <c r="E51" s="475"/>
      <c r="F51" s="481"/>
      <c r="G51" s="200"/>
      <c r="H51" s="474"/>
      <c r="I51" s="473"/>
      <c r="J51" s="478" t="s">
        <v>729</v>
      </c>
      <c r="K51" s="477"/>
      <c r="L51" s="477">
        <v>239471.62</v>
      </c>
    </row>
    <row r="52" spans="1:12" ht="14.5">
      <c r="A52" s="491">
        <v>507000</v>
      </c>
      <c r="B52" s="546" t="s">
        <v>730</v>
      </c>
      <c r="C52" s="477"/>
      <c r="D52" s="477">
        <f>VLOOKUP(A52,'CT-TB'!A50:E415,5,FALSE)</f>
        <v>140277.91</v>
      </c>
      <c r="E52" s="475"/>
      <c r="F52" s="481"/>
      <c r="G52" s="200"/>
      <c r="H52" s="474"/>
      <c r="I52" s="473"/>
      <c r="J52" s="478" t="s">
        <v>730</v>
      </c>
      <c r="K52" s="477"/>
      <c r="L52" s="477">
        <v>202589.65</v>
      </c>
    </row>
    <row r="53" spans="1:12" ht="14.5">
      <c r="A53" s="491">
        <v>507200</v>
      </c>
      <c r="B53" s="546" t="s">
        <v>731</v>
      </c>
      <c r="C53" s="477"/>
      <c r="D53" s="477">
        <f>VLOOKUP(A53,'CT-TB'!A51:E416,5,FALSE)</f>
        <v>893.1</v>
      </c>
      <c r="E53" s="475"/>
      <c r="F53" s="481"/>
      <c r="G53" s="200"/>
      <c r="H53" s="474"/>
      <c r="I53" s="473"/>
      <c r="J53" s="478" t="s">
        <v>731</v>
      </c>
      <c r="K53" s="477"/>
      <c r="L53" s="477">
        <v>4462.95</v>
      </c>
    </row>
    <row r="54" spans="1:12" ht="14.5">
      <c r="A54" s="491">
        <v>507600</v>
      </c>
      <c r="B54" s="546" t="s">
        <v>732</v>
      </c>
      <c r="C54" s="477"/>
      <c r="D54" s="477">
        <f>VLOOKUP(A54,'CT-TB'!A52:E417,5,FALSE)</f>
        <v>395180</v>
      </c>
      <c r="E54" s="475"/>
      <c r="F54" s="481"/>
      <c r="G54" s="200"/>
      <c r="H54" s="474"/>
      <c r="I54" s="473"/>
      <c r="J54" s="478" t="s">
        <v>732</v>
      </c>
      <c r="K54" s="477"/>
      <c r="L54" s="477">
        <v>682935</v>
      </c>
    </row>
    <row r="55" spans="1:12" ht="14.5">
      <c r="A55" s="491"/>
      <c r="B55" s="546"/>
      <c r="C55" s="477"/>
      <c r="D55" s="477"/>
      <c r="E55" s="475"/>
      <c r="F55" s="481"/>
      <c r="G55" s="200"/>
      <c r="H55" s="474"/>
      <c r="I55" s="473"/>
      <c r="J55" s="478" t="s">
        <v>733</v>
      </c>
      <c r="K55" s="477"/>
      <c r="L55" s="477">
        <v>4198.91</v>
      </c>
    </row>
    <row r="56" spans="1:12" ht="14.5">
      <c r="A56" s="491">
        <v>511000</v>
      </c>
      <c r="B56" s="546" t="s">
        <v>1427</v>
      </c>
      <c r="C56" s="477"/>
      <c r="D56" s="477">
        <f>VLOOKUP(A56,'CT-TB'!A54:E419,5,FALSE)</f>
        <v>-44051614.130000003</v>
      </c>
      <c r="E56" s="475"/>
      <c r="F56" s="481"/>
      <c r="G56" s="200"/>
      <c r="H56" s="474"/>
      <c r="I56" s="473"/>
      <c r="J56" s="478"/>
      <c r="K56" s="477"/>
      <c r="L56" s="477"/>
    </row>
    <row r="57" spans="1:12" ht="14.5">
      <c r="A57" s="491">
        <v>520000</v>
      </c>
      <c r="B57" s="546" t="s">
        <v>734</v>
      </c>
      <c r="C57" s="477"/>
      <c r="D57" s="477">
        <f>VLOOKUP(A57,'CT-TB'!A55:E420,5,FALSE)</f>
        <v>-13032.63</v>
      </c>
      <c r="E57" s="475"/>
      <c r="F57" s="481"/>
      <c r="G57" s="200"/>
      <c r="H57" s="474"/>
      <c r="I57" s="473"/>
      <c r="J57" s="478" t="s">
        <v>734</v>
      </c>
      <c r="K57" s="477"/>
      <c r="L57" s="477">
        <v>-25534.080000000002</v>
      </c>
    </row>
    <row r="58" spans="1:12" ht="14.5">
      <c r="A58" s="491">
        <v>521000</v>
      </c>
      <c r="B58" s="546" t="s">
        <v>735</v>
      </c>
      <c r="C58" s="477"/>
      <c r="D58" s="477">
        <f>VLOOKUP(A58,'CT-TB'!A56:E421,5,FALSE)</f>
        <v>-112.7</v>
      </c>
      <c r="E58" s="475"/>
      <c r="F58" s="481"/>
      <c r="G58" s="200"/>
      <c r="H58" s="474"/>
      <c r="I58" s="473"/>
      <c r="J58" s="478" t="s">
        <v>735</v>
      </c>
      <c r="K58" s="477"/>
      <c r="L58" s="477">
        <v>-365.7</v>
      </c>
    </row>
    <row r="59" spans="1:12" ht="14.5">
      <c r="A59" s="491">
        <v>521100</v>
      </c>
      <c r="B59" s="546" t="s">
        <v>736</v>
      </c>
      <c r="C59" s="477"/>
      <c r="D59" s="477">
        <f>VLOOKUP(A59,'CT-TB'!A57:E422,5,FALSE)</f>
        <v>-259167.39</v>
      </c>
      <c r="E59" s="475"/>
      <c r="F59" s="481"/>
      <c r="G59" s="200"/>
      <c r="H59" s="474"/>
      <c r="I59" s="473"/>
      <c r="J59" s="478" t="s">
        <v>736</v>
      </c>
      <c r="K59" s="477"/>
      <c r="L59" s="477">
        <v>-266999.44</v>
      </c>
    </row>
    <row r="60" spans="1:12" ht="14.5">
      <c r="A60" s="491">
        <v>521110</v>
      </c>
      <c r="B60" s="546" t="s">
        <v>737</v>
      </c>
      <c r="C60" s="477"/>
      <c r="D60" s="477">
        <f>VLOOKUP(A60,'CT-TB'!A58:E423,5,FALSE)</f>
        <v>-9309.94</v>
      </c>
      <c r="E60" s="475"/>
      <c r="F60" s="481"/>
      <c r="G60" s="200"/>
      <c r="H60" s="474"/>
      <c r="I60" s="473"/>
      <c r="J60" s="478" t="s">
        <v>737</v>
      </c>
      <c r="K60" s="477"/>
      <c r="L60" s="477">
        <v>-7123.28</v>
      </c>
    </row>
    <row r="61" spans="1:12" ht="14.5">
      <c r="A61" s="491">
        <v>521120</v>
      </c>
      <c r="B61" s="546" t="s">
        <v>738</v>
      </c>
      <c r="C61" s="477"/>
      <c r="D61" s="477">
        <f>VLOOKUP(A61,'CT-TB'!A59:E424,5,FALSE)</f>
        <v>1053.6199999999999</v>
      </c>
      <c r="E61" s="475"/>
      <c r="F61" s="481"/>
      <c r="G61" s="200"/>
      <c r="H61" s="474"/>
      <c r="I61" s="473"/>
      <c r="J61" s="478" t="s">
        <v>738</v>
      </c>
      <c r="K61" s="477"/>
      <c r="L61" s="477">
        <v>3593.85</v>
      </c>
    </row>
    <row r="62" spans="1:12" ht="14.5">
      <c r="A62" s="491">
        <v>521200</v>
      </c>
      <c r="B62" s="546" t="s">
        <v>739</v>
      </c>
      <c r="C62" s="477"/>
      <c r="D62" s="477">
        <f>VLOOKUP(A62,'CT-TB'!A60:E425,5,FALSE)</f>
        <v>-1287.22</v>
      </c>
      <c r="E62" s="475"/>
      <c r="G62" s="200"/>
      <c r="H62" s="474"/>
      <c r="I62" s="473"/>
      <c r="J62" s="478" t="s">
        <v>739</v>
      </c>
      <c r="K62" s="477"/>
      <c r="L62" s="477">
        <v>-10065.620000000001</v>
      </c>
    </row>
    <row r="63" spans="1:12" ht="14.5">
      <c r="A63" s="491">
        <v>521300</v>
      </c>
      <c r="B63" s="546" t="s">
        <v>740</v>
      </c>
      <c r="C63" s="477"/>
      <c r="D63" s="477">
        <f>VLOOKUP(A63,'CT-TB'!A61:E426,5,FALSE)</f>
        <v>-9264.93</v>
      </c>
      <c r="E63" s="475"/>
      <c r="G63" s="200"/>
      <c r="H63" s="474"/>
      <c r="I63" s="473"/>
      <c r="J63" s="478" t="s">
        <v>740</v>
      </c>
      <c r="K63" s="477"/>
      <c r="L63" s="477">
        <v>-8635.24</v>
      </c>
    </row>
    <row r="64" spans="1:12" ht="14.5">
      <c r="A64" s="491">
        <v>521310</v>
      </c>
      <c r="B64" s="546" t="s">
        <v>741</v>
      </c>
      <c r="C64" s="477"/>
      <c r="D64" s="477">
        <f>VLOOKUP(A64,'CT-TB'!A62:E427,5,FALSE)</f>
        <v>-12380.53</v>
      </c>
      <c r="E64" s="475"/>
      <c r="G64" s="200"/>
      <c r="H64" s="474"/>
      <c r="I64" s="473"/>
      <c r="J64" s="478" t="s">
        <v>741</v>
      </c>
      <c r="K64" s="477"/>
      <c r="L64" s="477">
        <v>-12098.72</v>
      </c>
    </row>
    <row r="65" spans="1:12" ht="14.5">
      <c r="A65" s="491">
        <v>521320</v>
      </c>
      <c r="B65" s="546" t="s">
        <v>742</v>
      </c>
      <c r="C65" s="477"/>
      <c r="D65" s="477">
        <f>VLOOKUP(A65,'CT-TB'!A63:E428,5,FALSE)</f>
        <v>-10083.049999999999</v>
      </c>
      <c r="E65" s="475"/>
      <c r="G65" s="200"/>
      <c r="H65" s="474"/>
      <c r="I65" s="473"/>
      <c r="J65" s="478" t="s">
        <v>742</v>
      </c>
      <c r="K65" s="477"/>
      <c r="L65" s="477">
        <v>-8674.77</v>
      </c>
    </row>
    <row r="66" spans="1:12" ht="14.5">
      <c r="A66" s="491">
        <v>521400</v>
      </c>
      <c r="B66" s="546" t="s">
        <v>743</v>
      </c>
      <c r="C66" s="477"/>
      <c r="D66" s="477">
        <f>VLOOKUP(A66,'CT-TB'!A64:E429,5,FALSE)</f>
        <v>-770404.17</v>
      </c>
      <c r="E66" s="475"/>
      <c r="G66" s="200"/>
      <c r="H66" s="474"/>
      <c r="I66" s="473"/>
      <c r="J66" s="478" t="s">
        <v>743</v>
      </c>
      <c r="K66" s="477"/>
      <c r="L66" s="477">
        <v>-324136.03999999998</v>
      </c>
    </row>
    <row r="67" spans="1:12" ht="14.5">
      <c r="A67" s="491">
        <v>521500</v>
      </c>
      <c r="B67" s="546" t="s">
        <v>744</v>
      </c>
      <c r="C67" s="477"/>
      <c r="D67" s="477">
        <f>VLOOKUP(A67,'CT-TB'!A65:E430,5,FALSE)</f>
        <v>-143311.59</v>
      </c>
      <c r="E67" s="475"/>
      <c r="G67" s="200"/>
      <c r="H67" s="474"/>
      <c r="I67" s="473"/>
      <c r="J67" s="478" t="s">
        <v>744</v>
      </c>
      <c r="K67" s="477"/>
      <c r="L67" s="477">
        <v>-117277.82</v>
      </c>
    </row>
    <row r="68" spans="1:12" ht="14.5">
      <c r="A68" s="491">
        <v>521550</v>
      </c>
      <c r="B68" s="546" t="s">
        <v>1428</v>
      </c>
      <c r="D68" s="477">
        <f>VLOOKUP(A68,'CT-TB'!A66:E431,5,FALSE)</f>
        <v>-258.37</v>
      </c>
      <c r="F68" s="470"/>
      <c r="G68" s="470"/>
      <c r="H68" s="470"/>
    </row>
    <row r="69" spans="1:12" ht="14.5">
      <c r="A69" s="491"/>
      <c r="B69" s="546"/>
      <c r="C69" s="477"/>
      <c r="D69" s="477"/>
      <c r="E69" s="475"/>
      <c r="F69" s="474"/>
      <c r="G69" s="200"/>
      <c r="H69" s="474"/>
      <c r="I69" s="473"/>
      <c r="J69" s="478" t="s">
        <v>745</v>
      </c>
      <c r="K69" s="477"/>
      <c r="L69" s="477">
        <v>287.2</v>
      </c>
    </row>
    <row r="70" spans="1:12" ht="14.5">
      <c r="A70" s="491">
        <v>521800</v>
      </c>
      <c r="B70" s="546" t="s">
        <v>746</v>
      </c>
      <c r="C70" s="477"/>
      <c r="D70" s="477">
        <f>VLOOKUP(A70,'CT-TB'!A68:E433,5,FALSE)</f>
        <v>-768882.79</v>
      </c>
      <c r="E70" s="475"/>
      <c r="F70" s="474"/>
      <c r="G70" s="200"/>
      <c r="H70" s="474"/>
      <c r="I70" s="473"/>
      <c r="J70" s="478" t="s">
        <v>746</v>
      </c>
      <c r="K70" s="477"/>
      <c r="L70" s="477">
        <v>-694392.56</v>
      </c>
    </row>
    <row r="71" spans="1:12" ht="14.5">
      <c r="A71" s="491">
        <v>522600</v>
      </c>
      <c r="B71" s="546" t="s">
        <v>747</v>
      </c>
      <c r="C71" s="477"/>
      <c r="D71" s="477">
        <f>VLOOKUP(A71,'CT-TB'!A69:E434,5,FALSE)</f>
        <v>307448.26</v>
      </c>
      <c r="E71" s="475"/>
      <c r="F71" s="474"/>
      <c r="G71" s="200"/>
      <c r="H71" s="474"/>
      <c r="I71" s="473"/>
      <c r="J71" s="478" t="s">
        <v>747</v>
      </c>
      <c r="K71" s="477"/>
      <c r="L71" s="477">
        <v>347451.47</v>
      </c>
    </row>
    <row r="72" spans="1:12" ht="14.5">
      <c r="A72" s="491">
        <v>540000</v>
      </c>
      <c r="B72" s="546" t="s">
        <v>748</v>
      </c>
      <c r="C72" s="477"/>
      <c r="D72" s="477">
        <f>VLOOKUP(A72,'CT-TB'!A70:E435,5,FALSE)</f>
        <v>1593274.97</v>
      </c>
      <c r="E72" s="475"/>
      <c r="F72" s="474"/>
      <c r="G72" s="200"/>
      <c r="H72" s="474"/>
      <c r="I72" s="473"/>
      <c r="J72" s="478" t="s">
        <v>748</v>
      </c>
      <c r="K72" s="477"/>
      <c r="L72" s="477">
        <v>1727943.16</v>
      </c>
    </row>
    <row r="73" spans="1:12" ht="14.5">
      <c r="A73" s="491">
        <v>540100</v>
      </c>
      <c r="B73" s="546" t="s">
        <v>749</v>
      </c>
      <c r="C73" s="477"/>
      <c r="D73" s="477">
        <f>VLOOKUP(A73,'CT-TB'!A71:E436,5,FALSE)</f>
        <v>2763</v>
      </c>
      <c r="E73" s="475"/>
      <c r="F73" s="481"/>
      <c r="G73" s="200"/>
      <c r="H73" s="474"/>
      <c r="I73" s="473"/>
      <c r="J73" s="478" t="s">
        <v>749</v>
      </c>
      <c r="K73" s="477"/>
      <c r="L73" s="477">
        <v>16215</v>
      </c>
    </row>
    <row r="74" spans="1:12" ht="14.5">
      <c r="A74" s="491">
        <v>540300</v>
      </c>
      <c r="B74" s="546" t="s">
        <v>750</v>
      </c>
      <c r="C74" s="477"/>
      <c r="D74" s="477">
        <f>VLOOKUP(A74,'CT-TB'!A72:E437,5,FALSE)</f>
        <v>853</v>
      </c>
      <c r="E74" s="475"/>
      <c r="F74" s="481"/>
      <c r="G74" s="200"/>
      <c r="H74" s="474"/>
      <c r="I74" s="473"/>
      <c r="J74" s="478" t="s">
        <v>750</v>
      </c>
      <c r="K74" s="477"/>
      <c r="L74" s="477">
        <v>143429</v>
      </c>
    </row>
    <row r="75" spans="1:12" ht="14.5">
      <c r="A75" s="491">
        <v>550000</v>
      </c>
      <c r="B75" s="546" t="s">
        <v>751</v>
      </c>
      <c r="C75" s="477"/>
      <c r="D75" s="477">
        <f>VLOOKUP(A75,'CT-TB'!A73:E438,5,FALSE)</f>
        <v>272986.23999999999</v>
      </c>
      <c r="E75" s="475"/>
      <c r="F75" s="481"/>
      <c r="G75" s="200"/>
      <c r="H75" s="474"/>
      <c r="I75" s="473"/>
      <c r="J75" s="478" t="s">
        <v>751</v>
      </c>
      <c r="K75" s="477"/>
      <c r="L75" s="477">
        <v>359944.04</v>
      </c>
    </row>
    <row r="76" spans="1:12" ht="14.5">
      <c r="A76" s="491">
        <v>555000</v>
      </c>
      <c r="B76" s="546" t="s">
        <v>752</v>
      </c>
      <c r="C76" s="477"/>
      <c r="D76" s="477">
        <f>VLOOKUP(A76,'CT-TB'!A74:E439,5,FALSE)</f>
        <v>95762.96</v>
      </c>
      <c r="E76" s="475"/>
      <c r="G76" s="200"/>
      <c r="H76" s="474"/>
      <c r="I76" s="473"/>
      <c r="J76" s="478" t="s">
        <v>752</v>
      </c>
      <c r="K76" s="477"/>
      <c r="L76" s="477">
        <v>160269.23000000001</v>
      </c>
    </row>
    <row r="77" spans="1:12" ht="14.5">
      <c r="A77" s="491">
        <v>560000</v>
      </c>
      <c r="B77" s="546" t="s">
        <v>753</v>
      </c>
      <c r="C77" s="477"/>
      <c r="D77" s="477">
        <f>VLOOKUP(A77,'CT-TB'!A75:E440,5,FALSE)</f>
        <v>-78014.820000000007</v>
      </c>
      <c r="E77" s="475"/>
      <c r="G77" s="200"/>
      <c r="H77" s="474"/>
      <c r="I77" s="473"/>
      <c r="J77" s="478" t="s">
        <v>753</v>
      </c>
      <c r="K77" s="477"/>
      <c r="L77" s="477">
        <v>-58276.72</v>
      </c>
    </row>
    <row r="78" spans="1:12" ht="14.5">
      <c r="A78" s="491">
        <v>561000</v>
      </c>
      <c r="B78" s="546" t="s">
        <v>754</v>
      </c>
      <c r="C78" s="477"/>
      <c r="D78" s="477">
        <f>VLOOKUP(A78,'CT-TB'!A76:E441,5,FALSE)</f>
        <v>78014.820000000007</v>
      </c>
      <c r="E78" s="475"/>
      <c r="F78" s="474"/>
      <c r="G78" s="200"/>
      <c r="H78" s="474"/>
      <c r="I78" s="473"/>
      <c r="J78" s="478" t="s">
        <v>754</v>
      </c>
      <c r="K78" s="477"/>
      <c r="L78" s="477">
        <v>77747.28</v>
      </c>
    </row>
    <row r="79" spans="1:12" ht="14.5">
      <c r="A79" s="491">
        <v>601100</v>
      </c>
      <c r="B79" s="546" t="s">
        <v>755</v>
      </c>
      <c r="C79" s="477"/>
      <c r="D79" s="477">
        <f>VLOOKUP(A79,'CT-TB'!A77:E442,5,FALSE)</f>
        <v>-6008350.54</v>
      </c>
      <c r="E79" s="475"/>
      <c r="F79" s="474"/>
      <c r="G79" s="200"/>
      <c r="H79" s="474"/>
      <c r="I79" s="473"/>
      <c r="J79" s="478" t="s">
        <v>755</v>
      </c>
      <c r="K79" s="477"/>
      <c r="L79" s="477">
        <v>-6031994.2300000004</v>
      </c>
    </row>
    <row r="80" spans="1:12" ht="14.5">
      <c r="A80" s="491">
        <v>601110</v>
      </c>
      <c r="B80" s="546" t="s">
        <v>756</v>
      </c>
      <c r="C80" s="477"/>
      <c r="D80" s="477">
        <f>VLOOKUP(A80,'CT-TB'!A78:E443,5,FALSE)</f>
        <v>-273700.21000000002</v>
      </c>
      <c r="E80" s="475"/>
      <c r="F80" s="474"/>
      <c r="G80" s="200"/>
      <c r="H80" s="474"/>
      <c r="I80" s="473"/>
      <c r="J80" s="478" t="s">
        <v>756</v>
      </c>
      <c r="K80" s="477"/>
      <c r="L80" s="477">
        <v>-184253.17</v>
      </c>
    </row>
    <row r="81" spans="1:12" ht="14.5">
      <c r="A81" s="491">
        <v>601130</v>
      </c>
      <c r="B81" s="546" t="s">
        <v>757</v>
      </c>
      <c r="C81" s="477"/>
      <c r="D81" s="477">
        <f>VLOOKUP(A81,'CT-TB'!A79:E444,5,FALSE)</f>
        <v>-381.46</v>
      </c>
      <c r="E81" s="475"/>
      <c r="F81" s="474"/>
      <c r="G81" s="200"/>
      <c r="H81" s="474"/>
      <c r="I81" s="473"/>
      <c r="J81" s="478" t="s">
        <v>757</v>
      </c>
      <c r="K81" s="477"/>
      <c r="L81" s="477">
        <v>-1660.59</v>
      </c>
    </row>
    <row r="82" spans="1:12" ht="14.5">
      <c r="A82" s="491">
        <v>601140</v>
      </c>
      <c r="B82" s="546" t="s">
        <v>758</v>
      </c>
      <c r="C82" s="477"/>
      <c r="D82" s="477">
        <f>VLOOKUP(A82,'CT-TB'!A80:E445,5,FALSE)</f>
        <v>-150300</v>
      </c>
      <c r="E82" s="475"/>
      <c r="F82" s="474"/>
      <c r="G82" s="200"/>
      <c r="H82" s="474"/>
      <c r="I82" s="473"/>
      <c r="J82" s="478" t="s">
        <v>758</v>
      </c>
      <c r="K82" s="477"/>
      <c r="L82" s="477">
        <v>-124150</v>
      </c>
    </row>
    <row r="83" spans="1:12" ht="14.5">
      <c r="A83" s="491">
        <v>601300</v>
      </c>
      <c r="B83" s="546" t="s">
        <v>759</v>
      </c>
      <c r="C83" s="477"/>
      <c r="D83" s="477">
        <f>VLOOKUP(A83,'CT-TB'!A81:E446,5,FALSE)</f>
        <v>-250743</v>
      </c>
      <c r="E83" s="475"/>
      <c r="F83" s="474"/>
      <c r="G83" s="200"/>
      <c r="H83" s="474"/>
      <c r="I83" s="473"/>
      <c r="J83" s="478" t="s">
        <v>759</v>
      </c>
      <c r="K83" s="477"/>
      <c r="L83" s="477">
        <v>-247725.7</v>
      </c>
    </row>
    <row r="84" spans="1:12" ht="14.5">
      <c r="A84" s="491">
        <v>601400</v>
      </c>
      <c r="B84" s="546" t="s">
        <v>760</v>
      </c>
      <c r="C84" s="477"/>
      <c r="D84" s="477">
        <f>VLOOKUP(A84,'CT-TB'!A82:E447,5,FALSE)</f>
        <v>-770049.45</v>
      </c>
      <c r="E84" s="475"/>
      <c r="F84" s="474"/>
      <c r="G84" s="200"/>
      <c r="H84" s="474"/>
      <c r="I84" s="473"/>
      <c r="J84" s="478" t="s">
        <v>760</v>
      </c>
      <c r="K84" s="477"/>
      <c r="L84" s="477">
        <v>-581622.71</v>
      </c>
    </row>
    <row r="85" spans="1:12" ht="14.5">
      <c r="A85" s="491">
        <v>601600</v>
      </c>
      <c r="B85" s="546" t="s">
        <v>761</v>
      </c>
      <c r="C85" s="477"/>
      <c r="D85" s="477">
        <f>VLOOKUP(A85,'CT-TB'!A83:E448,5,FALSE)</f>
        <v>-1493240.73</v>
      </c>
      <c r="E85" s="475"/>
      <c r="F85" s="474"/>
      <c r="G85" s="200"/>
      <c r="H85" s="474"/>
      <c r="I85" s="473"/>
      <c r="J85" s="478" t="s">
        <v>761</v>
      </c>
      <c r="K85" s="477"/>
      <c r="L85" s="477">
        <v>-1702827.61</v>
      </c>
    </row>
    <row r="86" spans="1:12" ht="14.5">
      <c r="A86" s="491">
        <v>601601</v>
      </c>
      <c r="B86" s="546" t="s">
        <v>762</v>
      </c>
      <c r="C86" s="477"/>
      <c r="D86" s="477">
        <f>VLOOKUP(A86,'CT-TB'!A84:E449,5,FALSE)</f>
        <v>-866346.71</v>
      </c>
      <c r="E86" s="475"/>
      <c r="F86" s="474"/>
      <c r="G86" s="200"/>
      <c r="H86" s="474"/>
      <c r="I86" s="473"/>
      <c r="J86" s="478" t="s">
        <v>762</v>
      </c>
      <c r="K86" s="477"/>
      <c r="L86" s="477">
        <v>-1085142.68</v>
      </c>
    </row>
    <row r="87" spans="1:12" ht="14.5">
      <c r="A87" s="491">
        <v>601610</v>
      </c>
      <c r="B87" s="546" t="s">
        <v>763</v>
      </c>
      <c r="C87" s="477"/>
      <c r="D87" s="477">
        <f>VLOOKUP(A87,'CT-TB'!A85:E450,5,FALSE)</f>
        <v>-6852.24</v>
      </c>
      <c r="E87" s="475"/>
      <c r="F87" s="474"/>
      <c r="G87" s="200"/>
      <c r="H87" s="474"/>
      <c r="I87" s="473"/>
      <c r="J87" s="478" t="s">
        <v>763</v>
      </c>
      <c r="K87" s="477"/>
      <c r="L87" s="477">
        <v>5.38</v>
      </c>
    </row>
    <row r="88" spans="1:12" ht="14.5">
      <c r="A88" s="491">
        <v>601700</v>
      </c>
      <c r="B88" s="546" t="s">
        <v>764</v>
      </c>
      <c r="C88" s="477"/>
      <c r="D88" s="477">
        <f>VLOOKUP(A88,'CT-TB'!A86:E451,5,FALSE)</f>
        <v>-2055391.7</v>
      </c>
      <c r="E88" s="475"/>
      <c r="F88" s="474"/>
      <c r="G88" s="200"/>
      <c r="H88" s="474"/>
      <c r="I88" s="473"/>
      <c r="J88" s="478" t="s">
        <v>764</v>
      </c>
      <c r="K88" s="477"/>
      <c r="L88" s="477">
        <v>-2180488.7799999998</v>
      </c>
    </row>
    <row r="89" spans="1:12" ht="14.5">
      <c r="A89" s="491">
        <v>601701</v>
      </c>
      <c r="B89" s="546" t="s">
        <v>765</v>
      </c>
      <c r="C89" s="477"/>
      <c r="D89" s="477">
        <f>VLOOKUP(A89,'CT-TB'!A87:E452,5,FALSE)</f>
        <v>-592057.52</v>
      </c>
      <c r="E89" s="475"/>
      <c r="F89" s="474"/>
      <c r="G89" s="200"/>
      <c r="H89" s="474"/>
      <c r="I89" s="473"/>
      <c r="J89" s="478" t="s">
        <v>765</v>
      </c>
      <c r="K89" s="477"/>
      <c r="L89" s="477">
        <v>-589636.81999999995</v>
      </c>
    </row>
    <row r="90" spans="1:12" ht="14.5">
      <c r="A90" s="491">
        <v>601710</v>
      </c>
      <c r="B90" s="546" t="s">
        <v>766</v>
      </c>
      <c r="C90" s="477"/>
      <c r="D90" s="477">
        <f>VLOOKUP(A90,'CT-TB'!A88:E453,5,FALSE)</f>
        <v>-52266.94</v>
      </c>
      <c r="E90" s="475"/>
      <c r="F90" s="474"/>
      <c r="G90" s="200"/>
      <c r="H90" s="474"/>
      <c r="I90" s="473"/>
      <c r="J90" s="478" t="s">
        <v>766</v>
      </c>
      <c r="K90" s="477"/>
      <c r="L90" s="477">
        <v>-1535.9</v>
      </c>
    </row>
    <row r="91" spans="1:12" ht="14.5">
      <c r="A91" s="491">
        <v>601740</v>
      </c>
      <c r="B91" s="546" t="s">
        <v>767</v>
      </c>
      <c r="C91" s="477"/>
      <c r="D91" s="477">
        <f>VLOOKUP(A91,'CT-TB'!A89:E454,5,FALSE)</f>
        <v>-118041.22</v>
      </c>
      <c r="E91" s="475"/>
      <c r="F91" s="474"/>
      <c r="G91" s="200"/>
      <c r="H91" s="474"/>
      <c r="I91" s="473"/>
      <c r="J91" s="478" t="s">
        <v>767</v>
      </c>
      <c r="K91" s="477"/>
      <c r="L91" s="477">
        <v>-124641.75</v>
      </c>
    </row>
    <row r="92" spans="1:12" ht="14.5">
      <c r="A92" s="491">
        <v>601800</v>
      </c>
      <c r="B92" s="546" t="s">
        <v>768</v>
      </c>
      <c r="C92" s="477"/>
      <c r="D92" s="477">
        <f>VLOOKUP(A92,'CT-TB'!A90:E455,5,FALSE)</f>
        <v>-525782.79</v>
      </c>
      <c r="E92" s="475"/>
      <c r="F92" s="474"/>
      <c r="G92" s="200"/>
      <c r="H92" s="474"/>
      <c r="I92" s="473"/>
      <c r="J92" s="478" t="s">
        <v>768</v>
      </c>
      <c r="K92" s="477"/>
      <c r="L92" s="477">
        <v>-552952.1</v>
      </c>
    </row>
    <row r="93" spans="1:12" ht="14.5">
      <c r="A93" s="491">
        <v>601850</v>
      </c>
      <c r="B93" s="546" t="s">
        <v>769</v>
      </c>
      <c r="C93" s="477"/>
      <c r="D93" s="477">
        <f>VLOOKUP(A93,'CT-TB'!A91:E456,5,FALSE)</f>
        <v>-279745.15999999997</v>
      </c>
      <c r="E93" s="475"/>
      <c r="F93" s="474"/>
      <c r="G93" s="200"/>
      <c r="H93" s="474"/>
      <c r="I93" s="473"/>
      <c r="J93" s="478" t="s">
        <v>769</v>
      </c>
      <c r="K93" s="477"/>
      <c r="L93" s="477">
        <v>-378347.45</v>
      </c>
    </row>
    <row r="94" spans="1:12" ht="14.5">
      <c r="A94" s="491">
        <v>601900</v>
      </c>
      <c r="B94" s="546" t="s">
        <v>770</v>
      </c>
      <c r="C94" s="477"/>
      <c r="D94" s="477">
        <f>VLOOKUP(A94,'CT-TB'!A92:E457,5,FALSE)</f>
        <v>-138619.17000000001</v>
      </c>
      <c r="E94" s="475"/>
      <c r="F94" s="474"/>
      <c r="G94" s="200"/>
      <c r="H94" s="474"/>
      <c r="I94" s="473"/>
      <c r="J94" s="478" t="s">
        <v>770</v>
      </c>
      <c r="K94" s="477"/>
      <c r="L94" s="477">
        <v>-77547.92</v>
      </c>
    </row>
    <row r="95" spans="1:12" ht="14.5">
      <c r="A95" s="491">
        <v>601950</v>
      </c>
      <c r="B95" s="546" t="s">
        <v>771</v>
      </c>
      <c r="C95" s="477"/>
      <c r="D95" s="477">
        <f>VLOOKUP(A95,'CT-TB'!A93:E458,5,FALSE)</f>
        <v>-56392.67</v>
      </c>
      <c r="E95" s="475"/>
      <c r="F95" s="474"/>
      <c r="G95" s="200"/>
      <c r="H95" s="474"/>
      <c r="I95" s="473"/>
      <c r="J95" s="478" t="s">
        <v>771</v>
      </c>
      <c r="K95" s="477"/>
      <c r="L95" s="477">
        <v>-40461.65</v>
      </c>
    </row>
    <row r="96" spans="1:12" ht="14.5">
      <c r="A96" s="491">
        <v>602100</v>
      </c>
      <c r="B96" s="546" t="s">
        <v>772</v>
      </c>
      <c r="C96" s="477"/>
      <c r="D96" s="477">
        <f>VLOOKUP(A96,'CT-TB'!A94:E459,5,FALSE)</f>
        <v>-12994843.73</v>
      </c>
      <c r="E96" s="475"/>
      <c r="F96" s="484"/>
      <c r="G96" s="200"/>
      <c r="H96" s="474"/>
      <c r="I96" s="473"/>
      <c r="J96" s="478" t="s">
        <v>772</v>
      </c>
      <c r="K96" s="477"/>
      <c r="L96" s="477">
        <v>-12662905.58</v>
      </c>
    </row>
    <row r="97" spans="1:12" ht="14.5">
      <c r="A97" s="491">
        <v>602110</v>
      </c>
      <c r="B97" s="546" t="s">
        <v>773</v>
      </c>
      <c r="C97" s="477"/>
      <c r="D97" s="477">
        <f>VLOOKUP(A97,'CT-TB'!A95:E460,5,FALSE)</f>
        <v>-707286.34</v>
      </c>
      <c r="E97" s="475"/>
      <c r="F97" s="484"/>
      <c r="G97" s="200"/>
      <c r="H97" s="474"/>
      <c r="I97" s="473"/>
      <c r="J97" s="478" t="s">
        <v>773</v>
      </c>
      <c r="K97" s="477"/>
      <c r="L97" s="477">
        <v>-553231.99</v>
      </c>
    </row>
    <row r="98" spans="1:12" ht="14.5">
      <c r="A98" s="491">
        <v>602140</v>
      </c>
      <c r="B98" s="546" t="s">
        <v>774</v>
      </c>
      <c r="C98" s="477"/>
      <c r="D98" s="477">
        <f>VLOOKUP(A98,'CT-TB'!A96:E461,5,FALSE)</f>
        <v>-253490.98</v>
      </c>
      <c r="E98" s="475"/>
      <c r="F98" s="484"/>
      <c r="G98" s="200"/>
      <c r="H98" s="474"/>
      <c r="I98" s="473"/>
      <c r="J98" s="478" t="s">
        <v>774</v>
      </c>
      <c r="K98" s="477"/>
      <c r="L98" s="477">
        <v>-246889.7</v>
      </c>
    </row>
    <row r="99" spans="1:12" ht="14.5">
      <c r="A99" s="491">
        <v>602400</v>
      </c>
      <c r="B99" s="546" t="s">
        <v>775</v>
      </c>
      <c r="C99" s="477"/>
      <c r="D99" s="477">
        <f>VLOOKUP(A99,'CT-TB'!A97:E462,5,FALSE)</f>
        <v>-223093.36</v>
      </c>
      <c r="E99" s="475"/>
      <c r="F99" s="484"/>
      <c r="G99" s="200"/>
      <c r="H99" s="474"/>
      <c r="I99" s="473"/>
      <c r="J99" s="478" t="s">
        <v>775</v>
      </c>
      <c r="K99" s="477"/>
      <c r="L99" s="477">
        <v>-148454.70000000001</v>
      </c>
    </row>
    <row r="100" spans="1:12" ht="14.5">
      <c r="A100" s="491">
        <v>602500</v>
      </c>
      <c r="B100" s="546" t="s">
        <v>776</v>
      </c>
      <c r="C100" s="477"/>
      <c r="D100" s="477">
        <f>VLOOKUP(A100,'CT-TB'!A98:E463,5,FALSE)</f>
        <v>-247748.22</v>
      </c>
      <c r="E100" s="475"/>
      <c r="F100" s="484"/>
      <c r="G100" s="200"/>
      <c r="H100" s="474"/>
      <c r="I100" s="473"/>
      <c r="J100" s="478" t="s">
        <v>776</v>
      </c>
      <c r="K100" s="477"/>
      <c r="L100" s="477">
        <v>-132880.54</v>
      </c>
    </row>
    <row r="101" spans="1:12" ht="14.5">
      <c r="A101" s="491">
        <v>602560</v>
      </c>
      <c r="B101" s="546" t="s">
        <v>777</v>
      </c>
      <c r="C101" s="477"/>
      <c r="D101" s="477">
        <f>VLOOKUP(A101,'CT-TB'!A99:E464,5,FALSE)</f>
        <v>-1894298.38</v>
      </c>
      <c r="E101" s="475"/>
      <c r="F101" s="484"/>
      <c r="G101" s="200"/>
      <c r="H101" s="474"/>
      <c r="I101" s="473"/>
      <c r="J101" s="478" t="s">
        <v>777</v>
      </c>
      <c r="K101" s="477"/>
      <c r="L101" s="477">
        <v>-1874966.8</v>
      </c>
    </row>
    <row r="102" spans="1:12" ht="14.5">
      <c r="A102" s="491">
        <v>602700</v>
      </c>
      <c r="B102" s="546" t="s">
        <v>778</v>
      </c>
      <c r="C102" s="477"/>
      <c r="D102" s="477">
        <f>VLOOKUP(A102,'CT-TB'!A100:E465,5,FALSE)</f>
        <v>-885118.48</v>
      </c>
      <c r="E102" s="475"/>
      <c r="F102" s="474"/>
      <c r="G102" s="200"/>
      <c r="H102" s="474"/>
      <c r="I102" s="473"/>
      <c r="J102" s="478" t="s">
        <v>778</v>
      </c>
      <c r="K102" s="477"/>
      <c r="L102" s="477">
        <v>-960258.52</v>
      </c>
    </row>
    <row r="103" spans="1:12" ht="14.5">
      <c r="A103" s="491">
        <v>602710</v>
      </c>
      <c r="B103" s="546" t="s">
        <v>779</v>
      </c>
      <c r="C103" s="477"/>
      <c r="D103" s="477">
        <f>VLOOKUP(A103,'CT-TB'!A101:E466,5,FALSE)</f>
        <v>-181022.16</v>
      </c>
      <c r="E103" s="475"/>
      <c r="F103" s="474"/>
      <c r="G103" s="200"/>
      <c r="H103" s="474"/>
      <c r="I103" s="473"/>
      <c r="J103" s="478" t="s">
        <v>779</v>
      </c>
      <c r="K103" s="477"/>
      <c r="L103" s="477">
        <v>-160472.51</v>
      </c>
    </row>
    <row r="104" spans="1:12" ht="14.5">
      <c r="A104" s="491">
        <v>602740</v>
      </c>
      <c r="B104" s="546" t="s">
        <v>780</v>
      </c>
      <c r="C104" s="477"/>
      <c r="D104" s="477">
        <f>VLOOKUP(A104,'CT-TB'!A102:E467,5,FALSE)</f>
        <v>-6131.35</v>
      </c>
      <c r="E104" s="475"/>
      <c r="F104" s="474"/>
      <c r="G104" s="200"/>
      <c r="H104" s="474"/>
      <c r="I104" s="473"/>
      <c r="J104" s="478" t="s">
        <v>780</v>
      </c>
      <c r="K104" s="477"/>
      <c r="L104" s="477">
        <v>-575.16999999999996</v>
      </c>
    </row>
    <row r="105" spans="1:12" ht="14.5">
      <c r="A105" s="491">
        <v>602760</v>
      </c>
      <c r="B105" s="546" t="s">
        <v>781</v>
      </c>
      <c r="C105" s="477"/>
      <c r="D105" s="477">
        <f>VLOOKUP(A105,'CT-TB'!A103:E468,5,FALSE)</f>
        <v>-1763413.43</v>
      </c>
      <c r="E105" s="475"/>
      <c r="F105" s="474"/>
      <c r="G105" s="200"/>
      <c r="H105" s="474"/>
      <c r="I105" s="473"/>
      <c r="J105" s="478" t="s">
        <v>781</v>
      </c>
      <c r="K105" s="477"/>
      <c r="L105" s="477">
        <v>-1680201.51</v>
      </c>
    </row>
    <row r="106" spans="1:12" ht="14.5">
      <c r="A106" s="491">
        <v>602800</v>
      </c>
      <c r="B106" s="546" t="s">
        <v>782</v>
      </c>
      <c r="C106" s="477"/>
      <c r="D106" s="477">
        <f>VLOOKUP(A106,'CT-TB'!A104:E469,5,FALSE)</f>
        <v>-278095.45</v>
      </c>
      <c r="E106" s="475"/>
      <c r="F106" s="474"/>
      <c r="G106" s="200"/>
      <c r="H106" s="474"/>
      <c r="I106" s="473"/>
      <c r="J106" s="478" t="s">
        <v>782</v>
      </c>
      <c r="K106" s="477"/>
      <c r="L106" s="477">
        <v>-264136.8</v>
      </c>
    </row>
    <row r="107" spans="1:12" ht="14.5">
      <c r="A107" s="491">
        <v>603000</v>
      </c>
      <c r="B107" s="546" t="s">
        <v>783</v>
      </c>
      <c r="C107" s="477"/>
      <c r="D107" s="477">
        <f>VLOOKUP(A107,'CT-TB'!A105:E470,5,FALSE)</f>
        <v>-1415099.53</v>
      </c>
      <c r="E107" s="475"/>
      <c r="F107" s="474"/>
      <c r="G107" s="200"/>
      <c r="H107" s="474"/>
      <c r="I107" s="473"/>
      <c r="J107" s="478" t="s">
        <v>783</v>
      </c>
      <c r="K107" s="477"/>
      <c r="L107" s="477">
        <v>-1384211.27</v>
      </c>
    </row>
    <row r="108" spans="1:12" ht="14.5">
      <c r="A108" s="491">
        <v>603001</v>
      </c>
      <c r="B108" s="546" t="s">
        <v>784</v>
      </c>
      <c r="C108" s="477"/>
      <c r="D108" s="477">
        <f>VLOOKUP(A108,'CT-TB'!A106:E471,5,FALSE)</f>
        <v>1930783.64</v>
      </c>
      <c r="E108" s="475"/>
      <c r="F108" s="474"/>
      <c r="G108" s="200"/>
      <c r="H108" s="474"/>
      <c r="I108" s="473"/>
      <c r="J108" s="478" t="s">
        <v>784</v>
      </c>
      <c r="K108" s="477"/>
      <c r="L108" s="477">
        <v>1178178.71</v>
      </c>
    </row>
    <row r="109" spans="1:12" ht="14.5">
      <c r="A109" s="491">
        <v>603500</v>
      </c>
      <c r="B109" s="546" t="s">
        <v>785</v>
      </c>
      <c r="C109" s="477"/>
      <c r="D109" s="477">
        <f>VLOOKUP(A109,'CT-TB'!A107:E472,5,FALSE)</f>
        <v>-62217.8</v>
      </c>
      <c r="E109" s="475"/>
      <c r="F109" s="474"/>
      <c r="G109" s="200"/>
      <c r="H109" s="474"/>
      <c r="I109" s="473"/>
      <c r="J109" s="478" t="s">
        <v>785</v>
      </c>
      <c r="K109" s="477"/>
      <c r="L109" s="477">
        <v>14072.79</v>
      </c>
    </row>
    <row r="110" spans="1:12" ht="14.5">
      <c r="A110" s="491">
        <v>604000</v>
      </c>
      <c r="B110" s="546" t="s">
        <v>786</v>
      </c>
      <c r="C110" s="477"/>
      <c r="D110" s="477">
        <f>VLOOKUP(A110,'CT-TB'!A108:E473,5,FALSE)</f>
        <v>-6503659.0300000003</v>
      </c>
      <c r="E110" s="475"/>
      <c r="F110" s="474"/>
      <c r="G110" s="200"/>
      <c r="H110" s="474"/>
      <c r="I110" s="473"/>
      <c r="J110" s="478" t="s">
        <v>786</v>
      </c>
      <c r="K110" s="477"/>
      <c r="L110" s="477">
        <v>-6717352.29</v>
      </c>
    </row>
    <row r="111" spans="1:12" ht="14.5">
      <c r="A111" s="491">
        <v>604001</v>
      </c>
      <c r="B111" s="546" t="s">
        <v>787</v>
      </c>
      <c r="C111" s="477"/>
      <c r="D111" s="477">
        <f>VLOOKUP(A111,'CT-TB'!A109:E474,5,FALSE)</f>
        <v>52250</v>
      </c>
      <c r="E111" s="475"/>
      <c r="F111" s="474"/>
      <c r="G111" s="200"/>
      <c r="H111" s="474"/>
      <c r="I111" s="473"/>
      <c r="J111" s="478" t="s">
        <v>787</v>
      </c>
      <c r="K111" s="477"/>
      <c r="L111" s="477">
        <v>61750</v>
      </c>
    </row>
    <row r="112" spans="1:12" ht="14.5">
      <c r="A112" s="491">
        <v>604100</v>
      </c>
      <c r="B112" s="546" t="s">
        <v>788</v>
      </c>
      <c r="C112" s="477"/>
      <c r="D112" s="477">
        <f>VLOOKUP(A112,'CT-TB'!A110:E475,5,FALSE)</f>
        <v>-608488.31000000006</v>
      </c>
      <c r="E112" s="475"/>
      <c r="F112" s="474"/>
      <c r="G112" s="200"/>
      <c r="H112" s="474"/>
      <c r="I112" s="473"/>
      <c r="J112" s="478" t="s">
        <v>788</v>
      </c>
      <c r="K112" s="477"/>
      <c r="L112" s="482">
        <v>-589052.37</v>
      </c>
    </row>
    <row r="113" spans="1:12" ht="14.5">
      <c r="A113" s="491"/>
      <c r="B113" s="546"/>
      <c r="C113" s="477"/>
      <c r="D113" s="477"/>
      <c r="E113" s="475"/>
      <c r="F113" s="474"/>
      <c r="G113" s="200"/>
      <c r="H113" s="474"/>
      <c r="I113" s="473"/>
      <c r="J113" s="478" t="s">
        <v>789</v>
      </c>
      <c r="K113" s="477"/>
      <c r="L113" s="477">
        <v>-2132.5100000000002</v>
      </c>
    </row>
    <row r="114" spans="1:12" ht="14.5">
      <c r="A114" s="491">
        <v>608000</v>
      </c>
      <c r="B114" s="546" t="s">
        <v>1429</v>
      </c>
      <c r="C114" s="477"/>
      <c r="D114" s="477">
        <f>VLOOKUP(A114,'CT-TB'!A112:E477,5,FALSE)</f>
        <v>-303173.64</v>
      </c>
      <c r="E114" s="475"/>
      <c r="F114" s="474"/>
      <c r="G114" s="200"/>
      <c r="H114" s="474"/>
      <c r="I114" s="473"/>
      <c r="J114" s="478" t="s">
        <v>790</v>
      </c>
      <c r="K114" s="477"/>
      <c r="L114" s="477">
        <v>-19841.66</v>
      </c>
    </row>
    <row r="115" spans="1:12" ht="14.5">
      <c r="A115" s="491">
        <v>609000</v>
      </c>
      <c r="B115" s="546" t="s">
        <v>791</v>
      </c>
      <c r="C115" s="477"/>
      <c r="D115" s="477">
        <f>VLOOKUP(A115,'CT-TB'!A113:E478,5,FALSE)</f>
        <v>-3423265.81</v>
      </c>
      <c r="E115" s="475"/>
      <c r="F115" s="481"/>
      <c r="G115" s="200"/>
      <c r="H115" s="474"/>
      <c r="I115" s="473"/>
      <c r="J115" s="478" t="s">
        <v>791</v>
      </c>
      <c r="K115" s="477"/>
      <c r="L115" s="482">
        <v>-3500015.05</v>
      </c>
    </row>
    <row r="116" spans="1:12" ht="14.5">
      <c r="A116" s="491">
        <v>609300</v>
      </c>
      <c r="B116" s="546" t="s">
        <v>792</v>
      </c>
      <c r="C116" s="477"/>
      <c r="D116" s="477">
        <f>VLOOKUP(A116,'CT-TB'!A114:E479,5,FALSE)</f>
        <v>-846886.86</v>
      </c>
      <c r="E116" s="475"/>
      <c r="F116" s="481"/>
      <c r="G116" s="200"/>
      <c r="H116" s="474"/>
      <c r="I116" s="473"/>
      <c r="J116" s="478" t="s">
        <v>792</v>
      </c>
      <c r="K116" s="477"/>
      <c r="L116" s="477">
        <v>-924387.17</v>
      </c>
    </row>
    <row r="117" spans="1:12" ht="14.5">
      <c r="A117" s="491">
        <v>609500</v>
      </c>
      <c r="B117" s="546" t="s">
        <v>793</v>
      </c>
      <c r="C117" s="477"/>
      <c r="D117" s="477">
        <f>VLOOKUP(A117,'CT-TB'!A115:E480,5,FALSE)</f>
        <v>-2417033.17</v>
      </c>
      <c r="E117" s="475"/>
      <c r="G117" s="200"/>
      <c r="H117" s="474"/>
      <c r="I117" s="473"/>
      <c r="J117" s="478" t="s">
        <v>793</v>
      </c>
      <c r="K117" s="477"/>
      <c r="L117" s="477">
        <v>-2378942.19</v>
      </c>
    </row>
    <row r="118" spans="1:12" ht="14.5">
      <c r="A118" s="491">
        <v>609600</v>
      </c>
      <c r="B118" s="546" t="s">
        <v>1430</v>
      </c>
      <c r="C118" s="477"/>
      <c r="D118" s="477">
        <f>VLOOKUP(A118,'CT-TB'!A116:E481,5,FALSE)</f>
        <v>-141497.20000000001</v>
      </c>
      <c r="E118" s="475"/>
      <c r="G118" s="200"/>
      <c r="H118" s="474"/>
      <c r="I118" s="473"/>
      <c r="J118" s="478"/>
      <c r="K118" s="477"/>
      <c r="L118" s="477"/>
    </row>
    <row r="119" spans="1:12" ht="14.5">
      <c r="A119" s="491">
        <v>609900</v>
      </c>
      <c r="B119" s="546" t="s">
        <v>794</v>
      </c>
      <c r="C119" s="477"/>
      <c r="D119" s="477">
        <f>VLOOKUP(A119,'CT-TB'!A117:E482,5,FALSE)</f>
        <v>-5944.52</v>
      </c>
      <c r="E119" s="475"/>
      <c r="G119" s="200"/>
      <c r="H119" s="474"/>
      <c r="I119" s="473"/>
      <c r="J119" s="478" t="s">
        <v>794</v>
      </c>
      <c r="K119" s="477"/>
      <c r="L119" s="477">
        <v>-9256.6299999999992</v>
      </c>
    </row>
    <row r="120" spans="1:12" ht="14.5">
      <c r="A120" s="491">
        <v>610000</v>
      </c>
      <c r="B120" s="546" t="s">
        <v>795</v>
      </c>
      <c r="C120" s="477"/>
      <c r="D120" s="477">
        <f>VLOOKUP(A120,'CT-TB'!A118:E483,5,FALSE)</f>
        <v>52167.1</v>
      </c>
      <c r="E120" s="475"/>
      <c r="G120" s="200"/>
      <c r="H120" s="474"/>
      <c r="I120" s="473"/>
      <c r="J120" s="478" t="s">
        <v>795</v>
      </c>
      <c r="K120" s="477"/>
      <c r="L120" s="477">
        <v>-150343.07999999999</v>
      </c>
    </row>
    <row r="121" spans="1:12" ht="14.5">
      <c r="A121" s="491">
        <v>680400</v>
      </c>
      <c r="B121" s="546" t="s">
        <v>796</v>
      </c>
      <c r="C121" s="477"/>
      <c r="D121" s="477">
        <f>VLOOKUP(A121,'CT-TB'!A119:E484,5,FALSE)</f>
        <v>44898.63</v>
      </c>
      <c r="E121" s="475"/>
      <c r="G121" s="200"/>
      <c r="H121" s="474"/>
      <c r="I121" s="473"/>
      <c r="J121" s="478" t="s">
        <v>796</v>
      </c>
      <c r="K121" s="477"/>
      <c r="L121" s="477">
        <v>-240174.52</v>
      </c>
    </row>
    <row r="122" spans="1:12" ht="14.5">
      <c r="A122" s="491">
        <v>701000</v>
      </c>
      <c r="B122" s="546" t="s">
        <v>797</v>
      </c>
      <c r="C122" s="477"/>
      <c r="D122" s="477">
        <f>VLOOKUP(A122,'CT-TB'!A120:E485,5,FALSE)</f>
        <v>-7222837.8200000003</v>
      </c>
      <c r="E122" s="475"/>
      <c r="G122" s="200"/>
      <c r="H122" s="474"/>
      <c r="I122" s="473"/>
      <c r="J122" s="478" t="s">
        <v>797</v>
      </c>
      <c r="K122" s="477"/>
      <c r="L122" s="477">
        <v>-7639557.8399999999</v>
      </c>
    </row>
    <row r="123" spans="1:12" ht="14.5">
      <c r="A123" s="491">
        <v>701010</v>
      </c>
      <c r="B123" s="546" t="s">
        <v>798</v>
      </c>
      <c r="C123" s="477"/>
      <c r="D123" s="477">
        <f>VLOOKUP(A123,'CT-TB'!A121:E486,5,FALSE)</f>
        <v>41808.65</v>
      </c>
      <c r="E123" s="475"/>
      <c r="G123" s="200"/>
      <c r="H123" s="474"/>
      <c r="I123" s="473"/>
      <c r="J123" s="478" t="s">
        <v>798</v>
      </c>
      <c r="K123" s="477"/>
      <c r="L123" s="477">
        <v>158978.35</v>
      </c>
    </row>
    <row r="124" spans="1:12" ht="14.5">
      <c r="A124" s="491">
        <v>701100</v>
      </c>
      <c r="B124" s="546" t="s">
        <v>799</v>
      </c>
      <c r="C124" s="477"/>
      <c r="D124" s="477">
        <f>VLOOKUP(A124,'CT-TB'!A122:E487,5,FALSE)</f>
        <v>-2426613.25</v>
      </c>
      <c r="E124" s="475"/>
      <c r="G124" s="200"/>
      <c r="H124" s="474"/>
      <c r="I124" s="473"/>
      <c r="J124" s="478" t="s">
        <v>799</v>
      </c>
      <c r="K124" s="477"/>
      <c r="L124" s="477">
        <v>-1930877.96</v>
      </c>
    </row>
    <row r="125" spans="1:12" ht="14.5">
      <c r="A125" s="491">
        <v>701300</v>
      </c>
      <c r="B125" s="546" t="s">
        <v>800</v>
      </c>
      <c r="C125" s="477"/>
      <c r="D125" s="477">
        <f>VLOOKUP(A125,'CT-TB'!A123:E488,5,FALSE)</f>
        <v>-40689.5</v>
      </c>
      <c r="E125" s="475"/>
      <c r="G125" s="200"/>
      <c r="H125" s="474"/>
      <c r="I125" s="473"/>
      <c r="J125" s="478" t="s">
        <v>800</v>
      </c>
      <c r="K125" s="477"/>
      <c r="L125" s="477">
        <v>-50987.79</v>
      </c>
    </row>
    <row r="126" spans="1:12" ht="14.5">
      <c r="A126" s="491">
        <v>702000</v>
      </c>
      <c r="B126" s="546" t="s">
        <v>801</v>
      </c>
      <c r="C126" s="477"/>
      <c r="D126" s="477">
        <f>VLOOKUP(A126,'CT-TB'!A124:E489,5,FALSE)</f>
        <v>-826346.86</v>
      </c>
      <c r="E126" s="475"/>
      <c r="G126" s="200"/>
      <c r="H126" s="474"/>
      <c r="I126" s="473"/>
      <c r="J126" s="478" t="s">
        <v>801</v>
      </c>
      <c r="K126" s="477"/>
      <c r="L126" s="477">
        <v>-878494.58</v>
      </c>
    </row>
    <row r="127" spans="1:12" ht="14.5">
      <c r="A127" s="491">
        <v>702100</v>
      </c>
      <c r="B127" s="546" t="s">
        <v>802</v>
      </c>
      <c r="C127" s="477"/>
      <c r="D127" s="477">
        <f>VLOOKUP(A127,'CT-TB'!A125:E490,5,FALSE)</f>
        <v>-166796.1</v>
      </c>
      <c r="E127" s="475"/>
      <c r="G127" s="200"/>
      <c r="H127" s="474"/>
      <c r="I127" s="473"/>
      <c r="J127" s="478" t="s">
        <v>802</v>
      </c>
      <c r="K127" s="477"/>
      <c r="L127" s="477">
        <v>-131065.9</v>
      </c>
    </row>
    <row r="128" spans="1:12" ht="14.5">
      <c r="A128" s="491">
        <v>730100</v>
      </c>
      <c r="B128" s="546" t="s">
        <v>803</v>
      </c>
      <c r="C128" s="477"/>
      <c r="D128" s="477">
        <f>VLOOKUP(A128,'CT-TB'!A126:E491,5,FALSE)</f>
        <v>-354636.23</v>
      </c>
      <c r="E128" s="475"/>
      <c r="G128" s="200"/>
      <c r="H128" s="474"/>
      <c r="I128" s="473"/>
      <c r="J128" s="478" t="s">
        <v>803</v>
      </c>
      <c r="K128" s="477"/>
      <c r="L128" s="482">
        <v>-359965.57</v>
      </c>
    </row>
    <row r="129" spans="1:12" ht="14.5">
      <c r="A129" s="491"/>
      <c r="B129" s="546"/>
      <c r="C129" s="477"/>
      <c r="D129" s="477">
        <v>0</v>
      </c>
      <c r="E129" s="475"/>
      <c r="G129" s="200"/>
      <c r="H129" s="474"/>
      <c r="I129" s="473"/>
      <c r="J129" s="189" t="s">
        <v>1071</v>
      </c>
      <c r="K129" s="477"/>
      <c r="L129" s="477">
        <v>-9.27</v>
      </c>
    </row>
    <row r="130" spans="1:12" ht="14.5">
      <c r="A130" s="491">
        <v>730200</v>
      </c>
      <c r="B130" s="546" t="s">
        <v>804</v>
      </c>
      <c r="C130" s="477"/>
      <c r="D130" s="477">
        <f>VLOOKUP(A130,'CT-TB'!A128:E493,5,FALSE)</f>
        <v>-58310.78</v>
      </c>
      <c r="E130" s="475"/>
      <c r="G130" s="200"/>
      <c r="H130" s="474"/>
      <c r="I130" s="473"/>
      <c r="J130" s="478" t="s">
        <v>804</v>
      </c>
      <c r="K130" s="477"/>
      <c r="L130" s="477">
        <v>-67869.23</v>
      </c>
    </row>
    <row r="131" spans="1:12" ht="14.5">
      <c r="A131" s="491">
        <v>730300</v>
      </c>
      <c r="B131" s="546" t="s">
        <v>805</v>
      </c>
      <c r="C131" s="477"/>
      <c r="D131" s="477">
        <f>VLOOKUP(A131,'CT-TB'!A129:E494,5,FALSE)</f>
        <v>-7432.65</v>
      </c>
      <c r="E131" s="475"/>
      <c r="G131" s="200"/>
      <c r="H131" s="474"/>
      <c r="I131" s="473"/>
      <c r="J131" s="478" t="s">
        <v>805</v>
      </c>
      <c r="K131" s="477"/>
      <c r="L131" s="477">
        <v>-28028.38</v>
      </c>
    </row>
    <row r="132" spans="1:12" ht="14.5">
      <c r="A132" s="491">
        <v>730400</v>
      </c>
      <c r="B132" s="546" t="s">
        <v>807</v>
      </c>
      <c r="C132" s="477"/>
      <c r="D132" s="477">
        <f>VLOOKUP(A132,'CT-TB'!A130:E495,5,FALSE)</f>
        <v>-34.65</v>
      </c>
      <c r="E132" s="475"/>
      <c r="G132" s="200"/>
      <c r="H132" s="474"/>
      <c r="I132" s="473"/>
      <c r="J132" s="189" t="s">
        <v>807</v>
      </c>
      <c r="K132" s="477"/>
      <c r="L132" s="477">
        <v>170.98</v>
      </c>
    </row>
    <row r="133" spans="1:12" ht="14.5">
      <c r="A133" s="491">
        <v>741100</v>
      </c>
      <c r="B133" s="546" t="s">
        <v>806</v>
      </c>
      <c r="C133" s="477"/>
      <c r="D133" s="477">
        <f>VLOOKUP(A133,'CT-TB'!A131:E496,5,FALSE)</f>
        <v>-102852.52</v>
      </c>
      <c r="E133" s="475"/>
      <c r="G133" s="200"/>
      <c r="H133" s="474"/>
      <c r="I133" s="473"/>
      <c r="J133" s="478" t="s">
        <v>806</v>
      </c>
      <c r="K133" s="477"/>
      <c r="L133" s="477">
        <v>-110953.76</v>
      </c>
    </row>
    <row r="134" spans="1:12" ht="14.5">
      <c r="A134" s="491"/>
      <c r="B134" s="546"/>
      <c r="C134" s="477"/>
      <c r="D134" s="477">
        <v>0</v>
      </c>
      <c r="E134" s="475"/>
      <c r="G134" s="200"/>
      <c r="H134" s="474"/>
      <c r="I134" s="473"/>
      <c r="J134" s="478" t="s">
        <v>808</v>
      </c>
      <c r="K134" s="477"/>
      <c r="L134" s="477">
        <v>-3.7</v>
      </c>
    </row>
    <row r="135" spans="1:12" ht="14.5">
      <c r="A135" s="491">
        <v>741200</v>
      </c>
      <c r="B135" s="546" t="s">
        <v>809</v>
      </c>
      <c r="C135" s="477"/>
      <c r="D135" s="477">
        <f>VLOOKUP(A135,'CT-TB'!A133:E498,5,FALSE)</f>
        <v>-5614</v>
      </c>
      <c r="E135" s="475"/>
      <c r="F135" s="481"/>
      <c r="G135" s="200"/>
      <c r="H135" s="474"/>
      <c r="I135" s="473"/>
      <c r="J135" s="478" t="s">
        <v>809</v>
      </c>
      <c r="K135" s="477"/>
      <c r="L135" s="477">
        <v>-3269</v>
      </c>
    </row>
    <row r="136" spans="1:12" ht="14.5">
      <c r="A136" s="491"/>
      <c r="B136" s="546"/>
      <c r="C136" s="477"/>
      <c r="D136" s="477">
        <v>0</v>
      </c>
      <c r="E136" s="475"/>
      <c r="F136" s="481"/>
      <c r="G136" s="200"/>
      <c r="H136" s="474"/>
      <c r="I136" s="473"/>
      <c r="J136" s="478" t="s">
        <v>810</v>
      </c>
      <c r="K136" s="477"/>
      <c r="L136" s="477">
        <v>-128</v>
      </c>
    </row>
    <row r="137" spans="1:12" ht="14.5">
      <c r="A137" s="491">
        <v>741300</v>
      </c>
      <c r="B137" s="546" t="s">
        <v>811</v>
      </c>
      <c r="C137" s="477"/>
      <c r="D137" s="477">
        <f>VLOOKUP(A137,'CT-TB'!A135:E500,5,FALSE)</f>
        <v>-12141.97</v>
      </c>
      <c r="E137" s="475"/>
      <c r="F137" s="483">
        <v>0.5</v>
      </c>
      <c r="G137" s="200"/>
      <c r="H137" s="474"/>
      <c r="I137" s="473"/>
      <c r="J137" s="478" t="s">
        <v>811</v>
      </c>
      <c r="K137" s="477"/>
      <c r="L137" s="477">
        <v>-17133.77</v>
      </c>
    </row>
    <row r="138" spans="1:12" ht="14.5">
      <c r="A138" s="491">
        <v>741400</v>
      </c>
      <c r="B138" s="546" t="s">
        <v>812</v>
      </c>
      <c r="C138" s="477"/>
      <c r="D138" s="477">
        <f>VLOOKUP(A138,'CT-TB'!A136:E501,5,FALSE)</f>
        <v>-42592.97</v>
      </c>
      <c r="E138" s="475"/>
      <c r="F138" s="474">
        <f>D138/1000*0.5</f>
        <v>-21.296485000000001</v>
      </c>
      <c r="G138" s="480" t="s">
        <v>1029</v>
      </c>
      <c r="H138" s="474"/>
      <c r="I138" s="473"/>
      <c r="J138" s="478" t="s">
        <v>812</v>
      </c>
      <c r="K138" s="477"/>
      <c r="L138" s="477">
        <v>-68363.289999999994</v>
      </c>
    </row>
    <row r="139" spans="1:12" ht="14.5">
      <c r="A139" s="491">
        <v>741500</v>
      </c>
      <c r="B139" s="546" t="s">
        <v>813</v>
      </c>
      <c r="C139" s="477"/>
      <c r="D139" s="477">
        <f>VLOOKUP(A139,'CT-TB'!A137:E502,5,FALSE)</f>
        <v>-310.32</v>
      </c>
      <c r="E139" s="475"/>
      <c r="F139" s="481"/>
      <c r="G139" s="200"/>
      <c r="H139" s="474"/>
      <c r="I139" s="473"/>
      <c r="J139" s="478" t="s">
        <v>813</v>
      </c>
      <c r="K139" s="477"/>
      <c r="L139" s="477">
        <v>-269.02</v>
      </c>
    </row>
    <row r="140" spans="1:12" ht="14.5">
      <c r="A140" s="491">
        <v>741550</v>
      </c>
      <c r="B140" s="546" t="s">
        <v>814</v>
      </c>
      <c r="C140" s="477"/>
      <c r="D140" s="477">
        <f>VLOOKUP(A140,'CT-TB'!A138:E503,5,FALSE)</f>
        <v>-40252.080000000002</v>
      </c>
      <c r="E140" s="475"/>
      <c r="G140" s="200"/>
      <c r="H140" s="474"/>
      <c r="I140" s="473"/>
      <c r="J140" s="478" t="s">
        <v>814</v>
      </c>
      <c r="K140" s="477"/>
      <c r="L140" s="477">
        <v>-21157.8</v>
      </c>
    </row>
    <row r="141" spans="1:12" ht="14.5">
      <c r="A141" s="491">
        <v>741600</v>
      </c>
      <c r="B141" s="546" t="s">
        <v>815</v>
      </c>
      <c r="C141" s="477"/>
      <c r="D141" s="477">
        <f>VLOOKUP(A141,'CT-TB'!A139:E504,5,FALSE)</f>
        <v>-9416.66</v>
      </c>
      <c r="E141" s="475"/>
      <c r="G141" s="200"/>
      <c r="H141" s="474"/>
      <c r="I141" s="473"/>
      <c r="J141" s="478" t="s">
        <v>815</v>
      </c>
      <c r="K141" s="477"/>
      <c r="L141" s="477">
        <v>-18283.330000000002</v>
      </c>
    </row>
    <row r="142" spans="1:12" ht="14.5">
      <c r="A142" s="491">
        <v>741700</v>
      </c>
      <c r="B142" s="546" t="s">
        <v>816</v>
      </c>
      <c r="C142" s="477"/>
      <c r="D142" s="477">
        <f>VLOOKUP(A142,'CT-TB'!A140:E505,5,FALSE)</f>
        <v>-251746.42</v>
      </c>
      <c r="E142" s="475"/>
      <c r="G142" s="200"/>
      <c r="H142" s="474"/>
      <c r="I142" s="473"/>
      <c r="J142" s="478" t="s">
        <v>816</v>
      </c>
      <c r="K142" s="477"/>
      <c r="L142" s="477">
        <v>-185984.75</v>
      </c>
    </row>
    <row r="143" spans="1:12" ht="14.5">
      <c r="A143" s="491">
        <v>741800</v>
      </c>
      <c r="B143" s="546" t="s">
        <v>817</v>
      </c>
      <c r="C143" s="477"/>
      <c r="D143" s="477">
        <f>VLOOKUP(A143,'CT-TB'!A141:E506,5,FALSE)</f>
        <v>-132919.95000000001</v>
      </c>
      <c r="E143" s="475"/>
      <c r="G143" s="200"/>
      <c r="H143" s="474"/>
      <c r="I143" s="473"/>
      <c r="J143" s="478" t="s">
        <v>817</v>
      </c>
      <c r="K143" s="477"/>
      <c r="L143" s="477">
        <v>-228585.77</v>
      </c>
    </row>
    <row r="144" spans="1:12" ht="14.5">
      <c r="A144" s="491">
        <v>741810</v>
      </c>
      <c r="B144" s="546" t="s">
        <v>1431</v>
      </c>
      <c r="C144" s="477"/>
      <c r="D144" s="477">
        <f>VLOOKUP(A144,'CT-TB'!A142:E507,5,FALSE)</f>
        <v>-1150.0999999999999</v>
      </c>
      <c r="E144" s="475"/>
      <c r="G144" s="200"/>
      <c r="H144" s="474"/>
      <c r="I144" s="473"/>
      <c r="J144" s="478"/>
      <c r="K144" s="477"/>
      <c r="L144" s="477"/>
    </row>
    <row r="145" spans="1:12" ht="14.5">
      <c r="A145" s="491">
        <v>741850</v>
      </c>
      <c r="B145" s="546" t="s">
        <v>818</v>
      </c>
      <c r="C145" s="477"/>
      <c r="D145" s="477">
        <f>VLOOKUP(A145,'CT-TB'!A143:E508,5,FALSE)</f>
        <v>-2892.11</v>
      </c>
      <c r="E145" s="475"/>
      <c r="G145" s="200"/>
      <c r="H145" s="474"/>
      <c r="I145" s="473"/>
      <c r="J145" s="478" t="s">
        <v>818</v>
      </c>
      <c r="K145" s="477"/>
      <c r="L145" s="477">
        <v>-8827.57</v>
      </c>
    </row>
    <row r="146" spans="1:12" ht="14.5">
      <c r="A146" s="491"/>
      <c r="B146" s="546"/>
      <c r="C146" s="477"/>
      <c r="D146" s="477">
        <v>0</v>
      </c>
      <c r="E146" s="475"/>
      <c r="G146" s="200"/>
      <c r="H146" s="474"/>
      <c r="I146" s="473"/>
      <c r="J146" s="478" t="s">
        <v>819</v>
      </c>
      <c r="K146" s="477"/>
      <c r="L146" s="477">
        <v>-8282.2199999999993</v>
      </c>
    </row>
    <row r="147" spans="1:12" ht="14.5">
      <c r="A147" s="491">
        <v>742000</v>
      </c>
      <c r="B147" s="546" t="s">
        <v>820</v>
      </c>
      <c r="C147" s="477"/>
      <c r="D147" s="477">
        <f>VLOOKUP(A147,'CT-TB'!A145:E510,5,FALSE)</f>
        <v>-27289.96</v>
      </c>
      <c r="E147" s="475"/>
      <c r="G147" s="200"/>
      <c r="H147" s="474"/>
      <c r="I147" s="473"/>
      <c r="J147" s="478" t="s">
        <v>820</v>
      </c>
      <c r="K147" s="477"/>
      <c r="L147" s="477">
        <v>-11296.18</v>
      </c>
    </row>
    <row r="148" spans="1:12" ht="14.5">
      <c r="A148" s="491">
        <v>742100</v>
      </c>
      <c r="B148" s="546" t="s">
        <v>821</v>
      </c>
      <c r="C148" s="477"/>
      <c r="D148" s="477">
        <f>VLOOKUP(A148,'CT-TB'!A146:E511,5,FALSE)</f>
        <v>-1974.69</v>
      </c>
      <c r="E148" s="475"/>
      <c r="G148" s="200"/>
      <c r="H148" s="474"/>
      <c r="I148" s="473"/>
      <c r="J148" s="478" t="s">
        <v>821</v>
      </c>
      <c r="K148" s="477"/>
      <c r="L148" s="477">
        <v>-2210.65</v>
      </c>
    </row>
    <row r="149" spans="1:12" ht="14.5">
      <c r="A149" s="491">
        <v>743000</v>
      </c>
      <c r="B149" s="546" t="s">
        <v>1432</v>
      </c>
      <c r="C149" s="477"/>
      <c r="D149" s="477">
        <f>VLOOKUP(A149,'CT-TB'!A147:E512,5,FALSE)</f>
        <v>-6809.88</v>
      </c>
      <c r="E149" s="475"/>
      <c r="G149" s="200"/>
      <c r="H149" s="474"/>
      <c r="I149" s="473"/>
      <c r="J149" s="478"/>
      <c r="K149" s="477"/>
      <c r="L149" s="477"/>
    </row>
    <row r="150" spans="1:12" ht="14.5">
      <c r="A150" s="491">
        <v>750100</v>
      </c>
      <c r="B150" s="546" t="s">
        <v>822</v>
      </c>
      <c r="C150" s="477"/>
      <c r="D150" s="477">
        <f>VLOOKUP(A150,'CT-TB'!A148:E513,5,FALSE)</f>
        <v>-161340.35</v>
      </c>
      <c r="E150" s="475"/>
      <c r="G150" s="200"/>
      <c r="H150" s="474"/>
      <c r="I150" s="473"/>
      <c r="J150" s="478" t="s">
        <v>822</v>
      </c>
      <c r="K150" s="477"/>
      <c r="L150" s="477">
        <v>-87878.37</v>
      </c>
    </row>
    <row r="151" spans="1:12" ht="14.5">
      <c r="A151" s="491">
        <v>750150</v>
      </c>
      <c r="B151" s="546" t="s">
        <v>1433</v>
      </c>
      <c r="C151" s="477"/>
      <c r="D151" s="477">
        <f>VLOOKUP(A151,'CT-TB'!A149:E514,5,FALSE)</f>
        <v>-13.27</v>
      </c>
      <c r="E151" s="475"/>
      <c r="G151" s="200"/>
      <c r="H151" s="474"/>
      <c r="I151" s="473"/>
      <c r="J151" s="478"/>
      <c r="K151" s="477"/>
      <c r="L151" s="477"/>
    </row>
    <row r="152" spans="1:12" ht="14.5">
      <c r="A152" s="491">
        <v>750200</v>
      </c>
      <c r="B152" s="546" t="s">
        <v>823</v>
      </c>
      <c r="C152" s="477"/>
      <c r="D152" s="477">
        <f>VLOOKUP(A152,'CT-TB'!A150:E515,5,FALSE)</f>
        <v>-10514.78</v>
      </c>
      <c r="E152" s="475"/>
      <c r="G152" s="200"/>
      <c r="H152" s="474"/>
      <c r="I152" s="473"/>
      <c r="J152" s="478" t="s">
        <v>823</v>
      </c>
      <c r="K152" s="477"/>
      <c r="L152" s="477">
        <v>-8697.76</v>
      </c>
    </row>
    <row r="153" spans="1:12" ht="14.5">
      <c r="A153" s="491">
        <v>750300</v>
      </c>
      <c r="B153" s="546" t="s">
        <v>824</v>
      </c>
      <c r="C153" s="477"/>
      <c r="D153" s="477">
        <f>VLOOKUP(A153,'CT-TB'!A151:E516,5,FALSE)</f>
        <v>-12360.55</v>
      </c>
      <c r="E153" s="475"/>
      <c r="G153" s="200"/>
      <c r="H153" s="474"/>
      <c r="I153" s="473"/>
      <c r="J153" s="478" t="s">
        <v>824</v>
      </c>
      <c r="K153" s="477"/>
      <c r="L153" s="477">
        <v>-7813.04</v>
      </c>
    </row>
    <row r="154" spans="1:12" ht="14.5">
      <c r="A154" s="491">
        <v>750400</v>
      </c>
      <c r="B154" s="546" t="s">
        <v>825</v>
      </c>
      <c r="C154" s="477"/>
      <c r="D154" s="477">
        <f>VLOOKUP(A154,'CT-TB'!A152:E517,5,FALSE)</f>
        <v>-25698.3</v>
      </c>
      <c r="E154" s="475"/>
      <c r="G154" s="200"/>
      <c r="H154" s="474"/>
      <c r="I154" s="473"/>
      <c r="J154" s="478" t="s">
        <v>825</v>
      </c>
      <c r="K154" s="477"/>
      <c r="L154" s="477">
        <v>-29213.49</v>
      </c>
    </row>
    <row r="155" spans="1:12" ht="14.5">
      <c r="A155" s="491">
        <v>750425</v>
      </c>
      <c r="B155" s="546" t="s">
        <v>1434</v>
      </c>
      <c r="C155" s="477"/>
      <c r="D155" s="477">
        <f>VLOOKUP(A155,'CT-TB'!A153:E518,5,FALSE)</f>
        <v>-7168.22</v>
      </c>
      <c r="E155" s="475"/>
      <c r="G155" s="200"/>
      <c r="H155" s="474"/>
      <c r="I155" s="473"/>
      <c r="J155" s="478"/>
      <c r="K155" s="477"/>
      <c r="L155" s="477"/>
    </row>
    <row r="156" spans="1:12" ht="14.5">
      <c r="A156" s="491">
        <v>750450</v>
      </c>
      <c r="B156" s="546" t="s">
        <v>826</v>
      </c>
      <c r="C156" s="477"/>
      <c r="D156" s="477">
        <f>VLOOKUP(A156,'CT-TB'!A154:E519,5,FALSE)</f>
        <v>-803.87</v>
      </c>
      <c r="E156" s="475"/>
      <c r="G156" s="200"/>
      <c r="H156" s="474"/>
      <c r="I156" s="473"/>
      <c r="J156" s="478" t="s">
        <v>826</v>
      </c>
      <c r="K156" s="477"/>
      <c r="L156" s="477">
        <v>-2055.37</v>
      </c>
    </row>
    <row r="157" spans="1:12" ht="14.5">
      <c r="A157" s="491">
        <v>750500</v>
      </c>
      <c r="B157" s="546" t="s">
        <v>827</v>
      </c>
      <c r="C157" s="477"/>
      <c r="D157" s="477">
        <f>VLOOKUP(A157,'CT-TB'!A155:E520,5,FALSE)</f>
        <v>-327926.08</v>
      </c>
      <c r="E157" s="475"/>
      <c r="G157" s="200"/>
      <c r="H157" s="474"/>
      <c r="I157" s="473"/>
      <c r="J157" s="478" t="s">
        <v>827</v>
      </c>
      <c r="K157" s="477"/>
      <c r="L157" s="477">
        <v>-242275.91</v>
      </c>
    </row>
    <row r="158" spans="1:12" ht="14.5">
      <c r="A158" s="491">
        <v>750600</v>
      </c>
      <c r="B158" s="546" t="s">
        <v>828</v>
      </c>
      <c r="C158" s="477"/>
      <c r="D158" s="477">
        <f>VLOOKUP(A158,'CT-TB'!A156:E521,5,FALSE)</f>
        <v>-10186.74</v>
      </c>
      <c r="E158" s="475"/>
      <c r="G158" s="200"/>
      <c r="H158" s="474"/>
      <c r="I158" s="473"/>
      <c r="J158" s="478" t="s">
        <v>828</v>
      </c>
      <c r="K158" s="477"/>
      <c r="L158" s="477">
        <v>-15742.73</v>
      </c>
    </row>
    <row r="159" spans="1:12" ht="14.5">
      <c r="A159" s="491">
        <v>750610</v>
      </c>
      <c r="B159" s="546" t="s">
        <v>829</v>
      </c>
      <c r="C159" s="477"/>
      <c r="D159" s="477">
        <f>VLOOKUP(A159,'CT-TB'!A157:E522,5,FALSE)</f>
        <v>-132554.92000000001</v>
      </c>
      <c r="E159" s="475"/>
      <c r="G159" s="200"/>
      <c r="H159" s="474"/>
      <c r="I159" s="473"/>
      <c r="J159" s="478" t="s">
        <v>829</v>
      </c>
      <c r="K159" s="477"/>
      <c r="L159" s="477">
        <v>-156941.92000000001</v>
      </c>
    </row>
    <row r="160" spans="1:12" ht="14.5">
      <c r="A160" s="491">
        <v>750620</v>
      </c>
      <c r="B160" s="546" t="s">
        <v>830</v>
      </c>
      <c r="C160" s="477"/>
      <c r="D160" s="477">
        <f>VLOOKUP(A160,'CT-TB'!A158:E523,5,FALSE)</f>
        <v>-77287.03</v>
      </c>
      <c r="E160" s="475"/>
      <c r="G160" s="200"/>
      <c r="H160" s="474"/>
      <c r="I160" s="473"/>
      <c r="J160" s="478" t="s">
        <v>830</v>
      </c>
      <c r="K160" s="477"/>
      <c r="L160" s="477">
        <v>-103731.91</v>
      </c>
    </row>
    <row r="161" spans="1:12" ht="14.5">
      <c r="A161" s="491">
        <v>750630</v>
      </c>
      <c r="B161" s="546" t="s">
        <v>831</v>
      </c>
      <c r="C161" s="477"/>
      <c r="D161" s="477">
        <f>VLOOKUP(A161,'CT-TB'!A159:E524,5,FALSE)</f>
        <v>-74201.3</v>
      </c>
      <c r="E161" s="475"/>
      <c r="G161" s="200"/>
      <c r="H161" s="474"/>
      <c r="I161" s="473"/>
      <c r="J161" s="478" t="s">
        <v>831</v>
      </c>
      <c r="K161" s="477"/>
      <c r="L161" s="477">
        <v>-62198.37</v>
      </c>
    </row>
    <row r="162" spans="1:12" ht="14.5">
      <c r="A162" s="491">
        <v>750640</v>
      </c>
      <c r="B162" s="546" t="s">
        <v>832</v>
      </c>
      <c r="C162" s="477"/>
      <c r="D162" s="477">
        <f>VLOOKUP(A162,'CT-TB'!A160:E525,5,FALSE)</f>
        <v>-61901.86</v>
      </c>
      <c r="E162" s="475"/>
      <c r="G162" s="200"/>
      <c r="H162" s="474"/>
      <c r="I162" s="473"/>
      <c r="J162" s="478" t="s">
        <v>832</v>
      </c>
      <c r="K162" s="477"/>
      <c r="L162" s="477">
        <v>-69618.880000000005</v>
      </c>
    </row>
    <row r="163" spans="1:12" ht="14.5">
      <c r="A163" s="491">
        <v>750650</v>
      </c>
      <c r="B163" s="546" t="s">
        <v>833</v>
      </c>
      <c r="C163" s="477"/>
      <c r="D163" s="477">
        <f>VLOOKUP(A163,'CT-TB'!A161:E526,5,FALSE)</f>
        <v>-60499.54</v>
      </c>
      <c r="E163" s="475"/>
      <c r="G163" s="200"/>
      <c r="H163" s="474"/>
      <c r="I163" s="473"/>
      <c r="J163" s="478" t="s">
        <v>833</v>
      </c>
      <c r="K163" s="477"/>
      <c r="L163" s="477">
        <v>-70869.08</v>
      </c>
    </row>
    <row r="164" spans="1:12" ht="14.5">
      <c r="A164" s="491">
        <v>750700</v>
      </c>
      <c r="B164" s="546" t="s">
        <v>834</v>
      </c>
      <c r="C164" s="477"/>
      <c r="D164" s="477">
        <f>VLOOKUP(A164,'CT-TB'!A162:E527,5,FALSE)</f>
        <v>-27501.360000000001</v>
      </c>
      <c r="E164" s="475"/>
      <c r="G164" s="200"/>
      <c r="H164" s="474"/>
      <c r="I164" s="473"/>
      <c r="J164" s="478" t="s">
        <v>834</v>
      </c>
      <c r="K164" s="477"/>
      <c r="L164" s="477">
        <v>-39881.4</v>
      </c>
    </row>
    <row r="165" spans="1:12" ht="14.5">
      <c r="A165" s="491">
        <v>750800</v>
      </c>
      <c r="B165" s="546" t="s">
        <v>835</v>
      </c>
      <c r="C165" s="477"/>
      <c r="D165" s="477">
        <f>VLOOKUP(A165,'CT-TB'!A163:E528,5,FALSE)</f>
        <v>-58409.26</v>
      </c>
      <c r="E165" s="475"/>
      <c r="G165" s="200"/>
      <c r="H165" s="474"/>
      <c r="I165" s="473"/>
      <c r="J165" s="478" t="s">
        <v>835</v>
      </c>
      <c r="K165" s="477"/>
      <c r="L165" s="477">
        <v>-55208.97</v>
      </c>
    </row>
    <row r="166" spans="1:12" ht="14.5">
      <c r="A166" s="491">
        <v>750810</v>
      </c>
      <c r="B166" s="546" t="s">
        <v>836</v>
      </c>
      <c r="C166" s="477"/>
      <c r="D166" s="477">
        <f>VLOOKUP(A166,'CT-TB'!A164:E529,5,FALSE)</f>
        <v>-3647.5</v>
      </c>
      <c r="E166" s="475"/>
      <c r="G166" s="200"/>
      <c r="H166" s="474"/>
      <c r="I166" s="473"/>
      <c r="J166" s="478" t="s">
        <v>836</v>
      </c>
      <c r="K166" s="477"/>
      <c r="L166" s="477">
        <v>-6334.62</v>
      </c>
    </row>
    <row r="167" spans="1:12" ht="14.5">
      <c r="A167" s="491">
        <v>750820</v>
      </c>
      <c r="B167" s="546" t="s">
        <v>837</v>
      </c>
      <c r="C167" s="477"/>
      <c r="D167" s="477">
        <f>VLOOKUP(A167,'CT-TB'!A165:E530,5,FALSE)</f>
        <v>-3710</v>
      </c>
      <c r="E167" s="475"/>
      <c r="F167" s="481"/>
      <c r="G167" s="200"/>
      <c r="H167" s="474"/>
      <c r="I167" s="473"/>
      <c r="J167" s="478" t="s">
        <v>837</v>
      </c>
      <c r="K167" s="477"/>
      <c r="L167" s="477">
        <v>-7541</v>
      </c>
    </row>
    <row r="168" spans="1:12" ht="14.5">
      <c r="A168" s="491">
        <v>750900</v>
      </c>
      <c r="B168" s="546" t="s">
        <v>838</v>
      </c>
      <c r="C168" s="477"/>
      <c r="D168" s="477">
        <f>VLOOKUP(A168,'CT-TB'!A166:E531,5,FALSE)</f>
        <v>-654411.63</v>
      </c>
      <c r="E168" s="475"/>
      <c r="G168" s="200"/>
      <c r="H168" s="474"/>
      <c r="I168" s="473"/>
      <c r="J168" s="478" t="s">
        <v>838</v>
      </c>
      <c r="K168" s="477"/>
      <c r="L168" s="477">
        <v>-730601.85</v>
      </c>
    </row>
    <row r="169" spans="1:12" ht="14.5">
      <c r="A169" s="491">
        <v>750950</v>
      </c>
      <c r="B169" s="546" t="s">
        <v>839</v>
      </c>
      <c r="C169" s="477"/>
      <c r="D169" s="477">
        <f>VLOOKUP(A169,'CT-TB'!A167:E532,5,FALSE)</f>
        <v>-212240.65</v>
      </c>
      <c r="E169" s="475"/>
      <c r="G169" s="200"/>
      <c r="H169" s="474"/>
      <c r="I169" s="473"/>
      <c r="J169" s="478" t="s">
        <v>839</v>
      </c>
      <c r="K169" s="477"/>
      <c r="L169" s="477">
        <v>-184766.51</v>
      </c>
    </row>
    <row r="170" spans="1:12" ht="14.5">
      <c r="A170" s="491">
        <v>750960</v>
      </c>
      <c r="B170" s="546" t="s">
        <v>840</v>
      </c>
      <c r="C170" s="477"/>
      <c r="D170" s="477">
        <f>VLOOKUP(A170,'CT-TB'!A168:E533,5,FALSE)</f>
        <v>-99542.26</v>
      </c>
      <c r="E170" s="475"/>
      <c r="F170" s="481"/>
      <c r="G170" s="200"/>
      <c r="H170" s="474"/>
      <c r="I170" s="473"/>
      <c r="J170" s="478" t="s">
        <v>840</v>
      </c>
      <c r="K170" s="477"/>
      <c r="L170" s="477">
        <v>-88666.68</v>
      </c>
    </row>
    <row r="171" spans="1:12" ht="14.5">
      <c r="A171" s="491">
        <v>751000</v>
      </c>
      <c r="B171" s="546" t="s">
        <v>841</v>
      </c>
      <c r="C171" s="477"/>
      <c r="D171" s="477">
        <f>VLOOKUP(A171,'CT-TB'!A169:E534,5,FALSE)</f>
        <v>-51123.6</v>
      </c>
      <c r="E171" s="475"/>
      <c r="F171" s="481"/>
      <c r="G171" s="200"/>
      <c r="H171" s="474"/>
      <c r="I171" s="473"/>
      <c r="J171" s="478" t="s">
        <v>841</v>
      </c>
      <c r="K171" s="477"/>
      <c r="L171" s="477">
        <v>-54866.37</v>
      </c>
    </row>
    <row r="172" spans="1:12" ht="14.5">
      <c r="A172" s="491">
        <v>751100</v>
      </c>
      <c r="B172" s="546" t="s">
        <v>842</v>
      </c>
      <c r="C172" s="477"/>
      <c r="D172" s="477">
        <f>VLOOKUP(A172,'CT-TB'!A170:E535,5,FALSE)</f>
        <v>-215729.23</v>
      </c>
      <c r="E172" s="475"/>
      <c r="F172" s="481"/>
      <c r="G172" s="200"/>
      <c r="H172" s="474"/>
      <c r="I172" s="473"/>
      <c r="J172" s="478" t="s">
        <v>842</v>
      </c>
      <c r="K172" s="477"/>
      <c r="L172" s="477">
        <v>-236894</v>
      </c>
    </row>
    <row r="173" spans="1:12" ht="14.5">
      <c r="A173" s="491">
        <v>751105</v>
      </c>
      <c r="B173" s="546" t="s">
        <v>1435</v>
      </c>
      <c r="C173" s="477"/>
      <c r="D173" s="477">
        <f>VLOOKUP(A173,'CT-TB'!A171:E536,5,FALSE)</f>
        <v>-602.80999999999995</v>
      </c>
      <c r="E173" s="475"/>
      <c r="F173" s="481"/>
      <c r="G173" s="200"/>
      <c r="H173" s="474"/>
      <c r="I173" s="473"/>
      <c r="J173" s="478"/>
      <c r="K173" s="477"/>
      <c r="L173" s="477"/>
    </row>
    <row r="174" spans="1:12" ht="14.5">
      <c r="A174" s="491">
        <v>751106</v>
      </c>
      <c r="B174" s="546" t="s">
        <v>843</v>
      </c>
      <c r="C174" s="477"/>
      <c r="D174" s="477">
        <f>VLOOKUP(A174,'CT-TB'!A172:E537,5,FALSE)</f>
        <v>-15145.44</v>
      </c>
      <c r="E174" s="475"/>
      <c r="F174" s="481"/>
      <c r="G174" s="200"/>
      <c r="H174" s="474"/>
      <c r="I174" s="473"/>
      <c r="J174" s="478" t="s">
        <v>843</v>
      </c>
      <c r="K174" s="477"/>
      <c r="L174" s="477">
        <v>-84072.51</v>
      </c>
    </row>
    <row r="175" spans="1:12" ht="14.5">
      <c r="A175" s="491">
        <v>751107</v>
      </c>
      <c r="B175" s="546" t="s">
        <v>844</v>
      </c>
      <c r="C175" s="477"/>
      <c r="D175" s="477">
        <f>VLOOKUP(A175,'CT-TB'!A173:E538,5,FALSE)</f>
        <v>-35249.949999999997</v>
      </c>
      <c r="E175" s="475"/>
      <c r="F175" s="481"/>
      <c r="G175" s="200"/>
      <c r="H175" s="474"/>
      <c r="I175" s="473"/>
      <c r="J175" s="478" t="s">
        <v>844</v>
      </c>
      <c r="K175" s="477"/>
      <c r="L175" s="477">
        <v>-77031.839999999997</v>
      </c>
    </row>
    <row r="176" spans="1:12" ht="14.5">
      <c r="A176" s="491">
        <v>751110</v>
      </c>
      <c r="B176" s="546" t="s">
        <v>845</v>
      </c>
      <c r="C176" s="477"/>
      <c r="D176" s="477">
        <f>VLOOKUP(A176,'CT-TB'!A174:E539,5,FALSE)</f>
        <v>-38614.19</v>
      </c>
      <c r="E176" s="475"/>
      <c r="F176" s="481"/>
      <c r="G176" s="200"/>
      <c r="H176" s="474"/>
      <c r="I176" s="473"/>
      <c r="J176" s="478" t="s">
        <v>845</v>
      </c>
      <c r="K176" s="477"/>
      <c r="L176" s="477">
        <v>-31549.71</v>
      </c>
    </row>
    <row r="177" spans="1:12" ht="14.5">
      <c r="A177" s="491">
        <v>751200</v>
      </c>
      <c r="B177" s="546" t="s">
        <v>846</v>
      </c>
      <c r="C177" s="477"/>
      <c r="D177" s="477">
        <f>VLOOKUP(A177,'CT-TB'!A175:E540,5,FALSE)</f>
        <v>-47325.43</v>
      </c>
      <c r="E177" s="475"/>
      <c r="F177" s="481"/>
      <c r="G177" s="200"/>
      <c r="H177" s="474"/>
      <c r="I177" s="473"/>
      <c r="J177" s="478" t="s">
        <v>846</v>
      </c>
      <c r="K177" s="477"/>
      <c r="L177" s="477">
        <v>-89290.45</v>
      </c>
    </row>
    <row r="178" spans="1:12" ht="14.5">
      <c r="A178" s="491">
        <v>751210</v>
      </c>
      <c r="B178" s="546" t="s">
        <v>1436</v>
      </c>
      <c r="C178" s="477"/>
      <c r="D178" s="477">
        <f>VLOOKUP(A178,'CT-TB'!A176:E541,5,FALSE)</f>
        <v>-83.2</v>
      </c>
      <c r="E178" s="475"/>
      <c r="F178" s="481"/>
      <c r="G178" s="200"/>
      <c r="H178" s="474"/>
      <c r="I178" s="473"/>
      <c r="J178" s="478"/>
      <c r="K178" s="477"/>
      <c r="L178" s="477"/>
    </row>
    <row r="179" spans="1:12" ht="14.5">
      <c r="A179" s="491">
        <v>751300</v>
      </c>
      <c r="B179" s="546" t="s">
        <v>847</v>
      </c>
      <c r="C179" s="477"/>
      <c r="D179" s="477">
        <f>VLOOKUP(A179,'CT-TB'!A177:E542,5,FALSE)</f>
        <v>-27357.7</v>
      </c>
      <c r="E179" s="475"/>
      <c r="G179" s="200"/>
      <c r="H179" s="474"/>
      <c r="I179" s="473"/>
      <c r="J179" s="478" t="s">
        <v>847</v>
      </c>
      <c r="K179" s="477"/>
      <c r="L179" s="477">
        <v>-442690.79</v>
      </c>
    </row>
    <row r="180" spans="1:12" ht="14.5">
      <c r="A180" s="491">
        <v>751400</v>
      </c>
      <c r="B180" s="546" t="s">
        <v>848</v>
      </c>
      <c r="C180" s="477"/>
      <c r="D180" s="477">
        <f>VLOOKUP(A180,'CT-TB'!A178:E543,5,FALSE)</f>
        <v>-92928.98</v>
      </c>
      <c r="E180" s="475"/>
      <c r="F180" s="481"/>
      <c r="G180" s="200"/>
      <c r="H180" s="474"/>
      <c r="I180" s="473"/>
      <c r="J180" s="478" t="s">
        <v>848</v>
      </c>
      <c r="K180" s="477"/>
      <c r="L180" s="477">
        <v>-627691.81999999995</v>
      </c>
    </row>
    <row r="181" spans="1:12" ht="14.5">
      <c r="A181" s="491">
        <v>751500</v>
      </c>
      <c r="B181" s="546" t="s">
        <v>849</v>
      </c>
      <c r="C181" s="477"/>
      <c r="D181" s="477">
        <f>VLOOKUP(A181,'CT-TB'!A179:E544,5,FALSE)</f>
        <v>-1364287.46</v>
      </c>
      <c r="E181" s="475"/>
      <c r="F181" s="481"/>
      <c r="G181" s="200"/>
      <c r="H181" s="474"/>
      <c r="I181" s="473"/>
      <c r="J181" s="478" t="s">
        <v>849</v>
      </c>
      <c r="K181" s="477"/>
      <c r="L181" s="477">
        <v>-941091.08</v>
      </c>
    </row>
    <row r="182" spans="1:12" ht="14.5">
      <c r="A182" s="491">
        <v>751550</v>
      </c>
      <c r="B182" s="546" t="s">
        <v>850</v>
      </c>
      <c r="C182" s="477"/>
      <c r="D182" s="477">
        <f>VLOOKUP(A182,'CT-TB'!A180:E545,5,FALSE)</f>
        <v>-6044.28</v>
      </c>
      <c r="E182" s="475"/>
      <c r="F182" s="481"/>
      <c r="G182" s="200"/>
      <c r="H182" s="474"/>
      <c r="I182" s="473"/>
      <c r="J182" s="478" t="s">
        <v>850</v>
      </c>
      <c r="K182" s="477"/>
      <c r="L182" s="477">
        <v>-15938.07</v>
      </c>
    </row>
    <row r="183" spans="1:12" ht="14.5">
      <c r="A183" s="491">
        <v>751600</v>
      </c>
      <c r="B183" s="546" t="s">
        <v>851</v>
      </c>
      <c r="C183" s="477"/>
      <c r="D183" s="477">
        <f>VLOOKUP(A183,'CT-TB'!A181:E546,5,FALSE)</f>
        <v>-35206.6</v>
      </c>
      <c r="E183" s="475"/>
      <c r="F183" s="481"/>
      <c r="G183" s="200"/>
      <c r="H183" s="474"/>
      <c r="I183" s="473"/>
      <c r="J183" s="478" t="s">
        <v>851</v>
      </c>
      <c r="K183" s="477"/>
      <c r="L183" s="477">
        <v>-56228.25</v>
      </c>
    </row>
    <row r="184" spans="1:12" ht="14.5">
      <c r="A184" s="491">
        <v>751700</v>
      </c>
      <c r="B184" s="546" t="s">
        <v>852</v>
      </c>
      <c r="C184" s="477"/>
      <c r="D184" s="477">
        <f>VLOOKUP(A184,'CT-TB'!A182:E547,5,FALSE)</f>
        <v>-53595.09</v>
      </c>
      <c r="E184" s="475"/>
      <c r="F184" s="481"/>
      <c r="G184" s="200"/>
      <c r="H184" s="474"/>
      <c r="I184" s="473"/>
      <c r="J184" s="478" t="s">
        <v>852</v>
      </c>
      <c r="K184" s="477"/>
      <c r="L184" s="477">
        <v>-44613.41</v>
      </c>
    </row>
    <row r="185" spans="1:12" ht="14.5">
      <c r="A185" s="491">
        <v>751705</v>
      </c>
      <c r="B185" s="546" t="s">
        <v>853</v>
      </c>
      <c r="C185" s="477"/>
      <c r="D185" s="477">
        <f>VLOOKUP(A185,'CT-TB'!A183:E548,5,FALSE)</f>
        <v>-18113.41</v>
      </c>
      <c r="E185" s="475"/>
      <c r="F185" s="481"/>
      <c r="G185" s="200"/>
      <c r="H185" s="474"/>
      <c r="I185" s="473"/>
      <c r="J185" s="478" t="s">
        <v>853</v>
      </c>
      <c r="K185" s="477"/>
      <c r="L185" s="477">
        <v>-21825.58</v>
      </c>
    </row>
    <row r="186" spans="1:12" ht="14.5">
      <c r="A186" s="491"/>
      <c r="B186" s="546"/>
      <c r="C186" s="477"/>
      <c r="D186" s="477">
        <v>0</v>
      </c>
      <c r="E186" s="475"/>
      <c r="F186" s="481"/>
      <c r="G186" s="200"/>
      <c r="H186" s="474"/>
      <c r="I186" s="473"/>
      <c r="J186" s="478" t="s">
        <v>854</v>
      </c>
      <c r="K186" s="477"/>
      <c r="L186" s="477">
        <v>-26428.69</v>
      </c>
    </row>
    <row r="187" spans="1:12" ht="14.5">
      <c r="A187" s="491">
        <v>751720</v>
      </c>
      <c r="B187" s="546" t="s">
        <v>855</v>
      </c>
      <c r="C187" s="477"/>
      <c r="D187" s="477">
        <f>VLOOKUP(A187,'CT-TB'!A185:E550,5,FALSE)</f>
        <v>-49282.36</v>
      </c>
      <c r="E187" s="475"/>
      <c r="F187" s="481"/>
      <c r="G187" s="200"/>
      <c r="H187" s="474"/>
      <c r="I187" s="473"/>
      <c r="J187" s="478" t="s">
        <v>855</v>
      </c>
      <c r="K187" s="477"/>
      <c r="L187" s="477">
        <v>-29051.79</v>
      </c>
    </row>
    <row r="188" spans="1:12" ht="14.5">
      <c r="A188" s="491">
        <v>751800</v>
      </c>
      <c r="B188" s="546" t="s">
        <v>856</v>
      </c>
      <c r="C188" s="477"/>
      <c r="D188" s="477">
        <f>VLOOKUP(A188,'CT-TB'!A186:E551,5,FALSE)</f>
        <v>-175892.16</v>
      </c>
      <c r="E188" s="475"/>
      <c r="F188" s="481"/>
      <c r="G188" s="200"/>
      <c r="H188" s="474"/>
      <c r="I188" s="473"/>
      <c r="J188" s="478" t="s">
        <v>856</v>
      </c>
      <c r="K188" s="477"/>
      <c r="L188" s="477">
        <v>-117668.79</v>
      </c>
    </row>
    <row r="189" spans="1:12" ht="14.5">
      <c r="A189" s="491">
        <v>751900</v>
      </c>
      <c r="B189" s="546" t="s">
        <v>857</v>
      </c>
      <c r="C189" s="477"/>
      <c r="D189" s="477">
        <f>VLOOKUP(A189,'CT-TB'!A187:E552,5,FALSE)</f>
        <v>-995.02</v>
      </c>
      <c r="E189" s="475"/>
      <c r="F189" s="481"/>
      <c r="G189" s="200"/>
      <c r="H189" s="474"/>
      <c r="I189" s="473"/>
      <c r="J189" s="478" t="s">
        <v>857</v>
      </c>
      <c r="K189" s="477"/>
      <c r="L189" s="477">
        <v>-4147.99</v>
      </c>
    </row>
    <row r="190" spans="1:12" ht="14.5">
      <c r="A190" s="491">
        <v>752000</v>
      </c>
      <c r="B190" s="546" t="s">
        <v>858</v>
      </c>
      <c r="C190" s="477"/>
      <c r="D190" s="477">
        <f>VLOOKUP(A190,'CT-TB'!A188:E553,5,FALSE)</f>
        <v>-259755.58</v>
      </c>
      <c r="E190" s="475"/>
      <c r="F190" s="481"/>
      <c r="G190" s="200"/>
      <c r="H190" s="474"/>
      <c r="I190" s="473"/>
      <c r="J190" s="478" t="s">
        <v>858</v>
      </c>
      <c r="K190" s="477"/>
      <c r="L190" s="477">
        <v>-284142.46000000002</v>
      </c>
    </row>
    <row r="191" spans="1:12" ht="14.5">
      <c r="A191" s="491">
        <v>760100</v>
      </c>
      <c r="B191" s="546" t="s">
        <v>859</v>
      </c>
      <c r="C191" s="477"/>
      <c r="D191" s="477">
        <f>VLOOKUP(A191,'CT-TB'!A189:E554,5,FALSE)</f>
        <v>-1995.72</v>
      </c>
      <c r="E191" s="475"/>
      <c r="F191" s="481"/>
      <c r="G191" s="200"/>
      <c r="H191" s="474"/>
      <c r="I191" s="473"/>
      <c r="J191" s="478" t="s">
        <v>859</v>
      </c>
      <c r="K191" s="477"/>
      <c r="L191" s="477">
        <v>-1296.8900000000001</v>
      </c>
    </row>
    <row r="192" spans="1:12" ht="14.5">
      <c r="A192" s="491">
        <v>760200</v>
      </c>
      <c r="B192" s="546" t="s">
        <v>860</v>
      </c>
      <c r="C192" s="477"/>
      <c r="D192" s="477">
        <f>VLOOKUP(A192,'CT-TB'!A190:E555,5,FALSE)</f>
        <v>74468.19</v>
      </c>
      <c r="E192" s="475"/>
      <c r="F192" s="481"/>
      <c r="G192" s="200"/>
      <c r="H192" s="474"/>
      <c r="I192" s="473"/>
      <c r="J192" s="478" t="s">
        <v>860</v>
      </c>
      <c r="K192" s="477"/>
      <c r="L192" s="477">
        <v>148828.60999999999</v>
      </c>
    </row>
    <row r="193" spans="1:12" ht="14.5">
      <c r="A193" s="491">
        <v>760300</v>
      </c>
      <c r="B193" s="546" t="s">
        <v>861</v>
      </c>
      <c r="C193" s="477"/>
      <c r="D193" s="477">
        <f>VLOOKUP(A193,'CT-TB'!A191:E556,5,FALSE)</f>
        <v>-76972.02</v>
      </c>
      <c r="E193" s="475"/>
      <c r="G193" s="200"/>
      <c r="H193" s="474"/>
      <c r="I193" s="473"/>
      <c r="J193" s="478" t="s">
        <v>861</v>
      </c>
      <c r="K193" s="477"/>
      <c r="L193" s="477">
        <v>-89436.51</v>
      </c>
    </row>
    <row r="194" spans="1:12" ht="14.5">
      <c r="A194" s="491">
        <v>760400</v>
      </c>
      <c r="B194" s="546" t="s">
        <v>862</v>
      </c>
      <c r="C194" s="477"/>
      <c r="D194" s="477">
        <f>VLOOKUP(A194,'CT-TB'!A192:E557,5,FALSE)</f>
        <v>-415597.21</v>
      </c>
      <c r="E194" s="475"/>
      <c r="G194" s="200"/>
      <c r="H194" s="474"/>
      <c r="I194" s="473"/>
      <c r="J194" s="478" t="s">
        <v>862</v>
      </c>
      <c r="K194" s="477"/>
      <c r="L194" s="477">
        <v>-303255.45</v>
      </c>
    </row>
    <row r="195" spans="1:12" ht="14.5">
      <c r="A195" s="491"/>
      <c r="B195" s="546"/>
      <c r="C195" s="477"/>
      <c r="D195" s="477"/>
      <c r="E195" s="475"/>
      <c r="G195" s="200"/>
      <c r="H195" s="474"/>
      <c r="I195" s="473"/>
      <c r="J195" s="478" t="s">
        <v>863</v>
      </c>
      <c r="K195" s="477"/>
      <c r="L195" s="477">
        <v>-3429</v>
      </c>
    </row>
    <row r="196" spans="1:12" ht="14.5">
      <c r="A196" s="491">
        <v>760410</v>
      </c>
      <c r="B196" s="546" t="s">
        <v>864</v>
      </c>
      <c r="C196" s="477"/>
      <c r="D196" s="477">
        <f>VLOOKUP(A196,'CT-TB'!A194:E559,5,FALSE)</f>
        <v>-27789.55</v>
      </c>
      <c r="E196" s="475"/>
      <c r="G196" s="200"/>
      <c r="H196" s="474"/>
      <c r="I196" s="473"/>
      <c r="J196" s="478" t="s">
        <v>864</v>
      </c>
      <c r="K196" s="477"/>
      <c r="L196" s="477">
        <v>-37898.39</v>
      </c>
    </row>
    <row r="197" spans="1:12" ht="14.5">
      <c r="A197" s="491">
        <v>760415</v>
      </c>
      <c r="B197" s="546" t="s">
        <v>1437</v>
      </c>
      <c r="C197" s="477"/>
      <c r="D197" s="477">
        <f>VLOOKUP(A197,'CT-TB'!A195:E560,5,FALSE)</f>
        <v>-52022.28</v>
      </c>
      <c r="E197" s="475"/>
      <c r="G197" s="200"/>
      <c r="H197" s="474"/>
      <c r="I197" s="473"/>
      <c r="J197" s="478" t="s">
        <v>865</v>
      </c>
      <c r="K197" s="477"/>
      <c r="L197" s="477">
        <v>-38977</v>
      </c>
    </row>
    <row r="198" spans="1:12" ht="14.5">
      <c r="A198" s="491">
        <v>760425</v>
      </c>
      <c r="B198" s="546" t="s">
        <v>1072</v>
      </c>
      <c r="C198" s="477"/>
      <c r="D198" s="477">
        <f>VLOOKUP(A198,'CT-TB'!A196:E561,5,FALSE)</f>
        <v>-5392.81</v>
      </c>
      <c r="E198" s="475"/>
      <c r="G198" s="200"/>
      <c r="H198" s="474"/>
      <c r="I198" s="473"/>
      <c r="J198" s="189" t="s">
        <v>1072</v>
      </c>
      <c r="K198" s="477"/>
      <c r="L198" s="477">
        <v>-1051.18</v>
      </c>
    </row>
    <row r="199" spans="1:12" ht="14.5">
      <c r="A199" s="491">
        <v>760450</v>
      </c>
      <c r="B199" s="546" t="s">
        <v>866</v>
      </c>
      <c r="C199" s="477"/>
      <c r="D199" s="477">
        <f>VLOOKUP(A199,'CT-TB'!A197:E562,5,FALSE)</f>
        <v>-849.93</v>
      </c>
      <c r="E199" s="475"/>
      <c r="F199" s="481"/>
      <c r="G199" s="200"/>
      <c r="H199" s="474"/>
      <c r="I199" s="473"/>
      <c r="J199" s="478" t="s">
        <v>866</v>
      </c>
      <c r="K199" s="477"/>
      <c r="L199" s="477">
        <v>6617.77</v>
      </c>
    </row>
    <row r="200" spans="1:12" ht="14.5">
      <c r="A200" s="491">
        <v>760500</v>
      </c>
      <c r="B200" s="546" t="s">
        <v>867</v>
      </c>
      <c r="C200" s="477"/>
      <c r="D200" s="477">
        <f>VLOOKUP(A200,'CT-TB'!A198:E563,5,FALSE)</f>
        <v>409.4</v>
      </c>
      <c r="E200" s="475"/>
      <c r="F200" s="481"/>
      <c r="G200" s="200"/>
      <c r="H200" s="474"/>
      <c r="I200" s="473"/>
      <c r="J200" s="478" t="s">
        <v>867</v>
      </c>
      <c r="K200" s="477"/>
      <c r="L200" s="477">
        <v>-46001.78</v>
      </c>
    </row>
    <row r="201" spans="1:12" ht="14.5">
      <c r="A201" s="491"/>
      <c r="B201" s="546"/>
      <c r="C201" s="477"/>
      <c r="D201" s="477"/>
      <c r="E201" s="475"/>
      <c r="F201" s="481"/>
      <c r="G201" s="200"/>
      <c r="H201" s="474"/>
      <c r="I201" s="473"/>
      <c r="J201" s="478" t="s">
        <v>868</v>
      </c>
      <c r="K201" s="477"/>
      <c r="L201" s="477">
        <v>-72469.58</v>
      </c>
    </row>
    <row r="202" spans="1:12" ht="14.5">
      <c r="A202" s="491">
        <v>760600</v>
      </c>
      <c r="B202" s="546" t="s">
        <v>869</v>
      </c>
      <c r="C202" s="477"/>
      <c r="D202" s="477">
        <f>VLOOKUP(A202,'CT-TB'!A200:E565,5,FALSE)</f>
        <v>-45798.94</v>
      </c>
      <c r="E202" s="475"/>
      <c r="F202" s="481"/>
      <c r="G202" s="200"/>
      <c r="H202" s="474"/>
      <c r="I202" s="473"/>
      <c r="J202" s="478" t="s">
        <v>869</v>
      </c>
      <c r="K202" s="477"/>
      <c r="L202" s="482">
        <v>-22210.59</v>
      </c>
    </row>
    <row r="203" spans="1:12" ht="14.5">
      <c r="A203" s="491">
        <v>760700</v>
      </c>
      <c r="B203" s="546" t="s">
        <v>870</v>
      </c>
      <c r="C203" s="477"/>
      <c r="D203" s="477">
        <f>VLOOKUP(A203,'CT-TB'!A201:E566,5,FALSE)</f>
        <v>-15</v>
      </c>
      <c r="E203" s="475"/>
      <c r="F203" s="481"/>
      <c r="G203" s="200"/>
      <c r="H203" s="474"/>
      <c r="I203" s="473"/>
      <c r="J203" s="478" t="s">
        <v>870</v>
      </c>
      <c r="K203" s="477"/>
      <c r="L203" s="477">
        <v>-32459.18</v>
      </c>
    </row>
    <row r="204" spans="1:12" ht="14.5">
      <c r="A204" s="491">
        <v>760800</v>
      </c>
      <c r="B204" s="546" t="s">
        <v>871</v>
      </c>
      <c r="C204" s="477"/>
      <c r="D204" s="477">
        <f>VLOOKUP(A204,'CT-TB'!A202:E567,5,FALSE)</f>
        <v>-28125</v>
      </c>
      <c r="E204" s="475"/>
      <c r="G204" s="200"/>
      <c r="H204" s="474"/>
      <c r="I204" s="473"/>
      <c r="J204" s="478" t="s">
        <v>871</v>
      </c>
      <c r="K204" s="477"/>
      <c r="L204" s="477">
        <v>-26250</v>
      </c>
    </row>
    <row r="205" spans="1:12" ht="14.5">
      <c r="A205" s="491">
        <v>760900</v>
      </c>
      <c r="B205" s="546" t="s">
        <v>872</v>
      </c>
      <c r="C205" s="477"/>
      <c r="D205" s="477">
        <f>VLOOKUP(A205,'CT-TB'!A203:E568,5,FALSE)</f>
        <v>-184776.88</v>
      </c>
      <c r="E205" s="475"/>
      <c r="G205" s="200"/>
      <c r="H205" s="474"/>
      <c r="I205" s="473"/>
      <c r="J205" s="478" t="s">
        <v>872</v>
      </c>
      <c r="K205" s="477"/>
      <c r="L205" s="482">
        <v>-368177.65</v>
      </c>
    </row>
    <row r="206" spans="1:12" ht="14.5">
      <c r="A206" s="491">
        <v>760925</v>
      </c>
      <c r="B206" s="546" t="s">
        <v>873</v>
      </c>
      <c r="C206" s="477"/>
      <c r="D206" s="477">
        <f>VLOOKUP(A206,'CT-TB'!A204:E569,5,FALSE)</f>
        <v>-118287.03</v>
      </c>
      <c r="E206" s="475"/>
      <c r="G206" s="200"/>
      <c r="H206" s="474"/>
      <c r="I206" s="473"/>
      <c r="J206" s="478" t="s">
        <v>873</v>
      </c>
      <c r="K206" s="477"/>
      <c r="L206" s="477">
        <v>-19105.41</v>
      </c>
    </row>
    <row r="207" spans="1:12" ht="14.5">
      <c r="A207" s="491">
        <v>761100</v>
      </c>
      <c r="B207" s="546" t="s">
        <v>875</v>
      </c>
      <c r="C207" s="477"/>
      <c r="D207" s="477">
        <f>VLOOKUP(A207,'CT-TB'!A205:E570,5,FALSE)</f>
        <v>-19.95</v>
      </c>
      <c r="E207" s="475"/>
      <c r="F207" s="481"/>
      <c r="G207" s="200"/>
      <c r="H207" s="474"/>
      <c r="I207" s="473"/>
      <c r="J207" s="478" t="s">
        <v>875</v>
      </c>
      <c r="K207" s="477"/>
      <c r="L207" s="477">
        <v>-550</v>
      </c>
    </row>
    <row r="208" spans="1:12" ht="14.5">
      <c r="A208" s="491">
        <v>761200</v>
      </c>
      <c r="B208" s="546" t="s">
        <v>874</v>
      </c>
      <c r="C208" s="477"/>
      <c r="D208" s="477">
        <f>VLOOKUP(A208,'CT-TB'!A206:E571,5,FALSE)</f>
        <v>-15716.05</v>
      </c>
      <c r="E208" s="475"/>
      <c r="F208" s="481"/>
      <c r="G208" s="200"/>
      <c r="H208" s="474"/>
      <c r="I208" s="473"/>
      <c r="J208" s="478" t="s">
        <v>874</v>
      </c>
      <c r="K208" s="477"/>
      <c r="L208" s="477">
        <v>-6400</v>
      </c>
    </row>
    <row r="209" spans="1:12" ht="14.5">
      <c r="A209" s="491">
        <v>761400</v>
      </c>
      <c r="B209" s="546" t="s">
        <v>876</v>
      </c>
      <c r="C209" s="477"/>
      <c r="D209" s="477">
        <f>VLOOKUP(A209,'CT-TB'!A207:E572,5,FALSE)</f>
        <v>-3695.42</v>
      </c>
      <c r="E209" s="475"/>
      <c r="G209" s="200"/>
      <c r="H209" s="474"/>
      <c r="I209" s="473"/>
      <c r="J209" s="478" t="s">
        <v>876</v>
      </c>
      <c r="K209" s="477"/>
      <c r="L209" s="477">
        <v>-22853.3</v>
      </c>
    </row>
    <row r="210" spans="1:12" ht="14.5">
      <c r="A210" s="491">
        <v>770000</v>
      </c>
      <c r="B210" s="546" t="s">
        <v>877</v>
      </c>
      <c r="C210" s="477"/>
      <c r="D210" s="477">
        <f>VLOOKUP(A210,'CT-TB'!A208:E573,5,FALSE)</f>
        <v>-447351.1</v>
      </c>
      <c r="E210" s="475"/>
      <c r="G210" s="200"/>
      <c r="H210" s="474"/>
      <c r="I210" s="473"/>
      <c r="J210" s="478" t="s">
        <v>877</v>
      </c>
      <c r="K210" s="477"/>
      <c r="L210" s="477">
        <v>-386751.3</v>
      </c>
    </row>
    <row r="211" spans="1:12" ht="14.5">
      <c r="A211" s="491">
        <v>771000</v>
      </c>
      <c r="B211" s="546" t="s">
        <v>878</v>
      </c>
      <c r="C211" s="477"/>
      <c r="D211" s="477">
        <f>VLOOKUP(A211,'CT-TB'!A209:E574,5,FALSE)</f>
        <v>-43256.160000000003</v>
      </c>
      <c r="E211" s="475"/>
      <c r="G211" s="200"/>
      <c r="H211" s="474"/>
      <c r="I211" s="473"/>
      <c r="J211" s="478" t="s">
        <v>878</v>
      </c>
      <c r="K211" s="477"/>
      <c r="L211" s="477">
        <v>-45158.09</v>
      </c>
    </row>
    <row r="212" spans="1:12" ht="14.5">
      <c r="A212" s="491">
        <v>772000</v>
      </c>
      <c r="B212" s="546" t="s">
        <v>879</v>
      </c>
      <c r="C212" s="477"/>
      <c r="D212" s="477">
        <f>VLOOKUP(A212,'CT-TB'!A210:E575,5,FALSE)</f>
        <v>-133685.85999999999</v>
      </c>
      <c r="E212" s="475"/>
      <c r="F212" s="481"/>
      <c r="G212" s="200"/>
      <c r="H212" s="474"/>
      <c r="I212" s="473"/>
      <c r="J212" s="478" t="s">
        <v>879</v>
      </c>
      <c r="K212" s="477"/>
      <c r="L212" s="477">
        <v>-130387.98</v>
      </c>
    </row>
    <row r="213" spans="1:12" ht="14.5">
      <c r="A213" s="491">
        <v>773000</v>
      </c>
      <c r="B213" s="546" t="s">
        <v>880</v>
      </c>
      <c r="C213" s="477"/>
      <c r="D213" s="477">
        <f>VLOOKUP(A213,'CT-TB'!A211:E576,5,FALSE)</f>
        <v>-8989.5300000000007</v>
      </c>
      <c r="E213" s="475"/>
      <c r="F213" s="481"/>
      <c r="G213" s="200"/>
      <c r="H213" s="474"/>
      <c r="I213" s="473"/>
      <c r="J213" s="478" t="s">
        <v>880</v>
      </c>
      <c r="K213" s="477"/>
      <c r="L213" s="477">
        <v>-1064.17</v>
      </c>
    </row>
    <row r="214" spans="1:12" ht="14.5">
      <c r="A214" s="491">
        <v>774000</v>
      </c>
      <c r="B214" s="546" t="s">
        <v>881</v>
      </c>
      <c r="C214" s="477"/>
      <c r="D214" s="477">
        <f>VLOOKUP(A214,'CT-TB'!A212:E577,5,FALSE)</f>
        <v>-1240932.8999999999</v>
      </c>
      <c r="E214" s="475"/>
      <c r="F214" s="481"/>
      <c r="G214" s="200"/>
      <c r="H214" s="474"/>
      <c r="I214" s="473"/>
      <c r="J214" s="478" t="s">
        <v>881</v>
      </c>
      <c r="K214" s="477"/>
      <c r="L214" s="477">
        <v>-1210408.3799999999</v>
      </c>
    </row>
    <row r="215" spans="1:12" ht="14.5">
      <c r="A215" s="491">
        <v>775000</v>
      </c>
      <c r="B215" s="546" t="s">
        <v>882</v>
      </c>
      <c r="C215" s="477"/>
      <c r="D215" s="477">
        <f>VLOOKUP(A215,'CT-TB'!A213:E578,5,FALSE)</f>
        <v>-490369.91</v>
      </c>
      <c r="E215" s="475"/>
      <c r="F215" s="481"/>
      <c r="G215" s="200"/>
      <c r="H215" s="474"/>
      <c r="I215" s="473"/>
      <c r="J215" s="478" t="s">
        <v>882</v>
      </c>
      <c r="K215" s="477"/>
      <c r="L215" s="477">
        <v>-444987.46</v>
      </c>
    </row>
    <row r="216" spans="1:12" ht="14.5">
      <c r="A216" s="491">
        <v>776000</v>
      </c>
      <c r="B216" s="546" t="s">
        <v>883</v>
      </c>
      <c r="C216" s="477"/>
      <c r="D216" s="477">
        <f>VLOOKUP(A216,'CT-TB'!A214:E579,5,FALSE)</f>
        <v>-28049.58</v>
      </c>
      <c r="E216" s="475"/>
      <c r="F216" s="481"/>
      <c r="G216" s="200"/>
      <c r="H216" s="474"/>
      <c r="I216" s="473"/>
      <c r="J216" s="478" t="s">
        <v>883</v>
      </c>
      <c r="K216" s="477"/>
      <c r="L216" s="477">
        <v>-27211.37</v>
      </c>
    </row>
    <row r="217" spans="1:12" ht="14.5">
      <c r="A217" s="491">
        <v>780000</v>
      </c>
      <c r="B217" s="546" t="s">
        <v>884</v>
      </c>
      <c r="C217" s="477"/>
      <c r="D217" s="477">
        <f>VLOOKUP(A217,'CT-TB'!A215:E580,5,FALSE)</f>
        <v>-462779.83</v>
      </c>
      <c r="E217" s="475"/>
      <c r="F217" s="481"/>
      <c r="G217" s="200"/>
      <c r="H217" s="474"/>
      <c r="I217" s="473"/>
      <c r="J217" s="478" t="s">
        <v>884</v>
      </c>
      <c r="K217" s="477"/>
      <c r="L217" s="477">
        <v>-431933.46</v>
      </c>
    </row>
    <row r="218" spans="1:12" ht="14.5">
      <c r="A218" s="491">
        <v>780100</v>
      </c>
      <c r="B218" s="546" t="s">
        <v>885</v>
      </c>
      <c r="C218" s="477"/>
      <c r="D218" s="477">
        <f>VLOOKUP(A218,'CT-TB'!A216:E581,5,FALSE)</f>
        <v>-362470.67</v>
      </c>
      <c r="E218" s="475"/>
      <c r="F218" s="481"/>
      <c r="G218" s="200"/>
      <c r="H218" s="474"/>
      <c r="I218" s="473"/>
      <c r="J218" s="478" t="s">
        <v>885</v>
      </c>
      <c r="K218" s="477"/>
      <c r="L218" s="477">
        <v>-306255.48</v>
      </c>
    </row>
    <row r="219" spans="1:12" ht="14.5">
      <c r="A219" s="491">
        <v>780200</v>
      </c>
      <c r="B219" s="546" t="s">
        <v>886</v>
      </c>
      <c r="C219" s="477"/>
      <c r="D219" s="477">
        <f>VLOOKUP(A219,'CT-TB'!A217:E582,5,FALSE)</f>
        <v>-25310.6</v>
      </c>
      <c r="E219" s="475"/>
      <c r="F219" s="481"/>
      <c r="G219" s="200"/>
      <c r="H219" s="474"/>
      <c r="I219" s="473"/>
      <c r="J219" s="478" t="s">
        <v>886</v>
      </c>
      <c r="K219" s="477"/>
      <c r="L219" s="477">
        <v>-28013.22</v>
      </c>
    </row>
    <row r="220" spans="1:12" ht="14.5">
      <c r="A220" s="491">
        <v>780300</v>
      </c>
      <c r="B220" s="546" t="s">
        <v>887</v>
      </c>
      <c r="C220" s="477"/>
      <c r="D220" s="477">
        <f>VLOOKUP(A220,'CT-TB'!A218:E583,5,FALSE)</f>
        <v>-229967.96</v>
      </c>
      <c r="E220" s="475"/>
      <c r="F220" s="474"/>
      <c r="G220" s="200"/>
      <c r="H220" s="474"/>
      <c r="I220" s="473"/>
      <c r="J220" s="478" t="s">
        <v>887</v>
      </c>
      <c r="K220" s="477"/>
      <c r="L220" s="477">
        <v>-221089.98</v>
      </c>
    </row>
    <row r="221" spans="1:12" ht="14.5">
      <c r="A221" s="491"/>
      <c r="B221" s="546"/>
      <c r="C221" s="477"/>
      <c r="D221" s="477"/>
      <c r="E221" s="475"/>
      <c r="F221" s="474"/>
      <c r="G221" s="200"/>
      <c r="H221" s="474"/>
      <c r="I221" s="473"/>
      <c r="J221" s="478" t="s">
        <v>888</v>
      </c>
      <c r="K221" s="477"/>
      <c r="L221" s="477">
        <v>-7499.61</v>
      </c>
    </row>
    <row r="222" spans="1:12" ht="14.5">
      <c r="A222" s="491">
        <v>790500</v>
      </c>
      <c r="B222" s="546" t="s">
        <v>889</v>
      </c>
      <c r="C222" s="477"/>
      <c r="D222" s="477">
        <f>VLOOKUP(A222,'CT-TB'!A220:E585,5,FALSE)</f>
        <v>-1890928.55</v>
      </c>
      <c r="E222" s="475"/>
      <c r="F222" s="474"/>
      <c r="G222" s="200"/>
      <c r="H222" s="474"/>
      <c r="I222" s="473"/>
      <c r="J222" s="478" t="s">
        <v>889</v>
      </c>
      <c r="K222" s="477"/>
      <c r="L222" s="482">
        <v>-2128429.2400000002</v>
      </c>
    </row>
    <row r="223" spans="1:12" ht="14.5">
      <c r="A223" s="491">
        <v>790510</v>
      </c>
      <c r="B223" s="546" t="s">
        <v>890</v>
      </c>
      <c r="C223" s="477"/>
      <c r="D223" s="477">
        <f>VLOOKUP(A223,'CT-TB'!A221:E586,5,FALSE)</f>
        <v>-527105.64</v>
      </c>
      <c r="E223" s="475"/>
      <c r="F223" s="474"/>
      <c r="G223" s="200"/>
      <c r="H223" s="474"/>
      <c r="I223" s="473"/>
      <c r="J223" s="478" t="s">
        <v>890</v>
      </c>
      <c r="K223" s="477"/>
      <c r="L223" s="482">
        <v>653053.36</v>
      </c>
    </row>
    <row r="224" spans="1:12" ht="14.5">
      <c r="A224" s="491">
        <v>790520</v>
      </c>
      <c r="B224" s="546" t="s">
        <v>891</v>
      </c>
      <c r="C224" s="477"/>
      <c r="D224" s="477">
        <f>VLOOKUP(A224,'CT-TB'!A222:E587,5,FALSE)</f>
        <v>-1742238.52</v>
      </c>
      <c r="E224" s="475"/>
      <c r="F224" s="474"/>
      <c r="G224" s="200"/>
      <c r="H224" s="474"/>
      <c r="I224" s="473"/>
      <c r="J224" s="478" t="s">
        <v>891</v>
      </c>
      <c r="K224" s="477"/>
      <c r="L224" s="482">
        <v>-1087146.57</v>
      </c>
    </row>
    <row r="225" spans="1:12" ht="14.5">
      <c r="A225" s="491">
        <v>810000</v>
      </c>
      <c r="B225" s="546" t="s">
        <v>892</v>
      </c>
      <c r="C225" s="477"/>
      <c r="D225" s="477">
        <f>VLOOKUP(A225,'CT-TB'!A223:E588,5,FALSE)</f>
        <v>-5961990.4400000004</v>
      </c>
      <c r="E225" s="475"/>
      <c r="F225" s="481"/>
      <c r="G225" s="200"/>
      <c r="H225" s="474"/>
      <c r="I225" s="473"/>
      <c r="J225" s="478" t="s">
        <v>892</v>
      </c>
      <c r="K225" s="477"/>
      <c r="L225" s="482">
        <v>-5034731.29</v>
      </c>
    </row>
    <row r="226" spans="1:12" ht="14.5">
      <c r="A226" s="491">
        <v>810200</v>
      </c>
      <c r="B226" s="546" t="s">
        <v>893</v>
      </c>
      <c r="C226" s="477"/>
      <c r="D226" s="477">
        <f>VLOOKUP(A226,'CT-TB'!A224:E589,5,FALSE)</f>
        <v>-187700.83</v>
      </c>
      <c r="E226" s="475"/>
      <c r="F226" s="481"/>
      <c r="G226" s="200"/>
      <c r="H226" s="474"/>
      <c r="I226" s="473"/>
      <c r="J226" s="478" t="s">
        <v>893</v>
      </c>
      <c r="K226" s="477"/>
      <c r="L226" s="482">
        <v>-268061.02</v>
      </c>
    </row>
    <row r="227" spans="1:12" ht="14.5">
      <c r="A227" s="491">
        <v>810300</v>
      </c>
      <c r="B227" s="546" t="s">
        <v>894</v>
      </c>
      <c r="C227" s="477"/>
      <c r="D227" s="477">
        <f>VLOOKUP(A227,'CT-TB'!A225:E590,5,FALSE)</f>
        <v>7724.28</v>
      </c>
      <c r="E227" s="475"/>
      <c r="F227" s="481"/>
      <c r="G227" s="200"/>
      <c r="H227" s="474"/>
      <c r="I227" s="473"/>
      <c r="J227" s="478" t="s">
        <v>894</v>
      </c>
      <c r="K227" s="477"/>
      <c r="L227" s="482">
        <v>-213187.38</v>
      </c>
    </row>
    <row r="228" spans="1:12" ht="14.5">
      <c r="A228" s="491"/>
      <c r="B228" s="546"/>
      <c r="C228" s="477"/>
      <c r="D228" s="477"/>
      <c r="E228" s="475"/>
      <c r="F228" s="481"/>
      <c r="G228" s="200"/>
      <c r="H228" s="474"/>
      <c r="I228" s="473"/>
      <c r="J228" s="478" t="s">
        <v>895</v>
      </c>
      <c r="K228" s="477"/>
      <c r="L228" s="477">
        <v>-125.27</v>
      </c>
    </row>
    <row r="229" spans="1:12" ht="14.5">
      <c r="A229" s="491">
        <v>810500</v>
      </c>
      <c r="B229" s="546" t="s">
        <v>896</v>
      </c>
      <c r="C229" s="477"/>
      <c r="D229" s="477">
        <f>VLOOKUP(A229,'CT-TB'!A227:E592,5,FALSE)</f>
        <v>-1295928.24</v>
      </c>
      <c r="E229" s="475"/>
      <c r="F229" s="481"/>
      <c r="G229" s="200"/>
      <c r="H229" s="474"/>
      <c r="I229" s="473"/>
      <c r="J229" s="478" t="s">
        <v>896</v>
      </c>
      <c r="K229" s="477"/>
      <c r="L229" s="482">
        <v>-1217042.3899999999</v>
      </c>
    </row>
    <row r="230" spans="1:12" ht="14.5">
      <c r="A230" s="491">
        <v>810600</v>
      </c>
      <c r="B230" s="546" t="s">
        <v>897</v>
      </c>
      <c r="C230" s="477"/>
      <c r="D230" s="477">
        <f>VLOOKUP(A230,'CT-TB'!A228:E593,5,FALSE)</f>
        <v>-99366.41</v>
      </c>
      <c r="E230" s="475"/>
      <c r="F230" s="481"/>
      <c r="G230" s="200"/>
      <c r="H230" s="474"/>
      <c r="I230" s="473"/>
      <c r="J230" s="478" t="s">
        <v>897</v>
      </c>
      <c r="K230" s="477"/>
      <c r="L230" s="482">
        <v>-107330.91</v>
      </c>
    </row>
    <row r="231" spans="1:12" ht="14.5">
      <c r="A231" s="491">
        <v>810700</v>
      </c>
      <c r="B231" s="546" t="s">
        <v>898</v>
      </c>
      <c r="C231" s="477"/>
      <c r="D231" s="477">
        <f>VLOOKUP(A231,'CT-TB'!A229:E594,5,FALSE)</f>
        <v>19283.86</v>
      </c>
      <c r="E231" s="475"/>
      <c r="F231" s="481"/>
      <c r="G231" s="200"/>
      <c r="H231" s="474"/>
      <c r="I231" s="473"/>
      <c r="J231" s="478" t="s">
        <v>898</v>
      </c>
      <c r="K231" s="477"/>
      <c r="L231" s="482">
        <v>-47574.66</v>
      </c>
    </row>
    <row r="232" spans="1:12" ht="14.5">
      <c r="A232" s="491">
        <v>810900</v>
      </c>
      <c r="B232" s="546" t="s">
        <v>1438</v>
      </c>
      <c r="C232" s="477"/>
      <c r="D232" s="477">
        <f>VLOOKUP(A232,'CT-TB'!A230:E595,5,FALSE)</f>
        <v>-12734.79</v>
      </c>
      <c r="E232" s="475"/>
      <c r="F232" s="481"/>
      <c r="G232" s="200"/>
      <c r="H232" s="474"/>
      <c r="I232" s="473"/>
      <c r="J232" s="478"/>
      <c r="K232" s="477"/>
      <c r="L232" s="482"/>
    </row>
    <row r="233" spans="1:12" ht="14.5">
      <c r="A233" s="491">
        <v>810950</v>
      </c>
      <c r="B233" s="546" t="s">
        <v>899</v>
      </c>
      <c r="C233" s="477"/>
      <c r="D233" s="477">
        <f>VLOOKUP(A233,'CT-TB'!A231:E596,5,FALSE)</f>
        <v>7113.66</v>
      </c>
      <c r="E233" s="475"/>
      <c r="F233" s="481"/>
      <c r="G233" s="200"/>
      <c r="H233" s="474"/>
      <c r="I233" s="473"/>
      <c r="J233" s="478" t="s">
        <v>899</v>
      </c>
      <c r="K233" s="477"/>
      <c r="L233" s="482">
        <v>28353.39</v>
      </c>
    </row>
    <row r="234" spans="1:12" ht="14.5">
      <c r="A234" s="491">
        <v>810960</v>
      </c>
      <c r="B234" s="546" t="s">
        <v>900</v>
      </c>
      <c r="C234" s="477"/>
      <c r="D234" s="477">
        <f>VLOOKUP(A234,'CT-TB'!A232:E597,5,FALSE)</f>
        <v>-49985.91</v>
      </c>
      <c r="E234" s="475"/>
      <c r="F234" s="481"/>
      <c r="G234" s="200"/>
      <c r="H234" s="474"/>
      <c r="I234" s="473"/>
      <c r="J234" s="478" t="s">
        <v>900</v>
      </c>
      <c r="K234" s="477"/>
      <c r="L234" s="482">
        <v>-61236.53</v>
      </c>
    </row>
    <row r="235" spans="1:12" ht="14.5">
      <c r="A235" s="491">
        <v>811100</v>
      </c>
      <c r="B235" s="546" t="s">
        <v>901</v>
      </c>
      <c r="C235" s="477"/>
      <c r="D235" s="477">
        <f>VLOOKUP(A235,'CT-TB'!A233:E598,5,FALSE)</f>
        <v>-328739.05</v>
      </c>
      <c r="E235" s="475"/>
      <c r="F235" s="481"/>
      <c r="G235" s="200"/>
      <c r="H235" s="474"/>
      <c r="I235" s="473"/>
      <c r="J235" s="478" t="s">
        <v>901</v>
      </c>
      <c r="K235" s="477"/>
      <c r="L235" s="482">
        <v>-397748.93</v>
      </c>
    </row>
    <row r="236" spans="1:12" ht="14.5">
      <c r="A236" s="491">
        <v>811200</v>
      </c>
      <c r="B236" s="546" t="s">
        <v>902</v>
      </c>
      <c r="C236" s="477"/>
      <c r="D236" s="477">
        <f>VLOOKUP(A236,'CT-TB'!A234:E599,5,FALSE)</f>
        <v>-262110.92</v>
      </c>
      <c r="E236" s="475"/>
      <c r="F236" s="481"/>
      <c r="G236" s="200"/>
      <c r="H236" s="474"/>
      <c r="I236" s="473"/>
      <c r="J236" s="478" t="s">
        <v>902</v>
      </c>
      <c r="K236" s="477"/>
      <c r="L236" s="477">
        <v>-251694.07</v>
      </c>
    </row>
    <row r="237" spans="1:12" ht="14.5">
      <c r="A237" s="491">
        <v>811300</v>
      </c>
      <c r="B237" s="546" t="s">
        <v>1439</v>
      </c>
      <c r="C237" s="477"/>
      <c r="D237" s="477">
        <f>VLOOKUP(A237,'CT-TB'!A235:E600,5,FALSE)</f>
        <v>-201318.54</v>
      </c>
      <c r="E237" s="475"/>
      <c r="F237" s="481"/>
      <c r="G237" s="200"/>
      <c r="H237" s="474"/>
      <c r="I237" s="473"/>
      <c r="J237" s="478" t="s">
        <v>903</v>
      </c>
      <c r="K237" s="477"/>
      <c r="L237" s="477">
        <v>-1781.25</v>
      </c>
    </row>
    <row r="238" spans="1:12" ht="14.5">
      <c r="A238" s="491">
        <v>811350</v>
      </c>
      <c r="B238" s="546" t="s">
        <v>904</v>
      </c>
      <c r="C238" s="477"/>
      <c r="D238" s="477">
        <f>VLOOKUP(A238,'CT-TB'!A236:E601,5,FALSE)</f>
        <v>-54839.17</v>
      </c>
      <c r="E238" s="475"/>
      <c r="F238" s="481"/>
      <c r="G238" s="200"/>
      <c r="H238" s="474"/>
      <c r="I238" s="473"/>
      <c r="J238" s="478" t="s">
        <v>904</v>
      </c>
      <c r="K238" s="477"/>
      <c r="L238" s="482">
        <v>-161922.53</v>
      </c>
    </row>
    <row r="239" spans="1:12" ht="14.5">
      <c r="A239" s="491">
        <v>811400</v>
      </c>
      <c r="B239" s="546" t="s">
        <v>905</v>
      </c>
      <c r="C239" s="477"/>
      <c r="D239" s="477">
        <f>VLOOKUP(A239,'CT-TB'!A237:E602,5,FALSE)</f>
        <v>-564000</v>
      </c>
      <c r="E239" s="475"/>
      <c r="F239" s="481"/>
      <c r="G239" s="200"/>
      <c r="H239" s="474"/>
      <c r="I239" s="473"/>
      <c r="J239" s="478" t="s">
        <v>905</v>
      </c>
      <c r="K239" s="477"/>
      <c r="L239" s="477">
        <v>-564000</v>
      </c>
    </row>
    <row r="240" spans="1:12" ht="14.5">
      <c r="A240" s="491">
        <v>811800</v>
      </c>
      <c r="B240" s="546" t="s">
        <v>906</v>
      </c>
      <c r="C240" s="477"/>
      <c r="D240" s="477">
        <f>VLOOKUP(A240,'CT-TB'!A238:E603,5,FALSE)</f>
        <v>-470716.44</v>
      </c>
      <c r="E240" s="475"/>
      <c r="F240" s="481"/>
      <c r="G240" s="200"/>
      <c r="H240" s="474"/>
      <c r="I240" s="473"/>
      <c r="J240" s="478" t="s">
        <v>906</v>
      </c>
      <c r="K240" s="477"/>
      <c r="L240" s="482">
        <v>-449292.98</v>
      </c>
    </row>
    <row r="241" spans="1:12" ht="14.5">
      <c r="A241" s="491">
        <v>811900</v>
      </c>
      <c r="B241" s="546" t="s">
        <v>907</v>
      </c>
      <c r="C241" s="477"/>
      <c r="D241" s="477">
        <f>VLOOKUP(A241,'CT-TB'!A239:E604,5,FALSE)</f>
        <v>-1435.62</v>
      </c>
      <c r="E241" s="475"/>
      <c r="F241" s="481"/>
      <c r="G241" s="200"/>
      <c r="H241" s="474"/>
      <c r="I241" s="473"/>
      <c r="J241" s="478" t="s">
        <v>907</v>
      </c>
      <c r="K241" s="477"/>
      <c r="L241" s="477">
        <v>-9720.24</v>
      </c>
    </row>
    <row r="242" spans="1:12" ht="14.5">
      <c r="A242" s="491"/>
      <c r="B242" s="546"/>
      <c r="C242" s="477"/>
      <c r="D242" s="477"/>
      <c r="E242" s="475"/>
      <c r="F242" s="481"/>
      <c r="G242" s="200"/>
      <c r="H242" s="474"/>
      <c r="I242" s="473"/>
      <c r="J242" s="478" t="s">
        <v>908</v>
      </c>
      <c r="K242" s="477"/>
      <c r="L242" s="477">
        <v>-5694</v>
      </c>
    </row>
    <row r="243" spans="1:12" ht="14.5">
      <c r="A243" s="491">
        <v>812200</v>
      </c>
      <c r="B243" s="546" t="s">
        <v>909</v>
      </c>
      <c r="C243" s="477"/>
      <c r="D243" s="477">
        <f>VLOOKUP(A243,'CT-TB'!A241:E606,5,FALSE)</f>
        <v>-499</v>
      </c>
      <c r="E243" s="475"/>
      <c r="F243" s="481"/>
      <c r="G243" s="200"/>
      <c r="H243" s="474"/>
      <c r="I243" s="473"/>
      <c r="J243" s="478" t="s">
        <v>909</v>
      </c>
      <c r="K243" s="477"/>
      <c r="L243" s="477">
        <v>-9249</v>
      </c>
    </row>
    <row r="244" spans="1:12" ht="14.5">
      <c r="A244" s="491">
        <v>815000</v>
      </c>
      <c r="B244" s="546" t="s">
        <v>910</v>
      </c>
      <c r="C244" s="477"/>
      <c r="D244" s="477">
        <f>VLOOKUP(A244,'CT-TB'!A242:E607,5,FALSE)</f>
        <v>6525267.4000000004</v>
      </c>
      <c r="E244" s="475"/>
      <c r="F244" s="481"/>
      <c r="G244" s="200"/>
      <c r="H244" s="474"/>
      <c r="I244" s="473"/>
      <c r="J244" s="478" t="s">
        <v>910</v>
      </c>
      <c r="K244" s="477"/>
      <c r="L244" s="477">
        <v>6330422.46</v>
      </c>
    </row>
    <row r="245" spans="1:12" ht="14.5">
      <c r="A245" s="491">
        <v>815002</v>
      </c>
      <c r="B245" s="546" t="s">
        <v>911</v>
      </c>
      <c r="C245" s="477"/>
      <c r="D245" s="477">
        <f>VLOOKUP(A245,'CT-TB'!A243:E608,5,FALSE)</f>
        <v>212510</v>
      </c>
      <c r="E245" s="475"/>
      <c r="F245" s="481"/>
      <c r="G245" s="200"/>
      <c r="H245" s="474"/>
      <c r="I245" s="473"/>
      <c r="J245" s="478" t="s">
        <v>911</v>
      </c>
      <c r="K245" s="477"/>
      <c r="L245" s="477">
        <v>709575.45</v>
      </c>
    </row>
    <row r="246" spans="1:12" ht="14.5">
      <c r="A246" s="491">
        <v>815010</v>
      </c>
      <c r="B246" s="546" t="s">
        <v>912</v>
      </c>
      <c r="C246" s="477"/>
      <c r="D246" s="477">
        <f>VLOOKUP(A246,'CT-TB'!A244:E609,5,FALSE)</f>
        <v>-63040.27</v>
      </c>
      <c r="E246" s="475"/>
      <c r="F246" s="474"/>
      <c r="G246" s="200"/>
      <c r="H246" s="474"/>
      <c r="I246" s="473"/>
      <c r="J246" s="478" t="s">
        <v>912</v>
      </c>
      <c r="K246" s="477"/>
      <c r="L246" s="477">
        <v>192983.05</v>
      </c>
    </row>
    <row r="247" spans="1:12" ht="14.5">
      <c r="A247" s="491">
        <v>815100</v>
      </c>
      <c r="B247" s="546" t="s">
        <v>913</v>
      </c>
      <c r="C247" s="477"/>
      <c r="D247" s="477">
        <f>VLOOKUP(A247,'CT-TB'!A245:E610,5,FALSE)</f>
        <v>-732442.33</v>
      </c>
      <c r="E247" s="475"/>
      <c r="F247" s="474"/>
      <c r="G247" s="200"/>
      <c r="H247" s="474"/>
      <c r="I247" s="473"/>
      <c r="J247" s="478" t="s">
        <v>913</v>
      </c>
      <c r="K247" s="477"/>
      <c r="L247" s="477">
        <v>-708656.92</v>
      </c>
    </row>
    <row r="248" spans="1:12" ht="14.5">
      <c r="A248" s="491">
        <v>815400</v>
      </c>
      <c r="B248" s="546" t="s">
        <v>914</v>
      </c>
      <c r="C248" s="477"/>
      <c r="D248" s="477">
        <f>VLOOKUP(A248,'CT-TB'!A246:E611,5,FALSE)</f>
        <v>776825</v>
      </c>
      <c r="E248" s="475"/>
      <c r="F248" s="474"/>
      <c r="G248" s="200"/>
      <c r="H248" s="474"/>
      <c r="I248" s="473"/>
      <c r="J248" s="478" t="s">
        <v>914</v>
      </c>
      <c r="K248" s="477"/>
      <c r="L248" s="477">
        <v>496386.76</v>
      </c>
    </row>
    <row r="249" spans="1:12" ht="14.5">
      <c r="A249" s="491">
        <v>815800</v>
      </c>
      <c r="B249" s="546" t="s">
        <v>915</v>
      </c>
      <c r="C249" s="477"/>
      <c r="D249" s="477">
        <f>VLOOKUP(A249,'CT-TB'!A247:E612,5,FALSE)</f>
        <v>3025</v>
      </c>
      <c r="E249" s="475"/>
      <c r="F249" s="474"/>
      <c r="G249" s="200"/>
      <c r="H249" s="474"/>
      <c r="I249" s="473"/>
      <c r="J249" s="478" t="s">
        <v>915</v>
      </c>
      <c r="K249" s="477"/>
      <c r="L249" s="477">
        <v>3475</v>
      </c>
    </row>
    <row r="250" spans="1:12" ht="14.5">
      <c r="A250" s="491">
        <v>815850</v>
      </c>
      <c r="B250" s="546" t="s">
        <v>916</v>
      </c>
      <c r="C250" s="477"/>
      <c r="D250" s="477">
        <f>VLOOKUP(A250,'CT-TB'!A248:E613,5,FALSE)</f>
        <v>10005</v>
      </c>
      <c r="E250" s="475"/>
      <c r="F250" s="474"/>
      <c r="G250" s="200"/>
      <c r="H250" s="474"/>
      <c r="I250" s="473"/>
      <c r="J250" s="478" t="s">
        <v>916</v>
      </c>
      <c r="K250" s="477"/>
      <c r="L250" s="477">
        <v>56924.5</v>
      </c>
    </row>
    <row r="251" spans="1:12" ht="14.5">
      <c r="A251" s="491">
        <v>815900</v>
      </c>
      <c r="B251" s="546" t="s">
        <v>917</v>
      </c>
      <c r="C251" s="477"/>
      <c r="D251" s="477">
        <f>VLOOKUP(A251,'CT-TB'!A249:E614,5,FALSE)</f>
        <v>181901.5</v>
      </c>
      <c r="E251" s="475"/>
      <c r="F251" s="474"/>
      <c r="G251" s="200"/>
      <c r="H251" s="474"/>
      <c r="I251" s="473"/>
      <c r="J251" s="478" t="s">
        <v>917</v>
      </c>
      <c r="K251" s="477"/>
      <c r="L251" s="477">
        <v>267256</v>
      </c>
    </row>
    <row r="252" spans="1:12" ht="14.5">
      <c r="A252" s="491">
        <v>816500</v>
      </c>
      <c r="B252" s="546" t="s">
        <v>918</v>
      </c>
      <c r="C252" s="477"/>
      <c r="D252" s="477">
        <f>VLOOKUP(A252,'CT-TB'!A250:E615,5,FALSE)</f>
        <v>18766.36</v>
      </c>
      <c r="E252" s="475"/>
      <c r="F252" s="474"/>
      <c r="G252" s="200"/>
      <c r="H252" s="474"/>
      <c r="I252" s="473"/>
      <c r="J252" s="478" t="s">
        <v>918</v>
      </c>
      <c r="K252" s="477"/>
      <c r="L252" s="477">
        <v>38252.480000000003</v>
      </c>
    </row>
    <row r="253" spans="1:12" ht="14.5">
      <c r="A253" s="491">
        <v>820051</v>
      </c>
      <c r="B253" s="546" t="s">
        <v>1440</v>
      </c>
      <c r="C253" s="477"/>
      <c r="D253" s="477">
        <f>VLOOKUP(A253,'CT-TB'!A251:E616,5,FALSE)</f>
        <v>-70350.78</v>
      </c>
      <c r="E253" s="475"/>
      <c r="F253" s="474"/>
      <c r="G253" s="200"/>
      <c r="H253" s="474"/>
      <c r="I253" s="473"/>
      <c r="J253" s="478"/>
      <c r="K253" s="477"/>
      <c r="L253" s="477"/>
    </row>
    <row r="254" spans="1:12" ht="14.5">
      <c r="A254" s="491">
        <v>820450</v>
      </c>
      <c r="B254" s="546" t="s">
        <v>919</v>
      </c>
      <c r="C254" s="477"/>
      <c r="D254" s="477">
        <f>VLOOKUP(A254,'CT-TB'!A252:E617,5,FALSE)</f>
        <v>42414</v>
      </c>
      <c r="E254" s="475"/>
      <c r="F254" s="474"/>
      <c r="G254" s="200"/>
      <c r="H254" s="474"/>
      <c r="I254" s="473"/>
      <c r="J254" s="478" t="s">
        <v>919</v>
      </c>
      <c r="K254" s="477"/>
      <c r="L254" s="477">
        <v>234302</v>
      </c>
    </row>
    <row r="255" spans="1:12" ht="14.5">
      <c r="A255" s="491">
        <v>821000</v>
      </c>
      <c r="B255" s="546" t="s">
        <v>920</v>
      </c>
      <c r="C255" s="477"/>
      <c r="D255" s="477">
        <f>VLOOKUP(A255,'CT-TB'!A253:E618,5,FALSE)</f>
        <v>88268.95</v>
      </c>
      <c r="E255" s="475"/>
      <c r="F255" s="474"/>
      <c r="G255" s="200"/>
      <c r="H255" s="474"/>
      <c r="I255" s="473"/>
      <c r="J255" s="478" t="s">
        <v>920</v>
      </c>
      <c r="K255" s="477"/>
      <c r="L255" s="477">
        <v>286522.28000000003</v>
      </c>
    </row>
    <row r="256" spans="1:12" ht="14.5">
      <c r="A256" s="491">
        <v>825000</v>
      </c>
      <c r="B256" s="546" t="s">
        <v>921</v>
      </c>
      <c r="C256" s="477"/>
      <c r="D256" s="477">
        <f>VLOOKUP(A256,'CT-TB'!A254:E619,5,FALSE)</f>
        <v>-1057534.94</v>
      </c>
      <c r="E256" s="475"/>
      <c r="F256" s="481"/>
      <c r="G256" s="200"/>
      <c r="H256" s="474"/>
      <c r="I256" s="473"/>
      <c r="J256" s="478" t="s">
        <v>921</v>
      </c>
      <c r="K256" s="477"/>
      <c r="L256" s="477">
        <v>-1298366.1000000001</v>
      </c>
    </row>
    <row r="257" spans="1:13" ht="14.5">
      <c r="A257" s="491">
        <v>825200</v>
      </c>
      <c r="B257" s="546" t="s">
        <v>922</v>
      </c>
      <c r="C257" s="477"/>
      <c r="D257" s="477">
        <f>VLOOKUP(A257,'CT-TB'!A255:E620,5,FALSE)</f>
        <v>-21697.86</v>
      </c>
      <c r="E257" s="475"/>
      <c r="F257" s="481"/>
      <c r="G257" s="200"/>
      <c r="H257" s="474"/>
      <c r="I257" s="473"/>
      <c r="J257" s="478" t="s">
        <v>922</v>
      </c>
      <c r="K257" s="477"/>
      <c r="L257" s="477">
        <v>-216406.29</v>
      </c>
    </row>
    <row r="258" spans="1:13" ht="14.5">
      <c r="A258" s="491">
        <v>825300</v>
      </c>
      <c r="B258" s="546" t="s">
        <v>923</v>
      </c>
      <c r="C258" s="477"/>
      <c r="D258" s="477">
        <f>VLOOKUP(A258,'CT-TB'!A256:E621,5,FALSE)</f>
        <v>-17342.580000000002</v>
      </c>
      <c r="E258" s="475"/>
      <c r="F258" s="481"/>
      <c r="G258" s="200"/>
      <c r="H258" s="474"/>
      <c r="I258" s="473"/>
      <c r="J258" s="478" t="s">
        <v>923</v>
      </c>
      <c r="K258" s="477"/>
      <c r="L258" s="477">
        <v>-141804.49</v>
      </c>
    </row>
    <row r="259" spans="1:13" ht="14.5">
      <c r="A259" s="491">
        <v>825328</v>
      </c>
      <c r="B259" s="546" t="s">
        <v>1441</v>
      </c>
      <c r="C259" s="477"/>
      <c r="D259" s="477">
        <f>VLOOKUP(A259,'CT-TB'!A257:E622,5,FALSE)</f>
        <v>5646.02</v>
      </c>
      <c r="E259" s="475"/>
      <c r="F259" s="481"/>
      <c r="G259" s="200"/>
      <c r="H259" s="474"/>
      <c r="I259" s="473"/>
      <c r="J259" s="478"/>
      <c r="K259" s="477"/>
      <c r="L259" s="477"/>
    </row>
    <row r="260" spans="1:13" ht="14.5">
      <c r="A260" s="491">
        <v>841000</v>
      </c>
      <c r="B260" s="546" t="s">
        <v>924</v>
      </c>
      <c r="C260" s="477"/>
      <c r="D260" s="477">
        <f>VLOOKUP(A260,'CT-TB'!A258:E623,5,FALSE)</f>
        <v>-3559.72</v>
      </c>
      <c r="E260" s="475"/>
      <c r="F260" s="481"/>
      <c r="G260" s="200"/>
      <c r="H260" s="474"/>
      <c r="I260" s="473"/>
      <c r="J260" s="478" t="s">
        <v>924</v>
      </c>
      <c r="K260" s="477"/>
      <c r="L260" s="477">
        <v>-2360.56</v>
      </c>
    </row>
    <row r="261" spans="1:13" ht="14.5">
      <c r="A261" s="491">
        <v>901000</v>
      </c>
      <c r="B261" s="546" t="s">
        <v>1442</v>
      </c>
      <c r="C261" s="477"/>
      <c r="D261" s="477">
        <f>VLOOKUP(A261,'CT-TB'!A259:E624,5,FALSE)</f>
        <v>97487.4</v>
      </c>
      <c r="E261" s="475"/>
      <c r="F261" s="481"/>
      <c r="G261" s="200"/>
      <c r="H261" s="474"/>
      <c r="I261" s="473"/>
      <c r="J261" s="478"/>
      <c r="K261" s="477"/>
      <c r="L261" s="477"/>
    </row>
    <row r="262" spans="1:13" ht="14.5">
      <c r="A262" s="491">
        <v>901200</v>
      </c>
      <c r="B262" s="546" t="s">
        <v>925</v>
      </c>
      <c r="C262" s="477"/>
      <c r="D262" s="477">
        <f>VLOOKUP(A262,'CT-TB'!A260:E625,5,FALSE)</f>
        <v>10567.95</v>
      </c>
      <c r="E262" s="475"/>
      <c r="F262" s="481"/>
      <c r="G262" s="200"/>
      <c r="H262" s="474"/>
      <c r="I262" s="473"/>
      <c r="J262" s="478" t="s">
        <v>925</v>
      </c>
      <c r="K262" s="477"/>
      <c r="L262" s="477">
        <v>20860.95</v>
      </c>
    </row>
    <row r="263" spans="1:13" ht="14.5">
      <c r="A263" s="491">
        <v>910000</v>
      </c>
      <c r="B263" s="546" t="s">
        <v>926</v>
      </c>
      <c r="C263" s="477"/>
      <c r="D263" s="477">
        <f>VLOOKUP(A263,'CT-TB'!A261:E626,5,FALSE)</f>
        <v>-49575.07</v>
      </c>
      <c r="E263" s="475"/>
      <c r="F263" s="474">
        <f>D263/1000</f>
        <v>-49.575069999999997</v>
      </c>
      <c r="G263" s="480" t="s">
        <v>1029</v>
      </c>
      <c r="H263" s="474"/>
      <c r="I263" s="473"/>
      <c r="J263" s="478" t="s">
        <v>926</v>
      </c>
      <c r="K263" s="477"/>
      <c r="L263" s="477">
        <v>-453.54</v>
      </c>
    </row>
    <row r="264" spans="1:13" ht="14.5">
      <c r="A264" s="491">
        <v>911700</v>
      </c>
      <c r="B264" s="546" t="s">
        <v>927</v>
      </c>
      <c r="C264" s="477"/>
      <c r="D264" s="477">
        <f>VLOOKUP(A264,'CT-TB'!A262:E627,5,FALSE)</f>
        <v>-93381.41</v>
      </c>
      <c r="E264" s="475"/>
      <c r="F264" s="481"/>
      <c r="G264" s="200"/>
      <c r="H264" s="474"/>
      <c r="I264" s="473"/>
      <c r="J264" s="478" t="s">
        <v>927</v>
      </c>
      <c r="K264" s="477"/>
      <c r="L264" s="477">
        <v>-173002.37</v>
      </c>
    </row>
    <row r="265" spans="1:13" ht="14.5">
      <c r="A265" s="491">
        <v>911800</v>
      </c>
      <c r="B265" s="546" t="s">
        <v>928</v>
      </c>
      <c r="C265" s="477"/>
      <c r="D265" s="477">
        <f>VLOOKUP(A265,'CT-TB'!A263:E628,5,FALSE)</f>
        <v>-107741.59</v>
      </c>
      <c r="E265" s="475"/>
      <c r="F265" s="481"/>
      <c r="G265" s="200"/>
      <c r="H265" s="474"/>
      <c r="I265" s="473"/>
      <c r="J265" s="478" t="s">
        <v>928</v>
      </c>
      <c r="K265" s="477"/>
      <c r="L265" s="477">
        <v>-102889.3</v>
      </c>
    </row>
    <row r="266" spans="1:13" ht="14.5">
      <c r="A266" s="491">
        <v>915000</v>
      </c>
      <c r="B266" s="546" t="s">
        <v>1443</v>
      </c>
      <c r="C266" s="477"/>
      <c r="D266" s="477">
        <f>VLOOKUP(A266,'CT-TB'!A264:E629,5,FALSE)</f>
        <v>-20194.37</v>
      </c>
      <c r="E266" s="477">
        <v>-89024.2</v>
      </c>
      <c r="F266" s="475"/>
      <c r="G266" s="481"/>
      <c r="H266" s="200"/>
      <c r="I266" s="474"/>
      <c r="J266" s="478" t="s">
        <v>929</v>
      </c>
      <c r="L266" s="477">
        <v>-89024</v>
      </c>
      <c r="M266" s="477">
        <v>-89024.2</v>
      </c>
    </row>
    <row r="267" spans="1:13" ht="14.5">
      <c r="A267" s="491">
        <v>919000</v>
      </c>
      <c r="B267" s="546" t="s">
        <v>931</v>
      </c>
      <c r="C267" s="477"/>
      <c r="D267" s="477">
        <f>VLOOKUP(A267,'CT-TB'!A265:E630,5,FALSE)</f>
        <v>-60358</v>
      </c>
      <c r="E267" s="477">
        <v>-8506.9500000000007</v>
      </c>
      <c r="F267" s="475"/>
      <c r="G267" s="474"/>
      <c r="H267" s="200"/>
      <c r="I267" s="474"/>
      <c r="J267" s="478" t="s">
        <v>930</v>
      </c>
      <c r="L267" s="470">
        <v>-8507</v>
      </c>
      <c r="M267" s="477">
        <v>-8506.9500000000007</v>
      </c>
    </row>
    <row r="268" spans="1:13" ht="14.5">
      <c r="A268" s="491">
        <v>920000</v>
      </c>
      <c r="B268" s="546" t="s">
        <v>1444</v>
      </c>
      <c r="C268" s="477"/>
      <c r="D268" s="477">
        <f>VLOOKUP(A268,'CT-TB'!A266:E631,5,FALSE)</f>
        <v>-395.15</v>
      </c>
      <c r="E268" s="475"/>
      <c r="F268" s="474"/>
      <c r="G268" s="200"/>
      <c r="H268" s="474"/>
      <c r="I268" s="473"/>
      <c r="J268" s="478" t="s">
        <v>931</v>
      </c>
      <c r="K268" s="477"/>
      <c r="L268" s="477">
        <v>-96444</v>
      </c>
    </row>
    <row r="269" spans="1:13" ht="14.5">
      <c r="A269" s="491">
        <v>930000</v>
      </c>
      <c r="B269" s="546" t="s">
        <v>932</v>
      </c>
      <c r="C269" s="477"/>
      <c r="D269" s="477">
        <f>VLOOKUP(A269,'CT-TB'!A267:E632,5,FALSE)</f>
        <v>-1536044.69</v>
      </c>
      <c r="E269" s="475"/>
      <c r="F269" s="474">
        <f>-D269/1000</f>
        <v>1536.0446899999999</v>
      </c>
      <c r="G269" s="480" t="s">
        <v>1029</v>
      </c>
      <c r="H269" s="474"/>
      <c r="I269" s="473"/>
      <c r="J269" s="478" t="s">
        <v>932</v>
      </c>
      <c r="K269" s="477"/>
      <c r="L269" s="477">
        <v>-1282353.83</v>
      </c>
    </row>
    <row r="270" spans="1:13" ht="14.5">
      <c r="A270" s="491">
        <v>960000</v>
      </c>
      <c r="B270" s="546" t="s">
        <v>1445</v>
      </c>
      <c r="D270" s="477">
        <f>VLOOKUP(A270,'CT-TB'!A268:E633,5,FALSE)</f>
        <v>147599.85999999999</v>
      </c>
      <c r="E270" s="475"/>
      <c r="F270" s="474"/>
      <c r="G270" s="200"/>
      <c r="H270" s="474"/>
      <c r="I270" s="473"/>
      <c r="J270" s="478" t="s">
        <v>1158</v>
      </c>
      <c r="L270" s="470">
        <v>-297600</v>
      </c>
    </row>
    <row r="271" spans="1:13" ht="14.5">
      <c r="A271" s="491">
        <v>980000</v>
      </c>
      <c r="B271" s="546" t="s">
        <v>933</v>
      </c>
      <c r="C271" s="477"/>
      <c r="D271" s="477">
        <f>VLOOKUP(A271,'CT-TB'!A269:E634,5,FALSE)</f>
        <v>-8.4600000000000009</v>
      </c>
      <c r="E271" s="475"/>
      <c r="F271" s="474"/>
      <c r="G271" s="200"/>
      <c r="H271" s="474"/>
      <c r="I271" s="473"/>
      <c r="J271" s="478" t="s">
        <v>933</v>
      </c>
      <c r="K271" s="477"/>
      <c r="L271" s="479">
        <v>152978.04</v>
      </c>
    </row>
    <row r="272" spans="1:13" ht="14.5">
      <c r="A272" s="491">
        <v>985000</v>
      </c>
      <c r="B272" s="546" t="s">
        <v>934</v>
      </c>
      <c r="C272" s="477"/>
      <c r="D272" s="477">
        <f>VLOOKUP(A272,'CT-TB'!A270:E635,5,FALSE)</f>
        <v>-6350026.8399999999</v>
      </c>
      <c r="E272" s="475"/>
      <c r="F272" s="474">
        <f>D272/1000</f>
        <v>-6350.0268399999995</v>
      </c>
      <c r="G272" s="480" t="s">
        <v>1029</v>
      </c>
      <c r="H272" s="474"/>
      <c r="I272" s="473"/>
      <c r="J272" s="478" t="s">
        <v>934</v>
      </c>
      <c r="K272" s="477"/>
      <c r="L272" s="477">
        <v>20229781.239527401</v>
      </c>
    </row>
    <row r="273" spans="1:12" ht="14.5">
      <c r="A273" s="491">
        <v>990000</v>
      </c>
      <c r="B273" s="546" t="s">
        <v>935</v>
      </c>
      <c r="C273" s="477"/>
      <c r="D273" s="477">
        <f>VLOOKUP(A273,'CT-TB'!A271:E636,5,FALSE)</f>
        <v>-394104</v>
      </c>
      <c r="E273" s="475"/>
      <c r="F273" s="474"/>
      <c r="G273" s="200"/>
      <c r="H273" s="474"/>
      <c r="I273" s="473"/>
      <c r="J273" s="478" t="s">
        <v>935</v>
      </c>
      <c r="K273" s="477"/>
      <c r="L273" s="479">
        <v>-7234000</v>
      </c>
    </row>
    <row r="274" spans="1:12" ht="14">
      <c r="B274" s="546"/>
      <c r="C274" s="477"/>
      <c r="D274" s="477">
        <v>0</v>
      </c>
      <c r="E274" s="475"/>
      <c r="F274" s="474"/>
      <c r="G274" s="200"/>
      <c r="H274" s="474"/>
      <c r="I274" s="473"/>
      <c r="J274" s="478" t="s">
        <v>936</v>
      </c>
      <c r="K274" s="477"/>
      <c r="L274" s="477">
        <v>-3645.19</v>
      </c>
    </row>
    <row r="275" spans="1:12" ht="14.5">
      <c r="A275" s="491">
        <v>995000</v>
      </c>
      <c r="B275" s="546" t="s">
        <v>1446</v>
      </c>
      <c r="C275" s="477"/>
      <c r="D275" s="477">
        <f>VLOOKUP(A275,'CT-TB'!A273:E638,5,FALSE)</f>
        <v>-126145.68</v>
      </c>
      <c r="E275" s="475"/>
      <c r="F275" s="474"/>
      <c r="G275" s="200"/>
      <c r="H275" s="474"/>
      <c r="I275" s="473"/>
      <c r="J275" s="478" t="s">
        <v>937</v>
      </c>
      <c r="K275" s="477"/>
      <c r="L275" s="477">
        <v>-64158.13</v>
      </c>
    </row>
    <row r="276" spans="1:12">
      <c r="C276" s="477"/>
      <c r="D276" s="477"/>
      <c r="E276" s="475"/>
      <c r="F276" s="474"/>
      <c r="G276" s="200"/>
      <c r="H276" s="474"/>
      <c r="I276" s="473"/>
      <c r="J276" s="478" t="s">
        <v>1159</v>
      </c>
      <c r="K276" s="477"/>
      <c r="L276" s="477">
        <v>-21978</v>
      </c>
    </row>
    <row r="277" spans="1:12" ht="13.5" thickBot="1">
      <c r="C277" s="477"/>
      <c r="D277" s="476">
        <f>SUM(D11:D276)</f>
        <v>-11929782.480000054</v>
      </c>
      <c r="E277" s="475"/>
      <c r="F277" s="474"/>
      <c r="G277" s="200"/>
      <c r="H277" s="474"/>
      <c r="I277" s="473"/>
      <c r="J277" s="478" t="s">
        <v>938</v>
      </c>
      <c r="K277" s="477"/>
      <c r="L277" s="476">
        <f>SUM(L11:L276)</f>
        <v>9987018.3595274463</v>
      </c>
    </row>
    <row r="278" spans="1:12" ht="13.5" thickTop="1">
      <c r="E278" s="475"/>
      <c r="F278" s="474"/>
      <c r="G278" s="200"/>
      <c r="H278" s="474"/>
      <c r="I278" s="473"/>
    </row>
    <row r="279" spans="1:12">
      <c r="E279" s="475"/>
      <c r="F279" s="474"/>
      <c r="G279" s="200"/>
      <c r="H279" s="474"/>
      <c r="I279" s="473"/>
    </row>
    <row r="280" spans="1:12">
      <c r="E280" s="475"/>
      <c r="F280" s="474"/>
      <c r="G280" s="200"/>
      <c r="H280" s="474"/>
      <c r="I280" s="473"/>
    </row>
  </sheetData>
  <pageMargins left="0.7" right="0.2" top="0.26" bottom="0.31" header="0.17" footer="0.17"/>
  <pageSetup fitToHeight="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88"/>
  <sheetViews>
    <sheetView topLeftCell="A355" workbookViewId="0">
      <selection sqref="A1:E375"/>
    </sheetView>
  </sheetViews>
  <sheetFormatPr defaultColWidth="9.1796875" defaultRowHeight="12.5"/>
  <cols>
    <col min="1" max="1" width="16.453125" style="177" customWidth="1"/>
    <col min="2" max="4" width="20.7265625" style="177" customWidth="1"/>
    <col min="5" max="5" width="15.81640625" style="177" customWidth="1"/>
    <col min="6" max="16384" width="9.1796875" style="177"/>
  </cols>
  <sheetData>
    <row r="1" spans="1:9" ht="28.5">
      <c r="A1" s="635"/>
      <c r="B1" s="636"/>
      <c r="C1" s="637" t="s">
        <v>582</v>
      </c>
      <c r="D1" s="637"/>
      <c r="E1" s="637"/>
      <c r="F1" s="543"/>
      <c r="G1" s="542"/>
      <c r="H1" s="542"/>
      <c r="I1" s="542"/>
    </row>
    <row r="2" spans="1:9" ht="14.5">
      <c r="A2" s="638"/>
      <c r="B2" s="639"/>
      <c r="C2" s="640"/>
      <c r="D2" s="640"/>
      <c r="E2" s="640"/>
      <c r="F2" s="543"/>
      <c r="G2" s="542"/>
      <c r="H2" s="543"/>
      <c r="I2" s="543"/>
    </row>
    <row r="3" spans="1:9" ht="14.5">
      <c r="A3" s="638"/>
      <c r="B3" s="641"/>
      <c r="C3" s="640" t="s">
        <v>583</v>
      </c>
      <c r="D3" s="640"/>
      <c r="E3" s="641"/>
      <c r="F3" s="543"/>
      <c r="G3" s="543"/>
      <c r="H3" s="543"/>
      <c r="I3" s="543"/>
    </row>
    <row r="4" spans="1:9" ht="14.5">
      <c r="A4" s="638"/>
      <c r="B4" s="639"/>
      <c r="C4" s="640" t="s">
        <v>1276</v>
      </c>
      <c r="D4" s="640"/>
      <c r="E4" s="640"/>
      <c r="F4" s="543"/>
      <c r="G4" s="543"/>
      <c r="H4" s="543"/>
      <c r="I4" s="543"/>
    </row>
    <row r="5" spans="1:9" ht="14.5">
      <c r="A5" s="638"/>
      <c r="B5" s="639"/>
      <c r="C5" s="640" t="s">
        <v>2274</v>
      </c>
      <c r="D5" s="640"/>
      <c r="E5" s="640"/>
      <c r="F5" s="543"/>
      <c r="G5" s="543"/>
      <c r="H5" s="543"/>
      <c r="I5" s="543"/>
    </row>
    <row r="6" spans="1:9" ht="14.5">
      <c r="A6" s="638"/>
      <c r="B6" s="641"/>
      <c r="C6" s="641"/>
      <c r="D6" s="641"/>
      <c r="E6" s="641"/>
      <c r="F6" s="543"/>
      <c r="G6" s="543"/>
      <c r="H6" s="543"/>
      <c r="I6" s="543"/>
    </row>
    <row r="7" spans="1:9" ht="14.5">
      <c r="A7" s="638"/>
      <c r="B7" s="638"/>
      <c r="C7" s="641"/>
      <c r="D7" s="641"/>
      <c r="E7" s="641"/>
      <c r="F7" s="543"/>
      <c r="G7" s="543"/>
      <c r="H7" s="543"/>
      <c r="I7" s="543"/>
    </row>
    <row r="8" spans="1:9" ht="14.5">
      <c r="A8" s="674"/>
      <c r="B8" s="675"/>
      <c r="C8" s="676" t="s">
        <v>1277</v>
      </c>
      <c r="D8" s="676" t="s">
        <v>1277</v>
      </c>
      <c r="E8" s="676" t="s">
        <v>1277</v>
      </c>
      <c r="F8" s="543"/>
      <c r="G8" s="543"/>
      <c r="H8" s="543"/>
      <c r="I8" s="543"/>
    </row>
    <row r="9" spans="1:9" ht="14.5">
      <c r="A9" s="677"/>
      <c r="B9" s="647"/>
      <c r="C9" s="647" t="s">
        <v>1069</v>
      </c>
      <c r="D9" s="647" t="s">
        <v>1070</v>
      </c>
      <c r="E9" s="648" t="s">
        <v>584</v>
      </c>
      <c r="F9" s="543"/>
      <c r="G9" s="543"/>
      <c r="H9" s="543"/>
      <c r="I9" s="543"/>
    </row>
    <row r="10" spans="1:9" ht="14.5">
      <c r="A10" s="649">
        <v>101000</v>
      </c>
      <c r="B10" s="650" t="s">
        <v>1484</v>
      </c>
      <c r="C10" s="651">
        <v>554765.93999999994</v>
      </c>
      <c r="D10" s="651">
        <v>540867.82999999996</v>
      </c>
      <c r="E10" s="652">
        <v>980401.35</v>
      </c>
      <c r="F10" s="543"/>
      <c r="G10" s="543"/>
      <c r="H10" s="543"/>
      <c r="I10" s="543"/>
    </row>
    <row r="11" spans="1:9" ht="14.5">
      <c r="A11" s="649">
        <v>101210</v>
      </c>
      <c r="B11" s="650" t="s">
        <v>1485</v>
      </c>
      <c r="C11" s="651">
        <v>53330.91</v>
      </c>
      <c r="D11" s="651">
        <v>47831.61</v>
      </c>
      <c r="E11" s="652">
        <v>74392.7</v>
      </c>
      <c r="F11" s="543"/>
      <c r="G11" s="543"/>
      <c r="H11" s="543"/>
      <c r="I11" s="543"/>
    </row>
    <row r="12" spans="1:9" ht="14.5">
      <c r="A12" s="649">
        <v>101300</v>
      </c>
      <c r="B12" s="650" t="s">
        <v>1486</v>
      </c>
      <c r="C12" s="651">
        <v>1179449.03</v>
      </c>
      <c r="D12" s="651">
        <v>-427388.58</v>
      </c>
      <c r="E12" s="652">
        <v>-1344448.23</v>
      </c>
      <c r="F12" s="543"/>
      <c r="G12" s="543"/>
      <c r="H12" s="543"/>
      <c r="I12" s="543"/>
    </row>
    <row r="13" spans="1:9" ht="14.5">
      <c r="A13" s="649">
        <v>101320</v>
      </c>
      <c r="B13" s="650" t="s">
        <v>1486</v>
      </c>
      <c r="C13" s="651">
        <v>2740229.14</v>
      </c>
      <c r="D13" s="651">
        <v>1007411.71</v>
      </c>
      <c r="E13" s="652">
        <v>3394862.32</v>
      </c>
      <c r="F13" s="543"/>
      <c r="G13" s="543"/>
      <c r="H13" s="543"/>
      <c r="I13" s="543"/>
    </row>
    <row r="14" spans="1:9" ht="14.5">
      <c r="A14" s="649">
        <v>101410</v>
      </c>
      <c r="B14" s="650" t="s">
        <v>1487</v>
      </c>
      <c r="C14" s="651">
        <v>8564.35</v>
      </c>
      <c r="D14" s="651">
        <v>14818.71</v>
      </c>
      <c r="E14" s="652">
        <v>23806.94</v>
      </c>
      <c r="F14" s="543"/>
      <c r="G14" s="543"/>
      <c r="H14" s="543"/>
      <c r="I14" s="543"/>
    </row>
    <row r="15" spans="1:9" ht="14.5">
      <c r="A15" s="649">
        <v>112100</v>
      </c>
      <c r="B15" s="650" t="s">
        <v>1075</v>
      </c>
      <c r="C15" s="651">
        <v>0</v>
      </c>
      <c r="D15" s="651">
        <v>0</v>
      </c>
      <c r="E15" s="652">
        <v>24550</v>
      </c>
      <c r="F15" s="543"/>
      <c r="G15" s="543"/>
      <c r="H15" s="543"/>
      <c r="I15" s="543"/>
    </row>
    <row r="16" spans="1:9" ht="14.5">
      <c r="A16" s="649">
        <v>121000</v>
      </c>
      <c r="B16" s="650" t="s">
        <v>1488</v>
      </c>
      <c r="C16" s="651">
        <v>-132755.38</v>
      </c>
      <c r="D16" s="651">
        <v>94355.76</v>
      </c>
      <c r="E16" s="652">
        <v>1011955.12</v>
      </c>
      <c r="F16" s="543"/>
      <c r="G16" s="543"/>
      <c r="H16" s="543"/>
      <c r="I16" s="543"/>
    </row>
    <row r="17" spans="1:5" ht="14.5">
      <c r="A17" s="649">
        <v>121100</v>
      </c>
      <c r="B17" s="650" t="s">
        <v>1076</v>
      </c>
      <c r="C17" s="651">
        <v>170330.7</v>
      </c>
      <c r="D17" s="651">
        <v>125630.43</v>
      </c>
      <c r="E17" s="652">
        <v>-75472.479999999996</v>
      </c>
    </row>
    <row r="18" spans="1:5" ht="14.5">
      <c r="A18" s="649">
        <v>121195</v>
      </c>
      <c r="B18" s="650" t="s">
        <v>1489</v>
      </c>
      <c r="C18" s="651">
        <v>65640.28</v>
      </c>
      <c r="D18" s="651">
        <v>-463668.88</v>
      </c>
      <c r="E18" s="652">
        <v>-2763988.17</v>
      </c>
    </row>
    <row r="19" spans="1:5" ht="14.5">
      <c r="A19" s="649">
        <v>121210</v>
      </c>
      <c r="B19" s="650" t="s">
        <v>1077</v>
      </c>
      <c r="C19" s="651">
        <v>-13175.54</v>
      </c>
      <c r="D19" s="651">
        <v>-55216.45</v>
      </c>
      <c r="E19" s="652">
        <v>826097.26</v>
      </c>
    </row>
    <row r="20" spans="1:5" ht="14.5">
      <c r="A20" s="649">
        <v>121225</v>
      </c>
      <c r="B20" s="650" t="s">
        <v>1490</v>
      </c>
      <c r="C20" s="651">
        <v>-4096</v>
      </c>
      <c r="D20" s="651">
        <v>-11553</v>
      </c>
      <c r="E20" s="652">
        <v>-56671</v>
      </c>
    </row>
    <row r="21" spans="1:5" ht="14.5">
      <c r="A21" s="649">
        <v>121230</v>
      </c>
      <c r="B21" s="650" t="s">
        <v>1078</v>
      </c>
      <c r="C21" s="651">
        <v>-41200.22</v>
      </c>
      <c r="D21" s="651">
        <v>-3169.78</v>
      </c>
      <c r="E21" s="652">
        <v>-48119.040000000001</v>
      </c>
    </row>
    <row r="22" spans="1:5" ht="14.5">
      <c r="A22" s="649">
        <v>121245</v>
      </c>
      <c r="B22" s="650" t="s">
        <v>1079</v>
      </c>
      <c r="C22" s="651">
        <v>59489.81</v>
      </c>
      <c r="D22" s="651">
        <v>-88105</v>
      </c>
      <c r="E22" s="652">
        <v>287273.69</v>
      </c>
    </row>
    <row r="23" spans="1:5" ht="14.5">
      <c r="A23" s="649">
        <v>121600</v>
      </c>
      <c r="B23" s="650" t="s">
        <v>1491</v>
      </c>
      <c r="C23" s="651">
        <v>-15391.65</v>
      </c>
      <c r="D23" s="651">
        <v>37.24</v>
      </c>
      <c r="E23" s="652">
        <v>37.42</v>
      </c>
    </row>
    <row r="24" spans="1:5" ht="14.5">
      <c r="A24" s="649">
        <v>121660</v>
      </c>
      <c r="B24" s="650" t="s">
        <v>1492</v>
      </c>
      <c r="C24" s="651">
        <v>28498.26</v>
      </c>
      <c r="D24" s="651">
        <v>8475.16</v>
      </c>
      <c r="E24" s="652">
        <v>56686.33</v>
      </c>
    </row>
    <row r="25" spans="1:5" ht="14.5">
      <c r="A25" s="649">
        <v>121700</v>
      </c>
      <c r="B25" s="650" t="s">
        <v>1080</v>
      </c>
      <c r="C25" s="651">
        <v>23000</v>
      </c>
      <c r="D25" s="651">
        <v>23796.639999999999</v>
      </c>
      <c r="E25" s="652">
        <v>30620.6</v>
      </c>
    </row>
    <row r="26" spans="1:5" ht="14.5">
      <c r="A26" s="649">
        <v>123340</v>
      </c>
      <c r="B26" s="650" t="s">
        <v>1493</v>
      </c>
      <c r="C26" s="651">
        <v>-18517.37</v>
      </c>
      <c r="D26" s="651">
        <v>-27460.75</v>
      </c>
      <c r="E26" s="652">
        <v>-29700.78</v>
      </c>
    </row>
    <row r="27" spans="1:5" ht="14.5">
      <c r="A27" s="649">
        <v>123350</v>
      </c>
      <c r="B27" s="650" t="s">
        <v>1494</v>
      </c>
      <c r="C27" s="651">
        <v>-23697.56</v>
      </c>
      <c r="D27" s="651">
        <v>179731.25</v>
      </c>
      <c r="E27" s="652">
        <v>-78358.91</v>
      </c>
    </row>
    <row r="28" spans="1:5" ht="14.5">
      <c r="A28" s="649">
        <v>123355</v>
      </c>
      <c r="B28" s="650" t="s">
        <v>1450</v>
      </c>
      <c r="C28" s="651">
        <v>-24858.04</v>
      </c>
      <c r="D28" s="651">
        <v>-48760.1</v>
      </c>
      <c r="E28" s="652">
        <v>-71762.149999999994</v>
      </c>
    </row>
    <row r="29" spans="1:5" ht="14.5">
      <c r="A29" s="649">
        <v>128500</v>
      </c>
      <c r="B29" s="650" t="s">
        <v>1495</v>
      </c>
      <c r="C29" s="651">
        <v>158731.46</v>
      </c>
      <c r="D29" s="651">
        <v>85050.43</v>
      </c>
      <c r="E29" s="652">
        <v>325564.40000000002</v>
      </c>
    </row>
    <row r="30" spans="1:5" ht="14.5">
      <c r="A30" s="649">
        <v>128600</v>
      </c>
      <c r="B30" s="650" t="s">
        <v>1496</v>
      </c>
      <c r="C30" s="651">
        <v>132035.73000000001</v>
      </c>
      <c r="D30" s="651">
        <v>-295682.84999999998</v>
      </c>
      <c r="E30" s="652">
        <v>997153.8</v>
      </c>
    </row>
    <row r="31" spans="1:5" ht="14.5">
      <c r="A31" s="649">
        <v>128700</v>
      </c>
      <c r="B31" s="650" t="s">
        <v>1497</v>
      </c>
      <c r="C31" s="651">
        <v>-92700.95</v>
      </c>
      <c r="D31" s="651">
        <v>35380.629999999997</v>
      </c>
      <c r="E31" s="652">
        <v>52391.66</v>
      </c>
    </row>
    <row r="32" spans="1:5" ht="14.5">
      <c r="A32" s="649">
        <v>128897</v>
      </c>
      <c r="B32" s="650" t="s">
        <v>1498</v>
      </c>
      <c r="C32" s="651">
        <v>0</v>
      </c>
      <c r="D32" s="651">
        <v>0</v>
      </c>
      <c r="E32" s="652">
        <v>-1649.28</v>
      </c>
    </row>
    <row r="33" spans="1:5" ht="14.5">
      <c r="A33" s="649">
        <v>131000</v>
      </c>
      <c r="B33" s="650" t="s">
        <v>1081</v>
      </c>
      <c r="C33" s="651">
        <v>-3316180.06</v>
      </c>
      <c r="D33" s="651">
        <v>-759041.36</v>
      </c>
      <c r="E33" s="652">
        <v>18349264.149999999</v>
      </c>
    </row>
    <row r="34" spans="1:5" ht="14.5">
      <c r="A34" s="649">
        <v>131100</v>
      </c>
      <c r="B34" s="650" t="s">
        <v>1468</v>
      </c>
      <c r="C34" s="651">
        <v>-87949.54</v>
      </c>
      <c r="D34" s="651">
        <v>-225712.04</v>
      </c>
      <c r="E34" s="652">
        <v>-457728.51</v>
      </c>
    </row>
    <row r="35" spans="1:5" ht="14.5">
      <c r="A35" s="649">
        <v>131200</v>
      </c>
      <c r="B35" s="650" t="s">
        <v>1499</v>
      </c>
      <c r="C35" s="651">
        <v>3370.62</v>
      </c>
      <c r="D35" s="651">
        <v>49.69</v>
      </c>
      <c r="E35" s="652">
        <v>-16855.82</v>
      </c>
    </row>
    <row r="36" spans="1:5" ht="14.5">
      <c r="A36" s="649">
        <v>131300</v>
      </c>
      <c r="B36" s="650" t="s">
        <v>1500</v>
      </c>
      <c r="C36" s="651">
        <v>-3013.23</v>
      </c>
      <c r="D36" s="651">
        <v>-9845.9599999999991</v>
      </c>
      <c r="E36" s="652">
        <v>2812.59</v>
      </c>
    </row>
    <row r="37" spans="1:5" ht="14.5">
      <c r="A37" s="649">
        <v>131400</v>
      </c>
      <c r="B37" s="650" t="s">
        <v>1451</v>
      </c>
      <c r="C37" s="651">
        <v>-18231.47</v>
      </c>
      <c r="D37" s="651">
        <v>-4736.08</v>
      </c>
      <c r="E37" s="652">
        <v>0</v>
      </c>
    </row>
    <row r="38" spans="1:5" ht="14.5">
      <c r="A38" s="649">
        <v>131500</v>
      </c>
      <c r="B38" s="650" t="s">
        <v>1501</v>
      </c>
      <c r="C38" s="651">
        <v>94406.79</v>
      </c>
      <c r="D38" s="651">
        <v>119621.22</v>
      </c>
      <c r="E38" s="652">
        <v>199971.27</v>
      </c>
    </row>
    <row r="39" spans="1:5" ht="14.5">
      <c r="A39" s="649">
        <v>131600</v>
      </c>
      <c r="B39" s="650" t="s">
        <v>1502</v>
      </c>
      <c r="C39" s="651">
        <v>11868.23</v>
      </c>
      <c r="D39" s="651">
        <v>25751.08</v>
      </c>
      <c r="E39" s="652">
        <v>-116449.24</v>
      </c>
    </row>
    <row r="40" spans="1:5" ht="14.5">
      <c r="A40" s="649">
        <v>131700</v>
      </c>
      <c r="B40" s="650" t="s">
        <v>1503</v>
      </c>
      <c r="C40" s="651">
        <v>432856.56</v>
      </c>
      <c r="D40" s="651">
        <v>-63497.33</v>
      </c>
      <c r="E40" s="652">
        <v>-2405560.38</v>
      </c>
    </row>
    <row r="41" spans="1:5" ht="14.5">
      <c r="A41" s="649">
        <v>131800</v>
      </c>
      <c r="B41" s="650" t="s">
        <v>1504</v>
      </c>
      <c r="C41" s="651">
        <v>-2061.52</v>
      </c>
      <c r="D41" s="651">
        <v>-47912.639999999999</v>
      </c>
      <c r="E41" s="652">
        <v>91282.52</v>
      </c>
    </row>
    <row r="42" spans="1:5" ht="14.5">
      <c r="A42" s="649">
        <v>142000</v>
      </c>
      <c r="B42" s="650" t="s">
        <v>1082</v>
      </c>
      <c r="C42" s="651">
        <v>-23672.49</v>
      </c>
      <c r="D42" s="651">
        <v>-40731.86</v>
      </c>
      <c r="E42" s="652">
        <v>264748.34999999998</v>
      </c>
    </row>
    <row r="43" spans="1:5" ht="14.5">
      <c r="A43" s="649">
        <v>143000</v>
      </c>
      <c r="B43" s="650" t="s">
        <v>1083</v>
      </c>
      <c r="C43" s="651">
        <v>417399.31</v>
      </c>
      <c r="D43" s="651">
        <v>23935.82</v>
      </c>
      <c r="E43" s="652">
        <v>39906.01</v>
      </c>
    </row>
    <row r="44" spans="1:5" ht="14.5">
      <c r="A44" s="649">
        <v>144500</v>
      </c>
      <c r="B44" s="650" t="s">
        <v>1084</v>
      </c>
      <c r="C44" s="651">
        <v>-398.77</v>
      </c>
      <c r="D44" s="651">
        <v>-216.49</v>
      </c>
      <c r="E44" s="652">
        <v>19407.16</v>
      </c>
    </row>
    <row r="45" spans="1:5" ht="14.5">
      <c r="A45" s="649">
        <v>145000</v>
      </c>
      <c r="B45" s="650" t="s">
        <v>1085</v>
      </c>
      <c r="C45" s="651">
        <v>-2697.15</v>
      </c>
      <c r="D45" s="651">
        <v>-3338.15</v>
      </c>
      <c r="E45" s="652">
        <v>31396.52</v>
      </c>
    </row>
    <row r="46" spans="1:5" ht="14.5">
      <c r="A46" s="649">
        <v>146000</v>
      </c>
      <c r="B46" s="650" t="s">
        <v>1505</v>
      </c>
      <c r="C46" s="651">
        <v>5675.26</v>
      </c>
      <c r="D46" s="651">
        <v>19614.759999999998</v>
      </c>
      <c r="E46" s="652">
        <v>-9579.01</v>
      </c>
    </row>
    <row r="47" spans="1:5" ht="14.5">
      <c r="A47" s="649">
        <v>146900</v>
      </c>
      <c r="B47" s="650" t="s">
        <v>1506</v>
      </c>
      <c r="C47" s="651">
        <v>-918.55</v>
      </c>
      <c r="D47" s="651">
        <v>11957.27</v>
      </c>
      <c r="E47" s="652">
        <v>17578.099999999999</v>
      </c>
    </row>
    <row r="48" spans="1:5" ht="14.5">
      <c r="A48" s="649">
        <v>148000</v>
      </c>
      <c r="B48" s="650" t="s">
        <v>1507</v>
      </c>
      <c r="C48" s="651">
        <v>-1377971</v>
      </c>
      <c r="D48" s="651">
        <v>-1377971</v>
      </c>
      <c r="E48" s="652">
        <v>2302972.84</v>
      </c>
    </row>
    <row r="49" spans="1:5" ht="14.5">
      <c r="A49" s="649">
        <v>150000</v>
      </c>
      <c r="B49" s="650" t="s">
        <v>1452</v>
      </c>
      <c r="C49" s="651">
        <v>0</v>
      </c>
      <c r="D49" s="651">
        <v>0</v>
      </c>
      <c r="E49" s="652">
        <v>3305737.28</v>
      </c>
    </row>
    <row r="50" spans="1:5" ht="14.5">
      <c r="A50" s="649">
        <v>150100</v>
      </c>
      <c r="B50" s="650" t="s">
        <v>1086</v>
      </c>
      <c r="C50" s="651">
        <v>12090.25</v>
      </c>
      <c r="D50" s="651">
        <v>12090.25</v>
      </c>
      <c r="E50" s="652">
        <v>9507435.8499999996</v>
      </c>
    </row>
    <row r="51" spans="1:5" ht="14.5">
      <c r="A51" s="649">
        <v>151100</v>
      </c>
      <c r="B51" s="650" t="s">
        <v>1087</v>
      </c>
      <c r="C51" s="651">
        <v>15293.72</v>
      </c>
      <c r="D51" s="651">
        <v>61480.33</v>
      </c>
      <c r="E51" s="652">
        <v>3625233.52</v>
      </c>
    </row>
    <row r="52" spans="1:5" ht="14.5">
      <c r="A52" s="649">
        <v>152100</v>
      </c>
      <c r="B52" s="650" t="s">
        <v>1508</v>
      </c>
      <c r="C52" s="651">
        <v>30496.06</v>
      </c>
      <c r="D52" s="651">
        <v>43007.06</v>
      </c>
      <c r="E52" s="652">
        <v>3465501.25</v>
      </c>
    </row>
    <row r="53" spans="1:5" ht="14.5">
      <c r="A53" s="649">
        <v>153100</v>
      </c>
      <c r="B53" s="650" t="s">
        <v>1509</v>
      </c>
      <c r="C53" s="651">
        <v>0</v>
      </c>
      <c r="D53" s="651">
        <v>0</v>
      </c>
      <c r="E53" s="652">
        <v>1186678.3500000001</v>
      </c>
    </row>
    <row r="54" spans="1:5" ht="14.5">
      <c r="A54" s="649">
        <v>154100</v>
      </c>
      <c r="B54" s="650" t="s">
        <v>1163</v>
      </c>
      <c r="C54" s="651">
        <v>14313.85</v>
      </c>
      <c r="D54" s="651">
        <v>14313.85</v>
      </c>
      <c r="E54" s="652">
        <v>12388294.58</v>
      </c>
    </row>
    <row r="55" spans="1:5" ht="14.5">
      <c r="A55" s="649">
        <v>155100</v>
      </c>
      <c r="B55" s="650" t="s">
        <v>1164</v>
      </c>
      <c r="C55" s="651">
        <v>993993.42</v>
      </c>
      <c r="D55" s="651">
        <v>1224659.8400000001</v>
      </c>
      <c r="E55" s="652">
        <v>21202634.469999999</v>
      </c>
    </row>
    <row r="56" spans="1:5" ht="14.5">
      <c r="A56" s="649">
        <v>156100</v>
      </c>
      <c r="B56" s="650" t="s">
        <v>1510</v>
      </c>
      <c r="C56" s="651">
        <v>17649.72</v>
      </c>
      <c r="D56" s="651">
        <v>17649.72</v>
      </c>
      <c r="E56" s="652">
        <v>1040172.43</v>
      </c>
    </row>
    <row r="57" spans="1:5" ht="14.5">
      <c r="A57" s="649">
        <v>157100</v>
      </c>
      <c r="B57" s="650" t="s">
        <v>1511</v>
      </c>
      <c r="C57" s="651">
        <v>0</v>
      </c>
      <c r="D57" s="651">
        <v>0</v>
      </c>
      <c r="E57" s="652">
        <v>601045.36</v>
      </c>
    </row>
    <row r="58" spans="1:5" ht="14.5">
      <c r="A58" s="649">
        <v>158100</v>
      </c>
      <c r="B58" s="650" t="s">
        <v>1088</v>
      </c>
      <c r="C58" s="651">
        <v>0</v>
      </c>
      <c r="D58" s="651">
        <v>0</v>
      </c>
      <c r="E58" s="652">
        <v>538284.27</v>
      </c>
    </row>
    <row r="59" spans="1:5" ht="14.5">
      <c r="A59" s="649">
        <v>159100</v>
      </c>
      <c r="B59" s="650" t="s">
        <v>1512</v>
      </c>
      <c r="C59" s="651">
        <v>0</v>
      </c>
      <c r="D59" s="651">
        <v>0</v>
      </c>
      <c r="E59" s="652">
        <v>14235</v>
      </c>
    </row>
    <row r="60" spans="1:5" ht="14.5">
      <c r="A60" s="649">
        <v>159200</v>
      </c>
      <c r="B60" s="650" t="s">
        <v>1513</v>
      </c>
      <c r="C60" s="651">
        <v>0</v>
      </c>
      <c r="D60" s="651">
        <v>0</v>
      </c>
      <c r="E60" s="652">
        <v>-472884</v>
      </c>
    </row>
    <row r="61" spans="1:5" ht="14.5">
      <c r="A61" s="649">
        <v>160000</v>
      </c>
      <c r="B61" s="650" t="s">
        <v>1514</v>
      </c>
      <c r="C61" s="651">
        <v>-22539.360000000001</v>
      </c>
      <c r="D61" s="651">
        <v>-67618.080000000002</v>
      </c>
      <c r="E61" s="652">
        <v>-2133228.23</v>
      </c>
    </row>
    <row r="62" spans="1:5" ht="14.5">
      <c r="A62" s="649">
        <v>160100</v>
      </c>
      <c r="B62" s="650" t="s">
        <v>1089</v>
      </c>
      <c r="C62" s="651">
        <v>-12207.78</v>
      </c>
      <c r="D62" s="651">
        <v>-37601.519999999997</v>
      </c>
      <c r="E62" s="652">
        <v>-8616576.9700000007</v>
      </c>
    </row>
    <row r="63" spans="1:5" ht="14.5">
      <c r="A63" s="649">
        <v>160999</v>
      </c>
      <c r="B63" s="650" t="s">
        <v>1515</v>
      </c>
      <c r="C63" s="651">
        <v>0</v>
      </c>
      <c r="D63" s="651">
        <v>0</v>
      </c>
      <c r="E63" s="652">
        <v>-553457.09</v>
      </c>
    </row>
    <row r="64" spans="1:5" ht="14.5">
      <c r="A64" s="649">
        <v>161100</v>
      </c>
      <c r="B64" s="650" t="s">
        <v>1090</v>
      </c>
      <c r="C64" s="651">
        <v>-9602.18</v>
      </c>
      <c r="D64" s="651">
        <v>-28335.9</v>
      </c>
      <c r="E64" s="652">
        <v>-3190601.85</v>
      </c>
    </row>
    <row r="65" spans="1:5" ht="14.5">
      <c r="A65" s="649">
        <v>161999</v>
      </c>
      <c r="B65" s="650" t="s">
        <v>1090</v>
      </c>
      <c r="C65" s="651">
        <v>0</v>
      </c>
      <c r="D65" s="651">
        <v>0</v>
      </c>
      <c r="E65" s="652">
        <v>-141672.29999999999</v>
      </c>
    </row>
    <row r="66" spans="1:5" ht="14.5">
      <c r="A66" s="649">
        <v>162100</v>
      </c>
      <c r="B66" s="650" t="s">
        <v>1516</v>
      </c>
      <c r="C66" s="651">
        <v>-7334.95</v>
      </c>
      <c r="D66" s="651">
        <v>-18691.07</v>
      </c>
      <c r="E66" s="652">
        <v>-3082522.94</v>
      </c>
    </row>
    <row r="67" spans="1:5" ht="14.5">
      <c r="A67" s="649">
        <v>162999</v>
      </c>
      <c r="B67" s="650" t="s">
        <v>1517</v>
      </c>
      <c r="C67" s="651">
        <v>0</v>
      </c>
      <c r="D67" s="651">
        <v>0</v>
      </c>
      <c r="E67" s="652">
        <v>-196883.15</v>
      </c>
    </row>
    <row r="68" spans="1:5" ht="14.5">
      <c r="A68" s="649">
        <v>163100</v>
      </c>
      <c r="B68" s="650" t="s">
        <v>1518</v>
      </c>
      <c r="C68" s="651">
        <v>-2741.07</v>
      </c>
      <c r="D68" s="651">
        <v>-8223.33</v>
      </c>
      <c r="E68" s="652">
        <v>-1084452.6200000001</v>
      </c>
    </row>
    <row r="69" spans="1:5" ht="14.5">
      <c r="A69" s="649">
        <v>163999</v>
      </c>
      <c r="B69" s="650" t="s">
        <v>1519</v>
      </c>
      <c r="C69" s="651">
        <v>0</v>
      </c>
      <c r="D69" s="651">
        <v>0</v>
      </c>
      <c r="E69" s="652">
        <v>-20253.98</v>
      </c>
    </row>
    <row r="70" spans="1:5" ht="14.5">
      <c r="A70" s="649">
        <v>164100</v>
      </c>
      <c r="B70" s="650" t="s">
        <v>1091</v>
      </c>
      <c r="C70" s="651">
        <v>-9439.57</v>
      </c>
      <c r="D70" s="651">
        <v>-34014.660000000003</v>
      </c>
      <c r="E70" s="652">
        <v>-12215838.029999999</v>
      </c>
    </row>
    <row r="71" spans="1:5" ht="14.5">
      <c r="A71" s="649">
        <v>164999</v>
      </c>
      <c r="B71" s="650" t="s">
        <v>1520</v>
      </c>
      <c r="C71" s="651">
        <v>0</v>
      </c>
      <c r="D71" s="651">
        <v>0</v>
      </c>
      <c r="E71" s="652">
        <v>-80573.98</v>
      </c>
    </row>
    <row r="72" spans="1:5" ht="14.5">
      <c r="A72" s="649">
        <v>165100</v>
      </c>
      <c r="B72" s="650" t="s">
        <v>1521</v>
      </c>
      <c r="C72" s="651">
        <v>-47506.66</v>
      </c>
      <c r="D72" s="651">
        <v>-139174.23000000001</v>
      </c>
      <c r="E72" s="652">
        <v>-17398379.32</v>
      </c>
    </row>
    <row r="73" spans="1:5" ht="14.5">
      <c r="A73" s="649">
        <v>165999</v>
      </c>
      <c r="B73" s="650" t="s">
        <v>1522</v>
      </c>
      <c r="C73" s="651">
        <v>0</v>
      </c>
      <c r="D73" s="651">
        <v>0</v>
      </c>
      <c r="E73" s="652">
        <v>-1526.45</v>
      </c>
    </row>
    <row r="74" spans="1:5" ht="14.5">
      <c r="A74" s="649">
        <v>166100</v>
      </c>
      <c r="B74" s="650" t="s">
        <v>1523</v>
      </c>
      <c r="C74" s="651">
        <v>-1025.8800000000001</v>
      </c>
      <c r="D74" s="651">
        <v>-3077.68</v>
      </c>
      <c r="E74" s="652">
        <v>-988720.37</v>
      </c>
    </row>
    <row r="75" spans="1:5" ht="14.5">
      <c r="A75" s="649">
        <v>166999</v>
      </c>
      <c r="B75" s="650" t="s">
        <v>1523</v>
      </c>
      <c r="C75" s="651">
        <v>0</v>
      </c>
      <c r="D75" s="651">
        <v>0</v>
      </c>
      <c r="E75" s="652">
        <v>-22569.18</v>
      </c>
    </row>
    <row r="76" spans="1:5" ht="14.5">
      <c r="A76" s="649">
        <v>167100</v>
      </c>
      <c r="B76" s="650" t="s">
        <v>1524</v>
      </c>
      <c r="C76" s="651">
        <v>-1883.69</v>
      </c>
      <c r="D76" s="651">
        <v>-5651.13</v>
      </c>
      <c r="E76" s="652">
        <v>-530843.65</v>
      </c>
    </row>
    <row r="77" spans="1:5" ht="14.5">
      <c r="A77" s="649">
        <v>168100</v>
      </c>
      <c r="B77" s="650" t="s">
        <v>1092</v>
      </c>
      <c r="C77" s="651">
        <v>-805.52</v>
      </c>
      <c r="D77" s="651">
        <v>-2570.0300000000002</v>
      </c>
      <c r="E77" s="652">
        <v>-530710.69999999995</v>
      </c>
    </row>
    <row r="78" spans="1:5" ht="14.5">
      <c r="A78" s="649">
        <v>168999</v>
      </c>
      <c r="B78" s="650" t="s">
        <v>1525</v>
      </c>
      <c r="C78" s="651">
        <v>-995992.77</v>
      </c>
      <c r="D78" s="651">
        <v>-740666.48</v>
      </c>
      <c r="E78" s="652">
        <v>120732.86</v>
      </c>
    </row>
    <row r="79" spans="1:5" ht="14.5">
      <c r="A79" s="649">
        <v>169200</v>
      </c>
      <c r="B79" s="650" t="s">
        <v>1526</v>
      </c>
      <c r="C79" s="651">
        <v>7881.4</v>
      </c>
      <c r="D79" s="651">
        <v>23644.2</v>
      </c>
      <c r="E79" s="652">
        <v>275849</v>
      </c>
    </row>
    <row r="80" spans="1:5" ht="14.5">
      <c r="A80" s="649">
        <v>169500</v>
      </c>
      <c r="B80" s="650" t="s">
        <v>1527</v>
      </c>
      <c r="C80" s="651">
        <v>0</v>
      </c>
      <c r="D80" s="651">
        <v>0</v>
      </c>
      <c r="E80" s="652">
        <v>-14235</v>
      </c>
    </row>
    <row r="81" spans="1:5" ht="14.5">
      <c r="A81" s="649">
        <v>172000</v>
      </c>
      <c r="B81" s="650" t="s">
        <v>1528</v>
      </c>
      <c r="C81" s="651">
        <v>0</v>
      </c>
      <c r="D81" s="651">
        <v>-4753.3</v>
      </c>
      <c r="E81" s="652">
        <v>101557.05</v>
      </c>
    </row>
    <row r="82" spans="1:5" ht="14.5">
      <c r="A82" s="649">
        <v>175000</v>
      </c>
      <c r="B82" s="650" t="s">
        <v>1529</v>
      </c>
      <c r="C82" s="651">
        <v>-17775</v>
      </c>
      <c r="D82" s="651">
        <v>800</v>
      </c>
      <c r="E82" s="652">
        <v>800</v>
      </c>
    </row>
    <row r="83" spans="1:5" ht="14.5">
      <c r="A83" s="649">
        <v>176000</v>
      </c>
      <c r="B83" s="650" t="s">
        <v>1530</v>
      </c>
      <c r="C83" s="651">
        <v>0</v>
      </c>
      <c r="D83" s="651">
        <v>0</v>
      </c>
      <c r="E83" s="652">
        <v>38072.5</v>
      </c>
    </row>
    <row r="84" spans="1:5" ht="14.5">
      <c r="A84" s="649">
        <v>180000</v>
      </c>
      <c r="B84" s="650" t="s">
        <v>1531</v>
      </c>
      <c r="C84" s="651">
        <v>-1601133</v>
      </c>
      <c r="D84" s="651">
        <v>-1601133</v>
      </c>
      <c r="E84" s="652">
        <v>-826068.25</v>
      </c>
    </row>
    <row r="85" spans="1:5" ht="14.5">
      <c r="A85" s="649">
        <v>185000</v>
      </c>
      <c r="B85" s="650" t="s">
        <v>1532</v>
      </c>
      <c r="C85" s="651">
        <v>-4504897.29</v>
      </c>
      <c r="D85" s="651">
        <v>-4504897.29</v>
      </c>
      <c r="E85" s="652">
        <v>8618366.9199999999</v>
      </c>
    </row>
    <row r="86" spans="1:5" ht="14.5">
      <c r="A86" s="649">
        <v>211000</v>
      </c>
      <c r="B86" s="650" t="s">
        <v>1093</v>
      </c>
      <c r="C86" s="651">
        <v>-963692.14</v>
      </c>
      <c r="D86" s="651">
        <v>-895301.59</v>
      </c>
      <c r="E86" s="652">
        <v>1635531.5</v>
      </c>
    </row>
    <row r="87" spans="1:5" ht="14.5">
      <c r="A87" s="649">
        <v>211001</v>
      </c>
      <c r="B87" s="650" t="s">
        <v>1165</v>
      </c>
      <c r="C87" s="651">
        <v>252938.23999999999</v>
      </c>
      <c r="D87" s="651">
        <v>-830913.89</v>
      </c>
      <c r="E87" s="652">
        <v>1563421.03</v>
      </c>
    </row>
    <row r="88" spans="1:5" ht="14.5">
      <c r="A88" s="649">
        <v>211500</v>
      </c>
      <c r="B88" s="650" t="s">
        <v>1533</v>
      </c>
      <c r="C88" s="651">
        <v>0</v>
      </c>
      <c r="D88" s="651">
        <v>537.34</v>
      </c>
      <c r="E88" s="652">
        <v>6650.67</v>
      </c>
    </row>
    <row r="89" spans="1:5" ht="14.5">
      <c r="A89" s="649">
        <v>212000</v>
      </c>
      <c r="B89" s="650" t="s">
        <v>1534</v>
      </c>
      <c r="C89" s="651">
        <v>56564.35</v>
      </c>
      <c r="D89" s="651">
        <v>-27919.99</v>
      </c>
      <c r="E89" s="652">
        <v>541286.19999999995</v>
      </c>
    </row>
    <row r="90" spans="1:5" ht="14.5">
      <c r="A90" s="649">
        <v>212001</v>
      </c>
      <c r="B90" s="650" t="s">
        <v>1535</v>
      </c>
      <c r="C90" s="651">
        <v>178093.97</v>
      </c>
      <c r="D90" s="651">
        <v>192834.34</v>
      </c>
      <c r="E90" s="652">
        <v>324432.7</v>
      </c>
    </row>
    <row r="91" spans="1:5" ht="14.5">
      <c r="A91" s="649">
        <v>213000</v>
      </c>
      <c r="B91" s="650" t="s">
        <v>1536</v>
      </c>
      <c r="C91" s="651">
        <v>0</v>
      </c>
      <c r="D91" s="651">
        <v>-5620.18</v>
      </c>
      <c r="E91" s="652">
        <v>0</v>
      </c>
    </row>
    <row r="92" spans="1:5" ht="14.5">
      <c r="A92" s="649">
        <v>214000</v>
      </c>
      <c r="B92" s="650" t="s">
        <v>1537</v>
      </c>
      <c r="C92" s="651">
        <v>180995.1</v>
      </c>
      <c r="D92" s="651">
        <v>221697.99</v>
      </c>
      <c r="E92" s="652">
        <v>460276.61</v>
      </c>
    </row>
    <row r="93" spans="1:5" ht="14.5">
      <c r="A93" s="649">
        <v>216000</v>
      </c>
      <c r="B93" s="650" t="s">
        <v>1538</v>
      </c>
      <c r="C93" s="651">
        <v>858.53</v>
      </c>
      <c r="D93" s="651">
        <v>2567.0500000000002</v>
      </c>
      <c r="E93" s="652">
        <v>258417.71</v>
      </c>
    </row>
    <row r="94" spans="1:5" ht="14.5">
      <c r="A94" s="649">
        <v>216500</v>
      </c>
      <c r="B94" s="650" t="s">
        <v>1539</v>
      </c>
      <c r="C94" s="651">
        <v>60407.88</v>
      </c>
      <c r="D94" s="651">
        <v>47950.53</v>
      </c>
      <c r="E94" s="652">
        <v>150972.65</v>
      </c>
    </row>
    <row r="95" spans="1:5" ht="14.5">
      <c r="A95" s="649">
        <v>216550</v>
      </c>
      <c r="B95" s="650" t="s">
        <v>1540</v>
      </c>
      <c r="C95" s="651">
        <v>27338.31</v>
      </c>
      <c r="D95" s="651">
        <v>37635.54</v>
      </c>
      <c r="E95" s="652">
        <v>106367.67999999999</v>
      </c>
    </row>
    <row r="96" spans="1:5" ht="14.5">
      <c r="A96" s="649">
        <v>218000</v>
      </c>
      <c r="B96" s="650" t="s">
        <v>1541</v>
      </c>
      <c r="C96" s="651">
        <v>546573.64</v>
      </c>
      <c r="D96" s="651">
        <v>750385.32</v>
      </c>
      <c r="E96" s="652">
        <v>968934.08</v>
      </c>
    </row>
    <row r="97" spans="1:5" ht="14.5">
      <c r="A97" s="649">
        <v>218500</v>
      </c>
      <c r="B97" s="650" t="s">
        <v>1542</v>
      </c>
      <c r="C97" s="651">
        <v>-635.64</v>
      </c>
      <c r="D97" s="651">
        <v>370.45</v>
      </c>
      <c r="E97" s="652">
        <v>370.46</v>
      </c>
    </row>
    <row r="98" spans="1:5" ht="14.5">
      <c r="A98" s="649">
        <v>219000</v>
      </c>
      <c r="B98" s="650" t="s">
        <v>1094</v>
      </c>
      <c r="C98" s="651">
        <v>-35868.58</v>
      </c>
      <c r="D98" s="651">
        <v>25266.1</v>
      </c>
      <c r="E98" s="652">
        <v>314548.96000000002</v>
      </c>
    </row>
    <row r="99" spans="1:5" ht="14.5">
      <c r="A99" s="649">
        <v>220000</v>
      </c>
      <c r="B99" s="650" t="s">
        <v>1543</v>
      </c>
      <c r="C99" s="651">
        <v>5000</v>
      </c>
      <c r="D99" s="651">
        <v>15000</v>
      </c>
      <c r="E99" s="652">
        <v>22019.439999999999</v>
      </c>
    </row>
    <row r="100" spans="1:5" ht="14.5">
      <c r="A100" s="649">
        <v>221000</v>
      </c>
      <c r="B100" s="650" t="s">
        <v>1544</v>
      </c>
      <c r="C100" s="651">
        <v>234776.94</v>
      </c>
      <c r="D100" s="651">
        <v>107573.8</v>
      </c>
      <c r="E100" s="652">
        <v>1822501.94</v>
      </c>
    </row>
    <row r="101" spans="1:5" ht="14.5">
      <c r="A101" s="649">
        <v>221100</v>
      </c>
      <c r="B101" s="650" t="s">
        <v>1545</v>
      </c>
      <c r="C101" s="651">
        <v>48543.91</v>
      </c>
      <c r="D101" s="651">
        <v>172696.97</v>
      </c>
      <c r="E101" s="652">
        <v>258878.91</v>
      </c>
    </row>
    <row r="102" spans="1:5" ht="14.5">
      <c r="A102" s="649">
        <v>222600</v>
      </c>
      <c r="B102" s="650" t="s">
        <v>1546</v>
      </c>
      <c r="C102" s="651">
        <v>5980.14</v>
      </c>
      <c r="D102" s="651">
        <v>33881.96</v>
      </c>
      <c r="E102" s="652">
        <v>-14012.07</v>
      </c>
    </row>
    <row r="103" spans="1:5" ht="14.5">
      <c r="A103" s="649">
        <v>222700</v>
      </c>
      <c r="B103" s="650" t="s">
        <v>1547</v>
      </c>
      <c r="C103" s="651">
        <v>59857.93</v>
      </c>
      <c r="D103" s="651">
        <v>73295</v>
      </c>
      <c r="E103" s="652">
        <v>163583.21</v>
      </c>
    </row>
    <row r="104" spans="1:5" ht="14.5">
      <c r="A104" s="649">
        <v>223000</v>
      </c>
      <c r="B104" s="650" t="s">
        <v>1097</v>
      </c>
      <c r="C104" s="651">
        <v>1911.28</v>
      </c>
      <c r="D104" s="651">
        <v>-229013.25</v>
      </c>
      <c r="E104" s="652">
        <v>100775.34</v>
      </c>
    </row>
    <row r="105" spans="1:5" ht="14.5">
      <c r="A105" s="649">
        <v>224000</v>
      </c>
      <c r="B105" s="650" t="s">
        <v>1098</v>
      </c>
      <c r="C105" s="651">
        <v>191.32</v>
      </c>
      <c r="D105" s="651">
        <v>-2956.15</v>
      </c>
      <c r="E105" s="652">
        <v>1663.43</v>
      </c>
    </row>
    <row r="106" spans="1:5" ht="14.5">
      <c r="A106" s="649">
        <v>226000</v>
      </c>
      <c r="B106" s="650" t="s">
        <v>1453</v>
      </c>
      <c r="C106" s="651">
        <v>8427.4699999999993</v>
      </c>
      <c r="D106" s="651">
        <v>27313.74</v>
      </c>
      <c r="E106" s="652">
        <v>6529.46</v>
      </c>
    </row>
    <row r="107" spans="1:5" ht="14.5">
      <c r="A107" s="649">
        <v>227000</v>
      </c>
      <c r="B107" s="650" t="s">
        <v>1548</v>
      </c>
      <c r="C107" s="651">
        <v>20193.169999999998</v>
      </c>
      <c r="D107" s="651">
        <v>19098.29</v>
      </c>
      <c r="E107" s="652">
        <v>-16877.91</v>
      </c>
    </row>
    <row r="108" spans="1:5" ht="14.5">
      <c r="A108" s="649">
        <v>227500</v>
      </c>
      <c r="B108" s="650" t="s">
        <v>1549</v>
      </c>
      <c r="C108" s="651">
        <v>-1262</v>
      </c>
      <c r="D108" s="651">
        <v>684</v>
      </c>
      <c r="E108" s="652">
        <v>344301.66</v>
      </c>
    </row>
    <row r="109" spans="1:5" ht="14.5">
      <c r="A109" s="649">
        <v>228000</v>
      </c>
      <c r="B109" s="650" t="s">
        <v>1550</v>
      </c>
      <c r="C109" s="651">
        <v>4387.1899999999996</v>
      </c>
      <c r="D109" s="651">
        <v>13525.28</v>
      </c>
      <c r="E109" s="652">
        <v>15050.78</v>
      </c>
    </row>
    <row r="110" spans="1:5" ht="14.5">
      <c r="A110" s="649">
        <v>231000</v>
      </c>
      <c r="B110" s="650" t="s">
        <v>1099</v>
      </c>
      <c r="C110" s="651">
        <v>1183362.1299999999</v>
      </c>
      <c r="D110" s="651">
        <v>1210692.44</v>
      </c>
      <c r="E110" s="652">
        <v>2091038.78</v>
      </c>
    </row>
    <row r="111" spans="1:5" ht="14.5">
      <c r="A111" s="649">
        <v>231100</v>
      </c>
      <c r="B111" s="650" t="s">
        <v>1551</v>
      </c>
      <c r="C111" s="651">
        <v>16597.34</v>
      </c>
      <c r="D111" s="651">
        <v>-4124.16</v>
      </c>
      <c r="E111" s="652">
        <v>77351.759999999995</v>
      </c>
    </row>
    <row r="112" spans="1:5" ht="14.5">
      <c r="A112" s="649">
        <v>231200</v>
      </c>
      <c r="B112" s="650" t="s">
        <v>1552</v>
      </c>
      <c r="C112" s="651">
        <v>50850.61</v>
      </c>
      <c r="D112" s="651">
        <v>74154.17</v>
      </c>
      <c r="E112" s="652">
        <v>883331.03</v>
      </c>
    </row>
    <row r="113" spans="1:5" ht="14.5">
      <c r="A113" s="649">
        <v>231300</v>
      </c>
      <c r="B113" s="650" t="s">
        <v>1166</v>
      </c>
      <c r="C113" s="651">
        <v>-11365.78</v>
      </c>
      <c r="D113" s="651">
        <v>-36464.57</v>
      </c>
      <c r="E113" s="652">
        <v>-36464.57</v>
      </c>
    </row>
    <row r="114" spans="1:5" ht="14.5">
      <c r="A114" s="649">
        <v>231400</v>
      </c>
      <c r="B114" s="650" t="s">
        <v>1553</v>
      </c>
      <c r="C114" s="651">
        <v>64240.62</v>
      </c>
      <c r="D114" s="651">
        <v>17715.11</v>
      </c>
      <c r="E114" s="652">
        <v>158541.64000000001</v>
      </c>
    </row>
    <row r="115" spans="1:5" ht="14.5">
      <c r="A115" s="649">
        <v>231500</v>
      </c>
      <c r="B115" s="650" t="s">
        <v>1100</v>
      </c>
      <c r="C115" s="651">
        <v>-341716.91</v>
      </c>
      <c r="D115" s="651">
        <v>115450.46</v>
      </c>
      <c r="E115" s="652">
        <v>194688.01</v>
      </c>
    </row>
    <row r="116" spans="1:5" ht="14.5">
      <c r="A116" s="649">
        <v>231700</v>
      </c>
      <c r="B116" s="650" t="s">
        <v>1554</v>
      </c>
      <c r="C116" s="651">
        <v>17190.87</v>
      </c>
      <c r="D116" s="651">
        <v>28804.61</v>
      </c>
      <c r="E116" s="652">
        <v>125431.33</v>
      </c>
    </row>
    <row r="117" spans="1:5" ht="14.5">
      <c r="A117" s="649">
        <v>231900</v>
      </c>
      <c r="B117" s="650" t="s">
        <v>1454</v>
      </c>
      <c r="C117" s="651">
        <v>0</v>
      </c>
      <c r="D117" s="651">
        <v>-1583.6</v>
      </c>
      <c r="E117" s="652">
        <v>2848.93</v>
      </c>
    </row>
    <row r="118" spans="1:5" ht="14.5">
      <c r="A118" s="649">
        <v>241000</v>
      </c>
      <c r="B118" s="650" t="s">
        <v>1095</v>
      </c>
      <c r="C118" s="651">
        <v>2983.23</v>
      </c>
      <c r="D118" s="651">
        <v>0</v>
      </c>
      <c r="E118" s="652">
        <v>0</v>
      </c>
    </row>
    <row r="119" spans="1:5" ht="14.5">
      <c r="A119" s="649">
        <v>244000</v>
      </c>
      <c r="B119" s="650" t="s">
        <v>1096</v>
      </c>
      <c r="C119" s="651">
        <v>2165.4699999999998</v>
      </c>
      <c r="D119" s="651">
        <v>-295.11</v>
      </c>
      <c r="E119" s="652">
        <v>-0.01</v>
      </c>
    </row>
    <row r="120" spans="1:5" ht="14.5">
      <c r="A120" s="649">
        <v>245000</v>
      </c>
      <c r="B120" s="650" t="s">
        <v>1455</v>
      </c>
      <c r="C120" s="651">
        <v>226441.57</v>
      </c>
      <c r="D120" s="651">
        <v>69619.929999999993</v>
      </c>
      <c r="E120" s="652">
        <v>831223.32</v>
      </c>
    </row>
    <row r="121" spans="1:5" ht="14.5">
      <c r="A121" s="649">
        <v>248000</v>
      </c>
      <c r="B121" s="650" t="s">
        <v>1555</v>
      </c>
      <c r="C121" s="651">
        <v>555.34</v>
      </c>
      <c r="D121" s="651">
        <v>2022.21</v>
      </c>
      <c r="E121" s="652">
        <v>-5767923.2699999996</v>
      </c>
    </row>
    <row r="122" spans="1:5" ht="14.5">
      <c r="A122" s="649">
        <v>248800</v>
      </c>
      <c r="B122" s="650" t="s">
        <v>1556</v>
      </c>
      <c r="C122" s="651">
        <v>19340.05</v>
      </c>
      <c r="D122" s="651">
        <v>47013.45</v>
      </c>
      <c r="E122" s="652">
        <v>168961.68</v>
      </c>
    </row>
    <row r="123" spans="1:5" ht="14.5">
      <c r="A123" s="649">
        <v>249000</v>
      </c>
      <c r="B123" s="650" t="s">
        <v>1557</v>
      </c>
      <c r="C123" s="651">
        <v>365.28</v>
      </c>
      <c r="D123" s="651">
        <v>2206.69</v>
      </c>
      <c r="E123" s="652">
        <v>8524.0499999999993</v>
      </c>
    </row>
    <row r="124" spans="1:5" ht="14.5">
      <c r="A124" s="649">
        <v>250000</v>
      </c>
      <c r="B124" s="650" t="s">
        <v>1558</v>
      </c>
      <c r="C124" s="651">
        <v>-26147.46</v>
      </c>
      <c r="D124" s="651">
        <v>-226947.37</v>
      </c>
      <c r="E124" s="652">
        <v>233056.63</v>
      </c>
    </row>
    <row r="125" spans="1:5" ht="14.5">
      <c r="A125" s="649">
        <v>261000</v>
      </c>
      <c r="B125" s="650" t="s">
        <v>1456</v>
      </c>
      <c r="C125" s="651">
        <v>-21931.14</v>
      </c>
      <c r="D125" s="651">
        <v>-65575.08</v>
      </c>
      <c r="E125" s="652">
        <v>845642.15</v>
      </c>
    </row>
    <row r="126" spans="1:5" ht="14.5">
      <c r="A126" s="649">
        <v>261100</v>
      </c>
      <c r="B126" s="650" t="s">
        <v>1559</v>
      </c>
      <c r="C126" s="651">
        <v>89.5</v>
      </c>
      <c r="D126" s="651">
        <v>268.5</v>
      </c>
      <c r="E126" s="652">
        <v>302975.34000000003</v>
      </c>
    </row>
    <row r="127" spans="1:5" ht="14.5">
      <c r="A127" s="649">
        <v>301000</v>
      </c>
      <c r="B127" s="650" t="s">
        <v>1560</v>
      </c>
      <c r="C127" s="651">
        <v>-11975</v>
      </c>
      <c r="D127" s="651">
        <v>-11975</v>
      </c>
      <c r="E127" s="652">
        <v>4695229.5599999996</v>
      </c>
    </row>
    <row r="128" spans="1:5" ht="14.5">
      <c r="A128" s="649">
        <v>306000</v>
      </c>
      <c r="B128" s="650" t="s">
        <v>1561</v>
      </c>
      <c r="C128" s="651">
        <v>0</v>
      </c>
      <c r="D128" s="651">
        <v>0</v>
      </c>
      <c r="E128" s="652">
        <v>-176133</v>
      </c>
    </row>
    <row r="129" spans="1:5" ht="14.5">
      <c r="A129" s="649">
        <v>309000</v>
      </c>
      <c r="B129" s="650" t="s">
        <v>1562</v>
      </c>
      <c r="C129" s="651">
        <v>0</v>
      </c>
      <c r="D129" s="651">
        <v>0</v>
      </c>
      <c r="E129" s="652">
        <v>-68198660.879999995</v>
      </c>
    </row>
    <row r="130" spans="1:5" ht="14.5">
      <c r="A130" s="649">
        <v>310000</v>
      </c>
      <c r="B130" s="650" t="s">
        <v>1167</v>
      </c>
      <c r="C130" s="651">
        <v>0</v>
      </c>
      <c r="D130" s="651">
        <v>0</v>
      </c>
      <c r="E130" s="652">
        <v>102311918.29000001</v>
      </c>
    </row>
    <row r="131" spans="1:5" ht="14.5">
      <c r="A131" s="649">
        <v>401001</v>
      </c>
      <c r="B131" s="650" t="s">
        <v>1457</v>
      </c>
      <c r="C131" s="651">
        <v>138864.23000000001</v>
      </c>
      <c r="D131" s="651">
        <v>435835.51</v>
      </c>
      <c r="E131" s="652">
        <v>2292588.17</v>
      </c>
    </row>
    <row r="132" spans="1:5" ht="14.5">
      <c r="A132" s="649">
        <v>401002</v>
      </c>
      <c r="B132" s="650" t="s">
        <v>1458</v>
      </c>
      <c r="C132" s="651">
        <v>699553.9</v>
      </c>
      <c r="D132" s="651">
        <v>1845192.64</v>
      </c>
      <c r="E132" s="652">
        <v>7080539.54</v>
      </c>
    </row>
    <row r="133" spans="1:5" ht="14.5">
      <c r="A133" s="649">
        <v>401004</v>
      </c>
      <c r="B133" s="650" t="s">
        <v>1459</v>
      </c>
      <c r="C133" s="651">
        <v>187679.17</v>
      </c>
      <c r="D133" s="651">
        <v>356580.2</v>
      </c>
      <c r="E133" s="652">
        <v>1596574.55</v>
      </c>
    </row>
    <row r="134" spans="1:5" ht="14.5">
      <c r="A134" s="649">
        <v>401050</v>
      </c>
      <c r="B134" s="650" t="s">
        <v>1563</v>
      </c>
      <c r="C134" s="651">
        <v>9833.7099999999991</v>
      </c>
      <c r="D134" s="651">
        <v>28614.080000000002</v>
      </c>
      <c r="E134" s="652">
        <v>131246.82999999999</v>
      </c>
    </row>
    <row r="135" spans="1:5" ht="14.5">
      <c r="A135" s="649">
        <v>401060</v>
      </c>
      <c r="B135" s="650" t="s">
        <v>1564</v>
      </c>
      <c r="C135" s="651">
        <v>-147</v>
      </c>
      <c r="D135" s="651">
        <v>-111</v>
      </c>
      <c r="E135" s="652">
        <v>182.75</v>
      </c>
    </row>
    <row r="136" spans="1:5" ht="14.5">
      <c r="A136" s="649">
        <v>401200</v>
      </c>
      <c r="B136" s="650" t="s">
        <v>1460</v>
      </c>
      <c r="C136" s="651">
        <v>109829.58</v>
      </c>
      <c r="D136" s="651">
        <v>238655.27</v>
      </c>
      <c r="E136" s="652">
        <v>1097065.81</v>
      </c>
    </row>
    <row r="137" spans="1:5" ht="14.5">
      <c r="A137" s="649">
        <v>401700</v>
      </c>
      <c r="B137" s="650" t="s">
        <v>1461</v>
      </c>
      <c r="C137" s="651">
        <v>8852.0300000000007</v>
      </c>
      <c r="D137" s="651">
        <v>24440.6</v>
      </c>
      <c r="E137" s="652">
        <v>139901.56</v>
      </c>
    </row>
    <row r="138" spans="1:5" ht="14.5">
      <c r="A138" s="649">
        <v>405010</v>
      </c>
      <c r="B138" s="650" t="s">
        <v>1462</v>
      </c>
      <c r="C138" s="651">
        <v>0</v>
      </c>
      <c r="D138" s="651">
        <v>175.96</v>
      </c>
      <c r="E138" s="652">
        <v>5924.8</v>
      </c>
    </row>
    <row r="139" spans="1:5" ht="14.5">
      <c r="A139" s="649">
        <v>411000</v>
      </c>
      <c r="B139" s="650" t="s">
        <v>1565</v>
      </c>
      <c r="C139" s="651">
        <v>8349128.9699999997</v>
      </c>
      <c r="D139" s="651">
        <v>19606856.920000002</v>
      </c>
      <c r="E139" s="652">
        <v>73261814.829999998</v>
      </c>
    </row>
    <row r="140" spans="1:5" ht="14.5">
      <c r="A140" s="649">
        <v>412010</v>
      </c>
      <c r="B140" s="650" t="s">
        <v>1566</v>
      </c>
      <c r="C140" s="651">
        <v>4015154.7</v>
      </c>
      <c r="D140" s="651">
        <v>9359701.0999999996</v>
      </c>
      <c r="E140" s="652">
        <v>34131329.810000002</v>
      </c>
    </row>
    <row r="141" spans="1:5" ht="14.5">
      <c r="A141" s="649">
        <v>412020</v>
      </c>
      <c r="B141" s="650" t="s">
        <v>1567</v>
      </c>
      <c r="C141" s="651">
        <v>337330.38</v>
      </c>
      <c r="D141" s="651">
        <v>848186.86</v>
      </c>
      <c r="E141" s="652">
        <v>3939220.93</v>
      </c>
    </row>
    <row r="142" spans="1:5" ht="14.5">
      <c r="A142" s="649">
        <v>450000</v>
      </c>
      <c r="B142" s="650" t="s">
        <v>1568</v>
      </c>
      <c r="C142" s="651">
        <v>-195.16</v>
      </c>
      <c r="D142" s="651">
        <v>-453.48</v>
      </c>
      <c r="E142" s="652">
        <v>-1735.68</v>
      </c>
    </row>
    <row r="143" spans="1:5" ht="14.5">
      <c r="A143" s="649">
        <v>501006</v>
      </c>
      <c r="B143" s="650" t="s">
        <v>1463</v>
      </c>
      <c r="C143" s="651">
        <v>-3078.19</v>
      </c>
      <c r="D143" s="651">
        <v>-10447.73</v>
      </c>
      <c r="E143" s="652">
        <v>-48958.55</v>
      </c>
    </row>
    <row r="144" spans="1:5" ht="14.5">
      <c r="A144" s="649">
        <v>501008</v>
      </c>
      <c r="B144" s="650" t="s">
        <v>1464</v>
      </c>
      <c r="C144" s="651">
        <v>-68265.119999999995</v>
      </c>
      <c r="D144" s="651">
        <v>-146537.15</v>
      </c>
      <c r="E144" s="652">
        <v>-651892.37</v>
      </c>
    </row>
    <row r="145" spans="1:5" ht="14.5">
      <c r="A145" s="649">
        <v>501020</v>
      </c>
      <c r="B145" s="650" t="s">
        <v>1465</v>
      </c>
      <c r="C145" s="651">
        <v>-125204.28</v>
      </c>
      <c r="D145" s="651">
        <v>-383990.49</v>
      </c>
      <c r="E145" s="652">
        <v>-2086694.97</v>
      </c>
    </row>
    <row r="146" spans="1:5" ht="14.5">
      <c r="A146" s="649">
        <v>501022</v>
      </c>
      <c r="B146" s="650" t="s">
        <v>1466</v>
      </c>
      <c r="C146" s="651">
        <v>-173414.05</v>
      </c>
      <c r="D146" s="651">
        <v>-339996.58</v>
      </c>
      <c r="E146" s="652">
        <v>-1497883.68</v>
      </c>
    </row>
    <row r="147" spans="1:5" ht="14.5">
      <c r="A147" s="649">
        <v>501023</v>
      </c>
      <c r="B147" s="650" t="s">
        <v>1467</v>
      </c>
      <c r="C147" s="651">
        <v>-626988.75</v>
      </c>
      <c r="D147" s="651">
        <v>-1696969.11</v>
      </c>
      <c r="E147" s="652">
        <v>-6491871.0599999996</v>
      </c>
    </row>
    <row r="148" spans="1:5" ht="14.5">
      <c r="A148" s="649">
        <v>501050</v>
      </c>
      <c r="B148" s="650" t="s">
        <v>1569</v>
      </c>
      <c r="C148" s="651">
        <v>-9080.7099999999991</v>
      </c>
      <c r="D148" s="651">
        <v>-26668.5</v>
      </c>
      <c r="E148" s="652">
        <v>-120053.9</v>
      </c>
    </row>
    <row r="149" spans="1:5" ht="14.5">
      <c r="A149" s="649">
        <v>503000</v>
      </c>
      <c r="B149" s="650" t="s">
        <v>1110</v>
      </c>
      <c r="C149" s="651">
        <v>24038.63</v>
      </c>
      <c r="D149" s="651">
        <v>185461.02</v>
      </c>
      <c r="E149" s="652">
        <v>689117.14</v>
      </c>
    </row>
    <row r="150" spans="1:5" ht="14.5">
      <c r="A150" s="649">
        <v>504100</v>
      </c>
      <c r="B150" s="650" t="s">
        <v>1104</v>
      </c>
      <c r="C150" s="651">
        <v>-4611</v>
      </c>
      <c r="D150" s="651">
        <v>-12718.87</v>
      </c>
      <c r="E150" s="652">
        <v>-66073.460000000006</v>
      </c>
    </row>
    <row r="151" spans="1:5" ht="14.5">
      <c r="A151" s="649">
        <v>504110</v>
      </c>
      <c r="B151" s="650" t="s">
        <v>1105</v>
      </c>
      <c r="C151" s="651">
        <v>-10986.92</v>
      </c>
      <c r="D151" s="651">
        <v>-30306.45</v>
      </c>
      <c r="E151" s="652">
        <v>-82909.72</v>
      </c>
    </row>
    <row r="152" spans="1:5" ht="14.5">
      <c r="A152" s="649">
        <v>504120</v>
      </c>
      <c r="B152" s="650" t="s">
        <v>1106</v>
      </c>
      <c r="C152" s="651">
        <v>-18512.080000000002</v>
      </c>
      <c r="D152" s="651">
        <v>-50751.67</v>
      </c>
      <c r="E152" s="652">
        <v>-102564.76</v>
      </c>
    </row>
    <row r="153" spans="1:5" ht="14.5">
      <c r="A153" s="649">
        <v>506100</v>
      </c>
      <c r="B153" s="650" t="s">
        <v>1570</v>
      </c>
      <c r="C153" s="651">
        <v>784</v>
      </c>
      <c r="D153" s="651">
        <v>2100</v>
      </c>
      <c r="E153" s="652">
        <v>8470</v>
      </c>
    </row>
    <row r="154" spans="1:5" ht="14.5">
      <c r="A154" s="649">
        <v>506200</v>
      </c>
      <c r="B154" s="650" t="s">
        <v>1571</v>
      </c>
      <c r="C154" s="651">
        <v>5659</v>
      </c>
      <c r="D154" s="651">
        <v>11350.97</v>
      </c>
      <c r="E154" s="652">
        <v>53339.74</v>
      </c>
    </row>
    <row r="155" spans="1:5" ht="14.5">
      <c r="A155" s="649">
        <v>506250</v>
      </c>
      <c r="B155" s="650" t="s">
        <v>1572</v>
      </c>
      <c r="C155" s="651">
        <v>11619</v>
      </c>
      <c r="D155" s="651">
        <v>19676</v>
      </c>
      <c r="E155" s="652">
        <v>38965</v>
      </c>
    </row>
    <row r="156" spans="1:5" ht="14.5">
      <c r="A156" s="649">
        <v>506260</v>
      </c>
      <c r="B156" s="650" t="s">
        <v>1573</v>
      </c>
      <c r="C156" s="651">
        <v>45600</v>
      </c>
      <c r="D156" s="651">
        <v>118210</v>
      </c>
      <c r="E156" s="652">
        <v>266039.44</v>
      </c>
    </row>
    <row r="157" spans="1:5" ht="14.5">
      <c r="A157" s="649">
        <v>506300</v>
      </c>
      <c r="B157" s="650" t="s">
        <v>1574</v>
      </c>
      <c r="C157" s="651">
        <v>3066</v>
      </c>
      <c r="D157" s="651">
        <v>7252</v>
      </c>
      <c r="E157" s="652">
        <v>28014</v>
      </c>
    </row>
    <row r="158" spans="1:5" ht="14.5">
      <c r="A158" s="649">
        <v>506400</v>
      </c>
      <c r="B158" s="650" t="s">
        <v>1575</v>
      </c>
      <c r="C158" s="651">
        <v>14223</v>
      </c>
      <c r="D158" s="651">
        <v>37884</v>
      </c>
      <c r="E158" s="652">
        <v>161257</v>
      </c>
    </row>
    <row r="159" spans="1:5" ht="14.5">
      <c r="A159" s="649">
        <v>506440</v>
      </c>
      <c r="B159" s="650" t="s">
        <v>1576</v>
      </c>
      <c r="C159" s="651">
        <v>921.25</v>
      </c>
      <c r="D159" s="651">
        <v>3363.25</v>
      </c>
      <c r="E159" s="652">
        <v>22674.45</v>
      </c>
    </row>
    <row r="160" spans="1:5" ht="14.5">
      <c r="A160" s="649">
        <v>506450</v>
      </c>
      <c r="B160" s="650" t="s">
        <v>1101</v>
      </c>
      <c r="C160" s="651">
        <v>80.25</v>
      </c>
      <c r="D160" s="651">
        <v>481.8</v>
      </c>
      <c r="E160" s="652">
        <v>2107.94</v>
      </c>
    </row>
    <row r="161" spans="1:5" ht="14.5">
      <c r="A161" s="649">
        <v>506460</v>
      </c>
      <c r="B161" s="650" t="s">
        <v>1577</v>
      </c>
      <c r="C161" s="651">
        <v>2502.87</v>
      </c>
      <c r="D161" s="651">
        <v>9031.06</v>
      </c>
      <c r="E161" s="652">
        <v>113201.17</v>
      </c>
    </row>
    <row r="162" spans="1:5" ht="14.5">
      <c r="A162" s="649">
        <v>506900</v>
      </c>
      <c r="B162" s="650" t="s">
        <v>1102</v>
      </c>
      <c r="C162" s="651">
        <v>24095</v>
      </c>
      <c r="D162" s="651">
        <v>70340</v>
      </c>
      <c r="E162" s="652">
        <v>321633.27</v>
      </c>
    </row>
    <row r="163" spans="1:5" ht="14.5">
      <c r="A163" s="649">
        <v>506910</v>
      </c>
      <c r="B163" s="650" t="s">
        <v>1578</v>
      </c>
      <c r="C163" s="651">
        <v>32675</v>
      </c>
      <c r="D163" s="651">
        <v>94575</v>
      </c>
      <c r="E163" s="652">
        <v>369310.14</v>
      </c>
    </row>
    <row r="164" spans="1:5" ht="14.5">
      <c r="A164" s="649">
        <v>506920</v>
      </c>
      <c r="B164" s="650" t="s">
        <v>1579</v>
      </c>
      <c r="C164" s="651">
        <v>9309.8700000000008</v>
      </c>
      <c r="D164" s="651">
        <v>29163.24</v>
      </c>
      <c r="E164" s="652">
        <v>124102.72</v>
      </c>
    </row>
    <row r="165" spans="1:5" ht="14.5">
      <c r="A165" s="649">
        <v>506930</v>
      </c>
      <c r="B165" s="650" t="s">
        <v>1580</v>
      </c>
      <c r="C165" s="651">
        <v>6154</v>
      </c>
      <c r="D165" s="651">
        <v>15054</v>
      </c>
      <c r="E165" s="652">
        <v>90441</v>
      </c>
    </row>
    <row r="166" spans="1:5" ht="14.5">
      <c r="A166" s="649">
        <v>507000</v>
      </c>
      <c r="B166" s="650" t="s">
        <v>1103</v>
      </c>
      <c r="C166" s="651">
        <v>7179.78</v>
      </c>
      <c r="D166" s="651">
        <v>21313.64</v>
      </c>
      <c r="E166" s="652">
        <v>140277.91</v>
      </c>
    </row>
    <row r="167" spans="1:5" ht="14.5">
      <c r="A167" s="649">
        <v>507200</v>
      </c>
      <c r="B167" s="650" t="s">
        <v>1581</v>
      </c>
      <c r="C167" s="651">
        <v>0</v>
      </c>
      <c r="D167" s="651">
        <v>0</v>
      </c>
      <c r="E167" s="652">
        <v>893.1</v>
      </c>
    </row>
    <row r="168" spans="1:5" ht="14.5">
      <c r="A168" s="649">
        <v>507600</v>
      </c>
      <c r="B168" s="650" t="s">
        <v>1582</v>
      </c>
      <c r="C168" s="651">
        <v>20555</v>
      </c>
      <c r="D168" s="651">
        <v>85300</v>
      </c>
      <c r="E168" s="652">
        <v>395180</v>
      </c>
    </row>
    <row r="169" spans="1:5" ht="14.5">
      <c r="A169" s="649">
        <v>511000</v>
      </c>
      <c r="B169" s="650" t="s">
        <v>1583</v>
      </c>
      <c r="C169" s="651">
        <v>-5056576.76</v>
      </c>
      <c r="D169" s="651">
        <v>-11826897.35</v>
      </c>
      <c r="E169" s="652">
        <v>-44051614.130000003</v>
      </c>
    </row>
    <row r="170" spans="1:5" ht="14.5">
      <c r="A170" s="649">
        <v>520000</v>
      </c>
      <c r="B170" s="650" t="s">
        <v>1584</v>
      </c>
      <c r="C170" s="651">
        <v>-1335.22</v>
      </c>
      <c r="D170" s="651">
        <v>-2952.62</v>
      </c>
      <c r="E170" s="652">
        <v>-13032.63</v>
      </c>
    </row>
    <row r="171" spans="1:5" ht="14.5">
      <c r="A171" s="649">
        <v>521000</v>
      </c>
      <c r="B171" s="650" t="s">
        <v>1585</v>
      </c>
      <c r="C171" s="651">
        <v>0</v>
      </c>
      <c r="D171" s="651">
        <v>0</v>
      </c>
      <c r="E171" s="652">
        <v>-112.7</v>
      </c>
    </row>
    <row r="172" spans="1:5" ht="14.5">
      <c r="A172" s="649">
        <v>521100</v>
      </c>
      <c r="B172" s="650" t="s">
        <v>1107</v>
      </c>
      <c r="C172" s="651">
        <v>-16934.32</v>
      </c>
      <c r="D172" s="651">
        <v>-58443.35</v>
      </c>
      <c r="E172" s="652">
        <v>-259167.39</v>
      </c>
    </row>
    <row r="173" spans="1:5" ht="14.5">
      <c r="A173" s="649">
        <v>521110</v>
      </c>
      <c r="B173" s="650" t="s">
        <v>1586</v>
      </c>
      <c r="C173" s="651">
        <v>-948.51</v>
      </c>
      <c r="D173" s="651">
        <v>-1633.52</v>
      </c>
      <c r="E173" s="652">
        <v>-9309.94</v>
      </c>
    </row>
    <row r="174" spans="1:5" ht="14.5">
      <c r="A174" s="649">
        <v>521120</v>
      </c>
      <c r="B174" s="650" t="s">
        <v>1108</v>
      </c>
      <c r="C174" s="651">
        <v>0</v>
      </c>
      <c r="D174" s="651">
        <v>0</v>
      </c>
      <c r="E174" s="652">
        <v>1053.6199999999999</v>
      </c>
    </row>
    <row r="175" spans="1:5" ht="14.5">
      <c r="A175" s="649">
        <v>521200</v>
      </c>
      <c r="B175" s="650" t="s">
        <v>1587</v>
      </c>
      <c r="C175" s="651">
        <v>1094.8599999999999</v>
      </c>
      <c r="D175" s="651">
        <v>175.42</v>
      </c>
      <c r="E175" s="652">
        <v>-1287.22</v>
      </c>
    </row>
    <row r="176" spans="1:5" ht="14.5">
      <c r="A176" s="649">
        <v>521300</v>
      </c>
      <c r="B176" s="650" t="s">
        <v>1588</v>
      </c>
      <c r="C176" s="651">
        <v>-2071.02</v>
      </c>
      <c r="D176" s="651">
        <v>-3414.61</v>
      </c>
      <c r="E176" s="652">
        <v>-9264.93</v>
      </c>
    </row>
    <row r="177" spans="1:5" ht="14.5">
      <c r="A177" s="649">
        <v>521310</v>
      </c>
      <c r="B177" s="650" t="s">
        <v>1589</v>
      </c>
      <c r="C177" s="651">
        <v>-1137.0899999999999</v>
      </c>
      <c r="D177" s="651">
        <v>-3342.07</v>
      </c>
      <c r="E177" s="652">
        <v>-12380.53</v>
      </c>
    </row>
    <row r="178" spans="1:5" ht="14.5">
      <c r="A178" s="649">
        <v>521320</v>
      </c>
      <c r="B178" s="650" t="s">
        <v>1590</v>
      </c>
      <c r="C178" s="651">
        <v>-1640.16</v>
      </c>
      <c r="D178" s="651">
        <v>-3041.54</v>
      </c>
      <c r="E178" s="652">
        <v>-10083.049999999999</v>
      </c>
    </row>
    <row r="179" spans="1:5" ht="14.5">
      <c r="A179" s="649">
        <v>521400</v>
      </c>
      <c r="B179" s="650" t="s">
        <v>1468</v>
      </c>
      <c r="C179" s="651">
        <v>-417904.2</v>
      </c>
      <c r="D179" s="651">
        <v>-561904.19999999995</v>
      </c>
      <c r="E179" s="652">
        <v>-770404.17</v>
      </c>
    </row>
    <row r="180" spans="1:5" ht="14.5">
      <c r="A180" s="649">
        <v>521500</v>
      </c>
      <c r="B180" s="650" t="s">
        <v>1109</v>
      </c>
      <c r="C180" s="651">
        <v>-14638.07</v>
      </c>
      <c r="D180" s="651">
        <v>-33989.72</v>
      </c>
      <c r="E180" s="652">
        <v>-143311.59</v>
      </c>
    </row>
    <row r="181" spans="1:5" ht="14.5">
      <c r="A181" s="649">
        <v>521550</v>
      </c>
      <c r="B181" s="650" t="s">
        <v>1591</v>
      </c>
      <c r="C181" s="651">
        <v>0</v>
      </c>
      <c r="D181" s="651">
        <v>0</v>
      </c>
      <c r="E181" s="652">
        <v>-258.37</v>
      </c>
    </row>
    <row r="182" spans="1:5" ht="14.5">
      <c r="A182" s="649">
        <v>521800</v>
      </c>
      <c r="B182" s="650" t="s">
        <v>1469</v>
      </c>
      <c r="C182" s="651">
        <v>-130660.58</v>
      </c>
      <c r="D182" s="651">
        <v>-256665.85</v>
      </c>
      <c r="E182" s="652">
        <v>-768882.79</v>
      </c>
    </row>
    <row r="183" spans="1:5" ht="14.5">
      <c r="A183" s="649">
        <v>522600</v>
      </c>
      <c r="B183" s="650" t="s">
        <v>1592</v>
      </c>
      <c r="C183" s="651">
        <v>15778.41</v>
      </c>
      <c r="D183" s="651">
        <v>74081.490000000005</v>
      </c>
      <c r="E183" s="652">
        <v>307448.26</v>
      </c>
    </row>
    <row r="184" spans="1:5" ht="14.5">
      <c r="A184" s="649">
        <v>540000</v>
      </c>
      <c r="B184" s="650" t="s">
        <v>1593</v>
      </c>
      <c r="C184" s="651">
        <v>155181.26999999999</v>
      </c>
      <c r="D184" s="651">
        <v>409397.15</v>
      </c>
      <c r="E184" s="652">
        <v>1593274.97</v>
      </c>
    </row>
    <row r="185" spans="1:5" ht="14.5">
      <c r="A185" s="649">
        <v>540100</v>
      </c>
      <c r="B185" s="650" t="s">
        <v>1594</v>
      </c>
      <c r="C185" s="651">
        <v>0</v>
      </c>
      <c r="D185" s="651">
        <v>0</v>
      </c>
      <c r="E185" s="652">
        <v>2763</v>
      </c>
    </row>
    <row r="186" spans="1:5" ht="14.5">
      <c r="A186" s="649">
        <v>540300</v>
      </c>
      <c r="B186" s="650" t="s">
        <v>1595</v>
      </c>
      <c r="C186" s="651">
        <v>0</v>
      </c>
      <c r="D186" s="651">
        <v>0</v>
      </c>
      <c r="E186" s="652">
        <v>853</v>
      </c>
    </row>
    <row r="187" spans="1:5" ht="14.5">
      <c r="A187" s="649">
        <v>550000</v>
      </c>
      <c r="B187" s="650" t="s">
        <v>1596</v>
      </c>
      <c r="C187" s="651">
        <v>2812.59</v>
      </c>
      <c r="D187" s="651">
        <v>12929.45</v>
      </c>
      <c r="E187" s="652">
        <v>272986.23999999999</v>
      </c>
    </row>
    <row r="188" spans="1:5" ht="14.5">
      <c r="A188" s="649">
        <v>555000</v>
      </c>
      <c r="B188" s="650" t="s">
        <v>1597</v>
      </c>
      <c r="C188" s="651">
        <v>11868.23</v>
      </c>
      <c r="D188" s="651">
        <v>25751.08</v>
      </c>
      <c r="E188" s="652">
        <v>95762.96</v>
      </c>
    </row>
    <row r="189" spans="1:5" ht="14.5">
      <c r="A189" s="649">
        <v>560000</v>
      </c>
      <c r="B189" s="650" t="s">
        <v>1598</v>
      </c>
      <c r="C189" s="651">
        <v>-11199.37</v>
      </c>
      <c r="D189" s="651">
        <v>-20242.7</v>
      </c>
      <c r="E189" s="652">
        <v>-78014.820000000007</v>
      </c>
    </row>
    <row r="190" spans="1:5" ht="14.5">
      <c r="A190" s="649">
        <v>561000</v>
      </c>
      <c r="B190" s="650" t="s">
        <v>1599</v>
      </c>
      <c r="C190" s="651">
        <v>11199.37</v>
      </c>
      <c r="D190" s="651">
        <v>20242.7</v>
      </c>
      <c r="E190" s="652">
        <v>78014.820000000007</v>
      </c>
    </row>
    <row r="191" spans="1:5" ht="14.5">
      <c r="A191" s="649">
        <v>601100</v>
      </c>
      <c r="B191" s="650" t="s">
        <v>1111</v>
      </c>
      <c r="C191" s="651">
        <v>-676083.93</v>
      </c>
      <c r="D191" s="651">
        <v>-1523322.13</v>
      </c>
      <c r="E191" s="652">
        <v>-6008350.54</v>
      </c>
    </row>
    <row r="192" spans="1:5" ht="14.5">
      <c r="A192" s="649">
        <v>601110</v>
      </c>
      <c r="B192" s="650" t="s">
        <v>1112</v>
      </c>
      <c r="C192" s="651">
        <v>-12262.82</v>
      </c>
      <c r="D192" s="651">
        <v>-58829.9</v>
      </c>
      <c r="E192" s="652">
        <v>-273700.21000000002</v>
      </c>
    </row>
    <row r="193" spans="1:5" ht="14.5">
      <c r="A193" s="649">
        <v>601130</v>
      </c>
      <c r="B193" s="650" t="s">
        <v>1600</v>
      </c>
      <c r="C193" s="651">
        <v>-76.66</v>
      </c>
      <c r="D193" s="651">
        <v>-659.56</v>
      </c>
      <c r="E193" s="652">
        <v>-381.46</v>
      </c>
    </row>
    <row r="194" spans="1:5" ht="14.5">
      <c r="A194" s="649">
        <v>601140</v>
      </c>
      <c r="B194" s="650" t="s">
        <v>1601</v>
      </c>
      <c r="C194" s="651">
        <v>-13300</v>
      </c>
      <c r="D194" s="651">
        <v>-38300</v>
      </c>
      <c r="E194" s="652">
        <v>-150300</v>
      </c>
    </row>
    <row r="195" spans="1:5" ht="14.5">
      <c r="A195" s="649">
        <v>601300</v>
      </c>
      <c r="B195" s="650" t="s">
        <v>1602</v>
      </c>
      <c r="C195" s="651">
        <v>-17500</v>
      </c>
      <c r="D195" s="651">
        <v>-53300</v>
      </c>
      <c r="E195" s="652">
        <v>-250743</v>
      </c>
    </row>
    <row r="196" spans="1:5" ht="14.5">
      <c r="A196" s="649">
        <v>601400</v>
      </c>
      <c r="B196" s="650" t="s">
        <v>1603</v>
      </c>
      <c r="C196" s="651">
        <v>-38966.46</v>
      </c>
      <c r="D196" s="651">
        <v>-212289.18</v>
      </c>
      <c r="E196" s="652">
        <v>-770049.45</v>
      </c>
    </row>
    <row r="197" spans="1:5" ht="14.5">
      <c r="A197" s="649">
        <v>601600</v>
      </c>
      <c r="B197" s="650" t="s">
        <v>1604</v>
      </c>
      <c r="C197" s="651">
        <v>-180283.11</v>
      </c>
      <c r="D197" s="651">
        <v>-411917.57</v>
      </c>
      <c r="E197" s="652">
        <v>-1493240.73</v>
      </c>
    </row>
    <row r="198" spans="1:5" ht="14.5">
      <c r="A198" s="649">
        <v>601601</v>
      </c>
      <c r="B198" s="650" t="s">
        <v>1605</v>
      </c>
      <c r="C198" s="651">
        <v>-39645.61</v>
      </c>
      <c r="D198" s="651">
        <v>-196494.13</v>
      </c>
      <c r="E198" s="652">
        <v>-866346.71</v>
      </c>
    </row>
    <row r="199" spans="1:5" ht="14.5">
      <c r="A199" s="649">
        <v>601610</v>
      </c>
      <c r="B199" s="650" t="s">
        <v>1606</v>
      </c>
      <c r="C199" s="651">
        <v>0</v>
      </c>
      <c r="D199" s="651">
        <v>-125.44</v>
      </c>
      <c r="E199" s="652">
        <v>-6852.24</v>
      </c>
    </row>
    <row r="200" spans="1:5" ht="14.5">
      <c r="A200" s="649">
        <v>601700</v>
      </c>
      <c r="B200" s="650" t="s">
        <v>1607</v>
      </c>
      <c r="C200" s="651">
        <v>-182409.03</v>
      </c>
      <c r="D200" s="651">
        <v>-525251.63</v>
      </c>
      <c r="E200" s="652">
        <v>-2055391.7</v>
      </c>
    </row>
    <row r="201" spans="1:5" ht="14.5">
      <c r="A201" s="649">
        <v>601701</v>
      </c>
      <c r="B201" s="650" t="s">
        <v>1608</v>
      </c>
      <c r="C201" s="651">
        <v>-61272.65</v>
      </c>
      <c r="D201" s="651">
        <v>-167148.66</v>
      </c>
      <c r="E201" s="652">
        <v>-592057.52</v>
      </c>
    </row>
    <row r="202" spans="1:5" ht="14.5">
      <c r="A202" s="649">
        <v>601710</v>
      </c>
      <c r="B202" s="650" t="s">
        <v>1113</v>
      </c>
      <c r="C202" s="651">
        <v>0</v>
      </c>
      <c r="D202" s="651">
        <v>0</v>
      </c>
      <c r="E202" s="652">
        <v>-52266.94</v>
      </c>
    </row>
    <row r="203" spans="1:5" ht="14.5">
      <c r="A203" s="649">
        <v>601740</v>
      </c>
      <c r="B203" s="650" t="s">
        <v>1609</v>
      </c>
      <c r="C203" s="651">
        <v>-9870.76</v>
      </c>
      <c r="D203" s="651">
        <v>-31154.43</v>
      </c>
      <c r="E203" s="652">
        <v>-118041.22</v>
      </c>
    </row>
    <row r="204" spans="1:5" ht="14.5">
      <c r="A204" s="649">
        <v>601800</v>
      </c>
      <c r="B204" s="650" t="s">
        <v>1610</v>
      </c>
      <c r="C204" s="651">
        <v>-70177.78</v>
      </c>
      <c r="D204" s="651">
        <v>-139757.44</v>
      </c>
      <c r="E204" s="652">
        <v>-525782.79</v>
      </c>
    </row>
    <row r="205" spans="1:5" ht="14.5">
      <c r="A205" s="649">
        <v>601850</v>
      </c>
      <c r="B205" s="650" t="s">
        <v>1611</v>
      </c>
      <c r="C205" s="651">
        <v>-31055.64</v>
      </c>
      <c r="D205" s="651">
        <v>-67334.36</v>
      </c>
      <c r="E205" s="652">
        <v>-279745.15999999997</v>
      </c>
    </row>
    <row r="206" spans="1:5" ht="14.5">
      <c r="A206" s="649">
        <v>601900</v>
      </c>
      <c r="B206" s="650" t="s">
        <v>1612</v>
      </c>
      <c r="C206" s="651">
        <v>-27450</v>
      </c>
      <c r="D206" s="651">
        <v>-23533.33</v>
      </c>
      <c r="E206" s="652">
        <v>-138619.17000000001</v>
      </c>
    </row>
    <row r="207" spans="1:5" ht="14.5">
      <c r="A207" s="649">
        <v>601950</v>
      </c>
      <c r="B207" s="650" t="s">
        <v>1613</v>
      </c>
      <c r="C207" s="651">
        <v>-11325</v>
      </c>
      <c r="D207" s="651">
        <v>-8362.5</v>
      </c>
      <c r="E207" s="652">
        <v>-56392.67</v>
      </c>
    </row>
    <row r="208" spans="1:5" ht="14.5">
      <c r="A208" s="649">
        <v>602100</v>
      </c>
      <c r="B208" s="650" t="s">
        <v>1614</v>
      </c>
      <c r="C208" s="651">
        <v>-1501570.73</v>
      </c>
      <c r="D208" s="651">
        <v>-3460825.57</v>
      </c>
      <c r="E208" s="652">
        <v>-12994843.73</v>
      </c>
    </row>
    <row r="209" spans="1:5" ht="14.5">
      <c r="A209" s="649">
        <v>602110</v>
      </c>
      <c r="B209" s="650" t="s">
        <v>1615</v>
      </c>
      <c r="C209" s="651">
        <v>-43302.26</v>
      </c>
      <c r="D209" s="651">
        <v>-157172.69</v>
      </c>
      <c r="E209" s="652">
        <v>-707286.34</v>
      </c>
    </row>
    <row r="210" spans="1:5" ht="14.5">
      <c r="A210" s="649">
        <v>602140</v>
      </c>
      <c r="B210" s="650" t="s">
        <v>1616</v>
      </c>
      <c r="C210" s="651">
        <v>-26554.04</v>
      </c>
      <c r="D210" s="651">
        <v>-67001.94</v>
      </c>
      <c r="E210" s="652">
        <v>-253490.98</v>
      </c>
    </row>
    <row r="211" spans="1:5" ht="14.5">
      <c r="A211" s="649">
        <v>602400</v>
      </c>
      <c r="B211" s="650" t="s">
        <v>1617</v>
      </c>
      <c r="C211" s="651">
        <v>-27681.63</v>
      </c>
      <c r="D211" s="651">
        <v>-78947.06</v>
      </c>
      <c r="E211" s="652">
        <v>-223093.36</v>
      </c>
    </row>
    <row r="212" spans="1:5" ht="14.5">
      <c r="A212" s="649">
        <v>602500</v>
      </c>
      <c r="B212" s="650" t="s">
        <v>1618</v>
      </c>
      <c r="C212" s="651">
        <v>-12930.26</v>
      </c>
      <c r="D212" s="651">
        <v>-42325.18</v>
      </c>
      <c r="E212" s="652">
        <v>-247748.22</v>
      </c>
    </row>
    <row r="213" spans="1:5" ht="14.5">
      <c r="A213" s="649">
        <v>602560</v>
      </c>
      <c r="B213" s="650" t="s">
        <v>1619</v>
      </c>
      <c r="C213" s="651">
        <v>-139426.48000000001</v>
      </c>
      <c r="D213" s="651">
        <v>-409503.85</v>
      </c>
      <c r="E213" s="652">
        <v>-1894298.38</v>
      </c>
    </row>
    <row r="214" spans="1:5" ht="14.5">
      <c r="A214" s="649">
        <v>602700</v>
      </c>
      <c r="B214" s="650" t="s">
        <v>1620</v>
      </c>
      <c r="C214" s="651">
        <v>-91927.39</v>
      </c>
      <c r="D214" s="651">
        <v>-197996.85</v>
      </c>
      <c r="E214" s="652">
        <v>-885118.48</v>
      </c>
    </row>
    <row r="215" spans="1:5" ht="14.5">
      <c r="A215" s="649">
        <v>602710</v>
      </c>
      <c r="B215" s="650" t="s">
        <v>1621</v>
      </c>
      <c r="C215" s="651">
        <v>-9756.9500000000007</v>
      </c>
      <c r="D215" s="651">
        <v>-38365.870000000003</v>
      </c>
      <c r="E215" s="652">
        <v>-181022.16</v>
      </c>
    </row>
    <row r="216" spans="1:5" ht="14.5">
      <c r="A216" s="649">
        <v>602740</v>
      </c>
      <c r="B216" s="650" t="s">
        <v>1622</v>
      </c>
      <c r="C216" s="651">
        <v>-722.32</v>
      </c>
      <c r="D216" s="651">
        <v>-2956.99</v>
      </c>
      <c r="E216" s="652">
        <v>-6131.35</v>
      </c>
    </row>
    <row r="217" spans="1:5" ht="14.5">
      <c r="A217" s="649">
        <v>602760</v>
      </c>
      <c r="B217" s="650" t="s">
        <v>1623</v>
      </c>
      <c r="C217" s="651">
        <v>-191851.18</v>
      </c>
      <c r="D217" s="651">
        <v>-500148.89</v>
      </c>
      <c r="E217" s="652">
        <v>-1763413.43</v>
      </c>
    </row>
    <row r="218" spans="1:5" ht="14.5">
      <c r="A218" s="649">
        <v>602800</v>
      </c>
      <c r="B218" s="650" t="s">
        <v>1624</v>
      </c>
      <c r="C218" s="651">
        <v>-32323.89</v>
      </c>
      <c r="D218" s="651">
        <v>-78301.45</v>
      </c>
      <c r="E218" s="652">
        <v>-278095.45</v>
      </c>
    </row>
    <row r="219" spans="1:5" ht="14.5">
      <c r="A219" s="649">
        <v>603000</v>
      </c>
      <c r="B219" s="650" t="s">
        <v>1625</v>
      </c>
      <c r="C219" s="651">
        <v>-118649.39</v>
      </c>
      <c r="D219" s="651">
        <v>-356435.6</v>
      </c>
      <c r="E219" s="652">
        <v>-1415099.53</v>
      </c>
    </row>
    <row r="220" spans="1:5" ht="14.5">
      <c r="A220" s="649">
        <v>603001</v>
      </c>
      <c r="B220" s="650" t="s">
        <v>1626</v>
      </c>
      <c r="C220" s="651">
        <v>203507.1</v>
      </c>
      <c r="D220" s="651">
        <v>641582.98</v>
      </c>
      <c r="E220" s="652">
        <v>1930783.64</v>
      </c>
    </row>
    <row r="221" spans="1:5" ht="14.5">
      <c r="A221" s="649">
        <v>603500</v>
      </c>
      <c r="B221" s="650" t="s">
        <v>1627</v>
      </c>
      <c r="C221" s="651">
        <v>-13120.06</v>
      </c>
      <c r="D221" s="651">
        <v>-31663.7</v>
      </c>
      <c r="E221" s="652">
        <v>-62217.8</v>
      </c>
    </row>
    <row r="222" spans="1:5" ht="14.5">
      <c r="A222" s="649">
        <v>604000</v>
      </c>
      <c r="B222" s="650" t="s">
        <v>1114</v>
      </c>
      <c r="C222" s="651">
        <v>-558253.56999999995</v>
      </c>
      <c r="D222" s="651">
        <v>-1618373.46</v>
      </c>
      <c r="E222" s="652">
        <v>-6503659.0300000003</v>
      </c>
    </row>
    <row r="223" spans="1:5" ht="14.5">
      <c r="A223" s="649">
        <v>604001</v>
      </c>
      <c r="B223" s="650" t="s">
        <v>1168</v>
      </c>
      <c r="C223" s="651">
        <v>4750</v>
      </c>
      <c r="D223" s="651">
        <v>14250</v>
      </c>
      <c r="E223" s="652">
        <v>52250</v>
      </c>
    </row>
    <row r="224" spans="1:5" ht="14.5">
      <c r="A224" s="649">
        <v>604100</v>
      </c>
      <c r="B224" s="650" t="s">
        <v>1115</v>
      </c>
      <c r="C224" s="651">
        <v>-56089.36</v>
      </c>
      <c r="D224" s="651">
        <v>-143954.89000000001</v>
      </c>
      <c r="E224" s="652">
        <v>-608488.31000000006</v>
      </c>
    </row>
    <row r="225" spans="1:5" ht="14.5">
      <c r="A225" s="649">
        <v>608000</v>
      </c>
      <c r="B225" s="650" t="s">
        <v>1628</v>
      </c>
      <c r="C225" s="651">
        <v>-86998.9</v>
      </c>
      <c r="D225" s="651">
        <v>-185764.18</v>
      </c>
      <c r="E225" s="652">
        <v>-303173.64</v>
      </c>
    </row>
    <row r="226" spans="1:5" ht="14.5">
      <c r="A226" s="649">
        <v>609000</v>
      </c>
      <c r="B226" s="650" t="s">
        <v>1118</v>
      </c>
      <c r="C226" s="651">
        <v>-333058.03000000003</v>
      </c>
      <c r="D226" s="651">
        <v>-833084.73</v>
      </c>
      <c r="E226" s="652">
        <v>-3423265.81</v>
      </c>
    </row>
    <row r="227" spans="1:5" ht="14.5">
      <c r="A227" s="649">
        <v>609300</v>
      </c>
      <c r="B227" s="650" t="s">
        <v>1629</v>
      </c>
      <c r="C227" s="651">
        <v>-79691.42</v>
      </c>
      <c r="D227" s="651">
        <v>-226358.01</v>
      </c>
      <c r="E227" s="652">
        <v>-846886.86</v>
      </c>
    </row>
    <row r="228" spans="1:5" ht="14.5">
      <c r="A228" s="649">
        <v>609500</v>
      </c>
      <c r="B228" s="650" t="s">
        <v>1119</v>
      </c>
      <c r="C228" s="651">
        <v>-173977.85</v>
      </c>
      <c r="D228" s="651">
        <v>-564864.07999999996</v>
      </c>
      <c r="E228" s="652">
        <v>-2417033.17</v>
      </c>
    </row>
    <row r="229" spans="1:5" ht="14.5">
      <c r="A229" s="649">
        <v>609600</v>
      </c>
      <c r="B229" s="650" t="s">
        <v>1169</v>
      </c>
      <c r="C229" s="651">
        <v>0</v>
      </c>
      <c r="D229" s="651">
        <v>0</v>
      </c>
      <c r="E229" s="652">
        <v>-141497.20000000001</v>
      </c>
    </row>
    <row r="230" spans="1:5" ht="14.5">
      <c r="A230" s="649">
        <v>609900</v>
      </c>
      <c r="B230" s="650" t="s">
        <v>1630</v>
      </c>
      <c r="C230" s="651">
        <v>-4528.1000000000004</v>
      </c>
      <c r="D230" s="651">
        <v>-4528.1000000000004</v>
      </c>
      <c r="E230" s="652">
        <v>-5944.52</v>
      </c>
    </row>
    <row r="231" spans="1:5" ht="14.5">
      <c r="A231" s="649">
        <v>610000</v>
      </c>
      <c r="B231" s="650" t="s">
        <v>1116</v>
      </c>
      <c r="C231" s="651">
        <v>-35587.300000000003</v>
      </c>
      <c r="D231" s="651">
        <v>-67531.02</v>
      </c>
      <c r="E231" s="652">
        <v>52167.1</v>
      </c>
    </row>
    <row r="232" spans="1:5" ht="14.5">
      <c r="A232" s="649">
        <v>680400</v>
      </c>
      <c r="B232" s="650" t="s">
        <v>1117</v>
      </c>
      <c r="C232" s="651">
        <v>-8699</v>
      </c>
      <c r="D232" s="651">
        <v>124846.36</v>
      </c>
      <c r="E232" s="652">
        <v>44898.63</v>
      </c>
    </row>
    <row r="233" spans="1:5" ht="14.5">
      <c r="A233" s="649">
        <v>701000</v>
      </c>
      <c r="B233" s="650" t="s">
        <v>1121</v>
      </c>
      <c r="C233" s="651">
        <v>-594202.14</v>
      </c>
      <c r="D233" s="651">
        <v>-1772987.11</v>
      </c>
      <c r="E233" s="652">
        <v>-7222837.8200000003</v>
      </c>
    </row>
    <row r="234" spans="1:5" ht="14.5">
      <c r="A234" s="649">
        <v>701010</v>
      </c>
      <c r="B234" s="650" t="s">
        <v>1453</v>
      </c>
      <c r="C234" s="651">
        <v>-8516.9699999999993</v>
      </c>
      <c r="D234" s="651">
        <v>-27582.240000000002</v>
      </c>
      <c r="E234" s="652">
        <v>41808.65</v>
      </c>
    </row>
    <row r="235" spans="1:5" ht="14.5">
      <c r="A235" s="649">
        <v>701100</v>
      </c>
      <c r="B235" s="650" t="s">
        <v>1470</v>
      </c>
      <c r="C235" s="651">
        <v>-185461.64</v>
      </c>
      <c r="D235" s="651">
        <v>-611580.87</v>
      </c>
      <c r="E235" s="652">
        <v>-2426613.25</v>
      </c>
    </row>
    <row r="236" spans="1:5" ht="14.5">
      <c r="A236" s="649">
        <v>701300</v>
      </c>
      <c r="B236" s="650" t="s">
        <v>1631</v>
      </c>
      <c r="C236" s="651">
        <v>-2697.15</v>
      </c>
      <c r="D236" s="651">
        <v>-8091.45</v>
      </c>
      <c r="E236" s="652">
        <v>-40689.5</v>
      </c>
    </row>
    <row r="237" spans="1:5" ht="14.5">
      <c r="A237" s="649">
        <v>702000</v>
      </c>
      <c r="B237" s="650" t="s">
        <v>1632</v>
      </c>
      <c r="C237" s="651">
        <v>-80334.850000000006</v>
      </c>
      <c r="D237" s="651">
        <v>-193622.03</v>
      </c>
      <c r="E237" s="652">
        <v>-826346.86</v>
      </c>
    </row>
    <row r="238" spans="1:5" ht="14.5">
      <c r="A238" s="649">
        <v>702100</v>
      </c>
      <c r="B238" s="650" t="s">
        <v>1633</v>
      </c>
      <c r="C238" s="651">
        <v>-16172.23</v>
      </c>
      <c r="D238" s="651">
        <v>-48223.86</v>
      </c>
      <c r="E238" s="652">
        <v>-166796.1</v>
      </c>
    </row>
    <row r="239" spans="1:5" ht="14.5">
      <c r="A239" s="649">
        <v>730100</v>
      </c>
      <c r="B239" s="650" t="s">
        <v>1135</v>
      </c>
      <c r="C239" s="651">
        <v>-49913.82</v>
      </c>
      <c r="D239" s="651">
        <v>-97566.94</v>
      </c>
      <c r="E239" s="652">
        <v>-354636.23</v>
      </c>
    </row>
    <row r="240" spans="1:5" ht="14.5">
      <c r="A240" s="649">
        <v>730200</v>
      </c>
      <c r="B240" s="650" t="s">
        <v>1634</v>
      </c>
      <c r="C240" s="651">
        <v>-4521.6099999999997</v>
      </c>
      <c r="D240" s="651">
        <v>-16995.16</v>
      </c>
      <c r="E240" s="652">
        <v>-58310.78</v>
      </c>
    </row>
    <row r="241" spans="1:5" ht="14.5">
      <c r="A241" s="649">
        <v>730300</v>
      </c>
      <c r="B241" s="650" t="s">
        <v>1635</v>
      </c>
      <c r="C241" s="651">
        <v>-455.44</v>
      </c>
      <c r="D241" s="651">
        <v>-455.44</v>
      </c>
      <c r="E241" s="652">
        <v>-7432.65</v>
      </c>
    </row>
    <row r="242" spans="1:5" ht="14.5">
      <c r="A242" s="649">
        <v>730400</v>
      </c>
      <c r="B242" s="650" t="s">
        <v>1636</v>
      </c>
      <c r="C242" s="651">
        <v>3.36</v>
      </c>
      <c r="D242" s="651">
        <v>3.36</v>
      </c>
      <c r="E242" s="652">
        <v>-34.65</v>
      </c>
    </row>
    <row r="243" spans="1:5" ht="14.5">
      <c r="A243" s="649">
        <v>741100</v>
      </c>
      <c r="B243" s="650" t="s">
        <v>1122</v>
      </c>
      <c r="C243" s="651">
        <v>-7781.12</v>
      </c>
      <c r="D243" s="651">
        <v>-23755.95</v>
      </c>
      <c r="E243" s="652">
        <v>-102852.52</v>
      </c>
    </row>
    <row r="244" spans="1:5" ht="14.5">
      <c r="A244" s="649">
        <v>741200</v>
      </c>
      <c r="B244" s="650" t="s">
        <v>1127</v>
      </c>
      <c r="C244" s="651">
        <v>0</v>
      </c>
      <c r="D244" s="651">
        <v>-1495</v>
      </c>
      <c r="E244" s="652">
        <v>-5614</v>
      </c>
    </row>
    <row r="245" spans="1:5" ht="14.5">
      <c r="A245" s="649">
        <v>741300</v>
      </c>
      <c r="B245" s="650" t="s">
        <v>1132</v>
      </c>
      <c r="C245" s="651">
        <v>-307.7</v>
      </c>
      <c r="D245" s="651">
        <v>-1435.74</v>
      </c>
      <c r="E245" s="652">
        <v>-12141.97</v>
      </c>
    </row>
    <row r="246" spans="1:5" ht="14.5">
      <c r="A246" s="649">
        <v>741400</v>
      </c>
      <c r="B246" s="650" t="s">
        <v>1139</v>
      </c>
      <c r="C246" s="651">
        <v>-4495.84</v>
      </c>
      <c r="D246" s="651">
        <v>-8737.3799999999992</v>
      </c>
      <c r="E246" s="652">
        <v>-42592.97</v>
      </c>
    </row>
    <row r="247" spans="1:5" ht="14.5">
      <c r="A247" s="649">
        <v>741500</v>
      </c>
      <c r="B247" s="650" t="s">
        <v>1140</v>
      </c>
      <c r="C247" s="651">
        <v>0</v>
      </c>
      <c r="D247" s="651">
        <v>-310.32</v>
      </c>
      <c r="E247" s="652">
        <v>-310.32</v>
      </c>
    </row>
    <row r="248" spans="1:5" ht="14.5">
      <c r="A248" s="649">
        <v>741550</v>
      </c>
      <c r="B248" s="650" t="s">
        <v>1637</v>
      </c>
      <c r="C248" s="651">
        <v>-3084.58</v>
      </c>
      <c r="D248" s="651">
        <v>-9308.1</v>
      </c>
      <c r="E248" s="652">
        <v>-40252.080000000002</v>
      </c>
    </row>
    <row r="249" spans="1:5" ht="14.5">
      <c r="A249" s="649">
        <v>741600</v>
      </c>
      <c r="B249" s="650" t="s">
        <v>1141</v>
      </c>
      <c r="C249" s="651">
        <v>-740.89</v>
      </c>
      <c r="D249" s="651">
        <v>-906.42</v>
      </c>
      <c r="E249" s="652">
        <v>-9416.66</v>
      </c>
    </row>
    <row r="250" spans="1:5" ht="14.5">
      <c r="A250" s="649">
        <v>741700</v>
      </c>
      <c r="B250" s="650" t="s">
        <v>1154</v>
      </c>
      <c r="C250" s="651">
        <v>-18252.52</v>
      </c>
      <c r="D250" s="651">
        <v>-61904.24</v>
      </c>
      <c r="E250" s="652">
        <v>-251746.42</v>
      </c>
    </row>
    <row r="251" spans="1:5" ht="14.5">
      <c r="A251" s="649">
        <v>741800</v>
      </c>
      <c r="B251" s="650" t="s">
        <v>1471</v>
      </c>
      <c r="C251" s="651">
        <v>-8129.11</v>
      </c>
      <c r="D251" s="651">
        <v>-24985.59</v>
      </c>
      <c r="E251" s="652">
        <v>-132919.95000000001</v>
      </c>
    </row>
    <row r="252" spans="1:5" ht="14.5">
      <c r="A252" s="649">
        <v>741810</v>
      </c>
      <c r="B252" s="650" t="s">
        <v>1170</v>
      </c>
      <c r="C252" s="651">
        <v>-1150.0999999999999</v>
      </c>
      <c r="D252" s="651">
        <v>-1150.0999999999999</v>
      </c>
      <c r="E252" s="652">
        <v>-1150.0999999999999</v>
      </c>
    </row>
    <row r="253" spans="1:5" ht="14.5">
      <c r="A253" s="649">
        <v>741850</v>
      </c>
      <c r="B253" s="650" t="s">
        <v>1638</v>
      </c>
      <c r="C253" s="651">
        <v>-42.32</v>
      </c>
      <c r="D253" s="651">
        <v>-246.78</v>
      </c>
      <c r="E253" s="652">
        <v>-2892.11</v>
      </c>
    </row>
    <row r="254" spans="1:5" ht="14.5">
      <c r="A254" s="649">
        <v>742000</v>
      </c>
      <c r="B254" s="650" t="s">
        <v>1639</v>
      </c>
      <c r="C254" s="651">
        <v>-7454.89</v>
      </c>
      <c r="D254" s="651">
        <v>-16370.88</v>
      </c>
      <c r="E254" s="652">
        <v>-27289.96</v>
      </c>
    </row>
    <row r="255" spans="1:5" ht="14.5">
      <c r="A255" s="649">
        <v>742100</v>
      </c>
      <c r="B255" s="650" t="s">
        <v>1640</v>
      </c>
      <c r="C255" s="651">
        <v>-20</v>
      </c>
      <c r="D255" s="651">
        <v>-20</v>
      </c>
      <c r="E255" s="652">
        <v>-1974.69</v>
      </c>
    </row>
    <row r="256" spans="1:5" ht="14.5">
      <c r="A256" s="649">
        <v>743000</v>
      </c>
      <c r="B256" s="650" t="s">
        <v>1641</v>
      </c>
      <c r="C256" s="651">
        <v>2734.29</v>
      </c>
      <c r="D256" s="651">
        <v>-6809.88</v>
      </c>
      <c r="E256" s="652">
        <v>-6809.88</v>
      </c>
    </row>
    <row r="257" spans="1:5" ht="14.5">
      <c r="A257" s="649">
        <v>750100</v>
      </c>
      <c r="B257" s="650" t="s">
        <v>1136</v>
      </c>
      <c r="C257" s="651">
        <v>-20030.990000000002</v>
      </c>
      <c r="D257" s="651">
        <v>-56668.47</v>
      </c>
      <c r="E257" s="652">
        <v>-161340.35</v>
      </c>
    </row>
    <row r="258" spans="1:5" ht="14.5">
      <c r="A258" s="649">
        <v>750150</v>
      </c>
      <c r="B258" s="650" t="s">
        <v>1642</v>
      </c>
      <c r="C258" s="651">
        <v>-13.27</v>
      </c>
      <c r="D258" s="651">
        <v>-13.27</v>
      </c>
      <c r="E258" s="652">
        <v>-13.27</v>
      </c>
    </row>
    <row r="259" spans="1:5" ht="14.5">
      <c r="A259" s="649">
        <v>750200</v>
      </c>
      <c r="B259" s="650" t="s">
        <v>1138</v>
      </c>
      <c r="C259" s="651">
        <v>-4071.52</v>
      </c>
      <c r="D259" s="651">
        <v>-5895.02</v>
      </c>
      <c r="E259" s="652">
        <v>-10514.78</v>
      </c>
    </row>
    <row r="260" spans="1:5" ht="14.5">
      <c r="A260" s="649">
        <v>750300</v>
      </c>
      <c r="B260" s="650" t="s">
        <v>1144</v>
      </c>
      <c r="C260" s="651">
        <v>-392.71</v>
      </c>
      <c r="D260" s="651">
        <v>-3127.15</v>
      </c>
      <c r="E260" s="652">
        <v>-12360.55</v>
      </c>
    </row>
    <row r="261" spans="1:5" ht="14.5">
      <c r="A261" s="649">
        <v>750400</v>
      </c>
      <c r="B261" s="650" t="s">
        <v>1145</v>
      </c>
      <c r="C261" s="651">
        <v>-1315.04</v>
      </c>
      <c r="D261" s="651">
        <v>-4979.53</v>
      </c>
      <c r="E261" s="652">
        <v>-25698.3</v>
      </c>
    </row>
    <row r="262" spans="1:5" ht="14.5">
      <c r="A262" s="649">
        <v>750425</v>
      </c>
      <c r="B262" s="650" t="s">
        <v>1643</v>
      </c>
      <c r="C262" s="651">
        <v>-2319.14</v>
      </c>
      <c r="D262" s="651">
        <v>-4545.01</v>
      </c>
      <c r="E262" s="652">
        <v>-7168.22</v>
      </c>
    </row>
    <row r="263" spans="1:5" ht="14.5">
      <c r="A263" s="649">
        <v>750450</v>
      </c>
      <c r="B263" s="650" t="s">
        <v>1146</v>
      </c>
      <c r="C263" s="651">
        <v>0</v>
      </c>
      <c r="D263" s="651">
        <v>0</v>
      </c>
      <c r="E263" s="652">
        <v>-803.87</v>
      </c>
    </row>
    <row r="264" spans="1:5" ht="14.5">
      <c r="A264" s="649">
        <v>750500</v>
      </c>
      <c r="B264" s="650" t="s">
        <v>1472</v>
      </c>
      <c r="C264" s="651">
        <v>-39311.97</v>
      </c>
      <c r="D264" s="651">
        <v>-90748.81</v>
      </c>
      <c r="E264" s="652">
        <v>-327926.08</v>
      </c>
    </row>
    <row r="265" spans="1:5" ht="14.5">
      <c r="A265" s="649">
        <v>750600</v>
      </c>
      <c r="B265" s="650" t="s">
        <v>1644</v>
      </c>
      <c r="C265" s="651">
        <v>-922.46</v>
      </c>
      <c r="D265" s="651">
        <v>-5178.17</v>
      </c>
      <c r="E265" s="652">
        <v>-10186.74</v>
      </c>
    </row>
    <row r="266" spans="1:5" ht="14.5">
      <c r="A266" s="649">
        <v>750610</v>
      </c>
      <c r="B266" s="650" t="s">
        <v>1645</v>
      </c>
      <c r="C266" s="651">
        <v>-15863.81</v>
      </c>
      <c r="D266" s="651">
        <v>-37559.85</v>
      </c>
      <c r="E266" s="652">
        <v>-132554.92000000001</v>
      </c>
    </row>
    <row r="267" spans="1:5" ht="14.5">
      <c r="A267" s="649">
        <v>750620</v>
      </c>
      <c r="B267" s="650" t="s">
        <v>1646</v>
      </c>
      <c r="C267" s="651">
        <v>-7956.62</v>
      </c>
      <c r="D267" s="651">
        <v>-28515.1</v>
      </c>
      <c r="E267" s="652">
        <v>-77287.03</v>
      </c>
    </row>
    <row r="268" spans="1:5" ht="14.5">
      <c r="A268" s="649">
        <v>750630</v>
      </c>
      <c r="B268" s="650" t="s">
        <v>1647</v>
      </c>
      <c r="C268" s="651">
        <v>-7919.39</v>
      </c>
      <c r="D268" s="651">
        <v>-19453.310000000001</v>
      </c>
      <c r="E268" s="652">
        <v>-74201.3</v>
      </c>
    </row>
    <row r="269" spans="1:5" ht="14.5">
      <c r="A269" s="649">
        <v>750640</v>
      </c>
      <c r="B269" s="650" t="s">
        <v>1648</v>
      </c>
      <c r="C269" s="651">
        <v>-5032.33</v>
      </c>
      <c r="D269" s="651">
        <v>-14202.02</v>
      </c>
      <c r="E269" s="652">
        <v>-61901.86</v>
      </c>
    </row>
    <row r="270" spans="1:5" ht="14.5">
      <c r="A270" s="649">
        <v>750650</v>
      </c>
      <c r="B270" s="650" t="s">
        <v>1649</v>
      </c>
      <c r="C270" s="651">
        <v>-5233.5200000000004</v>
      </c>
      <c r="D270" s="651">
        <v>-20075.900000000001</v>
      </c>
      <c r="E270" s="652">
        <v>-60499.54</v>
      </c>
    </row>
    <row r="271" spans="1:5" ht="14.5">
      <c r="A271" s="649">
        <v>750700</v>
      </c>
      <c r="B271" s="650" t="s">
        <v>1650</v>
      </c>
      <c r="C271" s="651">
        <v>-1535</v>
      </c>
      <c r="D271" s="651">
        <v>-9742.51</v>
      </c>
      <c r="E271" s="652">
        <v>-27501.360000000001</v>
      </c>
    </row>
    <row r="272" spans="1:5" ht="14.5">
      <c r="A272" s="649">
        <v>750800</v>
      </c>
      <c r="B272" s="650" t="s">
        <v>1651</v>
      </c>
      <c r="C272" s="651">
        <v>-4464.93</v>
      </c>
      <c r="D272" s="651">
        <v>-14583.37</v>
      </c>
      <c r="E272" s="652">
        <v>-58409.26</v>
      </c>
    </row>
    <row r="273" spans="1:5" ht="14.5">
      <c r="A273" s="649">
        <v>750810</v>
      </c>
      <c r="B273" s="650" t="s">
        <v>1652</v>
      </c>
      <c r="C273" s="651">
        <v>-2600</v>
      </c>
      <c r="D273" s="651">
        <v>-2600</v>
      </c>
      <c r="E273" s="652">
        <v>-3647.5</v>
      </c>
    </row>
    <row r="274" spans="1:5" ht="14.5">
      <c r="A274" s="649">
        <v>750820</v>
      </c>
      <c r="B274" s="650" t="s">
        <v>1653</v>
      </c>
      <c r="C274" s="651">
        <v>0</v>
      </c>
      <c r="D274" s="651">
        <v>-1627.5</v>
      </c>
      <c r="E274" s="652">
        <v>-3710</v>
      </c>
    </row>
    <row r="275" spans="1:5" ht="14.5">
      <c r="A275" s="649">
        <v>750900</v>
      </c>
      <c r="B275" s="650" t="s">
        <v>1654</v>
      </c>
      <c r="C275" s="651">
        <v>-63411.75</v>
      </c>
      <c r="D275" s="651">
        <v>-157303.01</v>
      </c>
      <c r="E275" s="652">
        <v>-654411.63</v>
      </c>
    </row>
    <row r="276" spans="1:5" ht="14.5">
      <c r="A276" s="649">
        <v>750950</v>
      </c>
      <c r="B276" s="650" t="s">
        <v>1655</v>
      </c>
      <c r="C276" s="651">
        <v>-14816.03</v>
      </c>
      <c r="D276" s="651">
        <v>-50510.63</v>
      </c>
      <c r="E276" s="652">
        <v>-212240.65</v>
      </c>
    </row>
    <row r="277" spans="1:5" ht="14.5">
      <c r="A277" s="649">
        <v>750960</v>
      </c>
      <c r="B277" s="650" t="s">
        <v>1656</v>
      </c>
      <c r="C277" s="651">
        <v>-17348.650000000001</v>
      </c>
      <c r="D277" s="651">
        <v>-25550.42</v>
      </c>
      <c r="E277" s="652">
        <v>-99542.26</v>
      </c>
    </row>
    <row r="278" spans="1:5" ht="14.5">
      <c r="A278" s="649">
        <v>751000</v>
      </c>
      <c r="B278" s="650" t="s">
        <v>1150</v>
      </c>
      <c r="C278" s="651">
        <v>-3438.24</v>
      </c>
      <c r="D278" s="651">
        <v>-10606.71</v>
      </c>
      <c r="E278" s="652">
        <v>-51123.6</v>
      </c>
    </row>
    <row r="279" spans="1:5" ht="14.5">
      <c r="A279" s="649">
        <v>751100</v>
      </c>
      <c r="B279" s="650" t="s">
        <v>1151</v>
      </c>
      <c r="C279" s="651">
        <v>-23172.41</v>
      </c>
      <c r="D279" s="651">
        <v>-52417.120000000003</v>
      </c>
      <c r="E279" s="652">
        <v>-215729.23</v>
      </c>
    </row>
    <row r="280" spans="1:5" ht="14.5">
      <c r="A280" s="649">
        <v>751105</v>
      </c>
      <c r="B280" s="650" t="s">
        <v>1657</v>
      </c>
      <c r="C280" s="651">
        <v>0</v>
      </c>
      <c r="D280" s="651">
        <v>0</v>
      </c>
      <c r="E280" s="652">
        <v>-602.80999999999995</v>
      </c>
    </row>
    <row r="281" spans="1:5" ht="14.5">
      <c r="A281" s="649">
        <v>751106</v>
      </c>
      <c r="B281" s="650" t="s">
        <v>1658</v>
      </c>
      <c r="C281" s="651">
        <v>0</v>
      </c>
      <c r="D281" s="651">
        <v>-906.55</v>
      </c>
      <c r="E281" s="652">
        <v>-15145.44</v>
      </c>
    </row>
    <row r="282" spans="1:5" ht="14.5">
      <c r="A282" s="649">
        <v>751107</v>
      </c>
      <c r="B282" s="650" t="s">
        <v>1659</v>
      </c>
      <c r="C282" s="651">
        <v>-1500</v>
      </c>
      <c r="D282" s="651">
        <v>-8337.7199999999993</v>
      </c>
      <c r="E282" s="652">
        <v>-35249.949999999997</v>
      </c>
    </row>
    <row r="283" spans="1:5" ht="14.5">
      <c r="A283" s="649">
        <v>751110</v>
      </c>
      <c r="B283" s="650" t="s">
        <v>1473</v>
      </c>
      <c r="C283" s="651">
        <v>-3266.83</v>
      </c>
      <c r="D283" s="651">
        <v>-8103.76</v>
      </c>
      <c r="E283" s="652">
        <v>-38614.19</v>
      </c>
    </row>
    <row r="284" spans="1:5" ht="14.5">
      <c r="A284" s="649">
        <v>751200</v>
      </c>
      <c r="B284" s="650" t="s">
        <v>1152</v>
      </c>
      <c r="C284" s="651">
        <v>-3631.58</v>
      </c>
      <c r="D284" s="651">
        <v>-12645.28</v>
      </c>
      <c r="E284" s="652">
        <v>-47325.43</v>
      </c>
    </row>
    <row r="285" spans="1:5" ht="14.5">
      <c r="A285" s="649">
        <v>751210</v>
      </c>
      <c r="B285" s="650" t="s">
        <v>1171</v>
      </c>
      <c r="C285" s="651">
        <v>-83.2</v>
      </c>
      <c r="D285" s="651">
        <v>-83.2</v>
      </c>
      <c r="E285" s="652">
        <v>-83.2</v>
      </c>
    </row>
    <row r="286" spans="1:5" ht="14.5">
      <c r="A286" s="649">
        <v>751300</v>
      </c>
      <c r="B286" s="650" t="s">
        <v>1155</v>
      </c>
      <c r="C286" s="651">
        <v>-2382.31</v>
      </c>
      <c r="D286" s="651">
        <v>-7306.38</v>
      </c>
      <c r="E286" s="652">
        <v>-27357.7</v>
      </c>
    </row>
    <row r="287" spans="1:5" ht="14.5">
      <c r="A287" s="649">
        <v>751400</v>
      </c>
      <c r="B287" s="650" t="s">
        <v>1660</v>
      </c>
      <c r="C287" s="651">
        <v>-51230.78</v>
      </c>
      <c r="D287" s="651">
        <v>-53918.51</v>
      </c>
      <c r="E287" s="652">
        <v>-92928.98</v>
      </c>
    </row>
    <row r="288" spans="1:5" ht="14.5">
      <c r="A288" s="649">
        <v>751500</v>
      </c>
      <c r="B288" s="650" t="s">
        <v>1661</v>
      </c>
      <c r="C288" s="651">
        <v>-113131.49</v>
      </c>
      <c r="D288" s="651">
        <v>-337138.34</v>
      </c>
      <c r="E288" s="652">
        <v>-1364287.46</v>
      </c>
    </row>
    <row r="289" spans="1:5" ht="14.5">
      <c r="A289" s="649">
        <v>751550</v>
      </c>
      <c r="B289" s="650" t="s">
        <v>1124</v>
      </c>
      <c r="C289" s="651">
        <v>-617.83000000000004</v>
      </c>
      <c r="D289" s="651">
        <v>-740.84</v>
      </c>
      <c r="E289" s="652">
        <v>-6044.28</v>
      </c>
    </row>
    <row r="290" spans="1:5" ht="14.5">
      <c r="A290" s="649">
        <v>751600</v>
      </c>
      <c r="B290" s="650" t="s">
        <v>1125</v>
      </c>
      <c r="C290" s="651">
        <v>-1476.68</v>
      </c>
      <c r="D290" s="651">
        <v>-3845.44</v>
      </c>
      <c r="E290" s="652">
        <v>-35206.6</v>
      </c>
    </row>
    <row r="291" spans="1:5" ht="14.5">
      <c r="A291" s="649">
        <v>751700</v>
      </c>
      <c r="B291" s="650" t="s">
        <v>1130</v>
      </c>
      <c r="C291" s="651">
        <v>-765.89</v>
      </c>
      <c r="D291" s="651">
        <v>-11330.09</v>
      </c>
      <c r="E291" s="652">
        <v>-53595.09</v>
      </c>
    </row>
    <row r="292" spans="1:5" ht="14.5">
      <c r="A292" s="649">
        <v>751705</v>
      </c>
      <c r="B292" s="650" t="s">
        <v>1662</v>
      </c>
      <c r="C292" s="651">
        <v>-2396.17</v>
      </c>
      <c r="D292" s="651">
        <v>-4270.28</v>
      </c>
      <c r="E292" s="652">
        <v>-18113.41</v>
      </c>
    </row>
    <row r="293" spans="1:5" ht="14.5">
      <c r="A293" s="649">
        <v>751720</v>
      </c>
      <c r="B293" s="650" t="s">
        <v>1663</v>
      </c>
      <c r="C293" s="651">
        <v>-2535.5500000000002</v>
      </c>
      <c r="D293" s="651">
        <v>-5829.73</v>
      </c>
      <c r="E293" s="652">
        <v>-49282.36</v>
      </c>
    </row>
    <row r="294" spans="1:5" ht="14.5">
      <c r="A294" s="649">
        <v>751800</v>
      </c>
      <c r="B294" s="650" t="s">
        <v>1128</v>
      </c>
      <c r="C294" s="651">
        <v>-16973.740000000002</v>
      </c>
      <c r="D294" s="651">
        <v>-48088.02</v>
      </c>
      <c r="E294" s="652">
        <v>-175892.16</v>
      </c>
    </row>
    <row r="295" spans="1:5" ht="14.5">
      <c r="A295" s="649">
        <v>751900</v>
      </c>
      <c r="B295" s="650" t="s">
        <v>1664</v>
      </c>
      <c r="C295" s="651">
        <v>0</v>
      </c>
      <c r="D295" s="651">
        <v>-329.81</v>
      </c>
      <c r="E295" s="652">
        <v>-995.02</v>
      </c>
    </row>
    <row r="296" spans="1:5" ht="14.5">
      <c r="A296" s="649">
        <v>752000</v>
      </c>
      <c r="B296" s="650" t="s">
        <v>1665</v>
      </c>
      <c r="C296" s="651">
        <v>-22286.37</v>
      </c>
      <c r="D296" s="651">
        <v>-51866.34</v>
      </c>
      <c r="E296" s="652">
        <v>-259755.58</v>
      </c>
    </row>
    <row r="297" spans="1:5" ht="14.5">
      <c r="A297" s="649">
        <v>760100</v>
      </c>
      <c r="B297" s="650" t="s">
        <v>1666</v>
      </c>
      <c r="C297" s="651">
        <v>0</v>
      </c>
      <c r="D297" s="651">
        <v>0</v>
      </c>
      <c r="E297" s="652">
        <v>-1995.72</v>
      </c>
    </row>
    <row r="298" spans="1:5" ht="14.5">
      <c r="A298" s="649">
        <v>760200</v>
      </c>
      <c r="B298" s="650" t="s">
        <v>1133</v>
      </c>
      <c r="C298" s="651">
        <v>-4598.1400000000003</v>
      </c>
      <c r="D298" s="651">
        <v>-12985.94</v>
      </c>
      <c r="E298" s="652">
        <v>74468.19</v>
      </c>
    </row>
    <row r="299" spans="1:5" ht="14.5">
      <c r="A299" s="649">
        <v>760300</v>
      </c>
      <c r="B299" s="650" t="s">
        <v>1134</v>
      </c>
      <c r="C299" s="651">
        <v>-3536.76</v>
      </c>
      <c r="D299" s="651">
        <v>-3594.66</v>
      </c>
      <c r="E299" s="652">
        <v>-76972.02</v>
      </c>
    </row>
    <row r="300" spans="1:5" ht="14.5">
      <c r="A300" s="649">
        <v>760400</v>
      </c>
      <c r="B300" s="650" t="s">
        <v>1142</v>
      </c>
      <c r="C300" s="651">
        <v>-22850.240000000002</v>
      </c>
      <c r="D300" s="651">
        <v>-82684.41</v>
      </c>
      <c r="E300" s="652">
        <v>-415597.21</v>
      </c>
    </row>
    <row r="301" spans="1:5" ht="14.5">
      <c r="A301" s="649">
        <v>760410</v>
      </c>
      <c r="B301" s="650" t="s">
        <v>1667</v>
      </c>
      <c r="C301" s="651">
        <v>-5177.0200000000004</v>
      </c>
      <c r="D301" s="651">
        <v>-7379.3</v>
      </c>
      <c r="E301" s="652">
        <v>-27789.55</v>
      </c>
    </row>
    <row r="302" spans="1:5" ht="14.5">
      <c r="A302" s="649">
        <v>760415</v>
      </c>
      <c r="B302" s="650" t="s">
        <v>1668</v>
      </c>
      <c r="C302" s="651">
        <v>-23402.35</v>
      </c>
      <c r="D302" s="651">
        <v>-50325.34</v>
      </c>
      <c r="E302" s="652">
        <v>-52022.28</v>
      </c>
    </row>
    <row r="303" spans="1:5" ht="14.5">
      <c r="A303" s="649">
        <v>760425</v>
      </c>
      <c r="B303" s="650" t="s">
        <v>1669</v>
      </c>
      <c r="C303" s="651">
        <v>0</v>
      </c>
      <c r="D303" s="651">
        <v>-290.37</v>
      </c>
      <c r="E303" s="652">
        <v>-5392.81</v>
      </c>
    </row>
    <row r="304" spans="1:5" ht="14.5">
      <c r="A304" s="649">
        <v>760450</v>
      </c>
      <c r="B304" s="650" t="s">
        <v>1143</v>
      </c>
      <c r="C304" s="651">
        <v>0</v>
      </c>
      <c r="D304" s="651">
        <v>0</v>
      </c>
      <c r="E304" s="652">
        <v>-849.93</v>
      </c>
    </row>
    <row r="305" spans="1:5" ht="14.5">
      <c r="A305" s="649">
        <v>760500</v>
      </c>
      <c r="B305" s="650" t="s">
        <v>1147</v>
      </c>
      <c r="C305" s="651">
        <v>0</v>
      </c>
      <c r="D305" s="651">
        <v>0</v>
      </c>
      <c r="E305" s="652">
        <v>409.4</v>
      </c>
    </row>
    <row r="306" spans="1:5" ht="14.5">
      <c r="A306" s="649">
        <v>760600</v>
      </c>
      <c r="B306" s="650" t="s">
        <v>1474</v>
      </c>
      <c r="C306" s="651">
        <v>-5000</v>
      </c>
      <c r="D306" s="651">
        <v>-15000</v>
      </c>
      <c r="E306" s="652">
        <v>-45798.94</v>
      </c>
    </row>
    <row r="307" spans="1:5" ht="14.5">
      <c r="A307" s="649">
        <v>760700</v>
      </c>
      <c r="B307" s="650" t="s">
        <v>1148</v>
      </c>
      <c r="C307" s="651">
        <v>0</v>
      </c>
      <c r="D307" s="651">
        <v>0</v>
      </c>
      <c r="E307" s="652">
        <v>-15</v>
      </c>
    </row>
    <row r="308" spans="1:5" ht="14.5">
      <c r="A308" s="649">
        <v>760800</v>
      </c>
      <c r="B308" s="650" t="s">
        <v>1670</v>
      </c>
      <c r="C308" s="651">
        <v>0</v>
      </c>
      <c r="D308" s="651">
        <v>-5625</v>
      </c>
      <c r="E308" s="652">
        <v>-28125</v>
      </c>
    </row>
    <row r="309" spans="1:5" ht="14.5">
      <c r="A309" s="649">
        <v>760900</v>
      </c>
      <c r="B309" s="650" t="s">
        <v>1671</v>
      </c>
      <c r="C309" s="651">
        <v>-14927.42</v>
      </c>
      <c r="D309" s="651">
        <v>-37498.559999999998</v>
      </c>
      <c r="E309" s="652">
        <v>-184776.88</v>
      </c>
    </row>
    <row r="310" spans="1:5" ht="14.5">
      <c r="A310" s="649">
        <v>760925</v>
      </c>
      <c r="B310" s="650" t="s">
        <v>1672</v>
      </c>
      <c r="C310" s="651">
        <v>-4992.79</v>
      </c>
      <c r="D310" s="651">
        <v>-14978.37</v>
      </c>
      <c r="E310" s="652">
        <v>-118287.03</v>
      </c>
    </row>
    <row r="311" spans="1:5" ht="14.5">
      <c r="A311" s="649">
        <v>761100</v>
      </c>
      <c r="B311" s="650" t="s">
        <v>1673</v>
      </c>
      <c r="C311" s="651">
        <v>0</v>
      </c>
      <c r="D311" s="651">
        <v>-19.95</v>
      </c>
      <c r="E311" s="652">
        <v>-19.95</v>
      </c>
    </row>
    <row r="312" spans="1:5" ht="14.5">
      <c r="A312" s="649">
        <v>761200</v>
      </c>
      <c r="B312" s="650" t="s">
        <v>1126</v>
      </c>
      <c r="C312" s="651">
        <v>-1225.3800000000001</v>
      </c>
      <c r="D312" s="651">
        <v>-5293.54</v>
      </c>
      <c r="E312" s="652">
        <v>-15716.05</v>
      </c>
    </row>
    <row r="313" spans="1:5" ht="14.5">
      <c r="A313" s="649">
        <v>761400</v>
      </c>
      <c r="B313" s="650" t="s">
        <v>1475</v>
      </c>
      <c r="C313" s="651">
        <v>0</v>
      </c>
      <c r="D313" s="651">
        <v>-51.44</v>
      </c>
      <c r="E313" s="652">
        <v>-3695.42</v>
      </c>
    </row>
    <row r="314" spans="1:5" ht="14.5">
      <c r="A314" s="649">
        <v>770000</v>
      </c>
      <c r="B314" s="650" t="s">
        <v>1674</v>
      </c>
      <c r="C314" s="651">
        <v>-110226.48</v>
      </c>
      <c r="D314" s="651">
        <v>-171216.48</v>
      </c>
      <c r="E314" s="652">
        <v>-447351.1</v>
      </c>
    </row>
    <row r="315" spans="1:5" ht="14.5">
      <c r="A315" s="649">
        <v>771000</v>
      </c>
      <c r="B315" s="650" t="s">
        <v>1675</v>
      </c>
      <c r="C315" s="651">
        <v>-3205.4</v>
      </c>
      <c r="D315" s="651">
        <v>-10186.799999999999</v>
      </c>
      <c r="E315" s="652">
        <v>-43256.160000000003</v>
      </c>
    </row>
    <row r="316" spans="1:5" ht="14.5">
      <c r="A316" s="649">
        <v>772000</v>
      </c>
      <c r="B316" s="650" t="s">
        <v>1123</v>
      </c>
      <c r="C316" s="651">
        <v>-10350.42</v>
      </c>
      <c r="D316" s="651">
        <v>-33850.379999999997</v>
      </c>
      <c r="E316" s="652">
        <v>-133685.85999999999</v>
      </c>
    </row>
    <row r="317" spans="1:5" ht="14.5">
      <c r="A317" s="649">
        <v>773000</v>
      </c>
      <c r="B317" s="650" t="s">
        <v>1676</v>
      </c>
      <c r="C317" s="651">
        <v>13494.61</v>
      </c>
      <c r="D317" s="651">
        <v>-5447.73</v>
      </c>
      <c r="E317" s="652">
        <v>-8989.5300000000007</v>
      </c>
    </row>
    <row r="318" spans="1:5" ht="14.5">
      <c r="A318" s="649">
        <v>774000</v>
      </c>
      <c r="B318" s="650" t="s">
        <v>1677</v>
      </c>
      <c r="C318" s="651">
        <v>-163437.87</v>
      </c>
      <c r="D318" s="651">
        <v>-351085.1</v>
      </c>
      <c r="E318" s="652">
        <v>-1240932.8999999999</v>
      </c>
    </row>
    <row r="319" spans="1:5" ht="14.5">
      <c r="A319" s="649">
        <v>775000</v>
      </c>
      <c r="B319" s="650" t="s">
        <v>1678</v>
      </c>
      <c r="C319" s="651">
        <v>-46560.84</v>
      </c>
      <c r="D319" s="651">
        <v>-175285.23</v>
      </c>
      <c r="E319" s="652">
        <v>-490369.91</v>
      </c>
    </row>
    <row r="320" spans="1:5" ht="14.5">
      <c r="A320" s="649">
        <v>776000</v>
      </c>
      <c r="B320" s="650" t="s">
        <v>1679</v>
      </c>
      <c r="C320" s="651">
        <v>1710.94</v>
      </c>
      <c r="D320" s="651">
        <v>-6300.39</v>
      </c>
      <c r="E320" s="652">
        <v>-28049.58</v>
      </c>
    </row>
    <row r="321" spans="1:5" ht="14.5">
      <c r="A321" s="649">
        <v>780000</v>
      </c>
      <c r="B321" s="650" t="s">
        <v>1137</v>
      </c>
      <c r="C321" s="651">
        <v>-31105.81</v>
      </c>
      <c r="D321" s="651">
        <v>-104957.87</v>
      </c>
      <c r="E321" s="652">
        <v>-462779.83</v>
      </c>
    </row>
    <row r="322" spans="1:5" ht="14.5">
      <c r="A322" s="649">
        <v>780100</v>
      </c>
      <c r="B322" s="650" t="s">
        <v>1153</v>
      </c>
      <c r="C322" s="651">
        <v>-40391.769999999997</v>
      </c>
      <c r="D322" s="651">
        <v>-97691.41</v>
      </c>
      <c r="E322" s="652">
        <v>-362470.67</v>
      </c>
    </row>
    <row r="323" spans="1:5" ht="14.5">
      <c r="A323" s="649">
        <v>780200</v>
      </c>
      <c r="B323" s="650" t="s">
        <v>1131</v>
      </c>
      <c r="C323" s="651">
        <v>0</v>
      </c>
      <c r="D323" s="651">
        <v>0</v>
      </c>
      <c r="E323" s="652">
        <v>-25310.6</v>
      </c>
    </row>
    <row r="324" spans="1:5" ht="14.5">
      <c r="A324" s="649">
        <v>780300</v>
      </c>
      <c r="B324" s="650" t="s">
        <v>1149</v>
      </c>
      <c r="C324" s="651">
        <v>-19340.05</v>
      </c>
      <c r="D324" s="651">
        <v>-58025.279999999999</v>
      </c>
      <c r="E324" s="652">
        <v>-229967.96</v>
      </c>
    </row>
    <row r="325" spans="1:5" ht="14.5">
      <c r="A325" s="649">
        <v>790500</v>
      </c>
      <c r="B325" s="650" t="s">
        <v>1680</v>
      </c>
      <c r="C325" s="651">
        <v>-172117.99</v>
      </c>
      <c r="D325" s="651">
        <v>-516592.54</v>
      </c>
      <c r="E325" s="652">
        <v>-1890928.55</v>
      </c>
    </row>
    <row r="326" spans="1:5" ht="14.5">
      <c r="A326" s="649">
        <v>790510</v>
      </c>
      <c r="B326" s="650" t="s">
        <v>1681</v>
      </c>
      <c r="C326" s="651">
        <v>215276.38</v>
      </c>
      <c r="D326" s="651">
        <v>53242.67</v>
      </c>
      <c r="E326" s="652">
        <v>-527105.64</v>
      </c>
    </row>
    <row r="327" spans="1:5" ht="14.5">
      <c r="A327" s="649">
        <v>790520</v>
      </c>
      <c r="B327" s="650" t="s">
        <v>1682</v>
      </c>
      <c r="C327" s="651">
        <v>-158992.41</v>
      </c>
      <c r="D327" s="651">
        <v>-451638.13</v>
      </c>
      <c r="E327" s="652">
        <v>-1742238.52</v>
      </c>
    </row>
    <row r="328" spans="1:5" ht="14.5">
      <c r="A328" s="649">
        <v>810000</v>
      </c>
      <c r="B328" s="650" t="s">
        <v>1683</v>
      </c>
      <c r="C328" s="651">
        <v>-484625.06</v>
      </c>
      <c r="D328" s="651">
        <v>-1275389.73</v>
      </c>
      <c r="E328" s="652">
        <v>-5961990.4400000004</v>
      </c>
    </row>
    <row r="329" spans="1:5" ht="14.5">
      <c r="A329" s="649">
        <v>810200</v>
      </c>
      <c r="B329" s="650" t="s">
        <v>1684</v>
      </c>
      <c r="C329" s="651">
        <v>-30548.83</v>
      </c>
      <c r="D329" s="651">
        <v>-62578.33</v>
      </c>
      <c r="E329" s="652">
        <v>-187700.83</v>
      </c>
    </row>
    <row r="330" spans="1:5" ht="14.5">
      <c r="A330" s="649">
        <v>810300</v>
      </c>
      <c r="B330" s="650" t="s">
        <v>1685</v>
      </c>
      <c r="C330" s="651">
        <v>-11198.5</v>
      </c>
      <c r="D330" s="651">
        <v>-11198.5</v>
      </c>
      <c r="E330" s="652">
        <v>7724.28</v>
      </c>
    </row>
    <row r="331" spans="1:5" ht="14.5">
      <c r="A331" s="649">
        <v>810500</v>
      </c>
      <c r="B331" s="650" t="s">
        <v>1686</v>
      </c>
      <c r="C331" s="651">
        <v>-408178.1</v>
      </c>
      <c r="D331" s="651">
        <v>-524329.99</v>
      </c>
      <c r="E331" s="652">
        <v>-1295928.24</v>
      </c>
    </row>
    <row r="332" spans="1:5" ht="14.5">
      <c r="A332" s="649">
        <v>810600</v>
      </c>
      <c r="B332" s="650" t="s">
        <v>1687</v>
      </c>
      <c r="C332" s="651">
        <v>-23888</v>
      </c>
      <c r="D332" s="651">
        <v>-41373.019999999997</v>
      </c>
      <c r="E332" s="652">
        <v>-99366.41</v>
      </c>
    </row>
    <row r="333" spans="1:5" ht="14.5">
      <c r="A333" s="649">
        <v>810700</v>
      </c>
      <c r="B333" s="650" t="s">
        <v>1688</v>
      </c>
      <c r="C333" s="651">
        <v>0</v>
      </c>
      <c r="D333" s="651">
        <v>22794.98</v>
      </c>
      <c r="E333" s="652">
        <v>19283.86</v>
      </c>
    </row>
    <row r="334" spans="1:5" ht="14.5">
      <c r="A334" s="649">
        <v>810900</v>
      </c>
      <c r="B334" s="650" t="s">
        <v>1689</v>
      </c>
      <c r="C334" s="651">
        <v>18559.45</v>
      </c>
      <c r="D334" s="651">
        <v>5509.47</v>
      </c>
      <c r="E334" s="652">
        <v>-12734.79</v>
      </c>
    </row>
    <row r="335" spans="1:5" ht="14.5">
      <c r="A335" s="649">
        <v>810950</v>
      </c>
      <c r="B335" s="650" t="s">
        <v>1690</v>
      </c>
      <c r="C335" s="651">
        <v>1024.46</v>
      </c>
      <c r="D335" s="651">
        <v>-3140.98</v>
      </c>
      <c r="E335" s="652">
        <v>7113.66</v>
      </c>
    </row>
    <row r="336" spans="1:5" ht="14.5">
      <c r="A336" s="649">
        <v>810960</v>
      </c>
      <c r="B336" s="650" t="s">
        <v>1691</v>
      </c>
      <c r="C336" s="651">
        <v>11471.85</v>
      </c>
      <c r="D336" s="651">
        <v>-20712.21</v>
      </c>
      <c r="E336" s="652">
        <v>-49985.91</v>
      </c>
    </row>
    <row r="337" spans="1:5" ht="14.5">
      <c r="A337" s="649">
        <v>811100</v>
      </c>
      <c r="B337" s="650" t="s">
        <v>1692</v>
      </c>
      <c r="C337" s="651">
        <v>-57144.160000000003</v>
      </c>
      <c r="D337" s="651">
        <v>-79854.2</v>
      </c>
      <c r="E337" s="652">
        <v>-328739.05</v>
      </c>
    </row>
    <row r="338" spans="1:5" ht="14.5">
      <c r="A338" s="649">
        <v>811200</v>
      </c>
      <c r="B338" s="650" t="s">
        <v>1693</v>
      </c>
      <c r="C338" s="651">
        <v>-9293</v>
      </c>
      <c r="D338" s="651">
        <v>-70194.039999999994</v>
      </c>
      <c r="E338" s="652">
        <v>-262110.92</v>
      </c>
    </row>
    <row r="339" spans="1:5" ht="14.5">
      <c r="A339" s="649">
        <v>811300</v>
      </c>
      <c r="B339" s="650" t="s">
        <v>1694</v>
      </c>
      <c r="C339" s="651">
        <v>-3082.51</v>
      </c>
      <c r="D339" s="651">
        <v>-200942.6</v>
      </c>
      <c r="E339" s="652">
        <v>-201318.54</v>
      </c>
    </row>
    <row r="340" spans="1:5" ht="14.5">
      <c r="A340" s="649">
        <v>811350</v>
      </c>
      <c r="B340" s="650" t="s">
        <v>1695</v>
      </c>
      <c r="C340" s="651">
        <v>-4276.18</v>
      </c>
      <c r="D340" s="651">
        <v>-7176.11</v>
      </c>
      <c r="E340" s="652">
        <v>-54839.17</v>
      </c>
    </row>
    <row r="341" spans="1:5" ht="14.5">
      <c r="A341" s="649">
        <v>811400</v>
      </c>
      <c r="B341" s="650" t="s">
        <v>1696</v>
      </c>
      <c r="C341" s="651">
        <v>-47000</v>
      </c>
      <c r="D341" s="651">
        <v>-141000</v>
      </c>
      <c r="E341" s="652">
        <v>-564000</v>
      </c>
    </row>
    <row r="342" spans="1:5" ht="14.5">
      <c r="A342" s="649">
        <v>811800</v>
      </c>
      <c r="B342" s="650" t="s">
        <v>1697</v>
      </c>
      <c r="C342" s="651">
        <v>23243.03</v>
      </c>
      <c r="D342" s="651">
        <v>-218060.11</v>
      </c>
      <c r="E342" s="652">
        <v>-470716.44</v>
      </c>
    </row>
    <row r="343" spans="1:5" ht="14.5">
      <c r="A343" s="649">
        <v>811900</v>
      </c>
      <c r="B343" s="650" t="s">
        <v>1698</v>
      </c>
      <c r="C343" s="651">
        <v>0</v>
      </c>
      <c r="D343" s="651">
        <v>0</v>
      </c>
      <c r="E343" s="652">
        <v>-1435.62</v>
      </c>
    </row>
    <row r="344" spans="1:5" ht="14.5">
      <c r="A344" s="649">
        <v>812200</v>
      </c>
      <c r="B344" s="650" t="s">
        <v>1699</v>
      </c>
      <c r="C344" s="651">
        <v>0</v>
      </c>
      <c r="D344" s="651">
        <v>0</v>
      </c>
      <c r="E344" s="652">
        <v>-499</v>
      </c>
    </row>
    <row r="345" spans="1:5" ht="14.5">
      <c r="A345" s="649">
        <v>815000</v>
      </c>
      <c r="B345" s="650" t="s">
        <v>1700</v>
      </c>
      <c r="C345" s="651">
        <v>886897.7</v>
      </c>
      <c r="D345" s="651">
        <v>1898351.22</v>
      </c>
      <c r="E345" s="652">
        <v>6525267.4000000004</v>
      </c>
    </row>
    <row r="346" spans="1:5" ht="14.5">
      <c r="A346" s="649">
        <v>815002</v>
      </c>
      <c r="B346" s="650" t="s">
        <v>1701</v>
      </c>
      <c r="C346" s="651">
        <v>44000</v>
      </c>
      <c r="D346" s="651">
        <v>72000</v>
      </c>
      <c r="E346" s="652">
        <v>212510</v>
      </c>
    </row>
    <row r="347" spans="1:5" ht="14.5">
      <c r="A347" s="649">
        <v>815010</v>
      </c>
      <c r="B347" s="650" t="s">
        <v>1702</v>
      </c>
      <c r="C347" s="651">
        <v>0</v>
      </c>
      <c r="D347" s="651">
        <v>17330.349999999999</v>
      </c>
      <c r="E347" s="652">
        <v>-63040.27</v>
      </c>
    </row>
    <row r="348" spans="1:5" ht="14.5">
      <c r="A348" s="649">
        <v>815100</v>
      </c>
      <c r="B348" s="650" t="s">
        <v>1703</v>
      </c>
      <c r="C348" s="651">
        <v>-65155.14</v>
      </c>
      <c r="D348" s="651">
        <v>-101990.73</v>
      </c>
      <c r="E348" s="652">
        <v>-732442.33</v>
      </c>
    </row>
    <row r="349" spans="1:5" ht="14.5">
      <c r="A349" s="649">
        <v>815400</v>
      </c>
      <c r="B349" s="650" t="s">
        <v>1704</v>
      </c>
      <c r="C349" s="651">
        <v>39075</v>
      </c>
      <c r="D349" s="651">
        <v>97770</v>
      </c>
      <c r="E349" s="652">
        <v>776825</v>
      </c>
    </row>
    <row r="350" spans="1:5" ht="14.5">
      <c r="A350" s="649">
        <v>815800</v>
      </c>
      <c r="B350" s="650" t="s">
        <v>1705</v>
      </c>
      <c r="C350" s="651">
        <v>280</v>
      </c>
      <c r="D350" s="651">
        <v>750</v>
      </c>
      <c r="E350" s="652">
        <v>3025</v>
      </c>
    </row>
    <row r="351" spans="1:5" ht="14.5">
      <c r="A351" s="649">
        <v>815850</v>
      </c>
      <c r="B351" s="650" t="s">
        <v>1706</v>
      </c>
      <c r="C351" s="651">
        <v>1095</v>
      </c>
      <c r="D351" s="651">
        <v>2590</v>
      </c>
      <c r="E351" s="652">
        <v>10005</v>
      </c>
    </row>
    <row r="352" spans="1:5" ht="14.5">
      <c r="A352" s="649">
        <v>815900</v>
      </c>
      <c r="B352" s="650" t="s">
        <v>1707</v>
      </c>
      <c r="C352" s="651">
        <v>15000</v>
      </c>
      <c r="D352" s="651">
        <v>45000</v>
      </c>
      <c r="E352" s="652">
        <v>181901.5</v>
      </c>
    </row>
    <row r="353" spans="1:5" ht="14.5">
      <c r="A353" s="649">
        <v>816500</v>
      </c>
      <c r="B353" s="650" t="s">
        <v>1708</v>
      </c>
      <c r="C353" s="651">
        <v>512.03</v>
      </c>
      <c r="D353" s="651">
        <v>1532.12</v>
      </c>
      <c r="E353" s="652">
        <v>18766.36</v>
      </c>
    </row>
    <row r="354" spans="1:5" ht="14.5">
      <c r="A354" s="649">
        <v>820051</v>
      </c>
      <c r="B354" s="650" t="s">
        <v>1476</v>
      </c>
      <c r="C354" s="651">
        <v>-16149.85</v>
      </c>
      <c r="D354" s="651">
        <v>-70350.78</v>
      </c>
      <c r="E354" s="652">
        <v>-70350.78</v>
      </c>
    </row>
    <row r="355" spans="1:5" ht="14.5">
      <c r="A355" s="649">
        <v>820450</v>
      </c>
      <c r="B355" s="650" t="s">
        <v>1709</v>
      </c>
      <c r="C355" s="651">
        <v>11188</v>
      </c>
      <c r="D355" s="651">
        <v>17164</v>
      </c>
      <c r="E355" s="652">
        <v>42414</v>
      </c>
    </row>
    <row r="356" spans="1:5" ht="14.5">
      <c r="A356" s="649">
        <v>821000</v>
      </c>
      <c r="B356" s="650" t="s">
        <v>1710</v>
      </c>
      <c r="C356" s="651">
        <v>0</v>
      </c>
      <c r="D356" s="651">
        <v>25000</v>
      </c>
      <c r="E356" s="652">
        <v>88268.95</v>
      </c>
    </row>
    <row r="357" spans="1:5" ht="14.5">
      <c r="A357" s="649">
        <v>825000</v>
      </c>
      <c r="B357" s="650" t="s">
        <v>1711</v>
      </c>
      <c r="C357" s="651">
        <v>-125091.39</v>
      </c>
      <c r="D357" s="651">
        <v>-317341.39</v>
      </c>
      <c r="E357" s="652">
        <v>-1057534.94</v>
      </c>
    </row>
    <row r="358" spans="1:5" ht="14.5">
      <c r="A358" s="649">
        <v>825200</v>
      </c>
      <c r="B358" s="650" t="s">
        <v>1712</v>
      </c>
      <c r="C358" s="651">
        <v>-2220.98</v>
      </c>
      <c r="D358" s="651">
        <v>-4456.9799999999996</v>
      </c>
      <c r="E358" s="652">
        <v>-21697.86</v>
      </c>
    </row>
    <row r="359" spans="1:5" ht="14.5">
      <c r="A359" s="649">
        <v>825300</v>
      </c>
      <c r="B359" s="650" t="s">
        <v>1713</v>
      </c>
      <c r="C359" s="651">
        <v>-60.14</v>
      </c>
      <c r="D359" s="651">
        <v>-314.51</v>
      </c>
      <c r="E359" s="652">
        <v>-17342.580000000002</v>
      </c>
    </row>
    <row r="360" spans="1:5" ht="14.5">
      <c r="A360" s="649">
        <v>825328</v>
      </c>
      <c r="B360" s="650" t="s">
        <v>1172</v>
      </c>
      <c r="C360" s="651">
        <v>5646.02</v>
      </c>
      <c r="D360" s="651">
        <v>5646.02</v>
      </c>
      <c r="E360" s="652">
        <v>5646.02</v>
      </c>
    </row>
    <row r="361" spans="1:5" ht="14.5">
      <c r="A361" s="649">
        <v>841000</v>
      </c>
      <c r="B361" s="650" t="s">
        <v>1714</v>
      </c>
      <c r="C361" s="651">
        <v>-688.41</v>
      </c>
      <c r="D361" s="651">
        <v>-1654.82</v>
      </c>
      <c r="E361" s="652">
        <v>-3559.72</v>
      </c>
    </row>
    <row r="362" spans="1:5" ht="14.5">
      <c r="A362" s="649">
        <v>901000</v>
      </c>
      <c r="B362" s="650" t="s">
        <v>1156</v>
      </c>
      <c r="C362" s="651">
        <v>-48307.31</v>
      </c>
      <c r="D362" s="651">
        <v>-48307.31</v>
      </c>
      <c r="E362" s="652">
        <v>97487.4</v>
      </c>
    </row>
    <row r="363" spans="1:5" ht="14.5">
      <c r="A363" s="649">
        <v>901200</v>
      </c>
      <c r="B363" s="650" t="s">
        <v>1715</v>
      </c>
      <c r="C363" s="651">
        <v>880.66</v>
      </c>
      <c r="D363" s="651">
        <v>2641.98</v>
      </c>
      <c r="E363" s="652">
        <v>10567.95</v>
      </c>
    </row>
    <row r="364" spans="1:5" ht="14.5">
      <c r="A364" s="649">
        <v>910000</v>
      </c>
      <c r="B364" s="650" t="s">
        <v>1716</v>
      </c>
      <c r="C364" s="651">
        <v>-3750.44</v>
      </c>
      <c r="D364" s="651">
        <v>-11461.12</v>
      </c>
      <c r="E364" s="652">
        <v>-49575.07</v>
      </c>
    </row>
    <row r="365" spans="1:5" ht="14.5">
      <c r="A365" s="649">
        <v>911700</v>
      </c>
      <c r="B365" s="650" t="s">
        <v>1717</v>
      </c>
      <c r="C365" s="651">
        <v>-8524.0499999999993</v>
      </c>
      <c r="D365" s="651">
        <v>-23139.49</v>
      </c>
      <c r="E365" s="652">
        <v>-93381.41</v>
      </c>
    </row>
    <row r="366" spans="1:5" ht="14.5">
      <c r="A366" s="649">
        <v>911800</v>
      </c>
      <c r="B366" s="650" t="s">
        <v>1718</v>
      </c>
      <c r="C366" s="651">
        <v>-8333.33</v>
      </c>
      <c r="D366" s="651">
        <v>-24999.99</v>
      </c>
      <c r="E366" s="652">
        <v>-107741.59</v>
      </c>
    </row>
    <row r="367" spans="1:5" ht="14.5">
      <c r="A367" s="649">
        <v>915000</v>
      </c>
      <c r="B367" s="650" t="s">
        <v>1719</v>
      </c>
      <c r="C367" s="651">
        <v>0</v>
      </c>
      <c r="D367" s="651">
        <v>0</v>
      </c>
      <c r="E367" s="652">
        <v>-20194.37</v>
      </c>
    </row>
    <row r="368" spans="1:5" ht="14.5">
      <c r="A368" s="649">
        <v>919000</v>
      </c>
      <c r="B368" s="650" t="s">
        <v>1120</v>
      </c>
      <c r="C368" s="651">
        <v>11975</v>
      </c>
      <c r="D368" s="651">
        <v>11975</v>
      </c>
      <c r="E368" s="652">
        <v>-60358</v>
      </c>
    </row>
    <row r="369" spans="1:5" ht="14.5">
      <c r="A369" s="649">
        <v>920000</v>
      </c>
      <c r="B369" s="650" t="s">
        <v>1720</v>
      </c>
      <c r="C369" s="651">
        <v>0</v>
      </c>
      <c r="D369" s="651">
        <v>0</v>
      </c>
      <c r="E369" s="652">
        <v>-395.15</v>
      </c>
    </row>
    <row r="370" spans="1:5" ht="14.5">
      <c r="A370" s="649">
        <v>930000</v>
      </c>
      <c r="B370" s="650" t="s">
        <v>1129</v>
      </c>
      <c r="C370" s="651">
        <v>-124334.19</v>
      </c>
      <c r="D370" s="651">
        <v>-371628.48</v>
      </c>
      <c r="E370" s="652">
        <v>-1536044.69</v>
      </c>
    </row>
    <row r="371" spans="1:5" ht="14.5">
      <c r="A371" s="649">
        <v>960000</v>
      </c>
      <c r="B371" s="650" t="s">
        <v>1721</v>
      </c>
      <c r="C371" s="651">
        <v>0</v>
      </c>
      <c r="D371" s="651">
        <v>-0.14000000000000001</v>
      </c>
      <c r="E371" s="652">
        <v>147599.85999999999</v>
      </c>
    </row>
    <row r="372" spans="1:5" ht="14.5">
      <c r="A372" s="649">
        <v>980000</v>
      </c>
      <c r="B372" s="650" t="s">
        <v>1722</v>
      </c>
      <c r="C372" s="651">
        <v>0</v>
      </c>
      <c r="D372" s="651">
        <v>0</v>
      </c>
      <c r="E372" s="652">
        <v>-8.4600000000000009</v>
      </c>
    </row>
    <row r="373" spans="1:5" ht="14.5">
      <c r="A373" s="649">
        <v>985000</v>
      </c>
      <c r="B373" s="650" t="s">
        <v>1723</v>
      </c>
      <c r="C373" s="651">
        <v>-4456589.9800000004</v>
      </c>
      <c r="D373" s="651">
        <v>-4456589.9800000004</v>
      </c>
      <c r="E373" s="652">
        <v>-6350026.8399999999</v>
      </c>
    </row>
    <row r="374" spans="1:5" ht="14.5">
      <c r="A374" s="649">
        <v>990000</v>
      </c>
      <c r="B374" s="650" t="s">
        <v>1724</v>
      </c>
      <c r="C374" s="651">
        <v>-2979104</v>
      </c>
      <c r="D374" s="651">
        <v>-2979104</v>
      </c>
      <c r="E374" s="652">
        <v>-394104</v>
      </c>
    </row>
    <row r="375" spans="1:5" ht="14.5">
      <c r="A375" s="649">
        <v>995000</v>
      </c>
      <c r="B375" s="650" t="s">
        <v>1725</v>
      </c>
      <c r="C375" s="651">
        <v>-10512.14</v>
      </c>
      <c r="D375" s="651">
        <v>-31536.42</v>
      </c>
      <c r="E375" s="652">
        <v>-126145.68</v>
      </c>
    </row>
    <row r="376" spans="1:5" ht="14">
      <c r="A376" s="544"/>
      <c r="B376" s="468"/>
      <c r="C376" s="468"/>
      <c r="D376" s="468"/>
    </row>
    <row r="377" spans="1:5" ht="14">
      <c r="A377" s="544"/>
      <c r="B377" s="468"/>
      <c r="C377" s="468"/>
      <c r="D377" s="468"/>
    </row>
    <row r="378" spans="1:5" ht="14">
      <c r="A378" s="544"/>
      <c r="B378" s="468"/>
      <c r="C378" s="468"/>
      <c r="D378" s="468"/>
    </row>
    <row r="379" spans="1:5" ht="14">
      <c r="A379" s="544"/>
      <c r="B379" s="468"/>
      <c r="C379" s="468"/>
      <c r="D379" s="468"/>
    </row>
    <row r="380" spans="1:5" ht="14">
      <c r="A380" s="544"/>
      <c r="B380" s="468"/>
      <c r="C380" s="468"/>
      <c r="D380" s="468"/>
    </row>
    <row r="381" spans="1:5" ht="14">
      <c r="A381" s="544"/>
      <c r="B381" s="468"/>
      <c r="C381" s="468"/>
      <c r="D381" s="468"/>
    </row>
    <row r="382" spans="1:5" ht="14">
      <c r="A382" s="544"/>
      <c r="B382" s="468"/>
      <c r="C382" s="468"/>
      <c r="D382" s="468"/>
    </row>
    <row r="383" spans="1:5" ht="14">
      <c r="A383" s="544"/>
      <c r="B383" s="468"/>
      <c r="C383" s="468"/>
      <c r="D383" s="468"/>
    </row>
    <row r="384" spans="1:5" ht="14">
      <c r="A384" s="544"/>
      <c r="B384" s="468"/>
      <c r="C384" s="468"/>
      <c r="D384" s="468"/>
    </row>
    <row r="385" spans="1:4" ht="14">
      <c r="A385" s="545"/>
      <c r="B385" s="468"/>
      <c r="C385" s="468"/>
      <c r="D385" s="468"/>
    </row>
    <row r="386" spans="1:4" ht="14">
      <c r="A386" s="545"/>
      <c r="B386" s="468"/>
      <c r="C386" s="468"/>
      <c r="D386" s="468"/>
    </row>
    <row r="387" spans="1:4" ht="14">
      <c r="A387" s="545"/>
      <c r="B387" s="469"/>
      <c r="C387" s="469"/>
      <c r="D387" s="469"/>
    </row>
    <row r="388" spans="1:4" ht="14">
      <c r="A388" s="544"/>
      <c r="B388" s="468"/>
      <c r="C388" s="468"/>
      <c r="D388" s="468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FF00"/>
  </sheetPr>
  <dimension ref="A1:L506"/>
  <sheetViews>
    <sheetView topLeftCell="A479" zoomScale="80" zoomScaleNormal="80" workbookViewId="0">
      <selection sqref="A1:E499"/>
    </sheetView>
  </sheetViews>
  <sheetFormatPr defaultColWidth="9.1796875" defaultRowHeight="12.5"/>
  <cols>
    <col min="1" max="1" width="16.7265625" style="1" customWidth="1"/>
    <col min="2" max="2" width="34.453125" style="1" bestFit="1" customWidth="1"/>
    <col min="3" max="5" width="16.26953125" style="1" bestFit="1" customWidth="1"/>
    <col min="6" max="6" width="2.1796875" style="1" customWidth="1"/>
    <col min="7" max="7" width="15.81640625" style="1" bestFit="1" customWidth="1"/>
    <col min="8" max="8" width="20.26953125" style="1" bestFit="1" customWidth="1"/>
    <col min="9" max="9" width="10.26953125" style="1" bestFit="1" customWidth="1"/>
    <col min="10" max="10" width="13.81640625" style="344" bestFit="1" customWidth="1"/>
    <col min="11" max="11" width="14" style="344" bestFit="1" customWidth="1"/>
    <col min="12" max="12" width="14.81640625" style="344" bestFit="1" customWidth="1"/>
    <col min="13" max="16384" width="9.1796875" style="1"/>
  </cols>
  <sheetData>
    <row r="1" spans="1:9" ht="28.5">
      <c r="A1" s="635"/>
      <c r="B1" s="636"/>
      <c r="C1" s="637" t="s">
        <v>1880</v>
      </c>
      <c r="D1" s="637"/>
      <c r="E1" s="637"/>
      <c r="F1" s="343"/>
      <c r="G1" s="343"/>
      <c r="H1" s="343"/>
      <c r="I1" s="343"/>
    </row>
    <row r="2" spans="1:9" ht="14.5">
      <c r="A2" s="638"/>
      <c r="B2" s="639"/>
      <c r="C2" s="640"/>
      <c r="D2" s="640"/>
      <c r="E2" s="640"/>
      <c r="F2" s="343"/>
      <c r="G2" s="343"/>
      <c r="H2" s="343"/>
      <c r="I2" s="343"/>
    </row>
    <row r="3" spans="1:9" ht="14.5">
      <c r="A3" s="638"/>
      <c r="B3" s="641"/>
      <c r="C3" s="640" t="s">
        <v>583</v>
      </c>
      <c r="D3" s="640"/>
      <c r="E3" s="641"/>
      <c r="F3" s="343"/>
      <c r="G3" s="343"/>
      <c r="H3" s="343"/>
      <c r="I3" s="343"/>
    </row>
    <row r="4" spans="1:9" ht="14.5">
      <c r="A4" s="638"/>
      <c r="B4" s="639"/>
      <c r="C4" s="640" t="s">
        <v>1276</v>
      </c>
      <c r="D4" s="640"/>
      <c r="E4" s="640"/>
      <c r="F4" s="343"/>
      <c r="G4" s="343"/>
      <c r="H4" s="343"/>
      <c r="I4" s="343"/>
    </row>
    <row r="5" spans="1:9" ht="14.5">
      <c r="A5" s="638"/>
      <c r="B5" s="639"/>
      <c r="C5" s="640" t="s">
        <v>2273</v>
      </c>
      <c r="D5" s="640"/>
      <c r="E5" s="640"/>
      <c r="F5" s="343"/>
      <c r="G5" s="343"/>
      <c r="H5" s="343"/>
      <c r="I5" s="343"/>
    </row>
    <row r="6" spans="1:9" ht="14.5">
      <c r="A6" s="638"/>
      <c r="B6" s="641"/>
      <c r="C6" s="641"/>
      <c r="D6" s="641"/>
      <c r="E6" s="641"/>
      <c r="F6" s="343"/>
      <c r="G6" s="343"/>
      <c r="H6" s="343"/>
      <c r="I6" s="343"/>
    </row>
    <row r="7" spans="1:9" ht="14.5">
      <c r="A7" s="638" t="s">
        <v>1881</v>
      </c>
      <c r="B7" s="638" t="s">
        <v>1882</v>
      </c>
      <c r="C7" s="641"/>
      <c r="D7" s="641"/>
      <c r="E7" s="641"/>
      <c r="F7" s="343"/>
      <c r="G7" s="343"/>
      <c r="H7" s="343"/>
      <c r="I7" s="343"/>
    </row>
    <row r="8" spans="1:9" ht="14.5">
      <c r="A8" s="642"/>
      <c r="B8" s="643"/>
      <c r="C8" s="644" t="s">
        <v>1277</v>
      </c>
      <c r="D8" s="644" t="s">
        <v>1277</v>
      </c>
      <c r="E8" s="645" t="s">
        <v>1277</v>
      </c>
      <c r="F8" s="343"/>
      <c r="G8" s="343"/>
      <c r="H8" s="343"/>
      <c r="I8" s="343"/>
    </row>
    <row r="9" spans="1:9" ht="14.5">
      <c r="A9" s="646"/>
      <c r="B9" s="647"/>
      <c r="C9" s="647" t="s">
        <v>1069</v>
      </c>
      <c r="D9" s="647" t="s">
        <v>1070</v>
      </c>
      <c r="E9" s="648" t="s">
        <v>1883</v>
      </c>
      <c r="F9" s="343"/>
      <c r="G9" s="343"/>
      <c r="H9" s="343"/>
      <c r="I9" s="343"/>
    </row>
    <row r="10" spans="1:9" ht="14.5">
      <c r="A10" s="649">
        <v>105000</v>
      </c>
      <c r="B10" s="650" t="s">
        <v>1884</v>
      </c>
      <c r="C10" s="651">
        <v>-381059.96</v>
      </c>
      <c r="D10" s="651">
        <v>-382032.63</v>
      </c>
      <c r="E10" s="652">
        <v>0</v>
      </c>
      <c r="F10" s="343"/>
      <c r="G10" s="343"/>
      <c r="H10" s="343"/>
      <c r="I10" s="343"/>
    </row>
    <row r="11" spans="1:9" ht="14.5">
      <c r="A11" s="649">
        <v>105050</v>
      </c>
      <c r="B11" s="650" t="s">
        <v>1885</v>
      </c>
      <c r="C11" s="651">
        <v>0</v>
      </c>
      <c r="D11" s="651">
        <v>-769180.21</v>
      </c>
      <c r="E11" s="652">
        <v>0</v>
      </c>
      <c r="F11" s="343"/>
      <c r="G11" s="343"/>
      <c r="H11" s="343"/>
      <c r="I11" s="343"/>
    </row>
    <row r="12" spans="1:9" ht="14.5">
      <c r="A12" s="649">
        <v>105100</v>
      </c>
      <c r="B12" s="650" t="s">
        <v>1886</v>
      </c>
      <c r="C12" s="651">
        <v>-1603440.66</v>
      </c>
      <c r="D12" s="651">
        <v>3232872.74</v>
      </c>
      <c r="E12" s="652">
        <v>-3163330.66</v>
      </c>
      <c r="F12" s="343"/>
      <c r="G12" s="343"/>
      <c r="H12" s="343"/>
      <c r="I12" s="343"/>
    </row>
    <row r="13" spans="1:9" ht="14.5">
      <c r="A13" s="649">
        <v>105225</v>
      </c>
      <c r="B13" s="650" t="s">
        <v>1887</v>
      </c>
      <c r="C13" s="651">
        <v>13618199.43</v>
      </c>
      <c r="D13" s="651">
        <v>-1802963.53</v>
      </c>
      <c r="E13" s="652">
        <v>62210380.350000001</v>
      </c>
      <c r="F13" s="343"/>
      <c r="G13" s="343"/>
      <c r="H13" s="343"/>
      <c r="I13" s="343"/>
    </row>
    <row r="14" spans="1:9" ht="14.5">
      <c r="A14" s="649">
        <v>105300</v>
      </c>
      <c r="B14" s="650" t="s">
        <v>1888</v>
      </c>
      <c r="C14" s="651">
        <v>-1876217.26</v>
      </c>
      <c r="D14" s="651">
        <v>-21292.85</v>
      </c>
      <c r="E14" s="652">
        <v>-36504.61</v>
      </c>
      <c r="F14" s="343"/>
      <c r="G14" s="343"/>
      <c r="H14" s="343"/>
      <c r="I14" s="343"/>
    </row>
    <row r="15" spans="1:9" ht="14.5">
      <c r="A15" s="649">
        <v>105325</v>
      </c>
      <c r="B15" s="650" t="s">
        <v>1889</v>
      </c>
      <c r="C15" s="651">
        <v>-70881.8</v>
      </c>
      <c r="D15" s="651">
        <v>57029.5</v>
      </c>
      <c r="E15" s="652">
        <v>254672.87</v>
      </c>
    </row>
    <row r="16" spans="1:9" ht="14.5">
      <c r="A16" s="649">
        <v>105350</v>
      </c>
      <c r="B16" s="650" t="s">
        <v>1890</v>
      </c>
      <c r="C16" s="651">
        <v>0</v>
      </c>
      <c r="D16" s="651">
        <v>-31144.27</v>
      </c>
      <c r="E16" s="652">
        <v>0</v>
      </c>
    </row>
    <row r="17" spans="1:5" ht="14.5">
      <c r="A17" s="649">
        <v>105375</v>
      </c>
      <c r="B17" s="650" t="s">
        <v>1891</v>
      </c>
      <c r="C17" s="651">
        <v>13249.67</v>
      </c>
      <c r="D17" s="651">
        <v>-52.2</v>
      </c>
      <c r="E17" s="652">
        <v>-21452.28</v>
      </c>
    </row>
    <row r="18" spans="1:5" ht="14.5">
      <c r="A18" s="649">
        <v>105390</v>
      </c>
      <c r="B18" s="650" t="s">
        <v>1892</v>
      </c>
      <c r="C18" s="651">
        <v>-9581.77</v>
      </c>
      <c r="D18" s="651">
        <v>-7114.68</v>
      </c>
      <c r="E18" s="652">
        <v>-8798.25</v>
      </c>
    </row>
    <row r="19" spans="1:5" ht="14.5">
      <c r="A19" s="649">
        <v>105400</v>
      </c>
      <c r="B19" s="650" t="s">
        <v>1893</v>
      </c>
      <c r="C19" s="651">
        <v>-1832.44</v>
      </c>
      <c r="D19" s="651">
        <v>-5509.14</v>
      </c>
      <c r="E19" s="652">
        <v>39251.379999999997</v>
      </c>
    </row>
    <row r="20" spans="1:5" ht="14.5">
      <c r="A20" s="649">
        <v>105600</v>
      </c>
      <c r="B20" s="650" t="s">
        <v>1894</v>
      </c>
      <c r="C20" s="651">
        <v>-11611.58</v>
      </c>
      <c r="D20" s="651">
        <v>-33194.400000000001</v>
      </c>
      <c r="E20" s="652">
        <v>198677.16</v>
      </c>
    </row>
    <row r="21" spans="1:5" ht="14.5">
      <c r="A21" s="649">
        <v>112100</v>
      </c>
      <c r="B21" s="650" t="s">
        <v>1075</v>
      </c>
      <c r="C21" s="651">
        <v>0</v>
      </c>
      <c r="D21" s="651">
        <v>0</v>
      </c>
      <c r="E21" s="652">
        <v>25800</v>
      </c>
    </row>
    <row r="22" spans="1:5" ht="14.5">
      <c r="A22" s="649">
        <v>121070</v>
      </c>
      <c r="B22" s="650" t="s">
        <v>1895</v>
      </c>
      <c r="C22" s="651">
        <v>-23041.94</v>
      </c>
      <c r="D22" s="651">
        <v>-33621.65</v>
      </c>
      <c r="E22" s="652">
        <v>0</v>
      </c>
    </row>
    <row r="23" spans="1:5" ht="14.5">
      <c r="A23" s="649">
        <v>121100</v>
      </c>
      <c r="B23" s="650" t="s">
        <v>1076</v>
      </c>
      <c r="C23" s="651">
        <v>3037555.89</v>
      </c>
      <c r="D23" s="651">
        <v>18370343.75</v>
      </c>
      <c r="E23" s="652">
        <v>24343836.989999998</v>
      </c>
    </row>
    <row r="24" spans="1:5" ht="14.5">
      <c r="A24" s="649">
        <v>121200</v>
      </c>
      <c r="B24" s="650" t="s">
        <v>1896</v>
      </c>
      <c r="C24" s="651">
        <v>1817670.61</v>
      </c>
      <c r="D24" s="651">
        <v>3009994.48</v>
      </c>
      <c r="E24" s="652">
        <v>3784763.1</v>
      </c>
    </row>
    <row r="25" spans="1:5" ht="14.5">
      <c r="A25" s="649">
        <v>121201</v>
      </c>
      <c r="B25" s="650" t="s">
        <v>1897</v>
      </c>
      <c r="C25" s="651">
        <v>-56703.55</v>
      </c>
      <c r="D25" s="651">
        <v>-13998432</v>
      </c>
      <c r="E25" s="652">
        <v>0</v>
      </c>
    </row>
    <row r="26" spans="1:5" ht="14.5">
      <c r="A26" s="649">
        <v>121202</v>
      </c>
      <c r="B26" s="650" t="s">
        <v>1898</v>
      </c>
      <c r="C26" s="651">
        <v>-457799.23</v>
      </c>
      <c r="D26" s="651">
        <v>-657095.02</v>
      </c>
      <c r="E26" s="652">
        <v>1088925.3899999999</v>
      </c>
    </row>
    <row r="27" spans="1:5" ht="14.5">
      <c r="A27" s="649">
        <v>121210</v>
      </c>
      <c r="B27" s="650" t="s">
        <v>1077</v>
      </c>
      <c r="C27" s="651">
        <v>3026974.75</v>
      </c>
      <c r="D27" s="651">
        <v>1409150.58</v>
      </c>
      <c r="E27" s="652">
        <v>25102599.66</v>
      </c>
    </row>
    <row r="28" spans="1:5" ht="14.5">
      <c r="A28" s="649">
        <v>121211</v>
      </c>
      <c r="B28" s="650" t="s">
        <v>1899</v>
      </c>
      <c r="C28" s="651">
        <v>-146541.48000000001</v>
      </c>
      <c r="D28" s="651">
        <v>339605</v>
      </c>
      <c r="E28" s="652">
        <v>0</v>
      </c>
    </row>
    <row r="29" spans="1:5" ht="14.5">
      <c r="A29" s="649">
        <v>121213</v>
      </c>
      <c r="B29" s="650" t="s">
        <v>1900</v>
      </c>
      <c r="C29" s="651">
        <v>14957307.949999999</v>
      </c>
      <c r="D29" s="651">
        <v>26356873.940000001</v>
      </c>
      <c r="E29" s="652">
        <v>51876858.850000001</v>
      </c>
    </row>
    <row r="30" spans="1:5" ht="14.5">
      <c r="A30" s="649">
        <v>121215</v>
      </c>
      <c r="B30" s="650" t="s">
        <v>1901</v>
      </c>
      <c r="C30" s="651">
        <v>-34090</v>
      </c>
      <c r="D30" s="651">
        <v>-34090</v>
      </c>
      <c r="E30" s="652">
        <v>0</v>
      </c>
    </row>
    <row r="31" spans="1:5" ht="14.5">
      <c r="A31" s="649">
        <v>121230</v>
      </c>
      <c r="B31" s="650" t="s">
        <v>1078</v>
      </c>
      <c r="C31" s="651">
        <v>-929380.5</v>
      </c>
      <c r="D31" s="651">
        <v>-26998.99</v>
      </c>
      <c r="E31" s="652">
        <v>4260355.4000000004</v>
      </c>
    </row>
    <row r="32" spans="1:5" ht="14.5">
      <c r="A32" s="649">
        <v>121231</v>
      </c>
      <c r="B32" s="650" t="s">
        <v>1902</v>
      </c>
      <c r="C32" s="651">
        <v>-1240565</v>
      </c>
      <c r="D32" s="651">
        <v>-111310.51</v>
      </c>
      <c r="E32" s="652">
        <v>0</v>
      </c>
    </row>
    <row r="33" spans="1:5" ht="14.5">
      <c r="A33" s="649">
        <v>121245</v>
      </c>
      <c r="B33" s="650" t="s">
        <v>1079</v>
      </c>
      <c r="C33" s="651">
        <v>1748972.6</v>
      </c>
      <c r="D33" s="651">
        <v>4140154</v>
      </c>
      <c r="E33" s="652">
        <v>8352712.1799999997</v>
      </c>
    </row>
    <row r="34" spans="1:5" ht="14.5">
      <c r="A34" s="649">
        <v>121246</v>
      </c>
      <c r="B34" s="650" t="s">
        <v>1903</v>
      </c>
      <c r="C34" s="651">
        <v>-2483075</v>
      </c>
      <c r="D34" s="651">
        <v>-23896</v>
      </c>
      <c r="E34" s="652">
        <v>0</v>
      </c>
    </row>
    <row r="35" spans="1:5" ht="14.5">
      <c r="A35" s="649">
        <v>121247</v>
      </c>
      <c r="B35" s="650" t="s">
        <v>1904</v>
      </c>
      <c r="C35" s="651">
        <v>11245.04</v>
      </c>
      <c r="D35" s="651">
        <v>11245.04</v>
      </c>
      <c r="E35" s="652">
        <v>0</v>
      </c>
    </row>
    <row r="36" spans="1:5" ht="14.5">
      <c r="A36" s="649">
        <v>121275</v>
      </c>
      <c r="B36" s="650" t="s">
        <v>1905</v>
      </c>
      <c r="C36" s="651">
        <v>31435304.469999999</v>
      </c>
      <c r="D36" s="651">
        <v>74353626.030000001</v>
      </c>
      <c r="E36" s="652">
        <v>107979289.47</v>
      </c>
    </row>
    <row r="37" spans="1:5" ht="14.5">
      <c r="A37" s="649">
        <v>121285</v>
      </c>
      <c r="B37" s="650" t="s">
        <v>1906</v>
      </c>
      <c r="C37" s="651">
        <v>-29028.18</v>
      </c>
      <c r="D37" s="651">
        <v>-155424.71</v>
      </c>
      <c r="E37" s="652">
        <v>0</v>
      </c>
    </row>
    <row r="38" spans="1:5" ht="14.5">
      <c r="A38" s="649">
        <v>121286</v>
      </c>
      <c r="B38" s="650" t="s">
        <v>1907</v>
      </c>
      <c r="C38" s="651">
        <v>-1220.4000000000001</v>
      </c>
      <c r="D38" s="651">
        <v>9244.84</v>
      </c>
      <c r="E38" s="652">
        <v>6779.74</v>
      </c>
    </row>
    <row r="39" spans="1:5" ht="14.5">
      <c r="A39" s="649">
        <v>121287</v>
      </c>
      <c r="B39" s="650" t="s">
        <v>1908</v>
      </c>
      <c r="C39" s="651">
        <v>6228.41</v>
      </c>
      <c r="D39" s="651">
        <v>-6219.28</v>
      </c>
      <c r="E39" s="652">
        <v>-14779.47</v>
      </c>
    </row>
    <row r="40" spans="1:5" ht="14.5">
      <c r="A40" s="649">
        <v>121288</v>
      </c>
      <c r="B40" s="650" t="s">
        <v>1909</v>
      </c>
      <c r="C40" s="651">
        <v>155.78</v>
      </c>
      <c r="D40" s="651">
        <v>-63.35</v>
      </c>
      <c r="E40" s="652">
        <v>0</v>
      </c>
    </row>
    <row r="41" spans="1:5" ht="14.5">
      <c r="A41" s="649">
        <v>121289</v>
      </c>
      <c r="B41" s="650" t="s">
        <v>1910</v>
      </c>
      <c r="C41" s="651">
        <v>-279705.93</v>
      </c>
      <c r="D41" s="651">
        <v>-49621.05</v>
      </c>
      <c r="E41" s="652">
        <v>-305043.67</v>
      </c>
    </row>
    <row r="42" spans="1:5" ht="14.5">
      <c r="A42" s="649">
        <v>121290</v>
      </c>
      <c r="B42" s="650" t="s">
        <v>1911</v>
      </c>
      <c r="C42" s="651">
        <v>49767739.689999998</v>
      </c>
      <c r="D42" s="651">
        <v>117187622.25</v>
      </c>
      <c r="E42" s="652">
        <v>181372439.81</v>
      </c>
    </row>
    <row r="43" spans="1:5" ht="14.5">
      <c r="A43" s="649">
        <v>121292</v>
      </c>
      <c r="B43" s="650" t="s">
        <v>1912</v>
      </c>
      <c r="C43" s="651">
        <v>8457</v>
      </c>
      <c r="D43" s="651">
        <v>-29143</v>
      </c>
      <c r="E43" s="652">
        <v>-10343</v>
      </c>
    </row>
    <row r="44" spans="1:5" ht="14.5">
      <c r="A44" s="649">
        <v>121293</v>
      </c>
      <c r="B44" s="650" t="s">
        <v>1913</v>
      </c>
      <c r="C44" s="651">
        <v>556322.04</v>
      </c>
      <c r="D44" s="651">
        <v>102724.08</v>
      </c>
      <c r="E44" s="652">
        <v>3348233.7</v>
      </c>
    </row>
    <row r="45" spans="1:5" ht="14.5">
      <c r="A45" s="649">
        <v>121294</v>
      </c>
      <c r="B45" s="650" t="s">
        <v>1914</v>
      </c>
      <c r="C45" s="651">
        <v>820065.36</v>
      </c>
      <c r="D45" s="651">
        <v>173789</v>
      </c>
      <c r="E45" s="652">
        <v>8694</v>
      </c>
    </row>
    <row r="46" spans="1:5" ht="14.5">
      <c r="A46" s="649">
        <v>121295</v>
      </c>
      <c r="B46" s="650" t="s">
        <v>1915</v>
      </c>
      <c r="C46" s="651">
        <v>720082.32</v>
      </c>
      <c r="D46" s="651">
        <v>31674.04</v>
      </c>
      <c r="E46" s="652">
        <v>17173092.710000001</v>
      </c>
    </row>
    <row r="47" spans="1:5" ht="14.5">
      <c r="A47" s="649">
        <v>121296</v>
      </c>
      <c r="B47" s="650" t="s">
        <v>1916</v>
      </c>
      <c r="C47" s="651">
        <v>0</v>
      </c>
      <c r="D47" s="651">
        <v>4575</v>
      </c>
      <c r="E47" s="652">
        <v>0</v>
      </c>
    </row>
    <row r="48" spans="1:5" ht="14.5">
      <c r="A48" s="649">
        <v>121297</v>
      </c>
      <c r="B48" s="650" t="s">
        <v>1917</v>
      </c>
      <c r="C48" s="651">
        <v>-1204191</v>
      </c>
      <c r="D48" s="651">
        <v>6782029.4100000001</v>
      </c>
      <c r="E48" s="652">
        <v>14557523.08</v>
      </c>
    </row>
    <row r="49" spans="1:7" ht="14.5">
      <c r="A49" s="649">
        <v>121298</v>
      </c>
      <c r="B49" s="650" t="s">
        <v>1918</v>
      </c>
      <c r="C49" s="651">
        <v>-591889.4</v>
      </c>
      <c r="D49" s="651">
        <v>-590615.4</v>
      </c>
      <c r="E49" s="652">
        <v>-590615.4</v>
      </c>
    </row>
    <row r="50" spans="1:7" ht="14.5">
      <c r="A50" s="649">
        <v>121650</v>
      </c>
      <c r="B50" s="650" t="s">
        <v>1919</v>
      </c>
      <c r="C50" s="651">
        <v>-2972.83</v>
      </c>
      <c r="D50" s="651">
        <v>-10294.52</v>
      </c>
      <c r="E50" s="652">
        <v>34221.019999999997</v>
      </c>
    </row>
    <row r="51" spans="1:7" ht="14.5">
      <c r="A51" s="649">
        <v>121655</v>
      </c>
      <c r="B51" s="650" t="s">
        <v>1920</v>
      </c>
      <c r="C51" s="651">
        <v>-6739.27</v>
      </c>
      <c r="D51" s="651">
        <v>-6739.27</v>
      </c>
      <c r="E51" s="652">
        <v>4801.7299999999996</v>
      </c>
    </row>
    <row r="52" spans="1:7" ht="14.5">
      <c r="A52" s="649">
        <v>121700</v>
      </c>
      <c r="B52" s="650" t="s">
        <v>1080</v>
      </c>
      <c r="C52" s="651">
        <v>-2280.4699999999998</v>
      </c>
      <c r="D52" s="651">
        <v>-7115.63</v>
      </c>
      <c r="E52" s="652">
        <v>-8360.82</v>
      </c>
    </row>
    <row r="53" spans="1:7" ht="14.5">
      <c r="A53" s="649">
        <v>123350</v>
      </c>
      <c r="B53" s="650" t="s">
        <v>1921</v>
      </c>
      <c r="C53" s="651">
        <v>-6508693.9699999997</v>
      </c>
      <c r="D53" s="651">
        <v>-7091971.3200000003</v>
      </c>
      <c r="E53" s="652">
        <v>-9693978.0399999991</v>
      </c>
    </row>
    <row r="54" spans="1:7" ht="14.5">
      <c r="A54" s="649">
        <v>123352</v>
      </c>
      <c r="B54" s="650" t="s">
        <v>1922</v>
      </c>
      <c r="C54" s="651">
        <v>-109883.93</v>
      </c>
      <c r="D54" s="651">
        <v>-511693.13</v>
      </c>
      <c r="E54" s="652">
        <v>-720143.09</v>
      </c>
    </row>
    <row r="55" spans="1:7" ht="14.5">
      <c r="A55" s="649">
        <v>123355</v>
      </c>
      <c r="B55" s="650" t="s">
        <v>1450</v>
      </c>
      <c r="C55" s="651">
        <v>239614.63</v>
      </c>
      <c r="D55" s="651">
        <v>660490.93999999994</v>
      </c>
      <c r="E55" s="652">
        <v>-2096215.3</v>
      </c>
      <c r="G55" s="345"/>
    </row>
    <row r="56" spans="1:7" ht="14.5">
      <c r="A56" s="649">
        <v>123356</v>
      </c>
      <c r="B56" s="650" t="s">
        <v>1923</v>
      </c>
      <c r="C56" s="651">
        <v>0</v>
      </c>
      <c r="D56" s="651">
        <v>11752.87</v>
      </c>
      <c r="E56" s="652">
        <v>0</v>
      </c>
      <c r="G56" s="345"/>
    </row>
    <row r="57" spans="1:7" ht="14.5">
      <c r="A57" s="649">
        <v>128500</v>
      </c>
      <c r="B57" s="650" t="s">
        <v>1924</v>
      </c>
      <c r="C57" s="651">
        <v>1400801.47</v>
      </c>
      <c r="D57" s="651">
        <v>13578054.880000001</v>
      </c>
      <c r="E57" s="652">
        <v>17074152.809999999</v>
      </c>
      <c r="G57" s="345"/>
    </row>
    <row r="58" spans="1:7" ht="14.5">
      <c r="A58" s="649">
        <v>128800</v>
      </c>
      <c r="B58" s="650" t="s">
        <v>1925</v>
      </c>
      <c r="C58" s="651">
        <v>-698.9</v>
      </c>
      <c r="D58" s="651">
        <v>-669.88</v>
      </c>
      <c r="E58" s="652">
        <v>147677.54999999999</v>
      </c>
      <c r="G58" s="345"/>
    </row>
    <row r="59" spans="1:7" ht="14.5">
      <c r="A59" s="649">
        <v>131000</v>
      </c>
      <c r="B59" s="650" t="s">
        <v>1081</v>
      </c>
      <c r="C59" s="651">
        <v>5426741.1600000001</v>
      </c>
      <c r="D59" s="651">
        <v>11553898.1</v>
      </c>
      <c r="E59" s="652">
        <v>25933302.109999999</v>
      </c>
    </row>
    <row r="60" spans="1:7" ht="14.5">
      <c r="A60" s="649">
        <v>131025</v>
      </c>
      <c r="B60" s="650" t="s">
        <v>1926</v>
      </c>
      <c r="C60" s="651">
        <v>-63331.71</v>
      </c>
      <c r="D60" s="651">
        <v>-212816.15</v>
      </c>
      <c r="E60" s="652">
        <v>261028.08</v>
      </c>
    </row>
    <row r="61" spans="1:7" ht="14.5">
      <c r="A61" s="649">
        <v>131050</v>
      </c>
      <c r="B61" s="650" t="s">
        <v>1927</v>
      </c>
      <c r="C61" s="651">
        <v>1046722.05</v>
      </c>
      <c r="D61" s="651">
        <v>-2776748.66</v>
      </c>
      <c r="E61" s="652">
        <v>6092997.9800000004</v>
      </c>
    </row>
    <row r="62" spans="1:7" ht="14.5">
      <c r="A62" s="649">
        <v>131065</v>
      </c>
      <c r="B62" s="650" t="s">
        <v>1928</v>
      </c>
      <c r="C62" s="651">
        <v>-124067.98</v>
      </c>
      <c r="D62" s="651">
        <v>-212690.69</v>
      </c>
      <c r="E62" s="652">
        <v>1177249.08</v>
      </c>
    </row>
    <row r="63" spans="1:7" ht="14.5">
      <c r="A63" s="649">
        <v>131075</v>
      </c>
      <c r="B63" s="650" t="s">
        <v>1929</v>
      </c>
      <c r="C63" s="651">
        <v>-3523000.72</v>
      </c>
      <c r="D63" s="651">
        <v>4069256.69</v>
      </c>
      <c r="E63" s="652">
        <v>16257615.52</v>
      </c>
    </row>
    <row r="64" spans="1:7" ht="14.5">
      <c r="A64" s="649">
        <v>131100</v>
      </c>
      <c r="B64" s="650" t="s">
        <v>1930</v>
      </c>
      <c r="C64" s="651">
        <v>-1263513.3500000001</v>
      </c>
      <c r="D64" s="651">
        <v>-1263513.3500000001</v>
      </c>
      <c r="E64" s="652">
        <v>-1356563.35</v>
      </c>
    </row>
    <row r="65" spans="1:7" ht="14.5">
      <c r="A65" s="649">
        <v>131105</v>
      </c>
      <c r="B65" s="650" t="s">
        <v>1931</v>
      </c>
      <c r="C65" s="651">
        <v>-53722.84</v>
      </c>
      <c r="D65" s="651">
        <v>-135344.29</v>
      </c>
      <c r="E65" s="652">
        <v>-1386661.59</v>
      </c>
    </row>
    <row r="66" spans="1:7" ht="14.5">
      <c r="A66" s="649">
        <v>131125</v>
      </c>
      <c r="B66" s="650" t="s">
        <v>1932</v>
      </c>
      <c r="C66" s="651">
        <v>-1213391.95</v>
      </c>
      <c r="D66" s="651">
        <v>-1257115.48</v>
      </c>
      <c r="E66" s="652">
        <v>-2253416.41</v>
      </c>
      <c r="G66" s="345"/>
    </row>
    <row r="67" spans="1:7" ht="14.5">
      <c r="A67" s="649">
        <v>131150</v>
      </c>
      <c r="B67" s="650" t="s">
        <v>1933</v>
      </c>
      <c r="C67" s="651">
        <v>-23129.35</v>
      </c>
      <c r="D67" s="651">
        <v>-88143.26</v>
      </c>
      <c r="E67" s="652">
        <v>23764.15</v>
      </c>
      <c r="G67" s="345"/>
    </row>
    <row r="68" spans="1:7" ht="14.5">
      <c r="A68" s="649">
        <v>131200</v>
      </c>
      <c r="B68" s="650" t="s">
        <v>1934</v>
      </c>
      <c r="C68" s="651">
        <v>-945</v>
      </c>
      <c r="D68" s="651">
        <v>5174.79</v>
      </c>
      <c r="E68" s="652">
        <v>-38468.49</v>
      </c>
    </row>
    <row r="69" spans="1:7" ht="14.5">
      <c r="A69" s="649">
        <v>131400</v>
      </c>
      <c r="B69" s="650" t="s">
        <v>1451</v>
      </c>
      <c r="C69" s="651">
        <v>-613921.78</v>
      </c>
      <c r="D69" s="651">
        <v>-59413.46</v>
      </c>
      <c r="E69" s="652">
        <v>-641677.76</v>
      </c>
    </row>
    <row r="70" spans="1:7" ht="14.5">
      <c r="A70" s="649">
        <v>132000</v>
      </c>
      <c r="B70" s="650" t="s">
        <v>1935</v>
      </c>
      <c r="C70" s="651">
        <v>-5640749.4400000004</v>
      </c>
      <c r="D70" s="651">
        <v>-5640348.71</v>
      </c>
      <c r="E70" s="652">
        <v>-5640348.71</v>
      </c>
    </row>
    <row r="71" spans="1:7" ht="14.5">
      <c r="A71" s="649">
        <v>132075</v>
      </c>
      <c r="B71" s="650" t="s">
        <v>1936</v>
      </c>
      <c r="C71" s="651">
        <v>468145.51</v>
      </c>
      <c r="D71" s="651">
        <v>468145.51</v>
      </c>
      <c r="E71" s="652">
        <v>468145.51</v>
      </c>
    </row>
    <row r="72" spans="1:7" ht="14.5">
      <c r="A72" s="649">
        <v>132100</v>
      </c>
      <c r="B72" s="650" t="s">
        <v>1937</v>
      </c>
      <c r="C72" s="651">
        <v>1169.98</v>
      </c>
      <c r="D72" s="651">
        <v>111.99</v>
      </c>
      <c r="E72" s="652">
        <v>0</v>
      </c>
    </row>
    <row r="73" spans="1:7" ht="14.5">
      <c r="A73" s="649">
        <v>142000</v>
      </c>
      <c r="B73" s="650" t="s">
        <v>1082</v>
      </c>
      <c r="C73" s="651">
        <v>-39758.33</v>
      </c>
      <c r="D73" s="651">
        <v>135516.54</v>
      </c>
      <c r="E73" s="652">
        <v>373861.16</v>
      </c>
    </row>
    <row r="74" spans="1:7" ht="14.5">
      <c r="A74" s="649">
        <v>143000</v>
      </c>
      <c r="B74" s="650" t="s">
        <v>1083</v>
      </c>
      <c r="C74" s="651">
        <v>0</v>
      </c>
      <c r="D74" s="651">
        <v>-4055.89</v>
      </c>
      <c r="E74" s="652">
        <v>0</v>
      </c>
    </row>
    <row r="75" spans="1:7" ht="14.5">
      <c r="A75" s="649">
        <v>143275</v>
      </c>
      <c r="B75" s="650" t="s">
        <v>1938</v>
      </c>
      <c r="C75" s="651">
        <v>-0.02</v>
      </c>
      <c r="D75" s="651">
        <v>-2683.35</v>
      </c>
      <c r="E75" s="652">
        <v>0</v>
      </c>
    </row>
    <row r="76" spans="1:7" ht="14.5">
      <c r="A76" s="649">
        <v>143300</v>
      </c>
      <c r="B76" s="650" t="s">
        <v>1939</v>
      </c>
      <c r="C76" s="651">
        <v>-1054739.3899999999</v>
      </c>
      <c r="D76" s="651">
        <v>-455199.29</v>
      </c>
      <c r="E76" s="652">
        <v>1297260.58</v>
      </c>
    </row>
    <row r="77" spans="1:7" ht="14.5">
      <c r="A77" s="649">
        <v>144000</v>
      </c>
      <c r="B77" s="650" t="s">
        <v>1940</v>
      </c>
      <c r="C77" s="651">
        <v>-3058.22</v>
      </c>
      <c r="D77" s="651">
        <v>-20377.259999999998</v>
      </c>
      <c r="E77" s="652">
        <v>0</v>
      </c>
    </row>
    <row r="78" spans="1:7" ht="14.5">
      <c r="A78" s="649">
        <v>144500</v>
      </c>
      <c r="B78" s="650" t="s">
        <v>1084</v>
      </c>
      <c r="C78" s="651">
        <v>2859.15</v>
      </c>
      <c r="D78" s="651">
        <v>4300.08</v>
      </c>
      <c r="E78" s="652">
        <v>8655.57</v>
      </c>
    </row>
    <row r="79" spans="1:7" ht="14.5">
      <c r="A79" s="649">
        <v>146000</v>
      </c>
      <c r="B79" s="650" t="s">
        <v>1941</v>
      </c>
      <c r="C79" s="651">
        <v>732.45</v>
      </c>
      <c r="D79" s="651">
        <v>529874.82999999996</v>
      </c>
      <c r="E79" s="652">
        <v>1053458.9099999999</v>
      </c>
    </row>
    <row r="80" spans="1:7" ht="14.5">
      <c r="A80" s="649">
        <v>146300</v>
      </c>
      <c r="B80" s="650" t="s">
        <v>1942</v>
      </c>
      <c r="C80" s="651">
        <v>35579.699999999997</v>
      </c>
      <c r="D80" s="651">
        <v>-40679.85</v>
      </c>
      <c r="E80" s="652">
        <v>255533.14</v>
      </c>
    </row>
    <row r="81" spans="1:5" ht="14.5">
      <c r="A81" s="649">
        <v>146400</v>
      </c>
      <c r="B81" s="650" t="s">
        <v>1943</v>
      </c>
      <c r="C81" s="651">
        <v>-16549.45</v>
      </c>
      <c r="D81" s="651">
        <v>-26193.86</v>
      </c>
      <c r="E81" s="652">
        <v>116298.85</v>
      </c>
    </row>
    <row r="82" spans="1:5" ht="14.5">
      <c r="A82" s="649">
        <v>146800</v>
      </c>
      <c r="B82" s="650" t="s">
        <v>1944</v>
      </c>
      <c r="C82" s="651">
        <v>-10474.83</v>
      </c>
      <c r="D82" s="651">
        <v>-13565</v>
      </c>
      <c r="E82" s="652">
        <v>255656.7</v>
      </c>
    </row>
    <row r="83" spans="1:5" ht="14.5">
      <c r="A83" s="649">
        <v>147500</v>
      </c>
      <c r="B83" s="650" t="s">
        <v>1945</v>
      </c>
      <c r="C83" s="651">
        <v>7699887.8399999999</v>
      </c>
      <c r="D83" s="651">
        <v>-5812308.2599999998</v>
      </c>
      <c r="E83" s="652">
        <v>28420284.82</v>
      </c>
    </row>
    <row r="84" spans="1:5" ht="14.5">
      <c r="A84" s="649">
        <v>149000</v>
      </c>
      <c r="B84" s="650" t="s">
        <v>1946</v>
      </c>
      <c r="C84" s="651">
        <v>-429929.3</v>
      </c>
      <c r="D84" s="651">
        <v>-1139629.21</v>
      </c>
      <c r="E84" s="652">
        <v>779459.65</v>
      </c>
    </row>
    <row r="85" spans="1:5" ht="14.5">
      <c r="A85" s="649">
        <v>150000</v>
      </c>
      <c r="B85" s="650" t="s">
        <v>1452</v>
      </c>
      <c r="C85" s="651">
        <v>0</v>
      </c>
      <c r="D85" s="651">
        <v>0</v>
      </c>
      <c r="E85" s="652">
        <v>388667.23</v>
      </c>
    </row>
    <row r="86" spans="1:5" ht="14.5">
      <c r="A86" s="649">
        <v>150100</v>
      </c>
      <c r="B86" s="650" t="s">
        <v>1086</v>
      </c>
      <c r="C86" s="651">
        <v>0</v>
      </c>
      <c r="D86" s="651">
        <v>0</v>
      </c>
      <c r="E86" s="652">
        <v>1189.4100000000001</v>
      </c>
    </row>
    <row r="87" spans="1:5" ht="14.5">
      <c r="A87" s="649">
        <v>150300</v>
      </c>
      <c r="B87" s="650" t="s">
        <v>1947</v>
      </c>
      <c r="C87" s="651">
        <v>2934221.13</v>
      </c>
      <c r="D87" s="651">
        <v>2934221.13</v>
      </c>
      <c r="E87" s="652">
        <v>2934221.13</v>
      </c>
    </row>
    <row r="88" spans="1:5" ht="14.5">
      <c r="A88" s="649">
        <v>151100</v>
      </c>
      <c r="B88" s="650" t="s">
        <v>1087</v>
      </c>
      <c r="C88" s="651">
        <v>0</v>
      </c>
      <c r="D88" s="651">
        <v>0</v>
      </c>
      <c r="E88" s="652">
        <v>26579.119999999999</v>
      </c>
    </row>
    <row r="89" spans="1:5" ht="14.5">
      <c r="A89" s="649">
        <v>153100</v>
      </c>
      <c r="B89" s="650" t="s">
        <v>1948</v>
      </c>
      <c r="C89" s="651">
        <v>0</v>
      </c>
      <c r="D89" s="651">
        <v>24148.48</v>
      </c>
      <c r="E89" s="652">
        <v>21695512.66</v>
      </c>
    </row>
    <row r="90" spans="1:5" ht="14.5">
      <c r="A90" s="649">
        <v>154100</v>
      </c>
      <c r="B90" s="650" t="s">
        <v>1163</v>
      </c>
      <c r="C90" s="651">
        <v>774.45</v>
      </c>
      <c r="D90" s="651">
        <v>13715.54</v>
      </c>
      <c r="E90" s="652">
        <v>9048506.7599999998</v>
      </c>
    </row>
    <row r="91" spans="1:5" ht="14.5">
      <c r="A91" s="649">
        <v>154110</v>
      </c>
      <c r="B91" s="650" t="s">
        <v>1949</v>
      </c>
      <c r="C91" s="651">
        <v>0</v>
      </c>
      <c r="D91" s="651">
        <v>0</v>
      </c>
      <c r="E91" s="652">
        <v>695062.43</v>
      </c>
    </row>
    <row r="92" spans="1:5" ht="14.5">
      <c r="A92" s="649">
        <v>154115</v>
      </c>
      <c r="B92" s="650" t="s">
        <v>1950</v>
      </c>
      <c r="C92" s="651">
        <v>536005.56999999995</v>
      </c>
      <c r="D92" s="651">
        <v>753128.78</v>
      </c>
      <c r="E92" s="652">
        <v>8205914.1399999997</v>
      </c>
    </row>
    <row r="93" spans="1:5" ht="14.5">
      <c r="A93" s="649">
        <v>155100</v>
      </c>
      <c r="B93" s="650" t="s">
        <v>1164</v>
      </c>
      <c r="C93" s="651">
        <v>-12500</v>
      </c>
      <c r="D93" s="651">
        <v>818033.27</v>
      </c>
      <c r="E93" s="652">
        <v>4918727.68</v>
      </c>
    </row>
    <row r="94" spans="1:5" ht="14.5">
      <c r="A94" s="649">
        <v>158100</v>
      </c>
      <c r="B94" s="650" t="s">
        <v>1088</v>
      </c>
      <c r="C94" s="651">
        <v>0</v>
      </c>
      <c r="D94" s="651">
        <v>0</v>
      </c>
      <c r="E94" s="652">
        <v>446838.63</v>
      </c>
    </row>
    <row r="95" spans="1:5" ht="14.5">
      <c r="A95" s="649">
        <v>159000</v>
      </c>
      <c r="B95" s="650" t="s">
        <v>1951</v>
      </c>
      <c r="C95" s="651">
        <v>-1675374</v>
      </c>
      <c r="D95" s="651">
        <v>-1675374</v>
      </c>
      <c r="E95" s="652">
        <v>0</v>
      </c>
    </row>
    <row r="96" spans="1:5" ht="14.5">
      <c r="A96" s="649">
        <v>160000</v>
      </c>
      <c r="B96" s="650" t="s">
        <v>1952</v>
      </c>
      <c r="C96" s="651">
        <v>-6477.79</v>
      </c>
      <c r="D96" s="651">
        <v>-19433.37</v>
      </c>
      <c r="E96" s="652">
        <v>-77733.48</v>
      </c>
    </row>
    <row r="97" spans="1:5" ht="14.5">
      <c r="A97" s="649">
        <v>160100</v>
      </c>
      <c r="B97" s="650" t="s">
        <v>1089</v>
      </c>
      <c r="C97" s="651">
        <v>0</v>
      </c>
      <c r="D97" s="651">
        <v>0</v>
      </c>
      <c r="E97" s="652">
        <v>-1189.4100000000001</v>
      </c>
    </row>
    <row r="98" spans="1:5" ht="14.5">
      <c r="A98" s="649">
        <v>161100</v>
      </c>
      <c r="B98" s="650" t="s">
        <v>1090</v>
      </c>
      <c r="C98" s="651">
        <v>0</v>
      </c>
      <c r="D98" s="651">
        <v>0</v>
      </c>
      <c r="E98" s="652">
        <v>-26579.119999999999</v>
      </c>
    </row>
    <row r="99" spans="1:5" ht="14.5">
      <c r="A99" s="649">
        <v>163100</v>
      </c>
      <c r="B99" s="650" t="s">
        <v>1953</v>
      </c>
      <c r="C99" s="651">
        <v>-234827.25</v>
      </c>
      <c r="D99" s="651">
        <v>-722080.4</v>
      </c>
      <c r="E99" s="652">
        <v>-10503073.09</v>
      </c>
    </row>
    <row r="100" spans="1:5" ht="14.5">
      <c r="A100" s="649">
        <v>164100</v>
      </c>
      <c r="B100" s="650" t="s">
        <v>1091</v>
      </c>
      <c r="C100" s="651">
        <v>-136719.38</v>
      </c>
      <c r="D100" s="651">
        <v>-456942.65</v>
      </c>
      <c r="E100" s="652">
        <v>-6405183.3700000001</v>
      </c>
    </row>
    <row r="101" spans="1:5" ht="14.5">
      <c r="A101" s="649">
        <v>164110</v>
      </c>
      <c r="B101" s="650" t="s">
        <v>1954</v>
      </c>
      <c r="C101" s="651">
        <v>-536.4</v>
      </c>
      <c r="D101" s="651">
        <v>-1609.2</v>
      </c>
      <c r="E101" s="652">
        <v>-686547.37</v>
      </c>
    </row>
    <row r="102" spans="1:5" ht="14.5">
      <c r="A102" s="649">
        <v>164115</v>
      </c>
      <c r="B102" s="650" t="s">
        <v>1955</v>
      </c>
      <c r="C102" s="651">
        <v>-120542.15</v>
      </c>
      <c r="D102" s="651">
        <v>-376810.3</v>
      </c>
      <c r="E102" s="652">
        <v>-4977873.01</v>
      </c>
    </row>
    <row r="103" spans="1:5" ht="14.5">
      <c r="A103" s="649">
        <v>165100</v>
      </c>
      <c r="B103" s="650" t="s">
        <v>1956</v>
      </c>
      <c r="C103" s="651">
        <v>-46623.49</v>
      </c>
      <c r="D103" s="651">
        <v>-114178.39</v>
      </c>
      <c r="E103" s="652">
        <v>-488941.09</v>
      </c>
    </row>
    <row r="104" spans="1:5" ht="14.5">
      <c r="A104" s="649">
        <v>168100</v>
      </c>
      <c r="B104" s="650" t="s">
        <v>1092</v>
      </c>
      <c r="C104" s="651">
        <v>-341.77</v>
      </c>
      <c r="D104" s="651">
        <v>-1353.89</v>
      </c>
      <c r="E104" s="652">
        <v>-445718.01</v>
      </c>
    </row>
    <row r="105" spans="1:5" ht="14.5">
      <c r="A105" s="649">
        <v>177250</v>
      </c>
      <c r="B105" s="650" t="s">
        <v>1957</v>
      </c>
      <c r="C105" s="651">
        <v>0</v>
      </c>
      <c r="D105" s="651">
        <v>0</v>
      </c>
      <c r="E105" s="652">
        <v>292284.58</v>
      </c>
    </row>
    <row r="106" spans="1:5" ht="14.5">
      <c r="A106" s="649">
        <v>211000</v>
      </c>
      <c r="B106" s="650" t="s">
        <v>1093</v>
      </c>
      <c r="C106" s="651">
        <v>-28109385.399999999</v>
      </c>
      <c r="D106" s="651">
        <v>-26536704.510000002</v>
      </c>
      <c r="E106" s="652">
        <v>-141279764.28999999</v>
      </c>
    </row>
    <row r="107" spans="1:5" ht="14.5">
      <c r="A107" s="649">
        <v>211001</v>
      </c>
      <c r="B107" s="650" t="s">
        <v>1165</v>
      </c>
      <c r="C107" s="651">
        <v>-11666947.84</v>
      </c>
      <c r="D107" s="651">
        <v>-38508006.43</v>
      </c>
      <c r="E107" s="652">
        <v>-40306119.5</v>
      </c>
    </row>
    <row r="108" spans="1:5" ht="14.5">
      <c r="A108" s="649">
        <v>211500</v>
      </c>
      <c r="B108" s="650" t="s">
        <v>1958</v>
      </c>
      <c r="C108" s="651">
        <v>3663.75</v>
      </c>
      <c r="D108" s="651">
        <v>-52341.3</v>
      </c>
      <c r="E108" s="652">
        <v>-73137.58</v>
      </c>
    </row>
    <row r="109" spans="1:5" ht="14.5">
      <c r="A109" s="649">
        <v>212000</v>
      </c>
      <c r="B109" s="650" t="s">
        <v>1959</v>
      </c>
      <c r="C109" s="651">
        <v>-3925965.08</v>
      </c>
      <c r="D109" s="651">
        <v>-6454435.0199999996</v>
      </c>
      <c r="E109" s="652">
        <v>-8058181.1699999999</v>
      </c>
    </row>
    <row r="110" spans="1:5" ht="14.5">
      <c r="A110" s="649">
        <v>212001</v>
      </c>
      <c r="B110" s="650" t="s">
        <v>1960</v>
      </c>
      <c r="C110" s="651">
        <v>-19387375.129999999</v>
      </c>
      <c r="D110" s="651">
        <v>-19609639.670000002</v>
      </c>
      <c r="E110" s="652">
        <v>-21144863.920000002</v>
      </c>
    </row>
    <row r="111" spans="1:5" ht="14.5">
      <c r="A111" s="649">
        <v>216000</v>
      </c>
      <c r="B111" s="650" t="s">
        <v>1961</v>
      </c>
      <c r="C111" s="651">
        <v>-246.74</v>
      </c>
      <c r="D111" s="651">
        <v>-737.77</v>
      </c>
      <c r="E111" s="652">
        <v>-74269</v>
      </c>
    </row>
    <row r="112" spans="1:5" ht="14.5">
      <c r="A112" s="649">
        <v>218400</v>
      </c>
      <c r="B112" s="650" t="s">
        <v>1962</v>
      </c>
      <c r="C112" s="651">
        <v>350456.23</v>
      </c>
      <c r="D112" s="651">
        <v>720342.11</v>
      </c>
      <c r="E112" s="652">
        <v>-78021.47</v>
      </c>
    </row>
    <row r="113" spans="1:5" ht="14.5">
      <c r="A113" s="649">
        <v>219000</v>
      </c>
      <c r="B113" s="650" t="s">
        <v>1094</v>
      </c>
      <c r="C113" s="651">
        <v>246.73</v>
      </c>
      <c r="D113" s="651">
        <v>0</v>
      </c>
      <c r="E113" s="652">
        <v>0</v>
      </c>
    </row>
    <row r="114" spans="1:5" ht="14.5">
      <c r="A114" s="649">
        <v>219100</v>
      </c>
      <c r="B114" s="650" t="s">
        <v>1963</v>
      </c>
      <c r="C114" s="651">
        <v>15269758.289999999</v>
      </c>
      <c r="D114" s="651">
        <v>8949197.1799999997</v>
      </c>
      <c r="E114" s="652">
        <v>-3760001.65</v>
      </c>
    </row>
    <row r="115" spans="1:5" ht="14.5">
      <c r="A115" s="649">
        <v>219125</v>
      </c>
      <c r="B115" s="650" t="s">
        <v>1964</v>
      </c>
      <c r="C115" s="651">
        <v>420741.25</v>
      </c>
      <c r="D115" s="651">
        <v>420741.25</v>
      </c>
      <c r="E115" s="652">
        <v>-246839.8</v>
      </c>
    </row>
    <row r="116" spans="1:5" ht="14.5">
      <c r="A116" s="649">
        <v>219150</v>
      </c>
      <c r="B116" s="650" t="s">
        <v>1965</v>
      </c>
      <c r="C116" s="651">
        <v>-4468235.42</v>
      </c>
      <c r="D116" s="651">
        <v>-21512258.710000001</v>
      </c>
      <c r="E116" s="652">
        <v>-49524263.409999996</v>
      </c>
    </row>
    <row r="117" spans="1:5" ht="14.5">
      <c r="A117" s="649">
        <v>219200</v>
      </c>
      <c r="B117" s="650" t="s">
        <v>1966</v>
      </c>
      <c r="C117" s="651">
        <v>-1121416</v>
      </c>
      <c r="D117" s="651">
        <v>-2586209.66</v>
      </c>
      <c r="E117" s="652">
        <v>-4846453.37</v>
      </c>
    </row>
    <row r="118" spans="1:5" ht="14.5">
      <c r="A118" s="649">
        <v>219220</v>
      </c>
      <c r="B118" s="650" t="s">
        <v>1967</v>
      </c>
      <c r="C118" s="651">
        <v>-437332.71</v>
      </c>
      <c r="D118" s="651">
        <v>-2074093</v>
      </c>
      <c r="E118" s="652">
        <v>-4934555.37</v>
      </c>
    </row>
    <row r="119" spans="1:5" ht="14.5">
      <c r="A119" s="649">
        <v>219225</v>
      </c>
      <c r="B119" s="650" t="s">
        <v>1968</v>
      </c>
      <c r="C119" s="651">
        <v>-9807591.3200000003</v>
      </c>
      <c r="D119" s="651">
        <v>-29865332.899999999</v>
      </c>
      <c r="E119" s="652">
        <v>-57809783.700000003</v>
      </c>
    </row>
    <row r="120" spans="1:5" ht="14.5">
      <c r="A120" s="649">
        <v>219250</v>
      </c>
      <c r="B120" s="650" t="s">
        <v>1969</v>
      </c>
      <c r="C120" s="651">
        <v>-50869805.740000002</v>
      </c>
      <c r="D120" s="651">
        <v>-117170581.06999999</v>
      </c>
      <c r="E120" s="652">
        <v>-230800227.28</v>
      </c>
    </row>
    <row r="121" spans="1:5" ht="14.5">
      <c r="A121" s="649">
        <v>219300</v>
      </c>
      <c r="B121" s="650" t="s">
        <v>1970</v>
      </c>
      <c r="C121" s="651">
        <v>22115.74</v>
      </c>
      <c r="D121" s="651">
        <v>-578917.9</v>
      </c>
      <c r="E121" s="652">
        <v>-766411.68</v>
      </c>
    </row>
    <row r="122" spans="1:5" ht="14.5">
      <c r="A122" s="649">
        <v>219350</v>
      </c>
      <c r="B122" s="650" t="s">
        <v>1971</v>
      </c>
      <c r="C122" s="651">
        <v>891</v>
      </c>
      <c r="D122" s="651">
        <v>-167025.97</v>
      </c>
      <c r="E122" s="652">
        <v>-853691.62</v>
      </c>
    </row>
    <row r="123" spans="1:5" ht="14.5">
      <c r="A123" s="649">
        <v>219400</v>
      </c>
      <c r="B123" s="650" t="s">
        <v>1972</v>
      </c>
      <c r="C123" s="651">
        <v>-13424.36</v>
      </c>
      <c r="D123" s="651">
        <v>-22240.39</v>
      </c>
      <c r="E123" s="652">
        <v>-220287.28</v>
      </c>
    </row>
    <row r="124" spans="1:5" ht="14.5">
      <c r="A124" s="649">
        <v>219450</v>
      </c>
      <c r="B124" s="650" t="s">
        <v>1973</v>
      </c>
      <c r="C124" s="651">
        <v>19323.59</v>
      </c>
      <c r="D124" s="651">
        <v>29368.11</v>
      </c>
      <c r="E124" s="652">
        <v>-20395.47</v>
      </c>
    </row>
    <row r="125" spans="1:5" ht="14.5">
      <c r="A125" s="649">
        <v>219500</v>
      </c>
      <c r="B125" s="650" t="s">
        <v>1974</v>
      </c>
      <c r="C125" s="651">
        <v>372082.84</v>
      </c>
      <c r="D125" s="651">
        <v>41159.730000000003</v>
      </c>
      <c r="E125" s="652">
        <v>-680413.35</v>
      </c>
    </row>
    <row r="126" spans="1:5" ht="14.5">
      <c r="A126" s="649">
        <v>219525</v>
      </c>
      <c r="B126" s="650" t="s">
        <v>1975</v>
      </c>
      <c r="C126" s="651">
        <v>261651</v>
      </c>
      <c r="D126" s="651">
        <v>157634.4</v>
      </c>
      <c r="E126" s="652">
        <v>-195833</v>
      </c>
    </row>
    <row r="127" spans="1:5" ht="14.5">
      <c r="A127" s="649">
        <v>219550</v>
      </c>
      <c r="B127" s="650" t="s">
        <v>1976</v>
      </c>
      <c r="C127" s="651">
        <v>49977.82</v>
      </c>
      <c r="D127" s="651">
        <v>-582022.18000000005</v>
      </c>
      <c r="E127" s="652">
        <v>-1744500</v>
      </c>
    </row>
    <row r="128" spans="1:5" ht="14.5">
      <c r="A128" s="649">
        <v>219560</v>
      </c>
      <c r="B128" s="650" t="s">
        <v>1977</v>
      </c>
      <c r="C128" s="651">
        <v>-2047448.75</v>
      </c>
      <c r="D128" s="651">
        <v>-2045778.75</v>
      </c>
      <c r="E128" s="652">
        <v>-2049148.75</v>
      </c>
    </row>
    <row r="129" spans="1:7" ht="14.5">
      <c r="A129" s="649">
        <v>219600</v>
      </c>
      <c r="B129" s="650" t="s">
        <v>1978</v>
      </c>
      <c r="C129" s="651">
        <v>-65640.28</v>
      </c>
      <c r="D129" s="651">
        <v>463218.36</v>
      </c>
      <c r="E129" s="652">
        <v>2763988.17</v>
      </c>
    </row>
    <row r="130" spans="1:7" ht="14.5">
      <c r="A130" s="649">
        <v>220000</v>
      </c>
      <c r="B130" s="650" t="s">
        <v>1979</v>
      </c>
      <c r="C130" s="651">
        <v>12517.17</v>
      </c>
      <c r="D130" s="651">
        <v>-69989.850000000006</v>
      </c>
      <c r="E130" s="652">
        <v>-597284.76</v>
      </c>
    </row>
    <row r="131" spans="1:7" ht="14.5">
      <c r="A131" s="649">
        <v>221500</v>
      </c>
      <c r="B131" s="650" t="s">
        <v>1980</v>
      </c>
      <c r="C131" s="651">
        <v>0</v>
      </c>
      <c r="D131" s="651">
        <v>-512474.71</v>
      </c>
      <c r="E131" s="652">
        <v>0</v>
      </c>
    </row>
    <row r="132" spans="1:7" ht="14.5">
      <c r="A132" s="649">
        <v>223000</v>
      </c>
      <c r="B132" s="650" t="s">
        <v>1097</v>
      </c>
      <c r="C132" s="651">
        <v>-2974.95</v>
      </c>
      <c r="D132" s="651">
        <v>-25842.91</v>
      </c>
      <c r="E132" s="652">
        <v>-100263.6</v>
      </c>
      <c r="G132" s="345"/>
    </row>
    <row r="133" spans="1:7" ht="14.5">
      <c r="A133" s="649">
        <v>224000</v>
      </c>
      <c r="B133" s="650" t="s">
        <v>1098</v>
      </c>
      <c r="C133" s="651">
        <v>-205.92</v>
      </c>
      <c r="D133" s="651">
        <v>-1491.15</v>
      </c>
      <c r="E133" s="652">
        <v>-81.41</v>
      </c>
      <c r="G133" s="345"/>
    </row>
    <row r="134" spans="1:7" ht="14.5">
      <c r="A134" s="649">
        <v>226000</v>
      </c>
      <c r="B134" s="650" t="s">
        <v>1453</v>
      </c>
      <c r="C134" s="651">
        <v>-61289.65</v>
      </c>
      <c r="D134" s="651">
        <v>-186217.24</v>
      </c>
      <c r="E134" s="652">
        <v>-5127413.6399999997</v>
      </c>
    </row>
    <row r="135" spans="1:7" ht="14.5">
      <c r="A135" s="649">
        <v>231000</v>
      </c>
      <c r="B135" s="650" t="s">
        <v>1099</v>
      </c>
      <c r="C135" s="651">
        <v>941542.79</v>
      </c>
      <c r="D135" s="651">
        <v>-90888.43</v>
      </c>
      <c r="E135" s="652">
        <v>-1967786.59</v>
      </c>
    </row>
    <row r="136" spans="1:7" ht="14.5">
      <c r="A136" s="649">
        <v>231100</v>
      </c>
      <c r="B136" s="650" t="s">
        <v>1981</v>
      </c>
      <c r="C136" s="651">
        <v>-45294.18</v>
      </c>
      <c r="D136" s="651">
        <v>-5357.13</v>
      </c>
      <c r="E136" s="652">
        <v>-134670.70000000001</v>
      </c>
    </row>
    <row r="137" spans="1:7" ht="14.5">
      <c r="A137" s="649">
        <v>231200</v>
      </c>
      <c r="B137" s="650" t="s">
        <v>1982</v>
      </c>
      <c r="C137" s="651">
        <v>31519.279999999999</v>
      </c>
      <c r="D137" s="651">
        <v>54939.83</v>
      </c>
      <c r="E137" s="652">
        <v>-527567.87</v>
      </c>
    </row>
    <row r="138" spans="1:7" ht="14.5">
      <c r="A138" s="649">
        <v>231250</v>
      </c>
      <c r="B138" s="650" t="s">
        <v>1983</v>
      </c>
      <c r="C138" s="651">
        <v>23584.3</v>
      </c>
      <c r="D138" s="651">
        <v>63611.65</v>
      </c>
      <c r="E138" s="652">
        <v>-463441.51</v>
      </c>
    </row>
    <row r="139" spans="1:7" ht="14.5">
      <c r="A139" s="649">
        <v>231300</v>
      </c>
      <c r="B139" s="650" t="s">
        <v>1166</v>
      </c>
      <c r="C139" s="651">
        <v>639426.03</v>
      </c>
      <c r="D139" s="651">
        <v>20980.84</v>
      </c>
      <c r="E139" s="652">
        <v>61817.53</v>
      </c>
    </row>
    <row r="140" spans="1:7" ht="14.5">
      <c r="A140" s="649">
        <v>231400</v>
      </c>
      <c r="B140" s="650" t="s">
        <v>1984</v>
      </c>
      <c r="C140" s="651">
        <v>-9544.7900000000009</v>
      </c>
      <c r="D140" s="651">
        <v>-5967.41</v>
      </c>
      <c r="E140" s="652">
        <v>-70620.679999999993</v>
      </c>
    </row>
    <row r="141" spans="1:7" ht="14.5">
      <c r="A141" s="649">
        <v>231500</v>
      </c>
      <c r="B141" s="650" t="s">
        <v>1100</v>
      </c>
      <c r="C141" s="651">
        <v>0</v>
      </c>
      <c r="D141" s="651">
        <v>-975.73</v>
      </c>
      <c r="E141" s="652">
        <v>-975.73</v>
      </c>
    </row>
    <row r="142" spans="1:7" ht="14.5">
      <c r="A142" s="649">
        <v>231700</v>
      </c>
      <c r="B142" s="650" t="s">
        <v>1985</v>
      </c>
      <c r="C142" s="651">
        <v>-45257.02</v>
      </c>
      <c r="D142" s="651">
        <v>18802.29</v>
      </c>
      <c r="E142" s="652">
        <v>40273.14</v>
      </c>
    </row>
    <row r="143" spans="1:7" ht="14.5">
      <c r="A143" s="649">
        <v>231900</v>
      </c>
      <c r="B143" s="650" t="s">
        <v>1454</v>
      </c>
      <c r="C143" s="651">
        <v>0</v>
      </c>
      <c r="D143" s="651">
        <v>-1444.89</v>
      </c>
      <c r="E143" s="652">
        <v>0</v>
      </c>
    </row>
    <row r="144" spans="1:7" ht="14.5">
      <c r="A144" s="649">
        <v>241000</v>
      </c>
      <c r="B144" s="650" t="s">
        <v>1095</v>
      </c>
      <c r="C144" s="651">
        <v>-2405344.56</v>
      </c>
      <c r="D144" s="651">
        <v>-1618857.28</v>
      </c>
      <c r="E144" s="652">
        <v>-2045967.53</v>
      </c>
    </row>
    <row r="145" spans="1:6" ht="14.5">
      <c r="A145" s="649">
        <v>243500</v>
      </c>
      <c r="B145" s="650" t="s">
        <v>1986</v>
      </c>
      <c r="C145" s="651">
        <v>1292614.1200000001</v>
      </c>
      <c r="D145" s="651">
        <v>1295764.1200000001</v>
      </c>
      <c r="E145" s="652">
        <v>0</v>
      </c>
    </row>
    <row r="146" spans="1:6" ht="14.5">
      <c r="A146" s="649">
        <v>244000</v>
      </c>
      <c r="B146" s="650" t="s">
        <v>1096</v>
      </c>
      <c r="C146" s="651">
        <v>18966.91</v>
      </c>
      <c r="D146" s="651">
        <v>12200.74</v>
      </c>
      <c r="E146" s="652">
        <v>0</v>
      </c>
    </row>
    <row r="147" spans="1:6" ht="14.5">
      <c r="A147" s="649">
        <v>245000</v>
      </c>
      <c r="B147" s="650" t="s">
        <v>1455</v>
      </c>
      <c r="C147" s="651">
        <v>205951.1</v>
      </c>
      <c r="D147" s="651">
        <v>679330.76</v>
      </c>
      <c r="E147" s="651">
        <v>0</v>
      </c>
    </row>
    <row r="148" spans="1:6" ht="14.5">
      <c r="A148" s="649">
        <v>245500</v>
      </c>
      <c r="B148" s="650" t="s">
        <v>1987</v>
      </c>
      <c r="C148" s="651">
        <v>1878805.44</v>
      </c>
      <c r="D148" s="651">
        <v>946782.48</v>
      </c>
      <c r="E148" s="652">
        <v>0</v>
      </c>
    </row>
    <row r="149" spans="1:6" ht="14.5">
      <c r="A149" s="649">
        <v>245550</v>
      </c>
      <c r="B149" s="650" t="s">
        <v>1988</v>
      </c>
      <c r="C149" s="651">
        <v>-2777</v>
      </c>
      <c r="D149" s="651">
        <v>-2777</v>
      </c>
      <c r="E149" s="652">
        <v>-208456.2</v>
      </c>
    </row>
    <row r="150" spans="1:6" ht="14.5">
      <c r="A150" s="649">
        <v>247000</v>
      </c>
      <c r="B150" s="650" t="s">
        <v>1989</v>
      </c>
      <c r="C150" s="651">
        <v>-275412.17</v>
      </c>
      <c r="D150" s="651">
        <v>-301342.42</v>
      </c>
      <c r="E150" s="652">
        <v>-916847.67</v>
      </c>
    </row>
    <row r="151" spans="1:6" ht="14.5">
      <c r="A151" s="649">
        <v>260000</v>
      </c>
      <c r="B151" s="650" t="s">
        <v>1990</v>
      </c>
      <c r="C151" s="651">
        <v>-564292.06000000006</v>
      </c>
      <c r="D151" s="651">
        <v>-119127.06</v>
      </c>
      <c r="E151" s="652">
        <v>0</v>
      </c>
    </row>
    <row r="152" spans="1:6" ht="14.5">
      <c r="A152" s="649">
        <v>260500</v>
      </c>
      <c r="B152" s="650" t="s">
        <v>1991</v>
      </c>
      <c r="C152" s="651">
        <v>-434198.72</v>
      </c>
      <c r="D152" s="651">
        <v>-658222.31999999995</v>
      </c>
      <c r="E152" s="652">
        <v>-1170696.94</v>
      </c>
    </row>
    <row r="153" spans="1:6" ht="14.5">
      <c r="A153" s="649">
        <v>261000</v>
      </c>
      <c r="B153" s="650" t="s">
        <v>1456</v>
      </c>
      <c r="C153" s="651">
        <v>6302.99</v>
      </c>
      <c r="D153" s="651">
        <v>18846.22</v>
      </c>
      <c r="E153" s="652">
        <v>-243036.62</v>
      </c>
      <c r="F153" s="345"/>
    </row>
    <row r="154" spans="1:6" ht="14.5">
      <c r="A154" s="649">
        <v>263000</v>
      </c>
      <c r="B154" s="650" t="s">
        <v>1992</v>
      </c>
      <c r="C154" s="651">
        <v>0</v>
      </c>
      <c r="D154" s="651">
        <v>10000000</v>
      </c>
      <c r="E154" s="652">
        <v>0</v>
      </c>
      <c r="F154" s="345"/>
    </row>
    <row r="155" spans="1:6" ht="14.5">
      <c r="A155" s="649">
        <v>300500</v>
      </c>
      <c r="B155" s="650" t="s">
        <v>1993</v>
      </c>
      <c r="C155" s="651">
        <v>5124589.17</v>
      </c>
      <c r="D155" s="651">
        <v>5124589.17</v>
      </c>
      <c r="E155" s="652">
        <v>4930665.01</v>
      </c>
    </row>
    <row r="156" spans="1:6" ht="14.5">
      <c r="A156" s="649">
        <v>302000</v>
      </c>
      <c r="B156" s="650" t="s">
        <v>1994</v>
      </c>
      <c r="C156" s="651">
        <v>-830826.37</v>
      </c>
      <c r="D156" s="651">
        <v>-830826.37</v>
      </c>
      <c r="E156" s="652">
        <v>0</v>
      </c>
    </row>
    <row r="157" spans="1:6" ht="14.5">
      <c r="A157" s="649">
        <v>307000</v>
      </c>
      <c r="B157" s="650" t="s">
        <v>1995</v>
      </c>
      <c r="C157" s="651">
        <v>-5261281.43</v>
      </c>
      <c r="D157" s="651">
        <v>-5471281.4299999997</v>
      </c>
      <c r="E157" s="652">
        <v>-7607722.1699999999</v>
      </c>
    </row>
    <row r="158" spans="1:6" ht="14.5">
      <c r="A158" s="649">
        <v>309500</v>
      </c>
      <c r="B158" s="650" t="s">
        <v>1996</v>
      </c>
      <c r="C158" s="651">
        <v>-3163853.69</v>
      </c>
      <c r="D158" s="651">
        <v>-3163853.69</v>
      </c>
      <c r="E158" s="652">
        <v>133433120.86</v>
      </c>
    </row>
    <row r="159" spans="1:6" ht="14.5">
      <c r="A159" s="649">
        <v>309600</v>
      </c>
      <c r="B159" s="650" t="s">
        <v>1997</v>
      </c>
      <c r="C159" s="651">
        <v>0</v>
      </c>
      <c r="D159" s="651">
        <v>2550</v>
      </c>
      <c r="E159" s="652">
        <v>127212473.97</v>
      </c>
    </row>
    <row r="160" spans="1:6" ht="14.5">
      <c r="A160" s="649">
        <v>310000</v>
      </c>
      <c r="B160" s="650" t="s">
        <v>1167</v>
      </c>
      <c r="C160" s="651">
        <v>0</v>
      </c>
      <c r="D160" s="651">
        <v>0</v>
      </c>
      <c r="E160" s="652">
        <v>-290339468.69999999</v>
      </c>
    </row>
    <row r="161" spans="1:5" ht="14.5">
      <c r="A161" s="649">
        <v>401000</v>
      </c>
      <c r="B161" s="650" t="s">
        <v>1998</v>
      </c>
      <c r="C161" s="651">
        <v>-57930.54</v>
      </c>
      <c r="D161" s="651">
        <v>-6810532.5599999996</v>
      </c>
      <c r="E161" s="652">
        <v>-123674.87</v>
      </c>
    </row>
    <row r="162" spans="1:5" ht="14.5">
      <c r="A162" s="649">
        <v>401001</v>
      </c>
      <c r="B162" s="650" t="s">
        <v>1457</v>
      </c>
      <c r="C162" s="651">
        <v>-9528323.0199999996</v>
      </c>
      <c r="D162" s="651">
        <v>-28973109.59</v>
      </c>
      <c r="E162" s="652">
        <v>-134627268.02000001</v>
      </c>
    </row>
    <row r="163" spans="1:5" ht="14.5">
      <c r="A163" s="649">
        <v>401002</v>
      </c>
      <c r="B163" s="650" t="s">
        <v>1458</v>
      </c>
      <c r="C163" s="651">
        <v>-28804512.690000001</v>
      </c>
      <c r="D163" s="651">
        <v>-50544899.170000002</v>
      </c>
      <c r="E163" s="652">
        <v>-205177255.00999999</v>
      </c>
    </row>
    <row r="164" spans="1:5" ht="14.5">
      <c r="A164" s="649">
        <v>401003</v>
      </c>
      <c r="B164" s="650" t="s">
        <v>1999</v>
      </c>
      <c r="C164" s="651">
        <v>-1666454.16</v>
      </c>
      <c r="D164" s="651">
        <v>-2490173.5499999998</v>
      </c>
      <c r="E164" s="652">
        <v>-8221784.6200000001</v>
      </c>
    </row>
    <row r="165" spans="1:5" ht="14.5">
      <c r="A165" s="649">
        <v>401004</v>
      </c>
      <c r="B165" s="650" t="s">
        <v>1459</v>
      </c>
      <c r="C165" s="651">
        <v>-19088913.010000002</v>
      </c>
      <c r="D165" s="651">
        <v>-44389076.780000001</v>
      </c>
      <c r="E165" s="652">
        <v>-153588038.24000001</v>
      </c>
    </row>
    <row r="166" spans="1:5" ht="14.5">
      <c r="A166" s="649">
        <v>401005</v>
      </c>
      <c r="B166" s="650" t="s">
        <v>2000</v>
      </c>
      <c r="C166" s="651">
        <v>-18718.16</v>
      </c>
      <c r="D166" s="651">
        <v>-51674.5</v>
      </c>
      <c r="E166" s="652">
        <v>-279416.2</v>
      </c>
    </row>
    <row r="167" spans="1:5" ht="14.5">
      <c r="A167" s="649">
        <v>401010</v>
      </c>
      <c r="B167" s="650" t="s">
        <v>2001</v>
      </c>
      <c r="C167" s="651">
        <v>0</v>
      </c>
      <c r="D167" s="651">
        <v>-4095</v>
      </c>
      <c r="E167" s="652">
        <v>-354095</v>
      </c>
    </row>
    <row r="168" spans="1:5" ht="14.5">
      <c r="A168" s="649">
        <v>401020</v>
      </c>
      <c r="B168" s="650" t="s">
        <v>2002</v>
      </c>
      <c r="C168" s="651">
        <v>-32577518</v>
      </c>
      <c r="D168" s="651">
        <v>-75350153.540000007</v>
      </c>
      <c r="E168" s="652">
        <v>-234345681.31</v>
      </c>
    </row>
    <row r="169" spans="1:5" ht="14.5">
      <c r="A169" s="649">
        <v>401030</v>
      </c>
      <c r="B169" s="650" t="s">
        <v>2003</v>
      </c>
      <c r="C169" s="651">
        <v>0</v>
      </c>
      <c r="D169" s="651">
        <v>0</v>
      </c>
      <c r="E169" s="652">
        <v>-10200</v>
      </c>
    </row>
    <row r="170" spans="1:5" ht="14.5">
      <c r="A170" s="649">
        <v>401100</v>
      </c>
      <c r="B170" s="650" t="s">
        <v>2004</v>
      </c>
      <c r="C170" s="651">
        <v>-29250</v>
      </c>
      <c r="D170" s="651">
        <v>-76000</v>
      </c>
      <c r="E170" s="652">
        <v>-346857.14</v>
      </c>
    </row>
    <row r="171" spans="1:5" ht="14.5">
      <c r="A171" s="649">
        <v>401200</v>
      </c>
      <c r="B171" s="650" t="s">
        <v>1460</v>
      </c>
      <c r="C171" s="651">
        <v>-2474949.4500000002</v>
      </c>
      <c r="D171" s="651">
        <v>-7491332.9800000004</v>
      </c>
      <c r="E171" s="652">
        <v>-24858950.710000001</v>
      </c>
    </row>
    <row r="172" spans="1:5" ht="14.5">
      <c r="A172" s="649">
        <v>401400</v>
      </c>
      <c r="B172" s="650" t="s">
        <v>2005</v>
      </c>
      <c r="C172" s="651">
        <v>-1279864.26</v>
      </c>
      <c r="D172" s="651">
        <v>-9198703.6300000008</v>
      </c>
      <c r="E172" s="652">
        <v>-10001744.33</v>
      </c>
    </row>
    <row r="173" spans="1:5" ht="14.5">
      <c r="A173" s="649">
        <v>401600</v>
      </c>
      <c r="B173" s="650" t="s">
        <v>2006</v>
      </c>
      <c r="C173" s="651">
        <v>-1189.0999999999999</v>
      </c>
      <c r="D173" s="651">
        <v>7554.87</v>
      </c>
      <c r="E173" s="652">
        <v>27449.42</v>
      </c>
    </row>
    <row r="174" spans="1:5" ht="14.5">
      <c r="A174" s="649">
        <v>401700</v>
      </c>
      <c r="B174" s="650" t="s">
        <v>1461</v>
      </c>
      <c r="C174" s="651">
        <v>-353361.83</v>
      </c>
      <c r="D174" s="651">
        <v>-812482.91</v>
      </c>
      <c r="E174" s="652">
        <v>-3956868.78</v>
      </c>
    </row>
    <row r="175" spans="1:5" ht="14.5">
      <c r="A175" s="649">
        <v>401710</v>
      </c>
      <c r="B175" s="650" t="s">
        <v>2007</v>
      </c>
      <c r="C175" s="651">
        <v>-14858.72</v>
      </c>
      <c r="D175" s="651">
        <v>-30917.32</v>
      </c>
      <c r="E175" s="652">
        <v>-86417.15</v>
      </c>
    </row>
    <row r="176" spans="1:5" ht="14.5">
      <c r="A176" s="649">
        <v>401715</v>
      </c>
      <c r="B176" s="650" t="s">
        <v>2008</v>
      </c>
      <c r="C176" s="651">
        <v>0</v>
      </c>
      <c r="D176" s="651">
        <v>0</v>
      </c>
      <c r="E176" s="652">
        <v>-491131.94</v>
      </c>
    </row>
    <row r="177" spans="1:5" ht="14.5">
      <c r="A177" s="649">
        <v>401716</v>
      </c>
      <c r="B177" s="650" t="s">
        <v>2009</v>
      </c>
      <c r="C177" s="651">
        <v>-145222.03</v>
      </c>
      <c r="D177" s="651">
        <v>-957669.9</v>
      </c>
      <c r="E177" s="652">
        <v>-410959.03</v>
      </c>
    </row>
    <row r="178" spans="1:5" ht="14.5">
      <c r="A178" s="649">
        <v>401717</v>
      </c>
      <c r="B178" s="650" t="s">
        <v>2010</v>
      </c>
      <c r="C178" s="651">
        <v>2339.92</v>
      </c>
      <c r="D178" s="651">
        <v>7312.23</v>
      </c>
      <c r="E178" s="652">
        <v>-62005.61</v>
      </c>
    </row>
    <row r="179" spans="1:5" ht="14.5">
      <c r="A179" s="649">
        <v>401718</v>
      </c>
      <c r="B179" s="650" t="s">
        <v>2011</v>
      </c>
      <c r="C179" s="651">
        <v>-205889.87</v>
      </c>
      <c r="D179" s="651">
        <v>-642881.6</v>
      </c>
      <c r="E179" s="652">
        <v>-416743.8</v>
      </c>
    </row>
    <row r="180" spans="1:5" ht="14.5">
      <c r="A180" s="649">
        <v>401719</v>
      </c>
      <c r="B180" s="650" t="s">
        <v>2012</v>
      </c>
      <c r="C180" s="651">
        <v>-1200517.1599999999</v>
      </c>
      <c r="D180" s="651">
        <v>-2201555.9900000002</v>
      </c>
      <c r="E180" s="652">
        <v>-5578925</v>
      </c>
    </row>
    <row r="181" spans="1:5" ht="14.5">
      <c r="A181" s="649">
        <v>405000</v>
      </c>
      <c r="B181" s="650" t="s">
        <v>2013</v>
      </c>
      <c r="C181" s="651">
        <v>-1983.6</v>
      </c>
      <c r="D181" s="651">
        <v>-98942.3</v>
      </c>
      <c r="E181" s="652">
        <v>-2272519.98</v>
      </c>
    </row>
    <row r="182" spans="1:5" ht="14.5">
      <c r="A182" s="649">
        <v>405005</v>
      </c>
      <c r="B182" s="650" t="s">
        <v>2014</v>
      </c>
      <c r="C182" s="651">
        <v>0</v>
      </c>
      <c r="D182" s="651">
        <v>-30740.36</v>
      </c>
      <c r="E182" s="652">
        <v>-587140.36</v>
      </c>
    </row>
    <row r="183" spans="1:5" ht="14.5">
      <c r="A183" s="649">
        <v>405010</v>
      </c>
      <c r="B183" s="650" t="s">
        <v>1462</v>
      </c>
      <c r="C183" s="651">
        <v>-201029.42</v>
      </c>
      <c r="D183" s="651">
        <v>-201029.42</v>
      </c>
      <c r="E183" s="652">
        <v>-1068864.26</v>
      </c>
    </row>
    <row r="184" spans="1:5" ht="14.5">
      <c r="A184" s="649">
        <v>501000</v>
      </c>
      <c r="B184" s="650" t="s">
        <v>2015</v>
      </c>
      <c r="C184" s="651">
        <v>23053.74</v>
      </c>
      <c r="D184" s="651">
        <v>24319.01</v>
      </c>
      <c r="E184" s="652">
        <v>650921.68999999994</v>
      </c>
    </row>
    <row r="185" spans="1:5" ht="14.5">
      <c r="A185" s="649">
        <v>501002</v>
      </c>
      <c r="B185" s="650" t="s">
        <v>2016</v>
      </c>
      <c r="C185" s="651">
        <v>3113397.31</v>
      </c>
      <c r="D185" s="651">
        <v>3417356.63</v>
      </c>
      <c r="E185" s="652">
        <v>7434430.5</v>
      </c>
    </row>
    <row r="186" spans="1:5" ht="14.5">
      <c r="A186" s="649">
        <v>501005</v>
      </c>
      <c r="B186" s="650" t="s">
        <v>2017</v>
      </c>
      <c r="C186" s="651">
        <v>11542</v>
      </c>
      <c r="D186" s="651">
        <v>24018</v>
      </c>
      <c r="E186" s="652">
        <v>67175</v>
      </c>
    </row>
    <row r="187" spans="1:5" ht="14.5">
      <c r="A187" s="649">
        <v>501006</v>
      </c>
      <c r="B187" s="650" t="s">
        <v>1463</v>
      </c>
      <c r="C187" s="651">
        <v>286933.77</v>
      </c>
      <c r="D187" s="651">
        <v>612223.05000000005</v>
      </c>
      <c r="E187" s="652">
        <v>2299959.2599999998</v>
      </c>
    </row>
    <row r="188" spans="1:5" ht="14.5">
      <c r="A188" s="649">
        <v>501007</v>
      </c>
      <c r="B188" s="650" t="s">
        <v>2018</v>
      </c>
      <c r="C188" s="651">
        <v>908822.43</v>
      </c>
      <c r="D188" s="651">
        <v>2328113.16</v>
      </c>
      <c r="E188" s="652">
        <v>8132334.5099999998</v>
      </c>
    </row>
    <row r="189" spans="1:5" ht="14.5">
      <c r="A189" s="649">
        <v>501008</v>
      </c>
      <c r="B189" s="650" t="s">
        <v>1464</v>
      </c>
      <c r="C189" s="651">
        <v>1378659.28</v>
      </c>
      <c r="D189" s="651">
        <v>4296316.67</v>
      </c>
      <c r="E189" s="652">
        <v>13806751.16</v>
      </c>
    </row>
    <row r="190" spans="1:5" ht="14.5">
      <c r="A190" s="649">
        <v>501009</v>
      </c>
      <c r="B190" s="650" t="s">
        <v>2019</v>
      </c>
      <c r="C190" s="651">
        <v>1389948.42</v>
      </c>
      <c r="D190" s="651">
        <v>9170060.6500000004</v>
      </c>
      <c r="E190" s="652">
        <v>9789847.0199999996</v>
      </c>
    </row>
    <row r="191" spans="1:5" ht="14.5">
      <c r="A191" s="649">
        <v>501010</v>
      </c>
      <c r="B191" s="650" t="s">
        <v>2020</v>
      </c>
      <c r="C191" s="651">
        <v>4403923</v>
      </c>
      <c r="D191" s="651">
        <v>5187160</v>
      </c>
      <c r="E191" s="652">
        <v>6449997.0099999998</v>
      </c>
    </row>
    <row r="192" spans="1:5" ht="14.5">
      <c r="A192" s="649">
        <v>501011</v>
      </c>
      <c r="B192" s="650" t="s">
        <v>2021</v>
      </c>
      <c r="C192" s="651">
        <v>148656.88</v>
      </c>
      <c r="D192" s="651">
        <v>482743.2</v>
      </c>
      <c r="E192" s="652">
        <v>1969724.47</v>
      </c>
    </row>
    <row r="193" spans="1:5" ht="14.5">
      <c r="A193" s="649">
        <v>501012</v>
      </c>
      <c r="B193" s="650" t="s">
        <v>2022</v>
      </c>
      <c r="C193" s="651">
        <v>19989.849999999999</v>
      </c>
      <c r="D193" s="651">
        <v>18778.55</v>
      </c>
      <c r="E193" s="652">
        <v>168147.91</v>
      </c>
    </row>
    <row r="194" spans="1:5" ht="14.5">
      <c r="A194" s="649">
        <v>501013</v>
      </c>
      <c r="B194" s="650" t="s">
        <v>2023</v>
      </c>
      <c r="C194" s="651">
        <v>0</v>
      </c>
      <c r="D194" s="651">
        <v>0</v>
      </c>
      <c r="E194" s="652">
        <v>5391377.7400000002</v>
      </c>
    </row>
    <row r="195" spans="1:5" ht="14.5">
      <c r="A195" s="649">
        <v>501015</v>
      </c>
      <c r="B195" s="650" t="s">
        <v>2024</v>
      </c>
      <c r="C195" s="651">
        <v>4865.7700000000004</v>
      </c>
      <c r="D195" s="651">
        <v>16688.669999999998</v>
      </c>
      <c r="E195" s="652">
        <v>53583.360000000001</v>
      </c>
    </row>
    <row r="196" spans="1:5" ht="14.5">
      <c r="A196" s="649">
        <v>501016</v>
      </c>
      <c r="B196" s="650" t="s">
        <v>2025</v>
      </c>
      <c r="C196" s="651">
        <v>729.89</v>
      </c>
      <c r="D196" s="651">
        <v>1735.89</v>
      </c>
      <c r="E196" s="652">
        <v>18802.09</v>
      </c>
    </row>
    <row r="197" spans="1:5" ht="14.5">
      <c r="A197" s="649">
        <v>501017</v>
      </c>
      <c r="B197" s="650" t="s">
        <v>2026</v>
      </c>
      <c r="C197" s="651">
        <v>17979.89</v>
      </c>
      <c r="D197" s="651">
        <v>35821.410000000003</v>
      </c>
      <c r="E197" s="652">
        <v>88146.22</v>
      </c>
    </row>
    <row r="198" spans="1:5" ht="14.5">
      <c r="A198" s="649">
        <v>501018</v>
      </c>
      <c r="B198" s="650" t="s">
        <v>2027</v>
      </c>
      <c r="C198" s="651">
        <v>31975.8</v>
      </c>
      <c r="D198" s="651">
        <v>84899.3</v>
      </c>
      <c r="E198" s="652">
        <v>240588.14</v>
      </c>
    </row>
    <row r="199" spans="1:5" ht="14.5">
      <c r="A199" s="649">
        <v>501020</v>
      </c>
      <c r="B199" s="650" t="s">
        <v>1465</v>
      </c>
      <c r="C199" s="651">
        <v>8587100.7400000002</v>
      </c>
      <c r="D199" s="651">
        <v>28010273.41</v>
      </c>
      <c r="E199" s="652">
        <v>123666777.7</v>
      </c>
    </row>
    <row r="200" spans="1:5" ht="14.5">
      <c r="A200" s="649">
        <v>501021</v>
      </c>
      <c r="B200" s="650" t="s">
        <v>2028</v>
      </c>
      <c r="C200" s="651">
        <v>3162127.2</v>
      </c>
      <c r="D200" s="651">
        <v>6187754.7199999997</v>
      </c>
      <c r="E200" s="652">
        <v>17664951.829999998</v>
      </c>
    </row>
    <row r="201" spans="1:5" ht="14.5">
      <c r="A201" s="649">
        <v>501022</v>
      </c>
      <c r="B201" s="650" t="s">
        <v>1466</v>
      </c>
      <c r="C201" s="651">
        <v>18869182.809999999</v>
      </c>
      <c r="D201" s="651">
        <v>45222760.75</v>
      </c>
      <c r="E201" s="652">
        <v>149705921.19</v>
      </c>
    </row>
    <row r="202" spans="1:5" ht="14.5">
      <c r="A202" s="649">
        <v>501023</v>
      </c>
      <c r="B202" s="650" t="s">
        <v>1467</v>
      </c>
      <c r="C202" s="651">
        <v>61280013.640000001</v>
      </c>
      <c r="D202" s="651">
        <v>129260577.34999999</v>
      </c>
      <c r="E202" s="652">
        <v>460913305.77999997</v>
      </c>
    </row>
    <row r="203" spans="1:5" ht="14.5">
      <c r="A203" s="649">
        <v>501024</v>
      </c>
      <c r="B203" s="650" t="s">
        <v>2029</v>
      </c>
      <c r="C203" s="651">
        <v>25475.86</v>
      </c>
      <c r="D203" s="651">
        <v>67324.17</v>
      </c>
      <c r="E203" s="652">
        <v>267358.84000000003</v>
      </c>
    </row>
    <row r="204" spans="1:5" ht="14.5">
      <c r="A204" s="649">
        <v>501031</v>
      </c>
      <c r="B204" s="650" t="s">
        <v>2030</v>
      </c>
      <c r="C204" s="651">
        <v>220783.12</v>
      </c>
      <c r="D204" s="651">
        <v>1193403.1200000001</v>
      </c>
      <c r="E204" s="652">
        <v>1069424.46</v>
      </c>
    </row>
    <row r="205" spans="1:5" ht="14.5">
      <c r="A205" s="649">
        <v>501032</v>
      </c>
      <c r="B205" s="650" t="s">
        <v>2031</v>
      </c>
      <c r="C205" s="651">
        <v>-3217.42</v>
      </c>
      <c r="D205" s="651">
        <v>-9717.23</v>
      </c>
      <c r="E205" s="652">
        <v>12803.55</v>
      </c>
    </row>
    <row r="206" spans="1:5" ht="14.5">
      <c r="A206" s="649">
        <v>501033</v>
      </c>
      <c r="B206" s="650" t="s">
        <v>2032</v>
      </c>
      <c r="C206" s="651">
        <v>203731.57</v>
      </c>
      <c r="D206" s="651">
        <v>633877.57999999996</v>
      </c>
      <c r="E206" s="652">
        <v>2810802.25</v>
      </c>
    </row>
    <row r="207" spans="1:5" ht="14.5">
      <c r="A207" s="649">
        <v>501034</v>
      </c>
      <c r="B207" s="650" t="s">
        <v>2033</v>
      </c>
      <c r="C207" s="651">
        <v>1564469.15</v>
      </c>
      <c r="D207" s="651">
        <v>3816936.42</v>
      </c>
      <c r="E207" s="652">
        <v>7069952.96</v>
      </c>
    </row>
    <row r="208" spans="1:5" ht="14.5">
      <c r="A208" s="649">
        <v>501100</v>
      </c>
      <c r="B208" s="650" t="s">
        <v>2034</v>
      </c>
      <c r="C208" s="651">
        <v>-105355.45</v>
      </c>
      <c r="D208" s="651">
        <v>-354940.82</v>
      </c>
      <c r="E208" s="652">
        <v>-844655.23</v>
      </c>
    </row>
    <row r="209" spans="1:5" ht="14.5">
      <c r="A209" s="649">
        <v>501125</v>
      </c>
      <c r="B209" s="650" t="s">
        <v>2035</v>
      </c>
      <c r="C209" s="651">
        <v>0</v>
      </c>
      <c r="D209" s="651">
        <v>0</v>
      </c>
      <c r="E209" s="652">
        <v>852.08</v>
      </c>
    </row>
    <row r="210" spans="1:5" ht="14.5">
      <c r="A210" s="649">
        <v>501150</v>
      </c>
      <c r="B210" s="650" t="s">
        <v>2036</v>
      </c>
      <c r="C210" s="651">
        <v>14110</v>
      </c>
      <c r="D210" s="651">
        <v>34850</v>
      </c>
      <c r="E210" s="652">
        <v>178330</v>
      </c>
    </row>
    <row r="211" spans="1:5" ht="14.5">
      <c r="A211" s="649">
        <v>501200</v>
      </c>
      <c r="B211" s="650" t="s">
        <v>2037</v>
      </c>
      <c r="C211" s="651">
        <v>115174.9</v>
      </c>
      <c r="D211" s="651">
        <v>386796.31</v>
      </c>
      <c r="E211" s="652">
        <v>876200.01</v>
      </c>
    </row>
    <row r="212" spans="1:5" ht="14.5">
      <c r="A212" s="649">
        <v>501201</v>
      </c>
      <c r="B212" s="650" t="s">
        <v>2037</v>
      </c>
      <c r="C212" s="651">
        <v>0</v>
      </c>
      <c r="D212" s="651">
        <v>26374.21</v>
      </c>
      <c r="E212" s="652">
        <v>122524.24</v>
      </c>
    </row>
    <row r="213" spans="1:5" ht="14.5">
      <c r="A213" s="649">
        <v>501202</v>
      </c>
      <c r="B213" s="650" t="s">
        <v>2038</v>
      </c>
      <c r="C213" s="651">
        <v>17.82</v>
      </c>
      <c r="D213" s="651">
        <v>2647.04</v>
      </c>
      <c r="E213" s="652">
        <v>22228.77</v>
      </c>
    </row>
    <row r="214" spans="1:5" ht="14.5">
      <c r="A214" s="649">
        <v>501203</v>
      </c>
      <c r="B214" s="650" t="s">
        <v>2039</v>
      </c>
      <c r="C214" s="651">
        <v>5038.51</v>
      </c>
      <c r="D214" s="651">
        <v>14439.15</v>
      </c>
      <c r="E214" s="652">
        <v>88280.48</v>
      </c>
    </row>
    <row r="215" spans="1:5" ht="14.5">
      <c r="A215" s="649">
        <v>501204</v>
      </c>
      <c r="B215" s="650" t="s">
        <v>2040</v>
      </c>
      <c r="C215" s="651">
        <v>14007.1</v>
      </c>
      <c r="D215" s="651">
        <v>30727.38</v>
      </c>
      <c r="E215" s="652">
        <v>227773.08</v>
      </c>
    </row>
    <row r="216" spans="1:5" ht="14.5">
      <c r="A216" s="649">
        <v>501205</v>
      </c>
      <c r="B216" s="650" t="s">
        <v>2041</v>
      </c>
      <c r="C216" s="651">
        <v>57.95</v>
      </c>
      <c r="D216" s="651">
        <v>5190.25</v>
      </c>
      <c r="E216" s="652">
        <v>24080.42</v>
      </c>
    </row>
    <row r="217" spans="1:5" ht="14.5">
      <c r="A217" s="649">
        <v>501206</v>
      </c>
      <c r="B217" s="650" t="s">
        <v>2042</v>
      </c>
      <c r="C217" s="651">
        <v>352456.84</v>
      </c>
      <c r="D217" s="651">
        <v>442726.63</v>
      </c>
      <c r="E217" s="652">
        <v>1243266.3799999999</v>
      </c>
    </row>
    <row r="218" spans="1:5" ht="14.5">
      <c r="A218" s="649">
        <v>501207</v>
      </c>
      <c r="B218" s="650" t="s">
        <v>2043</v>
      </c>
      <c r="C218" s="651">
        <v>0</v>
      </c>
      <c r="D218" s="651">
        <v>31.55</v>
      </c>
      <c r="E218" s="652">
        <v>56336.89</v>
      </c>
    </row>
    <row r="219" spans="1:5" ht="14.5">
      <c r="A219" s="649">
        <v>501208</v>
      </c>
      <c r="B219" s="650" t="s">
        <v>2044</v>
      </c>
      <c r="C219" s="651">
        <v>203.46</v>
      </c>
      <c r="D219" s="651">
        <v>5927.53</v>
      </c>
      <c r="E219" s="652">
        <v>27574.04</v>
      </c>
    </row>
    <row r="220" spans="1:5" ht="14.5">
      <c r="A220" s="649">
        <v>501209</v>
      </c>
      <c r="B220" s="650" t="s">
        <v>2045</v>
      </c>
      <c r="C220" s="651">
        <v>32889.9</v>
      </c>
      <c r="D220" s="651">
        <v>113469.47</v>
      </c>
      <c r="E220" s="652">
        <v>426226.44</v>
      </c>
    </row>
    <row r="221" spans="1:5" ht="14.5">
      <c r="A221" s="649">
        <v>501210</v>
      </c>
      <c r="B221" s="650" t="s">
        <v>2046</v>
      </c>
      <c r="C221" s="651">
        <v>0</v>
      </c>
      <c r="D221" s="651">
        <v>-10172</v>
      </c>
      <c r="E221" s="652">
        <v>-93660</v>
      </c>
    </row>
    <row r="222" spans="1:5" ht="14.5">
      <c r="A222" s="649">
        <v>501211</v>
      </c>
      <c r="B222" s="650" t="s">
        <v>2047</v>
      </c>
      <c r="C222" s="651">
        <v>33.15</v>
      </c>
      <c r="D222" s="651">
        <v>1776.84</v>
      </c>
      <c r="E222" s="652">
        <v>29408.97</v>
      </c>
    </row>
    <row r="223" spans="1:5" ht="14.5">
      <c r="A223" s="649">
        <v>501212</v>
      </c>
      <c r="B223" s="650" t="s">
        <v>2048</v>
      </c>
      <c r="C223" s="651">
        <v>0</v>
      </c>
      <c r="D223" s="651">
        <v>774</v>
      </c>
      <c r="E223" s="652">
        <v>6240</v>
      </c>
    </row>
    <row r="224" spans="1:5" ht="14.5">
      <c r="A224" s="649">
        <v>501213</v>
      </c>
      <c r="B224" s="650" t="s">
        <v>2049</v>
      </c>
      <c r="C224" s="651">
        <v>-25321.58</v>
      </c>
      <c r="D224" s="651">
        <v>-117106.91</v>
      </c>
      <c r="E224" s="652">
        <v>-132340.72</v>
      </c>
    </row>
    <row r="225" spans="1:5" ht="14.5">
      <c r="A225" s="649">
        <v>501225</v>
      </c>
      <c r="B225" s="650" t="s">
        <v>2050</v>
      </c>
      <c r="C225" s="651">
        <v>7139.73</v>
      </c>
      <c r="D225" s="651">
        <v>25406.65</v>
      </c>
      <c r="E225" s="652">
        <v>117665.06</v>
      </c>
    </row>
    <row r="226" spans="1:5" ht="14.5">
      <c r="A226" s="649">
        <v>501230</v>
      </c>
      <c r="B226" s="650" t="s">
        <v>2051</v>
      </c>
      <c r="C226" s="651">
        <v>11411.45</v>
      </c>
      <c r="D226" s="651">
        <v>23268.37</v>
      </c>
      <c r="E226" s="652">
        <v>34582.639999999999</v>
      </c>
    </row>
    <row r="227" spans="1:5" ht="14.5">
      <c r="A227" s="649">
        <v>501235</v>
      </c>
      <c r="B227" s="650" t="s">
        <v>2052</v>
      </c>
      <c r="C227" s="651">
        <v>109883.93</v>
      </c>
      <c r="D227" s="651">
        <v>501521.13</v>
      </c>
      <c r="E227" s="652">
        <v>1255337.25</v>
      </c>
    </row>
    <row r="228" spans="1:5" ht="14.5">
      <c r="A228" s="649">
        <v>501240</v>
      </c>
      <c r="B228" s="650" t="s">
        <v>2053</v>
      </c>
      <c r="C228" s="651">
        <v>0</v>
      </c>
      <c r="D228" s="651">
        <v>357</v>
      </c>
      <c r="E228" s="652">
        <v>15758.81</v>
      </c>
    </row>
    <row r="229" spans="1:5" ht="14.5">
      <c r="A229" s="649">
        <v>501244</v>
      </c>
      <c r="B229" s="650" t="s">
        <v>2054</v>
      </c>
      <c r="C229" s="651">
        <v>5183.59</v>
      </c>
      <c r="D229" s="651">
        <v>12107.36</v>
      </c>
      <c r="E229" s="652">
        <v>44235.18</v>
      </c>
    </row>
    <row r="230" spans="1:5" ht="14.5">
      <c r="A230" s="649">
        <v>501245</v>
      </c>
      <c r="B230" s="650" t="s">
        <v>2055</v>
      </c>
      <c r="C230" s="651">
        <v>6686.31</v>
      </c>
      <c r="D230" s="651">
        <v>16159.47</v>
      </c>
      <c r="E230" s="652">
        <v>65322.69</v>
      </c>
    </row>
    <row r="231" spans="1:5" ht="14.5">
      <c r="A231" s="649">
        <v>501253</v>
      </c>
      <c r="B231" s="650" t="s">
        <v>2056</v>
      </c>
      <c r="C231" s="651">
        <v>2380</v>
      </c>
      <c r="D231" s="651">
        <v>5020</v>
      </c>
      <c r="E231" s="652">
        <v>124486</v>
      </c>
    </row>
    <row r="232" spans="1:5" ht="14.5">
      <c r="A232" s="649">
        <v>501255</v>
      </c>
      <c r="B232" s="650" t="s">
        <v>2057</v>
      </c>
      <c r="C232" s="651">
        <v>-684476.47</v>
      </c>
      <c r="D232" s="651">
        <v>75143.509999999995</v>
      </c>
      <c r="E232" s="652">
        <v>-4133705.76</v>
      </c>
    </row>
    <row r="233" spans="1:5" ht="14.5">
      <c r="A233" s="649">
        <v>501257</v>
      </c>
      <c r="B233" s="650" t="s">
        <v>2058</v>
      </c>
      <c r="C233" s="651">
        <v>80539</v>
      </c>
      <c r="D233" s="651">
        <v>190619</v>
      </c>
      <c r="E233" s="652">
        <v>632143</v>
      </c>
    </row>
    <row r="234" spans="1:5" ht="14.5">
      <c r="A234" s="649">
        <v>501258</v>
      </c>
      <c r="B234" s="650" t="s">
        <v>2059</v>
      </c>
      <c r="C234" s="651">
        <v>519978.81</v>
      </c>
      <c r="D234" s="651">
        <v>1428856.58</v>
      </c>
      <c r="E234" s="652">
        <v>5298380.37</v>
      </c>
    </row>
    <row r="235" spans="1:5" ht="14.5">
      <c r="A235" s="649">
        <v>501265</v>
      </c>
      <c r="B235" s="650" t="s">
        <v>2060</v>
      </c>
      <c r="C235" s="651">
        <v>0</v>
      </c>
      <c r="D235" s="651">
        <v>630</v>
      </c>
      <c r="E235" s="652">
        <v>27372</v>
      </c>
    </row>
    <row r="236" spans="1:5" ht="14.5">
      <c r="A236" s="649">
        <v>501278</v>
      </c>
      <c r="B236" s="650" t="s">
        <v>2061</v>
      </c>
      <c r="C236" s="651">
        <v>0</v>
      </c>
      <c r="D236" s="651">
        <v>0</v>
      </c>
      <c r="E236" s="652">
        <v>-2709.85</v>
      </c>
    </row>
    <row r="237" spans="1:5" ht="14.5">
      <c r="A237" s="649">
        <v>502250</v>
      </c>
      <c r="B237" s="650" t="s">
        <v>2062</v>
      </c>
      <c r="C237" s="651">
        <v>26873.24</v>
      </c>
      <c r="D237" s="651">
        <v>58268.36</v>
      </c>
      <c r="E237" s="652">
        <v>260820.25</v>
      </c>
    </row>
    <row r="238" spans="1:5" ht="14.5">
      <c r="A238" s="649">
        <v>503000</v>
      </c>
      <c r="B238" s="650" t="s">
        <v>1110</v>
      </c>
      <c r="C238" s="651">
        <v>-26201.18</v>
      </c>
      <c r="D238" s="651">
        <v>-45903.6</v>
      </c>
      <c r="E238" s="652">
        <v>-231432.04</v>
      </c>
    </row>
    <row r="239" spans="1:5" ht="14.5">
      <c r="A239" s="649">
        <v>504000</v>
      </c>
      <c r="B239" s="650" t="s">
        <v>2063</v>
      </c>
      <c r="C239" s="651">
        <v>0</v>
      </c>
      <c r="D239" s="651">
        <v>0</v>
      </c>
      <c r="E239" s="652">
        <v>-322</v>
      </c>
    </row>
    <row r="240" spans="1:5" ht="14.5">
      <c r="A240" s="649">
        <v>504100</v>
      </c>
      <c r="B240" s="650" t="s">
        <v>1104</v>
      </c>
      <c r="C240" s="651">
        <v>116279.91</v>
      </c>
      <c r="D240" s="651">
        <v>450229.43</v>
      </c>
      <c r="E240" s="652">
        <v>1280216.6499999999</v>
      </c>
    </row>
    <row r="241" spans="1:5" ht="14.5">
      <c r="A241" s="649">
        <v>504110</v>
      </c>
      <c r="B241" s="650" t="s">
        <v>1105</v>
      </c>
      <c r="C241" s="651">
        <v>34493.07</v>
      </c>
      <c r="D241" s="651">
        <v>247236.71</v>
      </c>
      <c r="E241" s="652">
        <v>927698.61</v>
      </c>
    </row>
    <row r="242" spans="1:5" ht="14.5">
      <c r="A242" s="649">
        <v>504120</v>
      </c>
      <c r="B242" s="650" t="s">
        <v>1106</v>
      </c>
      <c r="C242" s="651">
        <v>367375.94</v>
      </c>
      <c r="D242" s="651">
        <v>1356009.03</v>
      </c>
      <c r="E242" s="652">
        <v>3695118.07</v>
      </c>
    </row>
    <row r="243" spans="1:5" ht="14.5">
      <c r="A243" s="649">
        <v>504121</v>
      </c>
      <c r="B243" s="650" t="s">
        <v>2064</v>
      </c>
      <c r="C243" s="651">
        <v>173312.45</v>
      </c>
      <c r="D243" s="651">
        <v>288046.89</v>
      </c>
      <c r="E243" s="652">
        <v>384272.13</v>
      </c>
    </row>
    <row r="244" spans="1:5" ht="14.5">
      <c r="A244" s="649">
        <v>506365</v>
      </c>
      <c r="B244" s="650" t="s">
        <v>2065</v>
      </c>
      <c r="C244" s="651">
        <v>62.17</v>
      </c>
      <c r="D244" s="651">
        <v>-466.37</v>
      </c>
      <c r="E244" s="652">
        <v>-4880.41</v>
      </c>
    </row>
    <row r="245" spans="1:5" ht="14.5">
      <c r="A245" s="649">
        <v>506370</v>
      </c>
      <c r="B245" s="650" t="s">
        <v>2066</v>
      </c>
      <c r="C245" s="651">
        <v>-49505.34</v>
      </c>
      <c r="D245" s="651">
        <v>-178217.08</v>
      </c>
      <c r="E245" s="652">
        <v>-660351.47</v>
      </c>
    </row>
    <row r="246" spans="1:5" ht="14.5">
      <c r="A246" s="649">
        <v>506450</v>
      </c>
      <c r="B246" s="650" t="s">
        <v>1101</v>
      </c>
      <c r="C246" s="651">
        <v>-600</v>
      </c>
      <c r="D246" s="651">
        <v>-600</v>
      </c>
      <c r="E246" s="652">
        <v>-945</v>
      </c>
    </row>
    <row r="247" spans="1:5" ht="14.5">
      <c r="A247" s="649">
        <v>506470</v>
      </c>
      <c r="B247" s="650" t="s">
        <v>2067</v>
      </c>
      <c r="C247" s="651">
        <v>-0.15</v>
      </c>
      <c r="D247" s="651">
        <v>-80.239999999999995</v>
      </c>
      <c r="E247" s="652">
        <v>-5701.92</v>
      </c>
    </row>
    <row r="248" spans="1:5" ht="14.5">
      <c r="A248" s="649">
        <v>506495</v>
      </c>
      <c r="B248" s="650" t="s">
        <v>2068</v>
      </c>
      <c r="C248" s="651">
        <v>78484.399999999994</v>
      </c>
      <c r="D248" s="651">
        <v>78484.399999999994</v>
      </c>
      <c r="E248" s="652">
        <v>163868.25</v>
      </c>
    </row>
    <row r="249" spans="1:5" ht="14.5">
      <c r="A249" s="649">
        <v>506496</v>
      </c>
      <c r="B249" s="650" t="s">
        <v>2069</v>
      </c>
      <c r="C249" s="651">
        <v>-859.25</v>
      </c>
      <c r="D249" s="651">
        <v>-1789.52</v>
      </c>
      <c r="E249" s="652">
        <v>522.23</v>
      </c>
    </row>
    <row r="250" spans="1:5" ht="14.5">
      <c r="A250" s="649">
        <v>506497</v>
      </c>
      <c r="B250" s="650" t="s">
        <v>2070</v>
      </c>
      <c r="C250" s="651">
        <v>25256</v>
      </c>
      <c r="D250" s="651">
        <v>23183.78</v>
      </c>
      <c r="E250" s="652">
        <v>100293.36</v>
      </c>
    </row>
    <row r="251" spans="1:5" ht="14.5">
      <c r="A251" s="649">
        <v>506498</v>
      </c>
      <c r="B251" s="650" t="s">
        <v>2071</v>
      </c>
      <c r="C251" s="651">
        <v>2770.62</v>
      </c>
      <c r="D251" s="651">
        <v>-14945.76</v>
      </c>
      <c r="E251" s="652">
        <v>-62569.87</v>
      </c>
    </row>
    <row r="252" spans="1:5" ht="14.5">
      <c r="A252" s="649">
        <v>506499</v>
      </c>
      <c r="B252" s="650" t="s">
        <v>2072</v>
      </c>
      <c r="C252" s="651">
        <v>10992.3</v>
      </c>
      <c r="D252" s="651">
        <v>18925.73</v>
      </c>
      <c r="E252" s="652">
        <v>23859.35</v>
      </c>
    </row>
    <row r="253" spans="1:5" ht="14.5">
      <c r="A253" s="649">
        <v>506735</v>
      </c>
      <c r="B253" s="650" t="s">
        <v>2073</v>
      </c>
      <c r="C253" s="651">
        <v>-3470</v>
      </c>
      <c r="D253" s="651">
        <v>-7710</v>
      </c>
      <c r="E253" s="652">
        <v>-8171662.1900000004</v>
      </c>
    </row>
    <row r="254" spans="1:5" ht="14.5">
      <c r="A254" s="649">
        <v>506740</v>
      </c>
      <c r="B254" s="650" t="s">
        <v>2074</v>
      </c>
      <c r="C254" s="651">
        <v>-97660</v>
      </c>
      <c r="D254" s="651">
        <v>-251730</v>
      </c>
      <c r="E254" s="652">
        <v>-1194430</v>
      </c>
    </row>
    <row r="255" spans="1:5" ht="14.5">
      <c r="A255" s="649">
        <v>506744</v>
      </c>
      <c r="B255" s="650" t="s">
        <v>2075</v>
      </c>
      <c r="C255" s="651">
        <v>0</v>
      </c>
      <c r="D255" s="651">
        <v>0</v>
      </c>
      <c r="E255" s="652">
        <v>-35480</v>
      </c>
    </row>
    <row r="256" spans="1:5" ht="14.5">
      <c r="A256" s="649">
        <v>506745</v>
      </c>
      <c r="B256" s="650" t="s">
        <v>2076</v>
      </c>
      <c r="C256" s="651">
        <v>-40826</v>
      </c>
      <c r="D256" s="651">
        <v>-99488</v>
      </c>
      <c r="E256" s="652">
        <v>-202028.86</v>
      </c>
    </row>
    <row r="257" spans="1:5" ht="14.5">
      <c r="A257" s="649">
        <v>506746</v>
      </c>
      <c r="B257" s="650" t="s">
        <v>2077</v>
      </c>
      <c r="C257" s="651">
        <v>-1102776.26</v>
      </c>
      <c r="D257" s="651">
        <v>-2645664.39</v>
      </c>
      <c r="E257" s="652">
        <v>-9891733.8000000007</v>
      </c>
    </row>
    <row r="258" spans="1:5" ht="14.5">
      <c r="A258" s="649">
        <v>506747</v>
      </c>
      <c r="B258" s="650" t="s">
        <v>2078</v>
      </c>
      <c r="C258" s="651">
        <v>-117471.51</v>
      </c>
      <c r="D258" s="651">
        <v>-323026.77</v>
      </c>
      <c r="E258" s="652">
        <v>-1138199.1299999999</v>
      </c>
    </row>
    <row r="259" spans="1:5" ht="14.5">
      <c r="A259" s="649">
        <v>506748</v>
      </c>
      <c r="B259" s="650" t="s">
        <v>2079</v>
      </c>
      <c r="C259" s="651">
        <v>-109836.75</v>
      </c>
      <c r="D259" s="651">
        <v>-346433.1</v>
      </c>
      <c r="E259" s="652">
        <v>-1363158.07</v>
      </c>
    </row>
    <row r="260" spans="1:5" ht="14.5">
      <c r="A260" s="649">
        <v>506760</v>
      </c>
      <c r="B260" s="650" t="s">
        <v>2080</v>
      </c>
      <c r="C260" s="651">
        <v>-21805</v>
      </c>
      <c r="D260" s="651">
        <v>-115580</v>
      </c>
      <c r="E260" s="652">
        <v>-412845</v>
      </c>
    </row>
    <row r="261" spans="1:5" ht="14.5">
      <c r="A261" s="649">
        <v>506775</v>
      </c>
      <c r="B261" s="650" t="s">
        <v>2081</v>
      </c>
      <c r="C261" s="651">
        <v>-2257461</v>
      </c>
      <c r="D261" s="651">
        <v>-4708400</v>
      </c>
      <c r="E261" s="652">
        <v>-8879340</v>
      </c>
    </row>
    <row r="262" spans="1:5" ht="14.5">
      <c r="A262" s="649">
        <v>506800</v>
      </c>
      <c r="B262" s="650" t="s">
        <v>2082</v>
      </c>
      <c r="C262" s="651">
        <v>-152625</v>
      </c>
      <c r="D262" s="651">
        <v>-366060</v>
      </c>
      <c r="E262" s="652">
        <v>-2141340</v>
      </c>
    </row>
    <row r="263" spans="1:5" ht="14.5">
      <c r="A263" s="649">
        <v>506801</v>
      </c>
      <c r="B263" s="650" t="s">
        <v>2083</v>
      </c>
      <c r="C263" s="651">
        <v>-11175</v>
      </c>
      <c r="D263" s="651">
        <v>-24810</v>
      </c>
      <c r="E263" s="652">
        <v>-62415</v>
      </c>
    </row>
    <row r="264" spans="1:5" ht="14.5">
      <c r="A264" s="649">
        <v>506802</v>
      </c>
      <c r="B264" s="650" t="s">
        <v>2084</v>
      </c>
      <c r="C264" s="651">
        <v>-52.02</v>
      </c>
      <c r="D264" s="651">
        <v>-204.06</v>
      </c>
      <c r="E264" s="652">
        <v>-16625.96</v>
      </c>
    </row>
    <row r="265" spans="1:5" ht="14.5">
      <c r="A265" s="649">
        <v>506825</v>
      </c>
      <c r="B265" s="650" t="s">
        <v>2085</v>
      </c>
      <c r="C265" s="651">
        <v>-701048</v>
      </c>
      <c r="D265" s="651">
        <v>-2243699</v>
      </c>
      <c r="E265" s="652">
        <v>-6056586.5</v>
      </c>
    </row>
    <row r="266" spans="1:5" ht="14.5">
      <c r="A266" s="649">
        <v>506880</v>
      </c>
      <c r="B266" s="650" t="s">
        <v>2086</v>
      </c>
      <c r="C266" s="651">
        <v>-230253</v>
      </c>
      <c r="D266" s="651">
        <v>-578026</v>
      </c>
      <c r="E266" s="652">
        <v>-1468046</v>
      </c>
    </row>
    <row r="267" spans="1:5" ht="14.5">
      <c r="A267" s="649">
        <v>506885</v>
      </c>
      <c r="B267" s="650" t="s">
        <v>2087</v>
      </c>
      <c r="C267" s="651">
        <v>-2160</v>
      </c>
      <c r="D267" s="651">
        <v>-5840</v>
      </c>
      <c r="E267" s="652">
        <v>-26400</v>
      </c>
    </row>
    <row r="268" spans="1:5" ht="14.5">
      <c r="A268" s="649">
        <v>506890</v>
      </c>
      <c r="B268" s="650" t="s">
        <v>2088</v>
      </c>
      <c r="C268" s="651">
        <v>-21824</v>
      </c>
      <c r="D268" s="651">
        <v>-71493.210000000006</v>
      </c>
      <c r="E268" s="652">
        <v>-175726.26</v>
      </c>
    </row>
    <row r="269" spans="1:5" ht="14.5">
      <c r="A269" s="649">
        <v>506895</v>
      </c>
      <c r="B269" s="650" t="s">
        <v>2089</v>
      </c>
      <c r="C269" s="651">
        <v>-684350</v>
      </c>
      <c r="D269" s="651">
        <v>-3060430</v>
      </c>
      <c r="E269" s="652">
        <v>-8381353</v>
      </c>
    </row>
    <row r="270" spans="1:5" ht="14.5">
      <c r="A270" s="649">
        <v>506900</v>
      </c>
      <c r="B270" s="650" t="s">
        <v>1102</v>
      </c>
      <c r="C270" s="651">
        <v>-2877895</v>
      </c>
      <c r="D270" s="651">
        <v>-5877860</v>
      </c>
      <c r="E270" s="652">
        <v>-34176033.399999999</v>
      </c>
    </row>
    <row r="271" spans="1:5" ht="14.5">
      <c r="A271" s="649">
        <v>506910</v>
      </c>
      <c r="B271" s="650" t="s">
        <v>2090</v>
      </c>
      <c r="C271" s="651">
        <v>-4818132.5</v>
      </c>
      <c r="D271" s="651">
        <v>-12155022.5</v>
      </c>
      <c r="E271" s="652">
        <v>-58450121.369999997</v>
      </c>
    </row>
    <row r="272" spans="1:5" ht="14.5">
      <c r="A272" s="649">
        <v>506915</v>
      </c>
      <c r="B272" s="650" t="s">
        <v>2091</v>
      </c>
      <c r="C272" s="651">
        <v>-184825</v>
      </c>
      <c r="D272" s="651">
        <v>-448815</v>
      </c>
      <c r="E272" s="652">
        <v>-1518120</v>
      </c>
    </row>
    <row r="273" spans="1:5" ht="14.5">
      <c r="A273" s="649">
        <v>506920</v>
      </c>
      <c r="B273" s="650" t="s">
        <v>2092</v>
      </c>
      <c r="C273" s="651">
        <v>-479077</v>
      </c>
      <c r="D273" s="651">
        <v>-1138646.21</v>
      </c>
      <c r="E273" s="652">
        <v>-5643254.46</v>
      </c>
    </row>
    <row r="274" spans="1:5" ht="14.5">
      <c r="A274" s="649">
        <v>506940</v>
      </c>
      <c r="B274" s="650" t="s">
        <v>2093</v>
      </c>
      <c r="C274" s="651">
        <v>-252934</v>
      </c>
      <c r="D274" s="651">
        <v>-1461317</v>
      </c>
      <c r="E274" s="652">
        <v>-7365457</v>
      </c>
    </row>
    <row r="275" spans="1:5" ht="14.5">
      <c r="A275" s="649">
        <v>507000</v>
      </c>
      <c r="B275" s="650" t="s">
        <v>1103</v>
      </c>
      <c r="C275" s="651">
        <v>-492287</v>
      </c>
      <c r="D275" s="651">
        <v>-1727916</v>
      </c>
      <c r="E275" s="652">
        <v>-6489027.6699999999</v>
      </c>
    </row>
    <row r="276" spans="1:5" ht="14.5">
      <c r="A276" s="649">
        <v>507210</v>
      </c>
      <c r="B276" s="650" t="s">
        <v>2094</v>
      </c>
      <c r="C276" s="651">
        <v>-667860</v>
      </c>
      <c r="D276" s="651">
        <v>-1139425</v>
      </c>
      <c r="E276" s="652">
        <v>-3011895</v>
      </c>
    </row>
    <row r="277" spans="1:5" ht="14.5">
      <c r="A277" s="649">
        <v>507211</v>
      </c>
      <c r="B277" s="650" t="s">
        <v>2095</v>
      </c>
      <c r="C277" s="651">
        <v>-377265</v>
      </c>
      <c r="D277" s="651">
        <v>-740350</v>
      </c>
      <c r="E277" s="652">
        <v>-1601265</v>
      </c>
    </row>
    <row r="278" spans="1:5" ht="14.5">
      <c r="A278" s="649">
        <v>507214</v>
      </c>
      <c r="B278" s="650" t="s">
        <v>2096</v>
      </c>
      <c r="C278" s="651">
        <v>0</v>
      </c>
      <c r="D278" s="651">
        <v>0</v>
      </c>
      <c r="E278" s="652">
        <v>-809.49</v>
      </c>
    </row>
    <row r="279" spans="1:5" ht="14.5">
      <c r="A279" s="649">
        <v>507217</v>
      </c>
      <c r="B279" s="650" t="s">
        <v>2097</v>
      </c>
      <c r="C279" s="651">
        <v>0</v>
      </c>
      <c r="D279" s="651">
        <v>0</v>
      </c>
      <c r="E279" s="652">
        <v>-18097.52</v>
      </c>
    </row>
    <row r="280" spans="1:5" ht="14.5">
      <c r="A280" s="649">
        <v>507220</v>
      </c>
      <c r="B280" s="650" t="s">
        <v>2098</v>
      </c>
      <c r="C280" s="651">
        <v>-440376</v>
      </c>
      <c r="D280" s="651">
        <v>-1348341.72</v>
      </c>
      <c r="E280" s="652">
        <v>-3767409.23</v>
      </c>
    </row>
    <row r="281" spans="1:5" ht="14.5">
      <c r="A281" s="649">
        <v>507221</v>
      </c>
      <c r="B281" s="650" t="s">
        <v>2099</v>
      </c>
      <c r="C281" s="651">
        <v>-473625</v>
      </c>
      <c r="D281" s="651">
        <v>-1030042.82</v>
      </c>
      <c r="E281" s="652">
        <v>-1825910.03</v>
      </c>
    </row>
    <row r="282" spans="1:5" ht="14.5">
      <c r="A282" s="649">
        <v>507222</v>
      </c>
      <c r="B282" s="650" t="s">
        <v>2100</v>
      </c>
      <c r="C282" s="651">
        <v>-169496</v>
      </c>
      <c r="D282" s="651">
        <v>-902856</v>
      </c>
      <c r="E282" s="652">
        <v>-7618619</v>
      </c>
    </row>
    <row r="283" spans="1:5" ht="14.5">
      <c r="A283" s="649">
        <v>507223</v>
      </c>
      <c r="B283" s="650" t="s">
        <v>2101</v>
      </c>
      <c r="C283" s="651">
        <v>-3794425</v>
      </c>
      <c r="D283" s="651">
        <v>-8078065</v>
      </c>
      <c r="E283" s="652">
        <v>-32473091.449999999</v>
      </c>
    </row>
    <row r="284" spans="1:5" ht="14.5">
      <c r="A284" s="649">
        <v>507224</v>
      </c>
      <c r="B284" s="650" t="s">
        <v>2102</v>
      </c>
      <c r="C284" s="651">
        <v>-5100450</v>
      </c>
      <c r="D284" s="651">
        <v>-13076695</v>
      </c>
      <c r="E284" s="652">
        <v>-44450688.380000003</v>
      </c>
    </row>
    <row r="285" spans="1:5" ht="14.5">
      <c r="A285" s="649">
        <v>507400</v>
      </c>
      <c r="B285" s="650" t="s">
        <v>2103</v>
      </c>
      <c r="C285" s="651">
        <v>-631565.52</v>
      </c>
      <c r="D285" s="651">
        <v>-1736290.77</v>
      </c>
      <c r="E285" s="652">
        <v>-6737660.1100000003</v>
      </c>
    </row>
    <row r="286" spans="1:5" ht="14.5">
      <c r="A286" s="649">
        <v>510100</v>
      </c>
      <c r="B286" s="650" t="s">
        <v>2104</v>
      </c>
      <c r="C286" s="651">
        <v>0</v>
      </c>
      <c r="D286" s="651">
        <v>-80000</v>
      </c>
      <c r="E286" s="652">
        <v>-272000</v>
      </c>
    </row>
    <row r="287" spans="1:5" ht="14.5">
      <c r="A287" s="649">
        <v>510106</v>
      </c>
      <c r="B287" s="650" t="s">
        <v>2105</v>
      </c>
      <c r="C287" s="651">
        <v>0</v>
      </c>
      <c r="D287" s="651">
        <v>0</v>
      </c>
      <c r="E287" s="652">
        <v>-20000</v>
      </c>
    </row>
    <row r="288" spans="1:5" ht="14.5">
      <c r="A288" s="649">
        <v>510109</v>
      </c>
      <c r="B288" s="650" t="s">
        <v>2106</v>
      </c>
      <c r="C288" s="651">
        <v>0</v>
      </c>
      <c r="D288" s="651">
        <v>0</v>
      </c>
      <c r="E288" s="652">
        <v>-40000</v>
      </c>
    </row>
    <row r="289" spans="1:5" ht="14.5">
      <c r="A289" s="649">
        <v>510200</v>
      </c>
      <c r="B289" s="650" t="s">
        <v>2107</v>
      </c>
      <c r="C289" s="651">
        <v>0</v>
      </c>
      <c r="D289" s="651">
        <v>-60000</v>
      </c>
      <c r="E289" s="652">
        <v>-231600</v>
      </c>
    </row>
    <row r="290" spans="1:5" ht="14.5">
      <c r="A290" s="649">
        <v>510250</v>
      </c>
      <c r="B290" s="650" t="s">
        <v>2108</v>
      </c>
      <c r="C290" s="651">
        <v>0</v>
      </c>
      <c r="D290" s="651">
        <v>-25000</v>
      </c>
      <c r="E290" s="652">
        <v>-65000</v>
      </c>
    </row>
    <row r="291" spans="1:5" ht="14.5">
      <c r="A291" s="649">
        <v>510275</v>
      </c>
      <c r="B291" s="650" t="s">
        <v>2109</v>
      </c>
      <c r="C291" s="651">
        <v>0</v>
      </c>
      <c r="D291" s="651">
        <v>0</v>
      </c>
      <c r="E291" s="652">
        <v>-16431.73</v>
      </c>
    </row>
    <row r="292" spans="1:5" ht="14.5">
      <c r="A292" s="649">
        <v>510300</v>
      </c>
      <c r="B292" s="650" t="s">
        <v>2110</v>
      </c>
      <c r="C292" s="651">
        <v>-22721</v>
      </c>
      <c r="D292" s="651">
        <v>-70221</v>
      </c>
      <c r="E292" s="652">
        <v>-130221</v>
      </c>
    </row>
    <row r="293" spans="1:5" ht="14.5">
      <c r="A293" s="649">
        <v>510325</v>
      </c>
      <c r="B293" s="650" t="s">
        <v>2111</v>
      </c>
      <c r="C293" s="651">
        <v>-18750</v>
      </c>
      <c r="D293" s="651">
        <v>-51849</v>
      </c>
      <c r="E293" s="652">
        <v>-1135222.1499999999</v>
      </c>
    </row>
    <row r="294" spans="1:5" ht="14.5">
      <c r="A294" s="649">
        <v>510350</v>
      </c>
      <c r="B294" s="650" t="s">
        <v>2112</v>
      </c>
      <c r="C294" s="651">
        <v>0</v>
      </c>
      <c r="D294" s="651">
        <v>0</v>
      </c>
      <c r="E294" s="652">
        <v>-207433</v>
      </c>
    </row>
    <row r="295" spans="1:5" ht="14.5">
      <c r="A295" s="649">
        <v>510400</v>
      </c>
      <c r="B295" s="650" t="s">
        <v>2113</v>
      </c>
      <c r="C295" s="651">
        <v>0</v>
      </c>
      <c r="D295" s="651">
        <v>-10000</v>
      </c>
      <c r="E295" s="652">
        <v>-10000</v>
      </c>
    </row>
    <row r="296" spans="1:5" ht="14.5">
      <c r="A296" s="649">
        <v>521100</v>
      </c>
      <c r="B296" s="650" t="s">
        <v>1107</v>
      </c>
      <c r="C296" s="651">
        <v>203528.17</v>
      </c>
      <c r="D296" s="651">
        <v>334807.44</v>
      </c>
      <c r="E296" s="652">
        <v>1407104.4</v>
      </c>
    </row>
    <row r="297" spans="1:5" ht="14.5">
      <c r="A297" s="649">
        <v>521101</v>
      </c>
      <c r="B297" s="650" t="s">
        <v>2114</v>
      </c>
      <c r="C297" s="651">
        <v>-597.25</v>
      </c>
      <c r="D297" s="651">
        <v>-2509.81</v>
      </c>
      <c r="E297" s="652">
        <v>254178.45</v>
      </c>
    </row>
    <row r="298" spans="1:5" ht="14.5">
      <c r="A298" s="649">
        <v>521120</v>
      </c>
      <c r="B298" s="650" t="s">
        <v>1108</v>
      </c>
      <c r="C298" s="651">
        <v>0</v>
      </c>
      <c r="D298" s="651">
        <v>0</v>
      </c>
      <c r="E298" s="652">
        <v>273138.59999999998</v>
      </c>
    </row>
    <row r="299" spans="1:5" ht="14.5">
      <c r="A299" s="649">
        <v>521400</v>
      </c>
      <c r="B299" s="650" t="s">
        <v>1468</v>
      </c>
      <c r="C299" s="651">
        <v>964779.35</v>
      </c>
      <c r="D299" s="651">
        <v>964779.35</v>
      </c>
      <c r="E299" s="652">
        <v>964779.35</v>
      </c>
    </row>
    <row r="300" spans="1:5" ht="14.5">
      <c r="A300" s="649">
        <v>521500</v>
      </c>
      <c r="B300" s="650" t="s">
        <v>1109</v>
      </c>
      <c r="C300" s="651">
        <v>42007.12</v>
      </c>
      <c r="D300" s="651">
        <v>82146.679999999993</v>
      </c>
      <c r="E300" s="652">
        <v>188413.13</v>
      </c>
    </row>
    <row r="301" spans="1:5" ht="14.5">
      <c r="A301" s="649">
        <v>521700</v>
      </c>
      <c r="B301" s="650" t="s">
        <v>2115</v>
      </c>
      <c r="C301" s="651">
        <v>7048.4</v>
      </c>
      <c r="D301" s="651">
        <v>33828.550000000003</v>
      </c>
      <c r="E301" s="652">
        <v>8140.04</v>
      </c>
    </row>
    <row r="302" spans="1:5" ht="14.5">
      <c r="A302" s="649">
        <v>521800</v>
      </c>
      <c r="B302" s="650" t="s">
        <v>1469</v>
      </c>
      <c r="C302" s="651">
        <v>0</v>
      </c>
      <c r="D302" s="651">
        <v>0</v>
      </c>
      <c r="E302" s="652">
        <v>196.19</v>
      </c>
    </row>
    <row r="303" spans="1:5" ht="14.5">
      <c r="A303" s="649">
        <v>540000</v>
      </c>
      <c r="B303" s="650" t="s">
        <v>2116</v>
      </c>
      <c r="C303" s="651">
        <v>-28466.28</v>
      </c>
      <c r="D303" s="651">
        <v>-84820.86</v>
      </c>
      <c r="E303" s="652">
        <v>-227935.12</v>
      </c>
    </row>
    <row r="304" spans="1:5" ht="14.5">
      <c r="A304" s="649">
        <v>540050</v>
      </c>
      <c r="B304" s="650" t="s">
        <v>2117</v>
      </c>
      <c r="C304" s="651">
        <v>-13252.54</v>
      </c>
      <c r="D304" s="651">
        <v>-37439.199999999997</v>
      </c>
      <c r="E304" s="652">
        <v>-163474.06</v>
      </c>
    </row>
    <row r="305" spans="1:5" ht="14.5">
      <c r="A305" s="649">
        <v>601100</v>
      </c>
      <c r="B305" s="650" t="s">
        <v>1111</v>
      </c>
      <c r="C305" s="651">
        <v>1674873.72</v>
      </c>
      <c r="D305" s="651">
        <v>4437074</v>
      </c>
      <c r="E305" s="652">
        <v>16097875.93</v>
      </c>
    </row>
    <row r="306" spans="1:5" ht="14.5">
      <c r="A306" s="649">
        <v>601110</v>
      </c>
      <c r="B306" s="650" t="s">
        <v>1112</v>
      </c>
      <c r="C306" s="651">
        <v>12473.06</v>
      </c>
      <c r="D306" s="651">
        <v>124668.34</v>
      </c>
      <c r="E306" s="652">
        <v>609669.88</v>
      </c>
    </row>
    <row r="307" spans="1:5" ht="14.5">
      <c r="A307" s="649">
        <v>601710</v>
      </c>
      <c r="B307" s="650" t="s">
        <v>1113</v>
      </c>
      <c r="C307" s="651">
        <v>6248.08</v>
      </c>
      <c r="D307" s="651">
        <v>142009.17000000001</v>
      </c>
      <c r="E307" s="652">
        <v>704789.95</v>
      </c>
    </row>
    <row r="308" spans="1:5" ht="14.5">
      <c r="A308" s="649">
        <v>604000</v>
      </c>
      <c r="B308" s="650" t="s">
        <v>1114</v>
      </c>
      <c r="C308" s="651">
        <v>534943.64</v>
      </c>
      <c r="D308" s="651">
        <v>1569955.17</v>
      </c>
      <c r="E308" s="652">
        <v>6056207.1699999999</v>
      </c>
    </row>
    <row r="309" spans="1:5" ht="14.5">
      <c r="A309" s="649">
        <v>604100</v>
      </c>
      <c r="B309" s="650" t="s">
        <v>1115</v>
      </c>
      <c r="C309" s="651">
        <v>34407.980000000003</v>
      </c>
      <c r="D309" s="651">
        <v>83512.61</v>
      </c>
      <c r="E309" s="652">
        <v>218484.27</v>
      </c>
    </row>
    <row r="310" spans="1:5" ht="14.5">
      <c r="A310" s="649">
        <v>604500</v>
      </c>
      <c r="B310" s="650" t="s">
        <v>2118</v>
      </c>
      <c r="C310" s="651">
        <v>10481.58</v>
      </c>
      <c r="D310" s="651">
        <v>38285.129999999997</v>
      </c>
      <c r="E310" s="652">
        <v>117582.18</v>
      </c>
    </row>
    <row r="311" spans="1:5" ht="14.5">
      <c r="A311" s="649">
        <v>605000</v>
      </c>
      <c r="B311" s="650" t="s">
        <v>2119</v>
      </c>
      <c r="C311" s="651">
        <v>2410095.58</v>
      </c>
      <c r="D311" s="651">
        <v>6543140.25</v>
      </c>
      <c r="E311" s="652">
        <v>24372125.41</v>
      </c>
    </row>
    <row r="312" spans="1:5" ht="14.5">
      <c r="A312" s="649">
        <v>605005</v>
      </c>
      <c r="B312" s="650" t="s">
        <v>2120</v>
      </c>
      <c r="C312" s="651">
        <v>57142.67</v>
      </c>
      <c r="D312" s="651">
        <v>117404.76</v>
      </c>
      <c r="E312" s="652">
        <v>297135.38</v>
      </c>
    </row>
    <row r="313" spans="1:5" ht="14.5">
      <c r="A313" s="649">
        <v>605010</v>
      </c>
      <c r="B313" s="650" t="s">
        <v>2121</v>
      </c>
      <c r="C313" s="651">
        <v>581.75</v>
      </c>
      <c r="D313" s="651">
        <v>3864.79</v>
      </c>
      <c r="E313" s="652">
        <v>13204.46</v>
      </c>
    </row>
    <row r="314" spans="1:5" ht="14.5">
      <c r="A314" s="649">
        <v>605500</v>
      </c>
      <c r="B314" s="650" t="s">
        <v>2122</v>
      </c>
      <c r="C314" s="651">
        <v>271823.61</v>
      </c>
      <c r="D314" s="651">
        <v>467692.15</v>
      </c>
      <c r="E314" s="652">
        <v>1050670.73</v>
      </c>
    </row>
    <row r="315" spans="1:5" ht="14.5">
      <c r="A315" s="649">
        <v>605550</v>
      </c>
      <c r="B315" s="650" t="s">
        <v>2123</v>
      </c>
      <c r="C315" s="651">
        <v>255200.84</v>
      </c>
      <c r="D315" s="651">
        <v>481847.5</v>
      </c>
      <c r="E315" s="652">
        <v>1226024.71</v>
      </c>
    </row>
    <row r="316" spans="1:5" ht="14.5">
      <c r="A316" s="649">
        <v>606000</v>
      </c>
      <c r="B316" s="650" t="s">
        <v>2124</v>
      </c>
      <c r="C316" s="651">
        <v>5610.56</v>
      </c>
      <c r="D316" s="651">
        <v>31028.2</v>
      </c>
      <c r="E316" s="652">
        <v>192505.29</v>
      </c>
    </row>
    <row r="317" spans="1:5" ht="14.5">
      <c r="A317" s="649">
        <v>607250</v>
      </c>
      <c r="B317" s="650" t="s">
        <v>2125</v>
      </c>
      <c r="C317" s="651">
        <v>227.97</v>
      </c>
      <c r="D317" s="651">
        <v>582.73</v>
      </c>
      <c r="E317" s="652">
        <v>6501.37</v>
      </c>
    </row>
    <row r="318" spans="1:5" ht="14.5">
      <c r="A318" s="649">
        <v>608500</v>
      </c>
      <c r="B318" s="650" t="s">
        <v>2126</v>
      </c>
      <c r="C318" s="651">
        <v>291193.94</v>
      </c>
      <c r="D318" s="651">
        <v>899028.15</v>
      </c>
      <c r="E318" s="652">
        <v>3364544.2</v>
      </c>
    </row>
    <row r="319" spans="1:5" ht="14.5">
      <c r="A319" s="649">
        <v>608510</v>
      </c>
      <c r="B319" s="650" t="s">
        <v>2127</v>
      </c>
      <c r="C319" s="651">
        <v>196255.56</v>
      </c>
      <c r="D319" s="651">
        <v>271751.28999999998</v>
      </c>
      <c r="E319" s="652">
        <v>1055251.79</v>
      </c>
    </row>
    <row r="320" spans="1:5" ht="14.5">
      <c r="A320" s="649">
        <v>608520</v>
      </c>
      <c r="B320" s="650" t="s">
        <v>2128</v>
      </c>
      <c r="C320" s="651">
        <v>0</v>
      </c>
      <c r="D320" s="651">
        <v>0</v>
      </c>
      <c r="E320" s="652">
        <v>-22552.83</v>
      </c>
    </row>
    <row r="321" spans="1:5" ht="14.5">
      <c r="A321" s="649">
        <v>608600</v>
      </c>
      <c r="B321" s="650" t="s">
        <v>2129</v>
      </c>
      <c r="C321" s="651">
        <v>60316.92</v>
      </c>
      <c r="D321" s="651">
        <v>171565.31</v>
      </c>
      <c r="E321" s="652">
        <v>718219.76</v>
      </c>
    </row>
    <row r="322" spans="1:5" ht="14.5">
      <c r="A322" s="649">
        <v>608610</v>
      </c>
      <c r="B322" s="650" t="s">
        <v>2130</v>
      </c>
      <c r="C322" s="651">
        <v>36406</v>
      </c>
      <c r="D322" s="651">
        <v>45883.05</v>
      </c>
      <c r="E322" s="652">
        <v>81581.05</v>
      </c>
    </row>
    <row r="323" spans="1:5" ht="14.5">
      <c r="A323" s="649">
        <v>608800</v>
      </c>
      <c r="B323" s="650" t="s">
        <v>2131</v>
      </c>
      <c r="C323" s="651">
        <v>1316543.69</v>
      </c>
      <c r="D323" s="651">
        <v>3691007.6</v>
      </c>
      <c r="E323" s="652">
        <v>13654972.77</v>
      </c>
    </row>
    <row r="324" spans="1:5" ht="14.5">
      <c r="A324" s="649">
        <v>608805</v>
      </c>
      <c r="B324" s="650" t="s">
        <v>2132</v>
      </c>
      <c r="C324" s="651">
        <v>27985.1</v>
      </c>
      <c r="D324" s="651">
        <v>55394.73</v>
      </c>
      <c r="E324" s="652">
        <v>143486.54</v>
      </c>
    </row>
    <row r="325" spans="1:5" ht="14.5">
      <c r="A325" s="649">
        <v>608810</v>
      </c>
      <c r="B325" s="650" t="s">
        <v>2133</v>
      </c>
      <c r="C325" s="651">
        <v>446398.77</v>
      </c>
      <c r="D325" s="651">
        <v>799760.53</v>
      </c>
      <c r="E325" s="652">
        <v>2801920.18</v>
      </c>
    </row>
    <row r="326" spans="1:5" ht="14.5">
      <c r="A326" s="649">
        <v>608820</v>
      </c>
      <c r="B326" s="650" t="s">
        <v>2134</v>
      </c>
      <c r="C326" s="651">
        <v>672576.5</v>
      </c>
      <c r="D326" s="651">
        <v>1837835.46</v>
      </c>
      <c r="E326" s="652">
        <v>6572276.5899999999</v>
      </c>
    </row>
    <row r="327" spans="1:5" ht="14.5">
      <c r="A327" s="649">
        <v>608900</v>
      </c>
      <c r="B327" s="650" t="s">
        <v>2135</v>
      </c>
      <c r="C327" s="651">
        <v>200053.64</v>
      </c>
      <c r="D327" s="651">
        <v>409733.74</v>
      </c>
      <c r="E327" s="652">
        <v>1303495.05</v>
      </c>
    </row>
    <row r="328" spans="1:5" ht="14.5">
      <c r="A328" s="649">
        <v>609000</v>
      </c>
      <c r="B328" s="650" t="s">
        <v>1118</v>
      </c>
      <c r="C328" s="651">
        <v>738865.83</v>
      </c>
      <c r="D328" s="651">
        <v>1941866.88</v>
      </c>
      <c r="E328" s="652">
        <v>7369147.9299999997</v>
      </c>
    </row>
    <row r="329" spans="1:5" ht="14.5">
      <c r="A329" s="649">
        <v>609300</v>
      </c>
      <c r="B329" s="650" t="s">
        <v>2136</v>
      </c>
      <c r="C329" s="651">
        <v>40710.410000000003</v>
      </c>
      <c r="D329" s="651">
        <v>293392.83</v>
      </c>
      <c r="E329" s="652">
        <v>1092566.96</v>
      </c>
    </row>
    <row r="330" spans="1:5" ht="14.5">
      <c r="A330" s="649">
        <v>609500</v>
      </c>
      <c r="B330" s="650" t="s">
        <v>1119</v>
      </c>
      <c r="C330" s="651">
        <v>277249.21999999997</v>
      </c>
      <c r="D330" s="651">
        <v>806085.66</v>
      </c>
      <c r="E330" s="652">
        <v>3218069.85</v>
      </c>
    </row>
    <row r="331" spans="1:5" ht="14.5">
      <c r="A331" s="649">
        <v>609600</v>
      </c>
      <c r="B331" s="650" t="s">
        <v>1169</v>
      </c>
      <c r="C331" s="651">
        <v>44260.93</v>
      </c>
      <c r="D331" s="651">
        <v>73219.86</v>
      </c>
      <c r="E331" s="652">
        <v>354818.66</v>
      </c>
    </row>
    <row r="332" spans="1:5" ht="14.5">
      <c r="A332" s="649">
        <v>610000</v>
      </c>
      <c r="B332" s="650" t="s">
        <v>1116</v>
      </c>
      <c r="C332" s="651">
        <v>8231.5499999999993</v>
      </c>
      <c r="D332" s="651">
        <v>19267.18</v>
      </c>
      <c r="E332" s="652">
        <v>86640.91</v>
      </c>
    </row>
    <row r="333" spans="1:5" ht="14.5">
      <c r="A333" s="649">
        <v>680400</v>
      </c>
      <c r="B333" s="650" t="s">
        <v>1117</v>
      </c>
      <c r="C333" s="651">
        <v>-247.44</v>
      </c>
      <c r="D333" s="651">
        <v>8340.93</v>
      </c>
      <c r="E333" s="652">
        <v>-7158.43</v>
      </c>
    </row>
    <row r="334" spans="1:5" ht="14.5">
      <c r="A334" s="649">
        <v>701100</v>
      </c>
      <c r="B334" s="650" t="s">
        <v>1470</v>
      </c>
      <c r="C334" s="651">
        <v>24640.78</v>
      </c>
      <c r="D334" s="651">
        <v>73922.34</v>
      </c>
      <c r="E334" s="652">
        <v>276612.44</v>
      </c>
    </row>
    <row r="335" spans="1:5" ht="14.5">
      <c r="A335" s="649">
        <v>701200</v>
      </c>
      <c r="B335" s="650" t="s">
        <v>2137</v>
      </c>
      <c r="C335" s="651">
        <v>0</v>
      </c>
      <c r="D335" s="651">
        <v>512474.71</v>
      </c>
      <c r="E335" s="652">
        <v>3117187.5</v>
      </c>
    </row>
    <row r="336" spans="1:5" ht="14.5">
      <c r="A336" s="649">
        <v>702100</v>
      </c>
      <c r="B336" s="650" t="s">
        <v>2138</v>
      </c>
      <c r="C336" s="651">
        <v>358.58</v>
      </c>
      <c r="D336" s="651">
        <v>1324.57</v>
      </c>
      <c r="E336" s="652">
        <v>3954.37</v>
      </c>
    </row>
    <row r="337" spans="1:5" ht="14.5">
      <c r="A337" s="649">
        <v>730100</v>
      </c>
      <c r="B337" s="650" t="s">
        <v>1135</v>
      </c>
      <c r="C337" s="651">
        <v>7101.56</v>
      </c>
      <c r="D337" s="651">
        <v>42828.28</v>
      </c>
      <c r="E337" s="652">
        <v>245930.64</v>
      </c>
    </row>
    <row r="338" spans="1:5" ht="14.5">
      <c r="A338" s="649">
        <v>730125</v>
      </c>
      <c r="B338" s="650" t="s">
        <v>2139</v>
      </c>
      <c r="C338" s="651">
        <v>-66063.73</v>
      </c>
      <c r="D338" s="651">
        <v>-77259.210000000006</v>
      </c>
      <c r="E338" s="652">
        <v>-143483.19</v>
      </c>
    </row>
    <row r="339" spans="1:5" ht="14.5">
      <c r="A339" s="649">
        <v>730150</v>
      </c>
      <c r="B339" s="650" t="s">
        <v>2140</v>
      </c>
      <c r="C339" s="651">
        <v>254272.32</v>
      </c>
      <c r="D339" s="651">
        <v>472329.55</v>
      </c>
      <c r="E339" s="652">
        <v>1532582.23</v>
      </c>
    </row>
    <row r="340" spans="1:5" ht="14.5">
      <c r="A340" s="649">
        <v>730600</v>
      </c>
      <c r="B340" s="650" t="s">
        <v>2141</v>
      </c>
      <c r="C340" s="651">
        <v>0</v>
      </c>
      <c r="D340" s="651">
        <v>0</v>
      </c>
      <c r="E340" s="652">
        <v>495.75</v>
      </c>
    </row>
    <row r="341" spans="1:5" ht="14.5">
      <c r="A341" s="649">
        <v>741100</v>
      </c>
      <c r="B341" s="650" t="s">
        <v>1122</v>
      </c>
      <c r="C341" s="651">
        <v>75322.27</v>
      </c>
      <c r="D341" s="651">
        <v>184887.1</v>
      </c>
      <c r="E341" s="652">
        <v>694649.66</v>
      </c>
    </row>
    <row r="342" spans="1:5" ht="14.5">
      <c r="A342" s="649">
        <v>741125</v>
      </c>
      <c r="B342" s="650" t="s">
        <v>2142</v>
      </c>
      <c r="C342" s="651">
        <v>36378.78</v>
      </c>
      <c r="D342" s="651">
        <v>96142.34</v>
      </c>
      <c r="E342" s="652">
        <v>342277.88</v>
      </c>
    </row>
    <row r="343" spans="1:5" ht="14.5">
      <c r="A343" s="649">
        <v>741150</v>
      </c>
      <c r="B343" s="650" t="s">
        <v>2143</v>
      </c>
      <c r="C343" s="651">
        <v>350</v>
      </c>
      <c r="D343" s="651">
        <v>1050</v>
      </c>
      <c r="E343" s="652">
        <v>2523</v>
      </c>
    </row>
    <row r="344" spans="1:5" ht="14.5">
      <c r="A344" s="649">
        <v>741200</v>
      </c>
      <c r="B344" s="650" t="s">
        <v>1127</v>
      </c>
      <c r="C344" s="651">
        <v>0</v>
      </c>
      <c r="D344" s="651">
        <v>0</v>
      </c>
      <c r="E344" s="652">
        <v>6630.99</v>
      </c>
    </row>
    <row r="345" spans="1:5" ht="14.5">
      <c r="A345" s="649">
        <v>741300</v>
      </c>
      <c r="B345" s="650" t="s">
        <v>1132</v>
      </c>
      <c r="C345" s="651">
        <v>2386.5700000000002</v>
      </c>
      <c r="D345" s="651">
        <v>7597.32</v>
      </c>
      <c r="E345" s="652">
        <v>35628.28</v>
      </c>
    </row>
    <row r="346" spans="1:5" ht="14.5">
      <c r="A346" s="649">
        <v>741400</v>
      </c>
      <c r="B346" s="650" t="s">
        <v>1139</v>
      </c>
      <c r="C346" s="651">
        <v>25562.14</v>
      </c>
      <c r="D346" s="651">
        <v>67039.25</v>
      </c>
      <c r="E346" s="652">
        <v>271007.94</v>
      </c>
    </row>
    <row r="347" spans="1:5" ht="14.5">
      <c r="A347" s="649">
        <v>741500</v>
      </c>
      <c r="B347" s="650" t="s">
        <v>1140</v>
      </c>
      <c r="C347" s="651">
        <v>0</v>
      </c>
      <c r="D347" s="651">
        <v>0</v>
      </c>
      <c r="E347" s="652">
        <v>799.49</v>
      </c>
    </row>
    <row r="348" spans="1:5" ht="14.5">
      <c r="A348" s="649">
        <v>741550</v>
      </c>
      <c r="B348" s="650" t="s">
        <v>2144</v>
      </c>
      <c r="C348" s="651">
        <v>817.35</v>
      </c>
      <c r="D348" s="651">
        <v>3014.07</v>
      </c>
      <c r="E348" s="652">
        <v>11579.86</v>
      </c>
    </row>
    <row r="349" spans="1:5" ht="14.5">
      <c r="A349" s="649">
        <v>741600</v>
      </c>
      <c r="B349" s="650" t="s">
        <v>1141</v>
      </c>
      <c r="C349" s="651">
        <v>200</v>
      </c>
      <c r="D349" s="651">
        <v>812.6</v>
      </c>
      <c r="E349" s="652">
        <v>320440.55</v>
      </c>
    </row>
    <row r="350" spans="1:5" ht="14.5">
      <c r="A350" s="649">
        <v>741700</v>
      </c>
      <c r="B350" s="650" t="s">
        <v>1154</v>
      </c>
      <c r="C350" s="651">
        <v>3592.69</v>
      </c>
      <c r="D350" s="651">
        <v>10289.5</v>
      </c>
      <c r="E350" s="652">
        <v>41745.18</v>
      </c>
    </row>
    <row r="351" spans="1:5" ht="14.5">
      <c r="A351" s="649">
        <v>741800</v>
      </c>
      <c r="B351" s="650" t="s">
        <v>1471</v>
      </c>
      <c r="C351" s="651">
        <v>83248.11</v>
      </c>
      <c r="D351" s="651">
        <v>255817.01</v>
      </c>
      <c r="E351" s="652">
        <v>948737.53</v>
      </c>
    </row>
    <row r="352" spans="1:5" ht="14.5">
      <c r="A352" s="649">
        <v>741810</v>
      </c>
      <c r="B352" s="650" t="s">
        <v>1170</v>
      </c>
      <c r="C352" s="651">
        <v>54418.87</v>
      </c>
      <c r="D352" s="651">
        <v>190564.52</v>
      </c>
      <c r="E352" s="652">
        <v>721609.54</v>
      </c>
    </row>
    <row r="353" spans="1:5" ht="14.5">
      <c r="A353" s="649">
        <v>741900</v>
      </c>
      <c r="B353" s="650" t="s">
        <v>2145</v>
      </c>
      <c r="C353" s="651">
        <v>900</v>
      </c>
      <c r="D353" s="651">
        <v>32471.07</v>
      </c>
      <c r="E353" s="652">
        <v>47103.75</v>
      </c>
    </row>
    <row r="354" spans="1:5" ht="14.5">
      <c r="A354" s="649">
        <v>750100</v>
      </c>
      <c r="B354" s="650" t="s">
        <v>1136</v>
      </c>
      <c r="C354" s="651">
        <v>0</v>
      </c>
      <c r="D354" s="651">
        <v>0</v>
      </c>
      <c r="E354" s="652">
        <v>12.5</v>
      </c>
    </row>
    <row r="355" spans="1:5" ht="14.5">
      <c r="A355" s="649">
        <v>750200</v>
      </c>
      <c r="B355" s="650" t="s">
        <v>1138</v>
      </c>
      <c r="C355" s="651">
        <v>17165.5</v>
      </c>
      <c r="D355" s="651">
        <v>67468.399999999994</v>
      </c>
      <c r="E355" s="652">
        <v>185333.82</v>
      </c>
    </row>
    <row r="356" spans="1:5" ht="14.5">
      <c r="A356" s="649">
        <v>750300</v>
      </c>
      <c r="B356" s="650" t="s">
        <v>1144</v>
      </c>
      <c r="C356" s="651">
        <v>1764.49</v>
      </c>
      <c r="D356" s="651">
        <v>3000.85</v>
      </c>
      <c r="E356" s="652">
        <v>8517.49</v>
      </c>
    </row>
    <row r="357" spans="1:5" ht="14.5">
      <c r="A357" s="649">
        <v>750400</v>
      </c>
      <c r="B357" s="650" t="s">
        <v>1145</v>
      </c>
      <c r="C357" s="651">
        <v>17351.34</v>
      </c>
      <c r="D357" s="651">
        <v>52745.66</v>
      </c>
      <c r="E357" s="652">
        <v>255683.51</v>
      </c>
    </row>
    <row r="358" spans="1:5" ht="14.5">
      <c r="A358" s="649">
        <v>750425</v>
      </c>
      <c r="B358" s="650" t="s">
        <v>2146</v>
      </c>
      <c r="C358" s="651">
        <v>0</v>
      </c>
      <c r="D358" s="651">
        <v>190.97</v>
      </c>
      <c r="E358" s="652">
        <v>0</v>
      </c>
    </row>
    <row r="359" spans="1:5" ht="14.5">
      <c r="A359" s="649">
        <v>750500</v>
      </c>
      <c r="B359" s="650" t="s">
        <v>1472</v>
      </c>
      <c r="C359" s="651">
        <v>5526.27</v>
      </c>
      <c r="D359" s="651">
        <v>16236.28</v>
      </c>
      <c r="E359" s="652">
        <v>58926.35</v>
      </c>
    </row>
    <row r="360" spans="1:5" ht="14.5">
      <c r="A360" s="649">
        <v>750600</v>
      </c>
      <c r="B360" s="650" t="s">
        <v>2147</v>
      </c>
      <c r="C360" s="651">
        <v>441.01</v>
      </c>
      <c r="D360" s="651">
        <v>2781</v>
      </c>
      <c r="E360" s="652">
        <v>2781</v>
      </c>
    </row>
    <row r="361" spans="1:5" ht="14.5">
      <c r="A361" s="649">
        <v>750610</v>
      </c>
      <c r="B361" s="650" t="s">
        <v>2148</v>
      </c>
      <c r="C361" s="651">
        <v>6140.27</v>
      </c>
      <c r="D361" s="651">
        <v>22853.22</v>
      </c>
      <c r="E361" s="652">
        <v>68236.14</v>
      </c>
    </row>
    <row r="362" spans="1:5" ht="14.5">
      <c r="A362" s="649">
        <v>750630</v>
      </c>
      <c r="B362" s="650" t="s">
        <v>2149</v>
      </c>
      <c r="C362" s="651">
        <v>0</v>
      </c>
      <c r="D362" s="651">
        <v>967.33</v>
      </c>
      <c r="E362" s="652">
        <v>1934.66</v>
      </c>
    </row>
    <row r="363" spans="1:5" ht="14.5">
      <c r="A363" s="649">
        <v>750640</v>
      </c>
      <c r="B363" s="650" t="s">
        <v>2150</v>
      </c>
      <c r="C363" s="651">
        <v>0</v>
      </c>
      <c r="D363" s="651">
        <v>0</v>
      </c>
      <c r="E363" s="652">
        <v>524.33000000000004</v>
      </c>
    </row>
    <row r="364" spans="1:5" ht="14.5">
      <c r="A364" s="649">
        <v>751100</v>
      </c>
      <c r="B364" s="650" t="s">
        <v>1151</v>
      </c>
      <c r="C364" s="651">
        <v>51606.1</v>
      </c>
      <c r="D364" s="651">
        <v>178212.26</v>
      </c>
      <c r="E364" s="652">
        <v>755551.95</v>
      </c>
    </row>
    <row r="365" spans="1:5" ht="14.5">
      <c r="A365" s="649">
        <v>751106</v>
      </c>
      <c r="B365" s="650" t="s">
        <v>2151</v>
      </c>
      <c r="C365" s="651">
        <v>63685.73</v>
      </c>
      <c r="D365" s="651">
        <v>189128.08</v>
      </c>
      <c r="E365" s="652">
        <v>659581.61</v>
      </c>
    </row>
    <row r="366" spans="1:5" ht="14.5">
      <c r="A366" s="649">
        <v>751107</v>
      </c>
      <c r="B366" s="650" t="s">
        <v>2152</v>
      </c>
      <c r="C366" s="651">
        <v>68805.77</v>
      </c>
      <c r="D366" s="651">
        <v>195721.42</v>
      </c>
      <c r="E366" s="652">
        <v>756567.37</v>
      </c>
    </row>
    <row r="367" spans="1:5" ht="14.5">
      <c r="A367" s="649">
        <v>751110</v>
      </c>
      <c r="B367" s="650" t="s">
        <v>1473</v>
      </c>
      <c r="C367" s="651">
        <v>0</v>
      </c>
      <c r="D367" s="651">
        <v>169.06</v>
      </c>
      <c r="E367" s="652">
        <v>720.1</v>
      </c>
    </row>
    <row r="368" spans="1:5" ht="14.5">
      <c r="A368" s="649">
        <v>751200</v>
      </c>
      <c r="B368" s="650" t="s">
        <v>1152</v>
      </c>
      <c r="C368" s="651">
        <v>10443.709999999999</v>
      </c>
      <c r="D368" s="651">
        <v>38929.08</v>
      </c>
      <c r="E368" s="652">
        <v>134506.53</v>
      </c>
    </row>
    <row r="369" spans="1:5" ht="14.5">
      <c r="A369" s="649">
        <v>751210</v>
      </c>
      <c r="B369" s="650" t="s">
        <v>1171</v>
      </c>
      <c r="C369" s="651">
        <v>26994.639999999999</v>
      </c>
      <c r="D369" s="651">
        <v>104222.8</v>
      </c>
      <c r="E369" s="652">
        <v>375577.74</v>
      </c>
    </row>
    <row r="370" spans="1:5" ht="14.5">
      <c r="A370" s="649">
        <v>751300</v>
      </c>
      <c r="B370" s="650" t="s">
        <v>1155</v>
      </c>
      <c r="C370" s="651">
        <v>199.84</v>
      </c>
      <c r="D370" s="651">
        <v>599.82000000000005</v>
      </c>
      <c r="E370" s="652">
        <v>1399.62</v>
      </c>
    </row>
    <row r="371" spans="1:5" ht="14.5">
      <c r="A371" s="649">
        <v>751400</v>
      </c>
      <c r="B371" s="650" t="s">
        <v>2153</v>
      </c>
      <c r="C371" s="651">
        <v>1702.76</v>
      </c>
      <c r="D371" s="651">
        <v>4338.1000000000004</v>
      </c>
      <c r="E371" s="652">
        <v>153834.87</v>
      </c>
    </row>
    <row r="372" spans="1:5" ht="14.5">
      <c r="A372" s="649">
        <v>751500</v>
      </c>
      <c r="B372" s="650" t="s">
        <v>2154</v>
      </c>
      <c r="C372" s="651">
        <v>386.42</v>
      </c>
      <c r="D372" s="651">
        <v>1123.33</v>
      </c>
      <c r="E372" s="652">
        <v>7709.59</v>
      </c>
    </row>
    <row r="373" spans="1:5" ht="14.5">
      <c r="A373" s="649">
        <v>751550</v>
      </c>
      <c r="B373" s="650" t="s">
        <v>1124</v>
      </c>
      <c r="C373" s="651">
        <v>15072.3</v>
      </c>
      <c r="D373" s="651">
        <v>19167.990000000002</v>
      </c>
      <c r="E373" s="652">
        <v>25693.599999999999</v>
      </c>
    </row>
    <row r="374" spans="1:5" ht="14.5">
      <c r="A374" s="649">
        <v>751600</v>
      </c>
      <c r="B374" s="650" t="s">
        <v>1125</v>
      </c>
      <c r="C374" s="651">
        <v>515.13</v>
      </c>
      <c r="D374" s="651">
        <v>1196.2</v>
      </c>
      <c r="E374" s="652">
        <v>3903.37</v>
      </c>
    </row>
    <row r="375" spans="1:5" ht="14.5">
      <c r="A375" s="649">
        <v>751700</v>
      </c>
      <c r="B375" s="650" t="s">
        <v>1130</v>
      </c>
      <c r="C375" s="651">
        <v>62799.19</v>
      </c>
      <c r="D375" s="651">
        <v>111435.6</v>
      </c>
      <c r="E375" s="652">
        <v>291887.92</v>
      </c>
    </row>
    <row r="376" spans="1:5" ht="14.5">
      <c r="A376" s="649">
        <v>751711</v>
      </c>
      <c r="B376" s="650" t="s">
        <v>2155</v>
      </c>
      <c r="C376" s="651">
        <v>0</v>
      </c>
      <c r="D376" s="651">
        <v>165.89</v>
      </c>
      <c r="E376" s="652">
        <v>165.89</v>
      </c>
    </row>
    <row r="377" spans="1:5" ht="14.5">
      <c r="A377" s="649">
        <v>751725</v>
      </c>
      <c r="B377" s="650" t="s">
        <v>2156</v>
      </c>
      <c r="C377" s="651">
        <v>0</v>
      </c>
      <c r="D377" s="651">
        <v>0</v>
      </c>
      <c r="E377" s="652">
        <v>70779.039999999994</v>
      </c>
    </row>
    <row r="378" spans="1:5" ht="14.5">
      <c r="A378" s="649">
        <v>751730</v>
      </c>
      <c r="B378" s="650" t="s">
        <v>2157</v>
      </c>
      <c r="C378" s="651">
        <v>2472.9899999999998</v>
      </c>
      <c r="D378" s="651">
        <v>19586.150000000001</v>
      </c>
      <c r="E378" s="652">
        <v>202853.74</v>
      </c>
    </row>
    <row r="379" spans="1:5" ht="14.5">
      <c r="A379" s="649">
        <v>751750</v>
      </c>
      <c r="B379" s="650" t="s">
        <v>2158</v>
      </c>
      <c r="C379" s="651">
        <v>38998.300000000003</v>
      </c>
      <c r="D379" s="651">
        <v>116995.3</v>
      </c>
      <c r="E379" s="652">
        <v>467980.3</v>
      </c>
    </row>
    <row r="380" spans="1:5" ht="14.5">
      <c r="A380" s="649">
        <v>751800</v>
      </c>
      <c r="B380" s="650" t="s">
        <v>1128</v>
      </c>
      <c r="C380" s="651">
        <v>35224.83</v>
      </c>
      <c r="D380" s="651">
        <v>114538.87</v>
      </c>
      <c r="E380" s="652">
        <v>679148.65</v>
      </c>
    </row>
    <row r="381" spans="1:5" ht="14.5">
      <c r="A381" s="649">
        <v>751810</v>
      </c>
      <c r="B381" s="650" t="s">
        <v>2159</v>
      </c>
      <c r="C381" s="651">
        <v>0</v>
      </c>
      <c r="D381" s="651">
        <v>0</v>
      </c>
      <c r="E381" s="652">
        <v>70.180000000000007</v>
      </c>
    </row>
    <row r="382" spans="1:5" ht="14.5">
      <c r="A382" s="649">
        <v>760100</v>
      </c>
      <c r="B382" s="650" t="s">
        <v>2160</v>
      </c>
      <c r="C382" s="651">
        <v>718.96</v>
      </c>
      <c r="D382" s="651">
        <v>2617.4699999999998</v>
      </c>
      <c r="E382" s="652">
        <v>18552.02</v>
      </c>
    </row>
    <row r="383" spans="1:5" ht="14.5">
      <c r="A383" s="649">
        <v>760150</v>
      </c>
      <c r="B383" s="650" t="s">
        <v>2161</v>
      </c>
      <c r="C383" s="651">
        <v>14394.3</v>
      </c>
      <c r="D383" s="651">
        <v>67941.55</v>
      </c>
      <c r="E383" s="652">
        <v>241450.12</v>
      </c>
    </row>
    <row r="384" spans="1:5" ht="14.5">
      <c r="A384" s="649">
        <v>760200</v>
      </c>
      <c r="B384" s="650" t="s">
        <v>1133</v>
      </c>
      <c r="C384" s="651">
        <v>5728.51</v>
      </c>
      <c r="D384" s="651">
        <v>8245.75</v>
      </c>
      <c r="E384" s="652">
        <v>14436.01</v>
      </c>
    </row>
    <row r="385" spans="1:5" ht="14.5">
      <c r="A385" s="649">
        <v>760300</v>
      </c>
      <c r="B385" s="650" t="s">
        <v>1134</v>
      </c>
      <c r="C385" s="651">
        <v>3810.9</v>
      </c>
      <c r="D385" s="651">
        <v>9163.33</v>
      </c>
      <c r="E385" s="652">
        <v>285422.8</v>
      </c>
    </row>
    <row r="386" spans="1:5" ht="14.5">
      <c r="A386" s="649">
        <v>760360</v>
      </c>
      <c r="B386" s="650" t="s">
        <v>2162</v>
      </c>
      <c r="C386" s="651">
        <v>-33276.870000000003</v>
      </c>
      <c r="D386" s="651">
        <v>155940.45000000001</v>
      </c>
      <c r="E386" s="652">
        <v>1001034.25</v>
      </c>
    </row>
    <row r="387" spans="1:5" ht="14.5">
      <c r="A387" s="649">
        <v>760400</v>
      </c>
      <c r="B387" s="650" t="s">
        <v>1142</v>
      </c>
      <c r="C387" s="651">
        <v>0</v>
      </c>
      <c r="D387" s="651">
        <v>2633.38</v>
      </c>
      <c r="E387" s="652">
        <v>2646.38</v>
      </c>
    </row>
    <row r="388" spans="1:5" ht="14.5">
      <c r="A388" s="649">
        <v>760405</v>
      </c>
      <c r="B388" s="650" t="s">
        <v>2163</v>
      </c>
      <c r="C388" s="651">
        <v>0</v>
      </c>
      <c r="D388" s="651">
        <v>0</v>
      </c>
      <c r="E388" s="652">
        <v>9360</v>
      </c>
    </row>
    <row r="389" spans="1:5" ht="14.5">
      <c r="A389" s="649">
        <v>760415</v>
      </c>
      <c r="B389" s="650" t="s">
        <v>2164</v>
      </c>
      <c r="C389" s="651">
        <v>31863.42</v>
      </c>
      <c r="D389" s="651">
        <v>98074.77</v>
      </c>
      <c r="E389" s="652">
        <v>252365.63</v>
      </c>
    </row>
    <row r="390" spans="1:5" ht="14.5">
      <c r="A390" s="649">
        <v>760425</v>
      </c>
      <c r="B390" s="650" t="s">
        <v>2165</v>
      </c>
      <c r="C390" s="651">
        <v>14907.13</v>
      </c>
      <c r="D390" s="651">
        <v>48653.94</v>
      </c>
      <c r="E390" s="652">
        <v>203906.68</v>
      </c>
    </row>
    <row r="391" spans="1:5" ht="14.5">
      <c r="A391" s="649">
        <v>760450</v>
      </c>
      <c r="B391" s="650" t="s">
        <v>1143</v>
      </c>
      <c r="C391" s="651">
        <v>0</v>
      </c>
      <c r="D391" s="651">
        <v>-230.2</v>
      </c>
      <c r="E391" s="652">
        <v>3312.6</v>
      </c>
    </row>
    <row r="392" spans="1:5" ht="14.5">
      <c r="A392" s="649">
        <v>760600</v>
      </c>
      <c r="B392" s="650" t="s">
        <v>1474</v>
      </c>
      <c r="C392" s="651">
        <v>0</v>
      </c>
      <c r="D392" s="651">
        <v>4292.3999999999996</v>
      </c>
      <c r="E392" s="652">
        <v>9986.7900000000009</v>
      </c>
    </row>
    <row r="393" spans="1:5" ht="14.5">
      <c r="A393" s="649">
        <v>760700</v>
      </c>
      <c r="B393" s="650" t="s">
        <v>1148</v>
      </c>
      <c r="C393" s="651">
        <v>50422.57</v>
      </c>
      <c r="D393" s="651">
        <v>64022.57</v>
      </c>
      <c r="E393" s="652">
        <v>64022.57</v>
      </c>
    </row>
    <row r="394" spans="1:5" ht="14.5">
      <c r="A394" s="649">
        <v>760925</v>
      </c>
      <c r="B394" s="650" t="s">
        <v>2166</v>
      </c>
      <c r="C394" s="651">
        <v>19602.259999999998</v>
      </c>
      <c r="D394" s="651">
        <v>58806.78</v>
      </c>
      <c r="E394" s="652">
        <v>410767.29</v>
      </c>
    </row>
    <row r="395" spans="1:5" ht="14.5">
      <c r="A395" s="649">
        <v>761150</v>
      </c>
      <c r="B395" s="650" t="s">
        <v>2167</v>
      </c>
      <c r="C395" s="651">
        <v>44665.51</v>
      </c>
      <c r="D395" s="651">
        <v>126140.96</v>
      </c>
      <c r="E395" s="652">
        <v>414424.23</v>
      </c>
    </row>
    <row r="396" spans="1:5" ht="14.5">
      <c r="A396" s="649">
        <v>761200</v>
      </c>
      <c r="B396" s="650" t="s">
        <v>1126</v>
      </c>
      <c r="C396" s="651">
        <v>1705.3</v>
      </c>
      <c r="D396" s="651">
        <v>4858.1000000000004</v>
      </c>
      <c r="E396" s="652">
        <v>22140.7</v>
      </c>
    </row>
    <row r="397" spans="1:5" ht="14.5">
      <c r="A397" s="649">
        <v>761400</v>
      </c>
      <c r="B397" s="650" t="s">
        <v>1475</v>
      </c>
      <c r="C397" s="651">
        <v>0</v>
      </c>
      <c r="D397" s="651">
        <v>519.74</v>
      </c>
      <c r="E397" s="652">
        <v>2930.77</v>
      </c>
    </row>
    <row r="398" spans="1:5" ht="14.5">
      <c r="A398" s="649">
        <v>770000</v>
      </c>
      <c r="B398" s="650" t="s">
        <v>2168</v>
      </c>
      <c r="C398" s="651">
        <v>9813086.0800000001</v>
      </c>
      <c r="D398" s="651">
        <v>11531504.52</v>
      </c>
      <c r="E398" s="652">
        <v>13107293.789999999</v>
      </c>
    </row>
    <row r="399" spans="1:5" ht="14.5">
      <c r="A399" s="649">
        <v>770250</v>
      </c>
      <c r="B399" s="650" t="s">
        <v>2169</v>
      </c>
      <c r="C399" s="651">
        <v>0</v>
      </c>
      <c r="D399" s="651">
        <v>70</v>
      </c>
      <c r="E399" s="652">
        <v>70</v>
      </c>
    </row>
    <row r="400" spans="1:5" ht="14.5">
      <c r="A400" s="649">
        <v>770500</v>
      </c>
      <c r="B400" s="650" t="s">
        <v>2170</v>
      </c>
      <c r="C400" s="651">
        <v>45298.2</v>
      </c>
      <c r="D400" s="651">
        <v>111158.62</v>
      </c>
      <c r="E400" s="652">
        <v>410488.5</v>
      </c>
    </row>
    <row r="401" spans="1:5" ht="14.5">
      <c r="A401" s="649">
        <v>770600</v>
      </c>
      <c r="B401" s="650" t="s">
        <v>2171</v>
      </c>
      <c r="C401" s="651">
        <v>488.04</v>
      </c>
      <c r="D401" s="651">
        <v>488.04</v>
      </c>
      <c r="E401" s="652">
        <v>488.04</v>
      </c>
    </row>
    <row r="402" spans="1:5" ht="14.5">
      <c r="A402" s="649">
        <v>770650</v>
      </c>
      <c r="B402" s="650" t="s">
        <v>2172</v>
      </c>
      <c r="C402" s="651">
        <v>-696.12</v>
      </c>
      <c r="D402" s="651">
        <v>-1673</v>
      </c>
      <c r="E402" s="652">
        <v>-7976.96</v>
      </c>
    </row>
    <row r="403" spans="1:5" ht="14.5">
      <c r="A403" s="649">
        <v>772000</v>
      </c>
      <c r="B403" s="650" t="s">
        <v>1123</v>
      </c>
      <c r="C403" s="651">
        <v>2641.58</v>
      </c>
      <c r="D403" s="651">
        <v>75363.05</v>
      </c>
      <c r="E403" s="652">
        <v>75691.08</v>
      </c>
    </row>
    <row r="404" spans="1:5" ht="14.5">
      <c r="A404" s="649">
        <v>772250</v>
      </c>
      <c r="B404" s="650" t="s">
        <v>2173</v>
      </c>
      <c r="C404" s="651">
        <v>78329.52</v>
      </c>
      <c r="D404" s="651">
        <v>196098.62</v>
      </c>
      <c r="E404" s="652">
        <v>728081.67</v>
      </c>
    </row>
    <row r="405" spans="1:5" ht="14.5">
      <c r="A405" s="649">
        <v>772500</v>
      </c>
      <c r="B405" s="650" t="s">
        <v>2174</v>
      </c>
      <c r="C405" s="651">
        <v>-281</v>
      </c>
      <c r="D405" s="651">
        <v>890.42</v>
      </c>
      <c r="E405" s="652">
        <v>43976.58</v>
      </c>
    </row>
    <row r="406" spans="1:5" ht="14.5">
      <c r="A406" s="649">
        <v>780000</v>
      </c>
      <c r="B406" s="650" t="s">
        <v>1137</v>
      </c>
      <c r="C406" s="651">
        <v>219.78</v>
      </c>
      <c r="D406" s="651">
        <v>1495.99</v>
      </c>
      <c r="E406" s="652">
        <v>6094.01</v>
      </c>
    </row>
    <row r="407" spans="1:5" ht="14.5">
      <c r="A407" s="649">
        <v>780100</v>
      </c>
      <c r="B407" s="650" t="s">
        <v>1153</v>
      </c>
      <c r="C407" s="651">
        <v>69167.45</v>
      </c>
      <c r="D407" s="651">
        <v>162449.41</v>
      </c>
      <c r="E407" s="652">
        <v>840273.49</v>
      </c>
    </row>
    <row r="408" spans="1:5" ht="14.5">
      <c r="A408" s="649">
        <v>780200</v>
      </c>
      <c r="B408" s="650" t="s">
        <v>1131</v>
      </c>
      <c r="C408" s="651">
        <v>0</v>
      </c>
      <c r="D408" s="651">
        <v>-1245.19</v>
      </c>
      <c r="E408" s="652">
        <v>-1245.19</v>
      </c>
    </row>
    <row r="409" spans="1:5" ht="14.5">
      <c r="A409" s="649">
        <v>780300</v>
      </c>
      <c r="B409" s="650" t="s">
        <v>1149</v>
      </c>
      <c r="C409" s="651">
        <v>16851.78</v>
      </c>
      <c r="D409" s="651">
        <v>51475.88</v>
      </c>
      <c r="E409" s="652">
        <v>204735.32</v>
      </c>
    </row>
    <row r="410" spans="1:5" ht="14.5">
      <c r="A410" s="649">
        <v>780400</v>
      </c>
      <c r="B410" s="650" t="s">
        <v>2175</v>
      </c>
      <c r="C410" s="651">
        <v>7.51</v>
      </c>
      <c r="D410" s="651">
        <v>2530.2600000000002</v>
      </c>
      <c r="E410" s="652">
        <v>67833.64</v>
      </c>
    </row>
    <row r="411" spans="1:5" ht="14.5">
      <c r="A411" s="649">
        <v>780425</v>
      </c>
      <c r="B411" s="650" t="s">
        <v>2176</v>
      </c>
      <c r="C411" s="651">
        <v>157.56</v>
      </c>
      <c r="D411" s="651">
        <v>398.35</v>
      </c>
      <c r="E411" s="652">
        <v>30794.53</v>
      </c>
    </row>
    <row r="412" spans="1:5" ht="14.5">
      <c r="A412" s="649">
        <v>790520</v>
      </c>
      <c r="B412" s="650" t="s">
        <v>2177</v>
      </c>
      <c r="C412" s="651">
        <v>1770302.79</v>
      </c>
      <c r="D412" s="651">
        <v>5297227.59</v>
      </c>
      <c r="E412" s="652">
        <v>19929140.52</v>
      </c>
    </row>
    <row r="413" spans="1:5" ht="14.5">
      <c r="A413" s="649">
        <v>810850</v>
      </c>
      <c r="B413" s="650" t="s">
        <v>2178</v>
      </c>
      <c r="C413" s="651">
        <v>-116333</v>
      </c>
      <c r="D413" s="651">
        <v>-1229283</v>
      </c>
      <c r="E413" s="652">
        <v>-4870418.1500000004</v>
      </c>
    </row>
    <row r="414" spans="1:5" ht="14.5">
      <c r="A414" s="649">
        <v>810865</v>
      </c>
      <c r="B414" s="650" t="s">
        <v>2179</v>
      </c>
      <c r="C414" s="651">
        <v>-219962.82</v>
      </c>
      <c r="D414" s="651">
        <v>608655.18000000005</v>
      </c>
      <c r="E414" s="652">
        <v>4035137.18</v>
      </c>
    </row>
    <row r="415" spans="1:5" ht="14.5">
      <c r="A415" s="649">
        <v>810875</v>
      </c>
      <c r="B415" s="650" t="s">
        <v>2180</v>
      </c>
      <c r="C415" s="651">
        <v>-41333.67</v>
      </c>
      <c r="D415" s="651">
        <v>-214189.01</v>
      </c>
      <c r="E415" s="652">
        <v>-1959663.93</v>
      </c>
    </row>
    <row r="416" spans="1:5" ht="14.5">
      <c r="A416" s="649">
        <v>820002</v>
      </c>
      <c r="B416" s="650" t="s">
        <v>2181</v>
      </c>
      <c r="C416" s="651">
        <v>0</v>
      </c>
      <c r="D416" s="651">
        <v>0</v>
      </c>
      <c r="E416" s="652">
        <v>-867686</v>
      </c>
    </row>
    <row r="417" spans="1:5" ht="14.5">
      <c r="A417" s="649">
        <v>820005</v>
      </c>
      <c r="B417" s="650" t="s">
        <v>2182</v>
      </c>
      <c r="C417" s="651">
        <v>-2084317</v>
      </c>
      <c r="D417" s="651">
        <v>-4384528</v>
      </c>
      <c r="E417" s="652">
        <v>-9959338.5800000001</v>
      </c>
    </row>
    <row r="418" spans="1:5" ht="14.5">
      <c r="A418" s="649">
        <v>820011</v>
      </c>
      <c r="B418" s="650" t="s">
        <v>2183</v>
      </c>
      <c r="C418" s="651">
        <v>-193405.13</v>
      </c>
      <c r="D418" s="651">
        <v>-820740.35</v>
      </c>
      <c r="E418" s="652">
        <v>-2903229.19</v>
      </c>
    </row>
    <row r="419" spans="1:5" ht="14.5">
      <c r="A419" s="649">
        <v>820012</v>
      </c>
      <c r="B419" s="650" t="s">
        <v>2184</v>
      </c>
      <c r="C419" s="651">
        <v>15650</v>
      </c>
      <c r="D419" s="651">
        <v>-334350</v>
      </c>
      <c r="E419" s="652">
        <v>-4843010.5999999996</v>
      </c>
    </row>
    <row r="420" spans="1:5" ht="14.5">
      <c r="A420" s="649">
        <v>820013</v>
      </c>
      <c r="B420" s="650" t="s">
        <v>2185</v>
      </c>
      <c r="C420" s="651">
        <v>4409</v>
      </c>
      <c r="D420" s="651">
        <v>-255519.5</v>
      </c>
      <c r="E420" s="652">
        <v>-3468157.18</v>
      </c>
    </row>
    <row r="421" spans="1:5" ht="14.5">
      <c r="A421" s="649">
        <v>820014</v>
      </c>
      <c r="B421" s="650" t="s">
        <v>2186</v>
      </c>
      <c r="C421" s="651">
        <v>-87759.33</v>
      </c>
      <c r="D421" s="651">
        <v>-162676.73000000001</v>
      </c>
      <c r="E421" s="652">
        <v>-261262.19</v>
      </c>
    </row>
    <row r="422" spans="1:5" ht="14.5">
      <c r="A422" s="649">
        <v>820028</v>
      </c>
      <c r="B422" s="650" t="s">
        <v>2187</v>
      </c>
      <c r="C422" s="651">
        <v>-157536.41</v>
      </c>
      <c r="D422" s="651">
        <v>-201163.09</v>
      </c>
      <c r="E422" s="652">
        <v>-1690547.08</v>
      </c>
    </row>
    <row r="423" spans="1:5" ht="14.5">
      <c r="A423" s="649">
        <v>820035</v>
      </c>
      <c r="B423" s="650" t="s">
        <v>2188</v>
      </c>
      <c r="C423" s="651">
        <v>-91450</v>
      </c>
      <c r="D423" s="651">
        <v>-240200</v>
      </c>
      <c r="E423" s="652">
        <v>-240200</v>
      </c>
    </row>
    <row r="424" spans="1:5" ht="14.5">
      <c r="A424" s="649">
        <v>820051</v>
      </c>
      <c r="B424" s="650" t="s">
        <v>1476</v>
      </c>
      <c r="C424" s="651">
        <v>-46406733.880000003</v>
      </c>
      <c r="D424" s="651">
        <v>-107741394.92</v>
      </c>
      <c r="E424" s="652">
        <v>-339974256.87</v>
      </c>
    </row>
    <row r="425" spans="1:5" ht="14.5">
      <c r="A425" s="649">
        <v>820053</v>
      </c>
      <c r="B425" s="650" t="s">
        <v>2189</v>
      </c>
      <c r="C425" s="651">
        <v>-11142318.32</v>
      </c>
      <c r="D425" s="651">
        <v>-30134272.969999999</v>
      </c>
      <c r="E425" s="652">
        <v>-94861023.579999998</v>
      </c>
    </row>
    <row r="426" spans="1:5" ht="14.5">
      <c r="A426" s="649">
        <v>820060</v>
      </c>
      <c r="B426" s="650" t="s">
        <v>2190</v>
      </c>
      <c r="C426" s="651">
        <v>-186.03</v>
      </c>
      <c r="D426" s="651">
        <v>-593.6</v>
      </c>
      <c r="E426" s="652">
        <v>-18045.599999999999</v>
      </c>
    </row>
    <row r="427" spans="1:5" ht="14.5">
      <c r="A427" s="649">
        <v>820062</v>
      </c>
      <c r="B427" s="650" t="s">
        <v>2191</v>
      </c>
      <c r="C427" s="651">
        <v>-57357.61</v>
      </c>
      <c r="D427" s="651">
        <v>-198095.77</v>
      </c>
      <c r="E427" s="652">
        <v>-523854.2</v>
      </c>
    </row>
    <row r="428" spans="1:5" ht="14.5">
      <c r="A428" s="649">
        <v>820063</v>
      </c>
      <c r="B428" s="650" t="s">
        <v>2192</v>
      </c>
      <c r="C428" s="651">
        <v>-138</v>
      </c>
      <c r="D428" s="651">
        <v>1907.71</v>
      </c>
      <c r="E428" s="652">
        <v>-54049.11</v>
      </c>
    </row>
    <row r="429" spans="1:5" ht="14.5">
      <c r="A429" s="649">
        <v>825301</v>
      </c>
      <c r="B429" s="650" t="s">
        <v>2193</v>
      </c>
      <c r="C429" s="651">
        <v>171000</v>
      </c>
      <c r="D429" s="651">
        <v>347091</v>
      </c>
      <c r="E429" s="652">
        <v>863164.42</v>
      </c>
    </row>
    <row r="430" spans="1:5" ht="14.5">
      <c r="A430" s="649">
        <v>825302</v>
      </c>
      <c r="B430" s="650" t="s">
        <v>2194</v>
      </c>
      <c r="C430" s="651">
        <v>0</v>
      </c>
      <c r="D430" s="651">
        <v>9718</v>
      </c>
      <c r="E430" s="652">
        <v>72324</v>
      </c>
    </row>
    <row r="431" spans="1:5" ht="14.5">
      <c r="A431" s="649">
        <v>825303</v>
      </c>
      <c r="B431" s="650" t="s">
        <v>2195</v>
      </c>
      <c r="C431" s="651">
        <v>57360</v>
      </c>
      <c r="D431" s="651">
        <v>197703.51</v>
      </c>
      <c r="E431" s="652">
        <v>522582.2</v>
      </c>
    </row>
    <row r="432" spans="1:5" ht="14.5">
      <c r="A432" s="649">
        <v>825304</v>
      </c>
      <c r="B432" s="650" t="s">
        <v>2196</v>
      </c>
      <c r="C432" s="651">
        <v>160929</v>
      </c>
      <c r="D432" s="651">
        <v>1410316.67</v>
      </c>
      <c r="E432" s="652">
        <v>5225023.08</v>
      </c>
    </row>
    <row r="433" spans="1:5" ht="14.5">
      <c r="A433" s="649">
        <v>825305</v>
      </c>
      <c r="B433" s="650" t="s">
        <v>2197</v>
      </c>
      <c r="C433" s="651">
        <v>7871313</v>
      </c>
      <c r="D433" s="651">
        <v>24774992.780000001</v>
      </c>
      <c r="E433" s="652">
        <v>96117454.099999994</v>
      </c>
    </row>
    <row r="434" spans="1:5" ht="14.5">
      <c r="A434" s="649">
        <v>825308</v>
      </c>
      <c r="B434" s="650" t="s">
        <v>2198</v>
      </c>
      <c r="C434" s="651">
        <v>-2200716.52</v>
      </c>
      <c r="D434" s="651">
        <v>-2200716.52</v>
      </c>
      <c r="E434" s="652">
        <v>-2275457.98</v>
      </c>
    </row>
    <row r="435" spans="1:5" ht="14.5">
      <c r="A435" s="649">
        <v>825310</v>
      </c>
      <c r="B435" s="650" t="s">
        <v>2199</v>
      </c>
      <c r="C435" s="651">
        <v>11399706</v>
      </c>
      <c r="D435" s="651">
        <v>31281356.550000001</v>
      </c>
      <c r="E435" s="652">
        <v>100946149.51000001</v>
      </c>
    </row>
    <row r="436" spans="1:5" ht="14.5">
      <c r="A436" s="649">
        <v>825315</v>
      </c>
      <c r="B436" s="650" t="s">
        <v>2200</v>
      </c>
      <c r="C436" s="651">
        <v>1178.6400000000001</v>
      </c>
      <c r="D436" s="651">
        <v>2961.38</v>
      </c>
      <c r="E436" s="652">
        <v>14105.58</v>
      </c>
    </row>
    <row r="437" spans="1:5" ht="14.5">
      <c r="A437" s="649">
        <v>825316</v>
      </c>
      <c r="B437" s="650" t="s">
        <v>2201</v>
      </c>
      <c r="C437" s="651">
        <v>-7898970.04</v>
      </c>
      <c r="D437" s="651">
        <v>-24722948.690000001</v>
      </c>
      <c r="E437" s="652">
        <v>-96367755.579999998</v>
      </c>
    </row>
    <row r="438" spans="1:5" ht="14.5">
      <c r="A438" s="649">
        <v>825317</v>
      </c>
      <c r="B438" s="650" t="s">
        <v>2202</v>
      </c>
      <c r="C438" s="651">
        <v>-100</v>
      </c>
      <c r="D438" s="651">
        <v>1900</v>
      </c>
      <c r="E438" s="652">
        <v>-915296</v>
      </c>
    </row>
    <row r="439" spans="1:5" ht="14.5">
      <c r="A439" s="649">
        <v>825318</v>
      </c>
      <c r="B439" s="650" t="s">
        <v>2203</v>
      </c>
      <c r="C439" s="651">
        <v>-3559600</v>
      </c>
      <c r="D439" s="651">
        <v>-7673178.96</v>
      </c>
      <c r="E439" s="652">
        <v>-21288057.739999998</v>
      </c>
    </row>
    <row r="440" spans="1:5" ht="14.5">
      <c r="A440" s="649">
        <v>825319</v>
      </c>
      <c r="B440" s="650" t="s">
        <v>2204</v>
      </c>
      <c r="C440" s="651">
        <v>-1967757.12</v>
      </c>
      <c r="D440" s="651">
        <v>-4416271.53</v>
      </c>
      <c r="E440" s="652">
        <v>-11983343.82</v>
      </c>
    </row>
    <row r="441" spans="1:5" ht="14.5">
      <c r="A441" s="649">
        <v>825321</v>
      </c>
      <c r="B441" s="650" t="s">
        <v>2205</v>
      </c>
      <c r="C441" s="651">
        <v>250627</v>
      </c>
      <c r="D441" s="651">
        <v>-2808273</v>
      </c>
      <c r="E441" s="652">
        <v>-2808217.55</v>
      </c>
    </row>
    <row r="442" spans="1:5" ht="14.5">
      <c r="A442" s="649">
        <v>825322</v>
      </c>
      <c r="B442" s="650" t="s">
        <v>2206</v>
      </c>
      <c r="C442" s="651">
        <v>0</v>
      </c>
      <c r="D442" s="651">
        <v>0</v>
      </c>
      <c r="E442" s="652">
        <v>-1200000</v>
      </c>
    </row>
    <row r="443" spans="1:5" ht="14.5">
      <c r="A443" s="649">
        <v>825324</v>
      </c>
      <c r="B443" s="650" t="s">
        <v>2207</v>
      </c>
      <c r="C443" s="651">
        <v>0</v>
      </c>
      <c r="D443" s="651">
        <v>-63525</v>
      </c>
      <c r="E443" s="652">
        <v>-63525</v>
      </c>
    </row>
    <row r="444" spans="1:5" ht="14.5">
      <c r="A444" s="649">
        <v>825325</v>
      </c>
      <c r="B444" s="650" t="s">
        <v>2208</v>
      </c>
      <c r="C444" s="651">
        <v>-383837.33</v>
      </c>
      <c r="D444" s="651">
        <v>-2823459.5</v>
      </c>
      <c r="E444" s="652">
        <v>-12216958.359999999</v>
      </c>
    </row>
    <row r="445" spans="1:5" ht="14.5">
      <c r="A445" s="649">
        <v>825326</v>
      </c>
      <c r="B445" s="650" t="s">
        <v>2209</v>
      </c>
      <c r="C445" s="651">
        <v>-751144.06</v>
      </c>
      <c r="D445" s="651">
        <v>-922060.06</v>
      </c>
      <c r="E445" s="652">
        <v>-922060.06</v>
      </c>
    </row>
    <row r="446" spans="1:5" ht="14.5">
      <c r="A446" s="649">
        <v>825327</v>
      </c>
      <c r="B446" s="650" t="s">
        <v>2210</v>
      </c>
      <c r="C446" s="651">
        <v>-261362.81</v>
      </c>
      <c r="D446" s="651">
        <v>-342426.81</v>
      </c>
      <c r="E446" s="652">
        <v>-342426.81</v>
      </c>
    </row>
    <row r="447" spans="1:5" ht="14.5">
      <c r="A447" s="649">
        <v>825328</v>
      </c>
      <c r="B447" s="650" t="s">
        <v>1172</v>
      </c>
      <c r="C447" s="651">
        <v>-1866022.06</v>
      </c>
      <c r="D447" s="651">
        <v>-2849097.06</v>
      </c>
      <c r="E447" s="652">
        <v>-2849097.06</v>
      </c>
    </row>
    <row r="448" spans="1:5" ht="14.5">
      <c r="A448" s="649">
        <v>825329</v>
      </c>
      <c r="B448" s="650" t="s">
        <v>2211</v>
      </c>
      <c r="C448" s="651">
        <v>-21042.38</v>
      </c>
      <c r="D448" s="651">
        <v>-31707.38</v>
      </c>
      <c r="E448" s="652">
        <v>-31707.38</v>
      </c>
    </row>
    <row r="449" spans="1:5" ht="14.5">
      <c r="A449" s="649">
        <v>825330</v>
      </c>
      <c r="B449" s="650" t="s">
        <v>2212</v>
      </c>
      <c r="C449" s="651">
        <v>-110598</v>
      </c>
      <c r="D449" s="651">
        <v>-110598</v>
      </c>
      <c r="E449" s="652">
        <v>-416023</v>
      </c>
    </row>
    <row r="450" spans="1:5" ht="14.5">
      <c r="A450" s="649">
        <v>825331</v>
      </c>
      <c r="B450" s="650" t="s">
        <v>2213</v>
      </c>
      <c r="C450" s="651">
        <v>0</v>
      </c>
      <c r="D450" s="651">
        <v>340</v>
      </c>
      <c r="E450" s="652">
        <v>-32770</v>
      </c>
    </row>
    <row r="451" spans="1:5" ht="14.5">
      <c r="A451" s="649">
        <v>825332</v>
      </c>
      <c r="B451" s="650" t="s">
        <v>2214</v>
      </c>
      <c r="C451" s="651">
        <v>1770</v>
      </c>
      <c r="D451" s="651">
        <v>-299.24</v>
      </c>
      <c r="E451" s="652">
        <v>-7315.04</v>
      </c>
    </row>
    <row r="452" spans="1:5" ht="14.5">
      <c r="A452" s="649">
        <v>825333</v>
      </c>
      <c r="B452" s="650" t="s">
        <v>2215</v>
      </c>
      <c r="C452" s="651">
        <v>-156150</v>
      </c>
      <c r="D452" s="651">
        <v>-1413197.52</v>
      </c>
      <c r="E452" s="652">
        <v>-4060500.02</v>
      </c>
    </row>
    <row r="453" spans="1:5" ht="14.5">
      <c r="A453" s="649">
        <v>825600</v>
      </c>
      <c r="B453" s="650" t="s">
        <v>2216</v>
      </c>
      <c r="C453" s="651">
        <v>49198787</v>
      </c>
      <c r="D453" s="651">
        <v>114250174.66</v>
      </c>
      <c r="E453" s="652">
        <v>364320200.05000001</v>
      </c>
    </row>
    <row r="454" spans="1:5" ht="14.5">
      <c r="A454" s="649">
        <v>825705</v>
      </c>
      <c r="B454" s="650" t="s">
        <v>2217</v>
      </c>
      <c r="C454" s="651">
        <v>1233108</v>
      </c>
      <c r="D454" s="651">
        <v>2688183.66</v>
      </c>
      <c r="E454" s="652">
        <v>7854378.3700000001</v>
      </c>
    </row>
    <row r="455" spans="1:5" ht="14.5">
      <c r="A455" s="649">
        <v>825710</v>
      </c>
      <c r="B455" s="650" t="s">
        <v>2218</v>
      </c>
      <c r="C455" s="651">
        <v>480759.21</v>
      </c>
      <c r="D455" s="651">
        <v>950114.67</v>
      </c>
      <c r="E455" s="652">
        <v>2910248.94</v>
      </c>
    </row>
    <row r="456" spans="1:5" ht="14.5">
      <c r="A456" s="649">
        <v>825720</v>
      </c>
      <c r="B456" s="650" t="s">
        <v>2219</v>
      </c>
      <c r="C456" s="651">
        <v>9453942.6400000006</v>
      </c>
      <c r="D456" s="651">
        <v>19282553.940000001</v>
      </c>
      <c r="E456" s="652">
        <v>79584700.510000005</v>
      </c>
    </row>
    <row r="457" spans="1:5" ht="14.5">
      <c r="A457" s="649">
        <v>825730</v>
      </c>
      <c r="B457" s="650" t="s">
        <v>2220</v>
      </c>
      <c r="C457" s="651">
        <v>590007.85</v>
      </c>
      <c r="D457" s="651">
        <v>2651325.5099999998</v>
      </c>
      <c r="E457" s="652">
        <v>11050586.460000001</v>
      </c>
    </row>
    <row r="458" spans="1:5" ht="14.5">
      <c r="A458" s="649">
        <v>825735</v>
      </c>
      <c r="B458" s="650" t="s">
        <v>2221</v>
      </c>
      <c r="C458" s="651">
        <v>1205178.8</v>
      </c>
      <c r="D458" s="651">
        <v>6286684.3600000003</v>
      </c>
      <c r="E458" s="652">
        <v>13028838.35</v>
      </c>
    </row>
    <row r="459" spans="1:5" ht="14.5">
      <c r="A459" s="649">
        <v>825736</v>
      </c>
      <c r="B459" s="650" t="s">
        <v>2222</v>
      </c>
      <c r="C459" s="651">
        <v>347571.65</v>
      </c>
      <c r="D459" s="651">
        <v>671484.53</v>
      </c>
      <c r="E459" s="652">
        <v>2616495.06</v>
      </c>
    </row>
    <row r="460" spans="1:5" ht="14.5">
      <c r="A460" s="649">
        <v>825737</v>
      </c>
      <c r="B460" s="650" t="s">
        <v>2223</v>
      </c>
      <c r="C460" s="651">
        <v>112001.37</v>
      </c>
      <c r="D460" s="651">
        <v>153238.13</v>
      </c>
      <c r="E460" s="652">
        <v>270265.11</v>
      </c>
    </row>
    <row r="461" spans="1:5" ht="14.5">
      <c r="A461" s="649">
        <v>825738</v>
      </c>
      <c r="B461" s="650" t="s">
        <v>2224</v>
      </c>
      <c r="C461" s="651">
        <v>258171.92</v>
      </c>
      <c r="D461" s="651">
        <v>628222.86</v>
      </c>
      <c r="E461" s="652">
        <v>3524045</v>
      </c>
    </row>
    <row r="462" spans="1:5" ht="14.5">
      <c r="A462" s="649">
        <v>825739</v>
      </c>
      <c r="B462" s="650" t="s">
        <v>2225</v>
      </c>
      <c r="C462" s="651">
        <v>443628.27</v>
      </c>
      <c r="D462" s="651">
        <v>1344530.58</v>
      </c>
      <c r="E462" s="652">
        <v>7329227.3099999996</v>
      </c>
    </row>
    <row r="463" spans="1:5" ht="14.5">
      <c r="A463" s="649">
        <v>825755</v>
      </c>
      <c r="B463" s="650" t="s">
        <v>2226</v>
      </c>
      <c r="C463" s="651">
        <v>910.01</v>
      </c>
      <c r="D463" s="651">
        <v>910.01</v>
      </c>
      <c r="E463" s="652">
        <v>33175.01</v>
      </c>
    </row>
    <row r="464" spans="1:5" ht="14.5">
      <c r="A464" s="649">
        <v>825760</v>
      </c>
      <c r="B464" s="650" t="s">
        <v>2227</v>
      </c>
      <c r="C464" s="651">
        <v>600</v>
      </c>
      <c r="D464" s="651">
        <v>600</v>
      </c>
      <c r="E464" s="652">
        <v>750</v>
      </c>
    </row>
    <row r="465" spans="1:5" ht="14.5">
      <c r="A465" s="649">
        <v>825765</v>
      </c>
      <c r="B465" s="650" t="s">
        <v>2228</v>
      </c>
      <c r="C465" s="651">
        <v>292.94</v>
      </c>
      <c r="D465" s="651">
        <v>1674.69</v>
      </c>
      <c r="E465" s="652">
        <v>10518.85</v>
      </c>
    </row>
    <row r="466" spans="1:5" ht="14.5">
      <c r="A466" s="649">
        <v>825770</v>
      </c>
      <c r="B466" s="650" t="s">
        <v>2229</v>
      </c>
      <c r="C466" s="651">
        <v>174400.03</v>
      </c>
      <c r="D466" s="651">
        <v>764650.03</v>
      </c>
      <c r="E466" s="652">
        <v>1414020.98</v>
      </c>
    </row>
    <row r="467" spans="1:5" ht="14.5">
      <c r="A467" s="649">
        <v>825771</v>
      </c>
      <c r="B467" s="650" t="s">
        <v>2230</v>
      </c>
      <c r="C467" s="651">
        <v>-120.1</v>
      </c>
      <c r="D467" s="651">
        <v>-120.1</v>
      </c>
      <c r="E467" s="652">
        <v>-471.1</v>
      </c>
    </row>
    <row r="468" spans="1:5" ht="14.5">
      <c r="A468" s="649">
        <v>825772</v>
      </c>
      <c r="B468" s="650" t="s">
        <v>2231</v>
      </c>
      <c r="C468" s="651">
        <v>-204</v>
      </c>
      <c r="D468" s="651">
        <v>-204</v>
      </c>
      <c r="E468" s="652">
        <v>-204</v>
      </c>
    </row>
    <row r="469" spans="1:5" ht="14.5">
      <c r="A469" s="649">
        <v>825773</v>
      </c>
      <c r="B469" s="650" t="s">
        <v>2232</v>
      </c>
      <c r="C469" s="651">
        <v>-75.900000000000006</v>
      </c>
      <c r="D469" s="651">
        <v>-380.65</v>
      </c>
      <c r="E469" s="652">
        <v>-1077.6500000000001</v>
      </c>
    </row>
    <row r="470" spans="1:5" ht="14.5">
      <c r="A470" s="649">
        <v>825774</v>
      </c>
      <c r="B470" s="650" t="s">
        <v>2233</v>
      </c>
      <c r="C470" s="651">
        <v>-46722.51</v>
      </c>
      <c r="D470" s="651">
        <v>-182421.01</v>
      </c>
      <c r="E470" s="652">
        <v>-288966.51</v>
      </c>
    </row>
    <row r="471" spans="1:5" ht="14.5">
      <c r="A471" s="649">
        <v>825775</v>
      </c>
      <c r="B471" s="650" t="s">
        <v>2234</v>
      </c>
      <c r="C471" s="651">
        <v>-196362.32</v>
      </c>
      <c r="D471" s="651">
        <v>-592683.06999999995</v>
      </c>
      <c r="E471" s="652">
        <v>-677011.32</v>
      </c>
    </row>
    <row r="472" spans="1:5" ht="14.5">
      <c r="A472" s="649">
        <v>825776</v>
      </c>
      <c r="B472" s="650" t="s">
        <v>2235</v>
      </c>
      <c r="C472" s="651">
        <v>-728773.95</v>
      </c>
      <c r="D472" s="651">
        <v>-1174110.27</v>
      </c>
      <c r="E472" s="652">
        <v>-1391171.37</v>
      </c>
    </row>
    <row r="473" spans="1:5" ht="14.5">
      <c r="A473" s="649">
        <v>825777</v>
      </c>
      <c r="B473" s="650" t="s">
        <v>2236</v>
      </c>
      <c r="C473" s="651">
        <v>-42373.120000000003</v>
      </c>
      <c r="D473" s="651">
        <v>-73674.87</v>
      </c>
      <c r="E473" s="652">
        <v>-82044.72</v>
      </c>
    </row>
    <row r="474" spans="1:5" ht="14.5">
      <c r="A474" s="649">
        <v>825778</v>
      </c>
      <c r="B474" s="650" t="s">
        <v>2237</v>
      </c>
      <c r="C474" s="651">
        <v>-160944.60999999999</v>
      </c>
      <c r="D474" s="651">
        <v>-556016.61</v>
      </c>
      <c r="E474" s="652">
        <v>-698702.11</v>
      </c>
    </row>
    <row r="475" spans="1:5" ht="14.5">
      <c r="A475" s="649">
        <v>825780</v>
      </c>
      <c r="B475" s="650" t="s">
        <v>2238</v>
      </c>
      <c r="C475" s="651">
        <v>153765</v>
      </c>
      <c r="D475" s="651">
        <v>153765</v>
      </c>
      <c r="E475" s="652">
        <v>235248.98</v>
      </c>
    </row>
    <row r="476" spans="1:5" ht="14.5">
      <c r="A476" s="649">
        <v>825781</v>
      </c>
      <c r="B476" s="650" t="s">
        <v>2239</v>
      </c>
      <c r="C476" s="651">
        <v>175810</v>
      </c>
      <c r="D476" s="651">
        <v>175810</v>
      </c>
      <c r="E476" s="652">
        <v>756264.81</v>
      </c>
    </row>
    <row r="477" spans="1:5" ht="14.5">
      <c r="A477" s="649">
        <v>825782</v>
      </c>
      <c r="B477" s="650" t="s">
        <v>2240</v>
      </c>
      <c r="C477" s="651">
        <v>6920</v>
      </c>
      <c r="D477" s="651">
        <v>6920</v>
      </c>
      <c r="E477" s="652">
        <v>12562.26</v>
      </c>
    </row>
    <row r="478" spans="1:5" ht="14.5">
      <c r="A478" s="649">
        <v>901000</v>
      </c>
      <c r="B478" s="650" t="s">
        <v>1156</v>
      </c>
      <c r="C478" s="651">
        <v>-1404.28</v>
      </c>
      <c r="D478" s="651">
        <v>-3924.97</v>
      </c>
      <c r="E478" s="652">
        <v>-16973.59</v>
      </c>
    </row>
    <row r="479" spans="1:5" ht="14.5">
      <c r="A479" s="649">
        <v>901050</v>
      </c>
      <c r="B479" s="650" t="s">
        <v>2241</v>
      </c>
      <c r="C479" s="651">
        <v>-8333.33</v>
      </c>
      <c r="D479" s="651">
        <v>-24999.99</v>
      </c>
      <c r="E479" s="652">
        <v>-91097.45</v>
      </c>
    </row>
    <row r="480" spans="1:5" ht="14.5">
      <c r="A480" s="649">
        <v>910000</v>
      </c>
      <c r="B480" s="650" t="s">
        <v>2242</v>
      </c>
      <c r="C480" s="651">
        <v>1077.8699999999999</v>
      </c>
      <c r="D480" s="651">
        <v>3293.91</v>
      </c>
      <c r="E480" s="652">
        <v>14247.83</v>
      </c>
    </row>
    <row r="481" spans="1:5" ht="14.5">
      <c r="A481" s="649">
        <v>911200</v>
      </c>
      <c r="B481" s="650" t="s">
        <v>2243</v>
      </c>
      <c r="C481" s="651">
        <v>0</v>
      </c>
      <c r="D481" s="651">
        <v>1231.7</v>
      </c>
      <c r="E481" s="652">
        <v>1231.7</v>
      </c>
    </row>
    <row r="482" spans="1:5" ht="14.5">
      <c r="A482" s="649">
        <v>913000</v>
      </c>
      <c r="B482" s="650" t="s">
        <v>2244</v>
      </c>
      <c r="C482" s="651">
        <v>7513.51</v>
      </c>
      <c r="D482" s="651">
        <v>-54912.77</v>
      </c>
      <c r="E482" s="652">
        <v>101211.53</v>
      </c>
    </row>
    <row r="483" spans="1:5" ht="14.5">
      <c r="A483" s="649">
        <v>919000</v>
      </c>
      <c r="B483" s="650" t="s">
        <v>1120</v>
      </c>
      <c r="C483" s="651">
        <v>967518.63</v>
      </c>
      <c r="D483" s="651">
        <v>1177518.6299999999</v>
      </c>
      <c r="E483" s="652">
        <v>2122518.63</v>
      </c>
    </row>
    <row r="484" spans="1:5" ht="14.5">
      <c r="A484" s="649">
        <v>930000</v>
      </c>
      <c r="B484" s="650" t="s">
        <v>1129</v>
      </c>
      <c r="C484" s="651">
        <v>528939.30000000005</v>
      </c>
      <c r="D484" s="651">
        <v>1642093.15</v>
      </c>
      <c r="E484" s="652">
        <v>6183191.54</v>
      </c>
    </row>
    <row r="485" spans="1:5" ht="14.5">
      <c r="A485" s="649">
        <v>992000</v>
      </c>
      <c r="B485" s="650" t="s">
        <v>2245</v>
      </c>
      <c r="C485" s="651">
        <v>45.82</v>
      </c>
      <c r="D485" s="651">
        <v>137.46</v>
      </c>
      <c r="E485" s="652">
        <v>474.56</v>
      </c>
    </row>
    <row r="486" spans="1:5" ht="14.5">
      <c r="A486" s="649">
        <v>992050</v>
      </c>
      <c r="B486" s="650" t="s">
        <v>2246</v>
      </c>
      <c r="C486" s="651">
        <v>8.33</v>
      </c>
      <c r="D486" s="651">
        <v>24.99</v>
      </c>
      <c r="E486" s="652">
        <v>99.96</v>
      </c>
    </row>
    <row r="487" spans="1:5" ht="14.5">
      <c r="A487" s="649">
        <v>992100</v>
      </c>
      <c r="B487" s="650" t="s">
        <v>2247</v>
      </c>
      <c r="C487" s="651">
        <v>20.83</v>
      </c>
      <c r="D487" s="651">
        <v>62.49</v>
      </c>
      <c r="E487" s="652">
        <v>249.96</v>
      </c>
    </row>
    <row r="488" spans="1:5" ht="14.5">
      <c r="A488" s="649">
        <v>992150</v>
      </c>
      <c r="B488" s="650" t="s">
        <v>2248</v>
      </c>
      <c r="C488" s="651">
        <v>15.25</v>
      </c>
      <c r="D488" s="651">
        <v>45.75</v>
      </c>
      <c r="E488" s="652">
        <v>183</v>
      </c>
    </row>
    <row r="489" spans="1:5" ht="14.5">
      <c r="A489" s="649">
        <v>992200</v>
      </c>
      <c r="B489" s="650" t="s">
        <v>2249</v>
      </c>
      <c r="C489" s="651">
        <v>60.83</v>
      </c>
      <c r="D489" s="651">
        <v>182.49</v>
      </c>
      <c r="E489" s="652">
        <v>729.96</v>
      </c>
    </row>
    <row r="490" spans="1:5" ht="14.5">
      <c r="A490" s="649">
        <v>992300</v>
      </c>
      <c r="B490" s="650" t="s">
        <v>2250</v>
      </c>
      <c r="C490" s="651">
        <v>250</v>
      </c>
      <c r="D490" s="651">
        <v>750</v>
      </c>
      <c r="E490" s="652">
        <v>3000</v>
      </c>
    </row>
    <row r="491" spans="1:5" ht="14.5">
      <c r="A491" s="649">
        <v>992350</v>
      </c>
      <c r="B491" s="650" t="s">
        <v>2251</v>
      </c>
      <c r="C491" s="651">
        <v>1000</v>
      </c>
      <c r="D491" s="651">
        <v>3000</v>
      </c>
      <c r="E491" s="652">
        <v>12000</v>
      </c>
    </row>
    <row r="492" spans="1:5" ht="14.5">
      <c r="A492" s="649">
        <v>992400</v>
      </c>
      <c r="B492" s="650" t="s">
        <v>2252</v>
      </c>
      <c r="C492" s="651">
        <v>1148.96</v>
      </c>
      <c r="D492" s="651">
        <v>3446.88</v>
      </c>
      <c r="E492" s="652">
        <v>13787.52</v>
      </c>
    </row>
    <row r="493" spans="1:5" ht="14.5">
      <c r="A493" s="649">
        <v>992475</v>
      </c>
      <c r="B493" s="650" t="s">
        <v>2253</v>
      </c>
      <c r="C493" s="651">
        <v>214529</v>
      </c>
      <c r="D493" s="651">
        <v>249529</v>
      </c>
      <c r="E493" s="652">
        <v>284529</v>
      </c>
    </row>
    <row r="494" spans="1:5" ht="14.5">
      <c r="A494" s="649">
        <v>992550</v>
      </c>
      <c r="B494" s="650" t="s">
        <v>2254</v>
      </c>
      <c r="C494" s="651">
        <v>533.33000000000004</v>
      </c>
      <c r="D494" s="651">
        <v>1599.99</v>
      </c>
      <c r="E494" s="652">
        <v>6399.96</v>
      </c>
    </row>
    <row r="495" spans="1:5" ht="14.5">
      <c r="A495" s="649">
        <v>994000</v>
      </c>
      <c r="B495" s="650" t="s">
        <v>2255</v>
      </c>
      <c r="C495" s="651">
        <v>0</v>
      </c>
      <c r="D495" s="651">
        <v>10345.280000000001</v>
      </c>
      <c r="E495" s="652">
        <v>56899.040000000001</v>
      </c>
    </row>
    <row r="496" spans="1:5" ht="14.5">
      <c r="A496" s="649">
        <v>994500</v>
      </c>
      <c r="B496" s="650" t="s">
        <v>2256</v>
      </c>
      <c r="C496" s="651">
        <v>607.44000000000005</v>
      </c>
      <c r="D496" s="651">
        <v>1822.32</v>
      </c>
      <c r="E496" s="652">
        <v>6626.2</v>
      </c>
    </row>
    <row r="497" spans="1:7" ht="14.5">
      <c r="A497" s="649">
        <v>995000</v>
      </c>
      <c r="B497" s="650" t="s">
        <v>2257</v>
      </c>
      <c r="C497" s="651">
        <v>60039.199999999997</v>
      </c>
      <c r="D497" s="651">
        <v>180117.6</v>
      </c>
      <c r="E497" s="652">
        <v>720470.4</v>
      </c>
    </row>
    <row r="498" spans="1:7" ht="14.5">
      <c r="A498" s="649">
        <v>995500</v>
      </c>
      <c r="B498" s="650" t="s">
        <v>2258</v>
      </c>
      <c r="C498" s="651">
        <v>-35605.85</v>
      </c>
      <c r="D498" s="651">
        <v>-106817.55</v>
      </c>
      <c r="E498" s="652">
        <v>-427270.2</v>
      </c>
    </row>
    <row r="499" spans="1:7" ht="14.5">
      <c r="A499" s="649">
        <v>998500</v>
      </c>
      <c r="B499" s="650" t="s">
        <v>2259</v>
      </c>
      <c r="C499" s="651">
        <v>0</v>
      </c>
      <c r="D499" s="651">
        <v>0</v>
      </c>
      <c r="E499" s="652">
        <v>33530.21</v>
      </c>
    </row>
    <row r="500" spans="1:7">
      <c r="E500" s="492"/>
    </row>
    <row r="501" spans="1:7">
      <c r="D501" s="493">
        <f>SUM(D161:D500)</f>
        <v>9606931.7499998864</v>
      </c>
      <c r="E501" s="493">
        <f>SUM(E161:E500)</f>
        <v>9472850.6199998185</v>
      </c>
      <c r="G501" s="1" t="s">
        <v>1477</v>
      </c>
    </row>
    <row r="502" spans="1:7">
      <c r="E502" s="345">
        <f>SUM(E485:E496)</f>
        <v>384979.16000000003</v>
      </c>
      <c r="G502" s="1" t="s">
        <v>1478</v>
      </c>
    </row>
    <row r="503" spans="1:7">
      <c r="E503" s="345">
        <f>E501-E502</f>
        <v>9087871.4599998184</v>
      </c>
      <c r="G503" s="1" t="s">
        <v>1479</v>
      </c>
    </row>
    <row r="505" spans="1:7">
      <c r="E505" s="656"/>
    </row>
    <row r="506" spans="1:7">
      <c r="E506" s="657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  <pageSetUpPr fitToPage="1"/>
  </sheetPr>
  <dimension ref="A1:X49"/>
  <sheetViews>
    <sheetView zoomScale="80" zoomScaleNormal="80" workbookViewId="0">
      <selection activeCell="A49" sqref="A49"/>
    </sheetView>
  </sheetViews>
  <sheetFormatPr defaultColWidth="9.1796875" defaultRowHeight="13"/>
  <cols>
    <col min="1" max="1" width="19.81640625" style="3" customWidth="1"/>
    <col min="2" max="2" width="0.54296875" style="3" customWidth="1"/>
    <col min="3" max="3" width="11" style="3" customWidth="1"/>
    <col min="4" max="4" width="0.81640625" style="3" customWidth="1"/>
    <col min="5" max="5" width="11.1796875" style="3" bestFit="1" customWidth="1"/>
    <col min="6" max="6" width="0.81640625" style="3" customWidth="1"/>
    <col min="7" max="7" width="11.1796875" style="3" bestFit="1" customWidth="1"/>
    <col min="8" max="8" width="0.7265625" style="3" customWidth="1"/>
    <col min="9" max="9" width="10.7265625" style="3" bestFit="1" customWidth="1"/>
    <col min="10" max="10" width="0.54296875" style="3" customWidth="1"/>
    <col min="11" max="11" width="10.26953125" style="3" bestFit="1" customWidth="1"/>
    <col min="12" max="12" width="0.81640625" style="3" customWidth="1"/>
    <col min="13" max="13" width="10.7265625" style="3" bestFit="1" customWidth="1"/>
    <col min="14" max="14" width="0.7265625" style="3" customWidth="1"/>
    <col min="15" max="15" width="10.7265625" style="3" bestFit="1" customWidth="1"/>
    <col min="16" max="16" width="5.26953125" style="3" customWidth="1"/>
    <col min="17" max="17" width="9.1796875" style="5"/>
    <col min="18" max="18" width="0.54296875" style="3" customWidth="1"/>
    <col min="19" max="19" width="5.1796875" style="3" bestFit="1" customWidth="1"/>
    <col min="20" max="16384" width="9.1796875" style="3"/>
  </cols>
  <sheetData>
    <row r="1" spans="1:22">
      <c r="A1" s="3" t="s">
        <v>1230</v>
      </c>
      <c r="F1" s="6" t="s">
        <v>12</v>
      </c>
      <c r="Q1" s="3"/>
    </row>
    <row r="2" spans="1:22">
      <c r="F2" s="6" t="s">
        <v>1031</v>
      </c>
      <c r="Q2" s="3"/>
    </row>
    <row r="3" spans="1:22">
      <c r="F3" s="5" t="s">
        <v>1730</v>
      </c>
      <c r="Q3" s="3"/>
    </row>
    <row r="5" spans="1:22">
      <c r="A5" s="3" t="s">
        <v>1032</v>
      </c>
      <c r="Q5" s="3"/>
    </row>
    <row r="6" spans="1:22">
      <c r="A6" s="3" t="s">
        <v>1033</v>
      </c>
      <c r="Q6" s="3"/>
    </row>
    <row r="7" spans="1:22">
      <c r="A7" s="3" t="s">
        <v>1034</v>
      </c>
      <c r="Q7" s="3"/>
    </row>
    <row r="8" spans="1:22">
      <c r="A8" s="76" t="s">
        <v>1035</v>
      </c>
      <c r="C8" s="5"/>
      <c r="Q8" s="3"/>
    </row>
    <row r="9" spans="1:22">
      <c r="A9" s="76" t="s">
        <v>1878</v>
      </c>
      <c r="C9" s="5"/>
      <c r="Q9" s="3"/>
    </row>
    <row r="10" spans="1:22">
      <c r="A10" s="76"/>
      <c r="C10" s="5"/>
      <c r="Q10" s="3"/>
    </row>
    <row r="11" spans="1:22">
      <c r="A11" s="76"/>
      <c r="C11" s="5"/>
      <c r="Q11" s="3"/>
    </row>
    <row r="12" spans="1:22">
      <c r="A12" s="76"/>
      <c r="C12" s="5"/>
      <c r="Q12" s="3"/>
    </row>
    <row r="13" spans="1:22">
      <c r="A13" s="76"/>
      <c r="C13" s="5"/>
      <c r="E13" s="3" t="s">
        <v>1176</v>
      </c>
      <c r="G13" s="93"/>
      <c r="I13" s="93">
        <f>O27</f>
        <v>0</v>
      </c>
      <c r="Q13" s="3"/>
      <c r="V13" s="93"/>
    </row>
    <row r="14" spans="1:22">
      <c r="A14" s="76"/>
      <c r="C14" s="5"/>
      <c r="E14" s="3" t="s">
        <v>1177</v>
      </c>
      <c r="K14" s="93">
        <f>I13</f>
        <v>0</v>
      </c>
      <c r="Q14" s="3"/>
      <c r="V14" s="93"/>
    </row>
    <row r="15" spans="1:22">
      <c r="A15" s="76"/>
      <c r="C15" s="5"/>
      <c r="Q15" s="3"/>
      <c r="V15" s="93"/>
    </row>
    <row r="16" spans="1:22">
      <c r="A16" s="3" t="s">
        <v>1178</v>
      </c>
      <c r="C16" s="5"/>
      <c r="Q16" s="3"/>
      <c r="V16" s="93"/>
    </row>
    <row r="17" spans="1:24">
      <c r="A17" s="76"/>
      <c r="C17" s="5"/>
      <c r="Q17" s="3"/>
      <c r="X17" s="93"/>
    </row>
    <row r="18" spans="1:24">
      <c r="A18" s="76"/>
      <c r="C18" s="5"/>
      <c r="Q18" s="3"/>
    </row>
    <row r="19" spans="1:24">
      <c r="A19" s="6">
        <v>2016</v>
      </c>
      <c r="C19" s="85" t="s">
        <v>1036</v>
      </c>
      <c r="D19" s="5"/>
      <c r="E19" s="118" t="s">
        <v>1037</v>
      </c>
      <c r="G19" s="85" t="s">
        <v>1038</v>
      </c>
      <c r="H19" s="5"/>
      <c r="I19" s="85" t="s">
        <v>1039</v>
      </c>
      <c r="J19" s="5"/>
      <c r="K19" s="85" t="s">
        <v>1040</v>
      </c>
      <c r="L19" s="5"/>
      <c r="M19" s="85" t="s">
        <v>1041</v>
      </c>
      <c r="O19" s="85" t="s">
        <v>1042</v>
      </c>
      <c r="Q19" s="3"/>
    </row>
    <row r="20" spans="1:24">
      <c r="A20" s="76" t="s">
        <v>1043</v>
      </c>
      <c r="C20" s="197">
        <v>0</v>
      </c>
      <c r="E20" s="224">
        <v>2.33</v>
      </c>
      <c r="G20" s="224">
        <f>'[14]ct valuation report summary'!M21</f>
        <v>8.5631110424057582</v>
      </c>
      <c r="H20" s="224"/>
      <c r="I20" s="201">
        <f>C20*G20</f>
        <v>0</v>
      </c>
      <c r="J20" s="201"/>
      <c r="K20" s="201">
        <f>C20*-E20</f>
        <v>0</v>
      </c>
      <c r="L20" s="201"/>
      <c r="M20" s="16">
        <f>SUM(I20:K20)</f>
        <v>0</v>
      </c>
      <c r="Q20" s="3"/>
    </row>
    <row r="21" spans="1:24">
      <c r="A21" s="103"/>
      <c r="C21" s="143"/>
      <c r="D21" s="18"/>
      <c r="E21" s="18"/>
      <c r="F21" s="18"/>
      <c r="G21" s="18"/>
      <c r="M21" s="87"/>
      <c r="Q21" s="3"/>
    </row>
    <row r="22" spans="1:24">
      <c r="A22" s="103"/>
      <c r="C22" s="85" t="s">
        <v>1036</v>
      </c>
      <c r="D22" s="5"/>
      <c r="E22" s="118" t="s">
        <v>1037</v>
      </c>
      <c r="G22" s="85" t="s">
        <v>1044</v>
      </c>
      <c r="H22" s="5"/>
      <c r="I22" s="85" t="s">
        <v>1039</v>
      </c>
      <c r="J22" s="5"/>
      <c r="K22" s="85" t="s">
        <v>1045</v>
      </c>
      <c r="L22" s="5"/>
      <c r="M22" s="85" t="s">
        <v>1046</v>
      </c>
      <c r="Q22" s="3"/>
    </row>
    <row r="23" spans="1:24" ht="13.5" thickBot="1">
      <c r="A23" s="103" t="s">
        <v>1047</v>
      </c>
      <c r="C23" s="197">
        <v>0</v>
      </c>
      <c r="E23" s="224">
        <v>2.33</v>
      </c>
      <c r="F23" s="224"/>
      <c r="G23" s="224">
        <v>1.02</v>
      </c>
      <c r="H23" s="201"/>
      <c r="I23" s="201">
        <f>C23*G23</f>
        <v>0</v>
      </c>
      <c r="J23" s="201"/>
      <c r="K23" s="201">
        <f>I23*-0.2</f>
        <v>0</v>
      </c>
      <c r="L23" s="201"/>
      <c r="M23" s="201">
        <f>SUM(I23:K23)</f>
        <v>0</v>
      </c>
      <c r="O23" s="225">
        <f>M23</f>
        <v>0</v>
      </c>
      <c r="P23" s="227" t="s">
        <v>1029</v>
      </c>
      <c r="Q23" s="5" t="s">
        <v>1048</v>
      </c>
    </row>
    <row r="24" spans="1:24" ht="13.5" thickTop="1">
      <c r="A24" s="90"/>
      <c r="C24" s="5"/>
    </row>
    <row r="25" spans="1:24" ht="13.5" thickBot="1">
      <c r="A25" s="90" t="s">
        <v>1049</v>
      </c>
      <c r="M25" s="226">
        <f>M20-M23</f>
        <v>0</v>
      </c>
      <c r="O25" s="226">
        <f>M25</f>
        <v>0</v>
      </c>
      <c r="Q25" s="5" t="s">
        <v>63</v>
      </c>
    </row>
    <row r="26" spans="1:24" ht="13.5" thickTop="1">
      <c r="A26" s="90"/>
      <c r="I26" s="87"/>
      <c r="K26" s="46"/>
      <c r="M26" s="87"/>
    </row>
    <row r="27" spans="1:24" ht="13.5" thickBot="1">
      <c r="A27" s="90" t="s">
        <v>1050</v>
      </c>
      <c r="M27" s="226">
        <f>M25*0.4</f>
        <v>0</v>
      </c>
      <c r="N27" s="201"/>
      <c r="O27" s="226">
        <f>M27</f>
        <v>0</v>
      </c>
      <c r="Q27" s="5" t="s">
        <v>1051</v>
      </c>
    </row>
    <row r="28" spans="1:24" ht="13.5" thickTop="1">
      <c r="A28" s="118"/>
      <c r="B28" s="118"/>
      <c r="C28" s="118"/>
      <c r="D28" s="85"/>
      <c r="E28" s="118"/>
      <c r="F28" s="118"/>
      <c r="G28" s="118"/>
      <c r="H28" s="118"/>
      <c r="I28" s="118"/>
      <c r="J28" s="118"/>
      <c r="K28" s="118"/>
      <c r="L28" s="118"/>
      <c r="M28" s="85"/>
      <c r="N28" s="118"/>
      <c r="O28" s="118"/>
      <c r="P28" s="118"/>
      <c r="Q28" s="85"/>
    </row>
    <row r="29" spans="1:24">
      <c r="A29" s="6">
        <v>2015</v>
      </c>
      <c r="C29" s="85" t="s">
        <v>1036</v>
      </c>
      <c r="D29" s="5"/>
      <c r="E29" s="118" t="s">
        <v>1037</v>
      </c>
      <c r="G29" s="85" t="s">
        <v>1038</v>
      </c>
      <c r="H29" s="5"/>
      <c r="I29" s="85" t="s">
        <v>1039</v>
      </c>
      <c r="J29" s="5"/>
      <c r="K29" s="85" t="s">
        <v>1040</v>
      </c>
      <c r="L29" s="5"/>
      <c r="M29" s="85" t="s">
        <v>1041</v>
      </c>
      <c r="O29" s="85" t="s">
        <v>1042</v>
      </c>
      <c r="Q29" s="3"/>
    </row>
    <row r="30" spans="1:24">
      <c r="A30" s="76" t="s">
        <v>1043</v>
      </c>
      <c r="C30" s="197">
        <v>30000</v>
      </c>
      <c r="E30" s="224">
        <v>2.33</v>
      </c>
      <c r="G30" s="224">
        <v>8.5631110424057582</v>
      </c>
      <c r="H30" s="224"/>
      <c r="I30" s="201">
        <v>256893.33127217274</v>
      </c>
      <c r="J30" s="201"/>
      <c r="K30" s="201">
        <v>-69900</v>
      </c>
      <c r="L30" s="201"/>
      <c r="M30" s="16">
        <v>186993.33127217274</v>
      </c>
      <c r="Q30" s="3"/>
    </row>
    <row r="31" spans="1:24">
      <c r="A31" s="103"/>
      <c r="C31" s="143"/>
      <c r="D31" s="18"/>
      <c r="E31" s="18"/>
      <c r="F31" s="18"/>
      <c r="G31" s="18"/>
      <c r="M31" s="87"/>
      <c r="Q31" s="3"/>
    </row>
    <row r="32" spans="1:24">
      <c r="A32" s="103"/>
      <c r="C32" s="85" t="s">
        <v>1036</v>
      </c>
      <c r="D32" s="5"/>
      <c r="E32" s="118" t="s">
        <v>1037</v>
      </c>
      <c r="G32" s="85" t="s">
        <v>1044</v>
      </c>
      <c r="H32" s="5"/>
      <c r="I32" s="85" t="s">
        <v>1039</v>
      </c>
      <c r="J32" s="5"/>
      <c r="K32" s="85" t="s">
        <v>1045</v>
      </c>
      <c r="L32" s="5"/>
      <c r="M32" s="85" t="s">
        <v>1046</v>
      </c>
      <c r="Q32" s="3"/>
    </row>
    <row r="33" spans="1:17" ht="13.5" thickBot="1">
      <c r="A33" s="103" t="s">
        <v>1047</v>
      </c>
      <c r="C33" s="197">
        <v>90000</v>
      </c>
      <c r="E33" s="224">
        <v>2.33</v>
      </c>
      <c r="F33" s="224"/>
      <c r="G33" s="224">
        <v>1.02</v>
      </c>
      <c r="H33" s="201"/>
      <c r="I33" s="201">
        <v>91800</v>
      </c>
      <c r="J33" s="201"/>
      <c r="K33" s="201">
        <v>-18360</v>
      </c>
      <c r="L33" s="201"/>
      <c r="M33" s="201">
        <v>73440</v>
      </c>
      <c r="O33" s="225">
        <v>73000</v>
      </c>
      <c r="P33" s="227"/>
      <c r="Q33" s="5" t="s">
        <v>1048</v>
      </c>
    </row>
    <row r="34" spans="1:17" ht="13.5" thickTop="1">
      <c r="A34" s="90"/>
      <c r="C34" s="5"/>
    </row>
    <row r="35" spans="1:17" ht="13.5" thickBot="1">
      <c r="A35" s="90" t="s">
        <v>1049</v>
      </c>
      <c r="M35" s="226">
        <v>113553.33127217274</v>
      </c>
      <c r="O35" s="226">
        <v>114000.33127217274</v>
      </c>
      <c r="Q35" s="5" t="s">
        <v>63</v>
      </c>
    </row>
    <row r="36" spans="1:17" ht="13.5" thickTop="1">
      <c r="A36" s="90"/>
      <c r="I36" s="87"/>
      <c r="K36" s="46"/>
      <c r="M36" s="87"/>
    </row>
    <row r="37" spans="1:17" ht="13.5" thickBot="1">
      <c r="A37" s="90" t="s">
        <v>1050</v>
      </c>
      <c r="M37" s="226">
        <v>45421.332508869098</v>
      </c>
      <c r="N37" s="201"/>
      <c r="O37" s="226">
        <v>45000.332508869098</v>
      </c>
      <c r="Q37" s="5" t="s">
        <v>1051</v>
      </c>
    </row>
    <row r="38" spans="1:17" ht="13.5" thickTop="1"/>
    <row r="42" spans="1:17">
      <c r="G42" s="5" t="s">
        <v>60</v>
      </c>
      <c r="H42" s="5"/>
      <c r="I42" s="5" t="s">
        <v>1053</v>
      </c>
      <c r="J42" s="5"/>
      <c r="K42" s="5" t="s">
        <v>1054</v>
      </c>
      <c r="L42" s="5"/>
      <c r="M42" s="5" t="s">
        <v>1054</v>
      </c>
      <c r="N42" s="5"/>
      <c r="O42" s="5" t="s">
        <v>1055</v>
      </c>
    </row>
    <row r="43" spans="1:17">
      <c r="A43" s="3" t="s">
        <v>1052</v>
      </c>
      <c r="G43" s="193"/>
      <c r="H43" s="168"/>
      <c r="I43" s="193"/>
      <c r="J43" s="168"/>
      <c r="K43" s="168"/>
      <c r="L43" s="168"/>
      <c r="M43" s="168"/>
      <c r="N43" s="168"/>
      <c r="O43" s="193"/>
    </row>
    <row r="44" spans="1:17">
      <c r="I44" s="227" t="s">
        <v>1029</v>
      </c>
      <c r="O44" s="227" t="s">
        <v>1029</v>
      </c>
    </row>
    <row r="47" spans="1:17">
      <c r="A47" s="3" t="s">
        <v>1879</v>
      </c>
    </row>
    <row r="48" spans="1:17">
      <c r="A48" s="3" t="s">
        <v>1876</v>
      </c>
    </row>
    <row r="49" spans="1:1">
      <c r="A49" s="3" t="s">
        <v>1877</v>
      </c>
    </row>
  </sheetData>
  <pageMargins left="0.7" right="0.14000000000000001" top="0.35" bottom="0.3" header="0.19" footer="0.18"/>
  <pageSetup orientation="landscape" r:id="rId1"/>
  <headerFooter>
    <oddFooter>&amp;L&amp;"Times New Roman,Regular"February 17, 2016&amp;C&amp;"Times New Roman,Regular"confidential and proprietary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11</vt:i4>
      </vt:variant>
    </vt:vector>
  </HeadingPairs>
  <TitlesOfParts>
    <vt:vector size="32" baseType="lpstr">
      <vt:lpstr>index &amp; processes</vt:lpstr>
      <vt:lpstr>memo &amp; fs inserts</vt:lpstr>
      <vt:lpstr>2016 provision</vt:lpstr>
      <vt:lpstr>2016 def tax</vt:lpstr>
      <vt:lpstr>tax ac's summary</vt:lpstr>
      <vt:lpstr>wa taxable income</vt:lpstr>
      <vt:lpstr>ct &amp; wa ti 12-31-16</vt:lpstr>
      <vt:lpstr>ac 248000 activity </vt:lpstr>
      <vt:lpstr>ac 248000 activity -2015</vt:lpstr>
      <vt:lpstr>2015 ret to prov</vt:lpstr>
      <vt:lpstr>BTR - Book to Tax Recon</vt:lpstr>
      <vt:lpstr>fin 48 cklst</vt:lpstr>
      <vt:lpstr>state tax information</vt:lpstr>
      <vt:lpstr>cbs</vt:lpstr>
      <vt:lpstr>ct bs</vt:lpstr>
      <vt:lpstr>CT -BS for updates</vt:lpstr>
      <vt:lpstr>cpl</vt:lpstr>
      <vt:lpstr>ct pl</vt:lpstr>
      <vt:lpstr>CT-TB</vt:lpstr>
      <vt:lpstr>wa tb - 2016</vt:lpstr>
      <vt:lpstr>sbc</vt:lpstr>
      <vt:lpstr>'2016 provision'!Print_Area</vt:lpstr>
      <vt:lpstr>'ac 248000 activity '!Print_Area</vt:lpstr>
      <vt:lpstr>'ac 248000 activity -2015'!Print_Area</vt:lpstr>
      <vt:lpstr>cbs!Print_Area</vt:lpstr>
      <vt:lpstr>cpl!Print_Area</vt:lpstr>
      <vt:lpstr>'ct &amp; wa ti 12-31-16'!Print_Area</vt:lpstr>
      <vt:lpstr>'ct bs'!Print_Area</vt:lpstr>
      <vt:lpstr>'index &amp; processes'!Print_Area</vt:lpstr>
      <vt:lpstr>'memo &amp; fs inserts'!Print_Area</vt:lpstr>
      <vt:lpstr>'state tax information'!Print_Area</vt:lpstr>
      <vt:lpstr>'wa taxable income'!Print_Area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Lawver</dc:creator>
  <cp:lastModifiedBy>Sarah Whitmyre</cp:lastModifiedBy>
  <cp:lastPrinted>2017-03-29T22:55:29Z</cp:lastPrinted>
  <dcterms:created xsi:type="dcterms:W3CDTF">2015-02-16T17:44:16Z</dcterms:created>
  <dcterms:modified xsi:type="dcterms:W3CDTF">2017-03-31T02:43:06Z</dcterms:modified>
</cp:coreProperties>
</file>